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8635" windowHeight="12780"/>
  </bookViews>
  <sheets>
    <sheet name="Sheet1" sheetId="1" r:id="rId1"/>
    <sheet name="Sheet2" sheetId="2" r:id="rId2"/>
  </sheets>
  <definedNames>
    <definedName name="_xlnm.Print_Area" localSheetId="0">Sheet1!$A$1:$GR$3</definedName>
    <definedName name="_xlnm.Print_Area" localSheetId="1">Sheet2!#REF!</definedName>
  </definedNames>
  <calcPr calcId="125725"/>
</workbook>
</file>

<file path=xl/calcChain.xml><?xml version="1.0" encoding="utf-8"?>
<calcChain xmlns="http://schemas.openxmlformats.org/spreadsheetml/2006/main">
  <c r="D679" i="1"/>
  <c r="DY640"/>
  <c r="DZ640"/>
  <c r="DY641"/>
  <c r="DZ641"/>
  <c r="DY642"/>
  <c r="DZ642"/>
  <c r="DY643"/>
  <c r="DZ643"/>
  <c r="DY644"/>
  <c r="DZ644"/>
  <c r="DY645"/>
  <c r="DZ645"/>
  <c r="DY646"/>
  <c r="DZ646"/>
  <c r="DY647"/>
  <c r="DZ647"/>
  <c r="DY648"/>
  <c r="DZ648"/>
  <c r="DY649"/>
  <c r="DZ649"/>
  <c r="DY650"/>
  <c r="DZ650"/>
  <c r="DY651"/>
  <c r="DZ651"/>
  <c r="DY652"/>
  <c r="DZ652"/>
  <c r="DY653"/>
  <c r="DZ653"/>
  <c r="DY654"/>
  <c r="DZ654"/>
  <c r="DY655"/>
  <c r="DZ655"/>
  <c r="DY656"/>
  <c r="DZ656"/>
  <c r="DY657"/>
  <c r="DZ657"/>
  <c r="DY658"/>
  <c r="DZ658"/>
  <c r="DY659"/>
  <c r="DZ659"/>
  <c r="DY660"/>
  <c r="DZ660"/>
  <c r="DY661"/>
  <c r="DZ661"/>
  <c r="DY662"/>
  <c r="DZ662"/>
  <c r="DY663"/>
  <c r="DZ663"/>
  <c r="DY626"/>
  <c r="DZ626"/>
  <c r="BB667"/>
  <c r="CA564"/>
  <c r="CB564"/>
  <c r="CC564"/>
  <c r="CD564"/>
  <c r="CE564"/>
  <c r="CF564"/>
  <c r="CG564"/>
  <c r="CH564"/>
  <c r="CI564"/>
  <c r="CJ564"/>
  <c r="CK564"/>
  <c r="CL564"/>
  <c r="CM564"/>
  <c r="CN564"/>
  <c r="CO564"/>
  <c r="CP564"/>
  <c r="CA565"/>
  <c r="CB565"/>
  <c r="CC565"/>
  <c r="CD565"/>
  <c r="CE565"/>
  <c r="CF565"/>
  <c r="CG565"/>
  <c r="CH565"/>
  <c r="CI565"/>
  <c r="CJ565"/>
  <c r="CK565"/>
  <c r="CL565"/>
  <c r="CM565"/>
  <c r="CN565"/>
  <c r="CO565"/>
  <c r="CP565"/>
  <c r="CA566"/>
  <c r="CB566"/>
  <c r="CC566"/>
  <c r="CD566"/>
  <c r="CE566"/>
  <c r="CF566"/>
  <c r="CG566"/>
  <c r="CH566"/>
  <c r="CI566"/>
  <c r="CJ566"/>
  <c r="CK566"/>
  <c r="CL566"/>
  <c r="CM566"/>
  <c r="CN566"/>
  <c r="CO566"/>
  <c r="CP566"/>
  <c r="CA567"/>
  <c r="CB567"/>
  <c r="CC567"/>
  <c r="CD567"/>
  <c r="CE567"/>
  <c r="CF567"/>
  <c r="CG567"/>
  <c r="CH567"/>
  <c r="CI567"/>
  <c r="CJ567"/>
  <c r="CK567"/>
  <c r="CL567"/>
  <c r="CM567"/>
  <c r="CN567"/>
  <c r="CO567"/>
  <c r="CP567"/>
  <c r="CA568"/>
  <c r="CB568"/>
  <c r="CC568"/>
  <c r="CD568"/>
  <c r="CE568"/>
  <c r="CF568"/>
  <c r="CG568"/>
  <c r="CH568"/>
  <c r="CI568"/>
  <c r="CJ568"/>
  <c r="CK568"/>
  <c r="CL568"/>
  <c r="CM568"/>
  <c r="CN568"/>
  <c r="CO568"/>
  <c r="CP568"/>
  <c r="CA569"/>
  <c r="CB569"/>
  <c r="CC569"/>
  <c r="CD569"/>
  <c r="CE569"/>
  <c r="CF569"/>
  <c r="CG569"/>
  <c r="CH569"/>
  <c r="CI569"/>
  <c r="CJ569"/>
  <c r="CK569"/>
  <c r="CL569"/>
  <c r="CM569"/>
  <c r="CN569"/>
  <c r="CO569"/>
  <c r="CP569"/>
  <c r="CA570"/>
  <c r="CB570"/>
  <c r="CC570"/>
  <c r="CD570"/>
  <c r="CE570"/>
  <c r="CF570"/>
  <c r="CG570"/>
  <c r="CH570"/>
  <c r="CI570"/>
  <c r="CJ570"/>
  <c r="CK570"/>
  <c r="CL570"/>
  <c r="CM570"/>
  <c r="CN570"/>
  <c r="CO570"/>
  <c r="CP570"/>
  <c r="CA571"/>
  <c r="CB571"/>
  <c r="CC571"/>
  <c r="CD571"/>
  <c r="CE571"/>
  <c r="CF571"/>
  <c r="CG571"/>
  <c r="CH571"/>
  <c r="CI571"/>
  <c r="CJ571"/>
  <c r="CK571"/>
  <c r="CL571"/>
  <c r="CM571"/>
  <c r="CN571"/>
  <c r="CO571"/>
  <c r="CP571"/>
  <c r="CA572"/>
  <c r="CB572"/>
  <c r="CC572"/>
  <c r="CD572"/>
  <c r="CE572"/>
  <c r="CF572"/>
  <c r="CG572"/>
  <c r="CH572"/>
  <c r="CI572"/>
  <c r="CJ572"/>
  <c r="CK572"/>
  <c r="CL572"/>
  <c r="CM572"/>
  <c r="CN572"/>
  <c r="CO572"/>
  <c r="CP572"/>
  <c r="CA573"/>
  <c r="CB573"/>
  <c r="CC573"/>
  <c r="CD573"/>
  <c r="CE573"/>
  <c r="CF573"/>
  <c r="CG573"/>
  <c r="CH573"/>
  <c r="CI573"/>
  <c r="CJ573"/>
  <c r="CK573"/>
  <c r="CL573"/>
  <c r="CM573"/>
  <c r="CN573"/>
  <c r="CO573"/>
  <c r="CP573"/>
  <c r="CA574"/>
  <c r="CB574"/>
  <c r="CC574"/>
  <c r="CD574"/>
  <c r="CE574"/>
  <c r="CF574"/>
  <c r="CG574"/>
  <c r="CH574"/>
  <c r="CI574"/>
  <c r="CJ574"/>
  <c r="CK574"/>
  <c r="CL574"/>
  <c r="CM574"/>
  <c r="CN574"/>
  <c r="CO574"/>
  <c r="CP574"/>
  <c r="CA575"/>
  <c r="CB575"/>
  <c r="CC575"/>
  <c r="CD575"/>
  <c r="CE575"/>
  <c r="CF575"/>
  <c r="CG575"/>
  <c r="CH575"/>
  <c r="CI575"/>
  <c r="CJ575"/>
  <c r="CK575"/>
  <c r="CL575"/>
  <c r="CM575"/>
  <c r="CN575"/>
  <c r="CO575"/>
  <c r="CP575"/>
  <c r="CA576"/>
  <c r="CB576"/>
  <c r="CC576"/>
  <c r="CD576"/>
  <c r="CE576"/>
  <c r="CF576"/>
  <c r="CG576"/>
  <c r="CH576"/>
  <c r="CI576"/>
  <c r="CJ576"/>
  <c r="CK576"/>
  <c r="CL576"/>
  <c r="CM576"/>
  <c r="CN576"/>
  <c r="CO576"/>
  <c r="CP576"/>
  <c r="CA577"/>
  <c r="CB577"/>
  <c r="CC577"/>
  <c r="CD577"/>
  <c r="CE577"/>
  <c r="CF577"/>
  <c r="CG577"/>
  <c r="CH577"/>
  <c r="CI577"/>
  <c r="CJ577"/>
  <c r="CK577"/>
  <c r="CL577"/>
  <c r="CM577"/>
  <c r="CN577"/>
  <c r="CO577"/>
  <c r="CP577"/>
  <c r="CA578"/>
  <c r="CB578"/>
  <c r="CC578"/>
  <c r="CD578"/>
  <c r="CE578"/>
  <c r="CF578"/>
  <c r="CG578"/>
  <c r="CH578"/>
  <c r="CI578"/>
  <c r="CJ578"/>
  <c r="CK578"/>
  <c r="CL578"/>
  <c r="CM578"/>
  <c r="CN578"/>
  <c r="CO578"/>
  <c r="CP578"/>
  <c r="CA579"/>
  <c r="CB579"/>
  <c r="CC579"/>
  <c r="CD579"/>
  <c r="CE579"/>
  <c r="CF579"/>
  <c r="CG579"/>
  <c r="CH579"/>
  <c r="CI579"/>
  <c r="CJ579"/>
  <c r="CK579"/>
  <c r="CL579"/>
  <c r="CM579"/>
  <c r="CN579"/>
  <c r="CO579"/>
  <c r="CP579"/>
  <c r="CA580"/>
  <c r="CB580"/>
  <c r="CC580"/>
  <c r="CD580"/>
  <c r="CE580"/>
  <c r="CF580"/>
  <c r="CG580"/>
  <c r="CH580"/>
  <c r="CI580"/>
  <c r="CJ580"/>
  <c r="CK580"/>
  <c r="CL580"/>
  <c r="CM580"/>
  <c r="CN580"/>
  <c r="CO580"/>
  <c r="CP580"/>
  <c r="CA581"/>
  <c r="CB581"/>
  <c r="CC581"/>
  <c r="CD581"/>
  <c r="CE581"/>
  <c r="CF581"/>
  <c r="CG581"/>
  <c r="CH581"/>
  <c r="CI581"/>
  <c r="CJ581"/>
  <c r="CK581"/>
  <c r="CL581"/>
  <c r="CM581"/>
  <c r="CN581"/>
  <c r="CO581"/>
  <c r="CP581"/>
  <c r="CA582"/>
  <c r="CB582"/>
  <c r="CC582"/>
  <c r="CD582"/>
  <c r="CE582"/>
  <c r="CF582"/>
  <c r="CG582"/>
  <c r="CH582"/>
  <c r="CI582"/>
  <c r="CJ582"/>
  <c r="CK582"/>
  <c r="CL582"/>
  <c r="CM582"/>
  <c r="CN582"/>
  <c r="CO582"/>
  <c r="CP582"/>
  <c r="CA583"/>
  <c r="CB583"/>
  <c r="CC583"/>
  <c r="CD583"/>
  <c r="CE583"/>
  <c r="CF583"/>
  <c r="CG583"/>
  <c r="CH583"/>
  <c r="CI583"/>
  <c r="CJ583"/>
  <c r="CK583"/>
  <c r="CL583"/>
  <c r="CM583"/>
  <c r="CN583"/>
  <c r="CO583"/>
  <c r="CP583"/>
  <c r="CA584"/>
  <c r="CB584"/>
  <c r="CC584"/>
  <c r="CD584"/>
  <c r="CE584"/>
  <c r="CF584"/>
  <c r="CG584"/>
  <c r="CH584"/>
  <c r="CI584"/>
  <c r="CJ584"/>
  <c r="CK584"/>
  <c r="CL584"/>
  <c r="CM584"/>
  <c r="CN584"/>
  <c r="CO584"/>
  <c r="CP584"/>
  <c r="CA585"/>
  <c r="CB585"/>
  <c r="CC585"/>
  <c r="CD585"/>
  <c r="CE585"/>
  <c r="CF585"/>
  <c r="CG585"/>
  <c r="CH585"/>
  <c r="CI585"/>
  <c r="CJ585"/>
  <c r="CK585"/>
  <c r="CL585"/>
  <c r="CM585"/>
  <c r="CN585"/>
  <c r="CO585"/>
  <c r="CP585"/>
  <c r="CA586"/>
  <c r="CB586"/>
  <c r="CC586"/>
  <c r="CD586"/>
  <c r="CE586"/>
  <c r="CF586"/>
  <c r="CG586"/>
  <c r="CH586"/>
  <c r="CI586"/>
  <c r="CJ586"/>
  <c r="CK586"/>
  <c r="CL586"/>
  <c r="CM586"/>
  <c r="CN586"/>
  <c r="CO586"/>
  <c r="CP586"/>
  <c r="CA587"/>
  <c r="CB587"/>
  <c r="CC587"/>
  <c r="CD587"/>
  <c r="CE587"/>
  <c r="CF587"/>
  <c r="CG587"/>
  <c r="CH587"/>
  <c r="CI587"/>
  <c r="CJ587"/>
  <c r="CK587"/>
  <c r="CL587"/>
  <c r="CM587"/>
  <c r="CN587"/>
  <c r="CO587"/>
  <c r="CP587"/>
  <c r="CA588"/>
  <c r="CB588"/>
  <c r="CC588"/>
  <c r="CD588"/>
  <c r="CE588"/>
  <c r="CF588"/>
  <c r="CG588"/>
  <c r="CH588"/>
  <c r="CI588"/>
  <c r="CJ588"/>
  <c r="CK588"/>
  <c r="CL588"/>
  <c r="CM588"/>
  <c r="CN588"/>
  <c r="CO588"/>
  <c r="CP588"/>
  <c r="CA589"/>
  <c r="CB589"/>
  <c r="CC589"/>
  <c r="CD589"/>
  <c r="CE589"/>
  <c r="CF589"/>
  <c r="CG589"/>
  <c r="CH589"/>
  <c r="CI589"/>
  <c r="CJ589"/>
  <c r="CK589"/>
  <c r="CL589"/>
  <c r="CM589"/>
  <c r="CN589"/>
  <c r="CO589"/>
  <c r="CP589"/>
  <c r="CA590"/>
  <c r="CB590"/>
  <c r="CC590"/>
  <c r="CD590"/>
  <c r="CE590"/>
  <c r="CF590"/>
  <c r="CG590"/>
  <c r="CH590"/>
  <c r="CI590"/>
  <c r="CJ590"/>
  <c r="CK590"/>
  <c r="CL590"/>
  <c r="CM590"/>
  <c r="CN590"/>
  <c r="CO590"/>
  <c r="CP590"/>
  <c r="CA591"/>
  <c r="CB591"/>
  <c r="CC591"/>
  <c r="CD591"/>
  <c r="CE591"/>
  <c r="CF591"/>
  <c r="CG591"/>
  <c r="CH591"/>
  <c r="CI591"/>
  <c r="CJ591"/>
  <c r="CK591"/>
  <c r="CL591"/>
  <c r="CM591"/>
  <c r="CN591"/>
  <c r="CO591"/>
  <c r="CP591"/>
  <c r="CA592"/>
  <c r="CB592"/>
  <c r="CC592"/>
  <c r="CD592"/>
  <c r="CE592"/>
  <c r="CF592"/>
  <c r="CG592"/>
  <c r="CH592"/>
  <c r="CI592"/>
  <c r="CJ592"/>
  <c r="CK592"/>
  <c r="CL592"/>
  <c r="CM592"/>
  <c r="CN592"/>
  <c r="CO592"/>
  <c r="CP592"/>
  <c r="CA593"/>
  <c r="CB593"/>
  <c r="CC593"/>
  <c r="CD593"/>
  <c r="CE593"/>
  <c r="CF593"/>
  <c r="CG593"/>
  <c r="CH593"/>
  <c r="CI593"/>
  <c r="CJ593"/>
  <c r="CK593"/>
  <c r="CL593"/>
  <c r="CM593"/>
  <c r="CN593"/>
  <c r="CO593"/>
  <c r="CP593"/>
  <c r="CA594"/>
  <c r="CB594"/>
  <c r="CC594"/>
  <c r="CD594"/>
  <c r="CE594"/>
  <c r="CF594"/>
  <c r="CG594"/>
  <c r="CH594"/>
  <c r="CI594"/>
  <c r="CJ594"/>
  <c r="CK594"/>
  <c r="CL594"/>
  <c r="CM594"/>
  <c r="CN594"/>
  <c r="CO594"/>
  <c r="CP594"/>
  <c r="CA595"/>
  <c r="CB595"/>
  <c r="CC595"/>
  <c r="CD595"/>
  <c r="CE595"/>
  <c r="CF595"/>
  <c r="CG595"/>
  <c r="CH595"/>
  <c r="CI595"/>
  <c r="CJ595"/>
  <c r="CK595"/>
  <c r="CL595"/>
  <c r="CM595"/>
  <c r="CN595"/>
  <c r="CO595"/>
  <c r="CP595"/>
  <c r="CA596"/>
  <c r="CB596"/>
  <c r="CC596"/>
  <c r="CD596"/>
  <c r="CE596"/>
  <c r="CF596"/>
  <c r="CG596"/>
  <c r="CH596"/>
  <c r="CI596"/>
  <c r="CJ596"/>
  <c r="CK596"/>
  <c r="CL596"/>
  <c r="CM596"/>
  <c r="CN596"/>
  <c r="CO596"/>
  <c r="CP596"/>
  <c r="CA597"/>
  <c r="CB597"/>
  <c r="CC597"/>
  <c r="CD597"/>
  <c r="CE597"/>
  <c r="CF597"/>
  <c r="CG597"/>
  <c r="CH597"/>
  <c r="CI597"/>
  <c r="CJ597"/>
  <c r="CK597"/>
  <c r="CL597"/>
  <c r="CM597"/>
  <c r="CN597"/>
  <c r="CO597"/>
  <c r="CP597"/>
  <c r="CA598"/>
  <c r="CB598"/>
  <c r="CC598"/>
  <c r="CD598"/>
  <c r="CE598"/>
  <c r="CF598"/>
  <c r="CG598"/>
  <c r="CH598"/>
  <c r="CI598"/>
  <c r="CJ598"/>
  <c r="CK598"/>
  <c r="CL598"/>
  <c r="CM598"/>
  <c r="CN598"/>
  <c r="CO598"/>
  <c r="CP598"/>
  <c r="CA599"/>
  <c r="CB599"/>
  <c r="CC599"/>
  <c r="CD599"/>
  <c r="CE599"/>
  <c r="CF599"/>
  <c r="CG599"/>
  <c r="CH599"/>
  <c r="CI599"/>
  <c r="CJ599"/>
  <c r="CK599"/>
  <c r="CL599"/>
  <c r="CM599"/>
  <c r="CN599"/>
  <c r="CO599"/>
  <c r="CP599"/>
  <c r="CA600"/>
  <c r="CB600"/>
  <c r="CC600"/>
  <c r="CD600"/>
  <c r="CE600"/>
  <c r="CF600"/>
  <c r="CG600"/>
  <c r="CH600"/>
  <c r="CI600"/>
  <c r="CJ600"/>
  <c r="CK600"/>
  <c r="CL600"/>
  <c r="CM600"/>
  <c r="CN600"/>
  <c r="CO600"/>
  <c r="CP600"/>
  <c r="CA601"/>
  <c r="CB601"/>
  <c r="CC601"/>
  <c r="CD601"/>
  <c r="CE601"/>
  <c r="CF601"/>
  <c r="CG601"/>
  <c r="CH601"/>
  <c r="CI601"/>
  <c r="CJ601"/>
  <c r="CK601"/>
  <c r="CL601"/>
  <c r="CM601"/>
  <c r="CN601"/>
  <c r="CO601"/>
  <c r="CP601"/>
  <c r="CA602"/>
  <c r="CB602"/>
  <c r="CC602"/>
  <c r="CD602"/>
  <c r="CE602"/>
  <c r="CF602"/>
  <c r="CG602"/>
  <c r="CH602"/>
  <c r="CI602"/>
  <c r="CJ602"/>
  <c r="CK602"/>
  <c r="CL602"/>
  <c r="CM602"/>
  <c r="CN602"/>
  <c r="CO602"/>
  <c r="CP602"/>
  <c r="CA603"/>
  <c r="CB603"/>
  <c r="CC603"/>
  <c r="CD603"/>
  <c r="CE603"/>
  <c r="CF603"/>
  <c r="CG603"/>
  <c r="CH603"/>
  <c r="CI603"/>
  <c r="CJ603"/>
  <c r="CK603"/>
  <c r="CL603"/>
  <c r="CM603"/>
  <c r="CN603"/>
  <c r="CO603"/>
  <c r="CP603"/>
  <c r="CA604"/>
  <c r="CB604"/>
  <c r="CC604"/>
  <c r="CD604"/>
  <c r="CE604"/>
  <c r="CF604"/>
  <c r="CG604"/>
  <c r="CH604"/>
  <c r="CI604"/>
  <c r="CJ604"/>
  <c r="CK604"/>
  <c r="CL604"/>
  <c r="CM604"/>
  <c r="CN604"/>
  <c r="CO604"/>
  <c r="CP604"/>
  <c r="CA605"/>
  <c r="CB605"/>
  <c r="CC605"/>
  <c r="CD605"/>
  <c r="CE605"/>
  <c r="CF605"/>
  <c r="CG605"/>
  <c r="CH605"/>
  <c r="CI605"/>
  <c r="CJ605"/>
  <c r="CK605"/>
  <c r="CL605"/>
  <c r="CM605"/>
  <c r="CN605"/>
  <c r="CO605"/>
  <c r="CP605"/>
  <c r="CA606"/>
  <c r="CB606"/>
  <c r="CC606"/>
  <c r="CD606"/>
  <c r="CE606"/>
  <c r="CF606"/>
  <c r="CG606"/>
  <c r="CH606"/>
  <c r="CI606"/>
  <c r="CJ606"/>
  <c r="CK606"/>
  <c r="CL606"/>
  <c r="CM606"/>
  <c r="CN606"/>
  <c r="CO606"/>
  <c r="CP606"/>
  <c r="CA607"/>
  <c r="CB607"/>
  <c r="CC607"/>
  <c r="CD607"/>
  <c r="CE607"/>
  <c r="CF607"/>
  <c r="CG607"/>
  <c r="CH607"/>
  <c r="CI607"/>
  <c r="CJ607"/>
  <c r="CK607"/>
  <c r="CL607"/>
  <c r="CM607"/>
  <c r="CN607"/>
  <c r="CO607"/>
  <c r="CP607"/>
  <c r="CA608"/>
  <c r="CB608"/>
  <c r="CC608"/>
  <c r="CD608"/>
  <c r="CE608"/>
  <c r="CF608"/>
  <c r="CG608"/>
  <c r="CH608"/>
  <c r="CI608"/>
  <c r="CJ608"/>
  <c r="CK608"/>
  <c r="CL608"/>
  <c r="CM608"/>
  <c r="CN608"/>
  <c r="CO608"/>
  <c r="CP608"/>
  <c r="CA609"/>
  <c r="CB609"/>
  <c r="CC609"/>
  <c r="CD609"/>
  <c r="CE609"/>
  <c r="CF609"/>
  <c r="CG609"/>
  <c r="CH609"/>
  <c r="CI609"/>
  <c r="CJ609"/>
  <c r="CK609"/>
  <c r="CL609"/>
  <c r="CM609"/>
  <c r="CN609"/>
  <c r="CO609"/>
  <c r="CP609"/>
  <c r="CA610"/>
  <c r="CB610"/>
  <c r="CC610"/>
  <c r="CD610"/>
  <c r="CE610"/>
  <c r="CF610"/>
  <c r="CG610"/>
  <c r="CH610"/>
  <c r="CI610"/>
  <c r="CJ610"/>
  <c r="CK610"/>
  <c r="CL610"/>
  <c r="CM610"/>
  <c r="CN610"/>
  <c r="CO610"/>
  <c r="CP610"/>
  <c r="CA611"/>
  <c r="CB611"/>
  <c r="CC611"/>
  <c r="CD611"/>
  <c r="CE611"/>
  <c r="CF611"/>
  <c r="CG611"/>
  <c r="CH611"/>
  <c r="CI611"/>
  <c r="CJ611"/>
  <c r="CK611"/>
  <c r="CL611"/>
  <c r="CM611"/>
  <c r="CN611"/>
  <c r="CO611"/>
  <c r="CP611"/>
  <c r="CA612"/>
  <c r="CB612"/>
  <c r="CC612"/>
  <c r="CD612"/>
  <c r="CE612"/>
  <c r="CF612"/>
  <c r="CG612"/>
  <c r="CH612"/>
  <c r="CI612"/>
  <c r="CJ612"/>
  <c r="CK612"/>
  <c r="CL612"/>
  <c r="CM612"/>
  <c r="CN612"/>
  <c r="CO612"/>
  <c r="CP612"/>
  <c r="CA613"/>
  <c r="CB613"/>
  <c r="CC613"/>
  <c r="CD613"/>
  <c r="CE613"/>
  <c r="CF613"/>
  <c r="CG613"/>
  <c r="CH613"/>
  <c r="CI613"/>
  <c r="CJ613"/>
  <c r="CK613"/>
  <c r="CL613"/>
  <c r="CM613"/>
  <c r="CN613"/>
  <c r="CO613"/>
  <c r="CP613"/>
  <c r="CA614"/>
  <c r="CB614"/>
  <c r="CC614"/>
  <c r="CD614"/>
  <c r="CE614"/>
  <c r="CF614"/>
  <c r="CG614"/>
  <c r="CH614"/>
  <c r="CI614"/>
  <c r="CJ614"/>
  <c r="CK614"/>
  <c r="CL614"/>
  <c r="CM614"/>
  <c r="CN614"/>
  <c r="CO614"/>
  <c r="CP614"/>
  <c r="CA615"/>
  <c r="CB615"/>
  <c r="CC615"/>
  <c r="CD615"/>
  <c r="CE615"/>
  <c r="CF615"/>
  <c r="CG615"/>
  <c r="CH615"/>
  <c r="CI615"/>
  <c r="CJ615"/>
  <c r="CK615"/>
  <c r="CL615"/>
  <c r="CM615"/>
  <c r="CN615"/>
  <c r="CO615"/>
  <c r="CP615"/>
  <c r="CA616"/>
  <c r="CB616"/>
  <c r="CC616"/>
  <c r="CD616"/>
  <c r="CE616"/>
  <c r="CF616"/>
  <c r="CG616"/>
  <c r="CH616"/>
  <c r="CI616"/>
  <c r="CJ616"/>
  <c r="CK616"/>
  <c r="CL616"/>
  <c r="CM616"/>
  <c r="CN616"/>
  <c r="CO616"/>
  <c r="CP616"/>
  <c r="CA617"/>
  <c r="CB617"/>
  <c r="CC617"/>
  <c r="CD617"/>
  <c r="CE617"/>
  <c r="CF617"/>
  <c r="CG617"/>
  <c r="CH617"/>
  <c r="CI617"/>
  <c r="CJ617"/>
  <c r="CK617"/>
  <c r="CL617"/>
  <c r="CM617"/>
  <c r="CN617"/>
  <c r="CO617"/>
  <c r="CP617"/>
  <c r="CA618"/>
  <c r="CB618"/>
  <c r="CC618"/>
  <c r="CD618"/>
  <c r="CE618"/>
  <c r="CF618"/>
  <c r="CG618"/>
  <c r="CH618"/>
  <c r="CI618"/>
  <c r="CJ618"/>
  <c r="CK618"/>
  <c r="CL618"/>
  <c r="CM618"/>
  <c r="CN618"/>
  <c r="CO618"/>
  <c r="CP618"/>
  <c r="CA619"/>
  <c r="CB619"/>
  <c r="CC619"/>
  <c r="CD619"/>
  <c r="CE619"/>
  <c r="CF619"/>
  <c r="CG619"/>
  <c r="CH619"/>
  <c r="CI619"/>
  <c r="CJ619"/>
  <c r="CK619"/>
  <c r="CL619"/>
  <c r="CM619"/>
  <c r="CN619"/>
  <c r="CO619"/>
  <c r="CP619"/>
  <c r="CA620"/>
  <c r="CB620"/>
  <c r="CC620"/>
  <c r="CD620"/>
  <c r="CE620"/>
  <c r="CF620"/>
  <c r="CG620"/>
  <c r="CH620"/>
  <c r="CI620"/>
  <c r="CJ620"/>
  <c r="CK620"/>
  <c r="CL620"/>
  <c r="CM620"/>
  <c r="CN620"/>
  <c r="CO620"/>
  <c r="CP620"/>
  <c r="CA621"/>
  <c r="CB621"/>
  <c r="CC621"/>
  <c r="CD621"/>
  <c r="CE621"/>
  <c r="CF621"/>
  <c r="CG621"/>
  <c r="CH621"/>
  <c r="CI621"/>
  <c r="CJ621"/>
  <c r="CK621"/>
  <c r="CL621"/>
  <c r="CM621"/>
  <c r="CN621"/>
  <c r="CO621"/>
  <c r="CP621"/>
  <c r="CA622"/>
  <c r="CB622"/>
  <c r="CC622"/>
  <c r="CD622"/>
  <c r="CE622"/>
  <c r="CF622"/>
  <c r="CG622"/>
  <c r="CH622"/>
  <c r="CI622"/>
  <c r="CJ622"/>
  <c r="CK622"/>
  <c r="CL622"/>
  <c r="CM622"/>
  <c r="CN622"/>
  <c r="CO622"/>
  <c r="CP622"/>
  <c r="CA623"/>
  <c r="CB623"/>
  <c r="CC623"/>
  <c r="CD623"/>
  <c r="CE623"/>
  <c r="CF623"/>
  <c r="CG623"/>
  <c r="CH623"/>
  <c r="CI623"/>
  <c r="CJ623"/>
  <c r="CK623"/>
  <c r="CL623"/>
  <c r="CM623"/>
  <c r="CN623"/>
  <c r="CO623"/>
  <c r="CP623"/>
  <c r="CA624"/>
  <c r="CB624"/>
  <c r="CC624"/>
  <c r="CD624"/>
  <c r="CE624"/>
  <c r="CF624"/>
  <c r="CG624"/>
  <c r="CH624"/>
  <c r="CI624"/>
  <c r="CJ624"/>
  <c r="CK624"/>
  <c r="CL624"/>
  <c r="CM624"/>
  <c r="CN624"/>
  <c r="CO624"/>
  <c r="CP624"/>
  <c r="CA625"/>
  <c r="CB625"/>
  <c r="CC625"/>
  <c r="CD625"/>
  <c r="CE625"/>
  <c r="CF625"/>
  <c r="CG625"/>
  <c r="CH625"/>
  <c r="CI625"/>
  <c r="CJ625"/>
  <c r="CK625"/>
  <c r="CL625"/>
  <c r="CM625"/>
  <c r="CN625"/>
  <c r="CO625"/>
  <c r="CP625"/>
  <c r="CA626"/>
  <c r="CB626"/>
  <c r="CC626"/>
  <c r="CD626"/>
  <c r="CE626"/>
  <c r="CF626"/>
  <c r="CG626"/>
  <c r="CH626"/>
  <c r="CI626"/>
  <c r="CJ626"/>
  <c r="CK626"/>
  <c r="CL626"/>
  <c r="CM626"/>
  <c r="CN626"/>
  <c r="CO626"/>
  <c r="CP626"/>
  <c r="CA627"/>
  <c r="CB627"/>
  <c r="CC627"/>
  <c r="CD627"/>
  <c r="CE627"/>
  <c r="CF627"/>
  <c r="CG627"/>
  <c r="CH627"/>
  <c r="CI627"/>
  <c r="CJ627"/>
  <c r="CK627"/>
  <c r="CL627"/>
  <c r="CM627"/>
  <c r="CN627"/>
  <c r="CO627"/>
  <c r="CP627"/>
  <c r="CA628"/>
  <c r="CB628"/>
  <c r="CC628"/>
  <c r="CD628"/>
  <c r="CE628"/>
  <c r="CF628"/>
  <c r="CG628"/>
  <c r="CH628"/>
  <c r="CI628"/>
  <c r="CJ628"/>
  <c r="CK628"/>
  <c r="CL628"/>
  <c r="CM628"/>
  <c r="CN628"/>
  <c r="CO628"/>
  <c r="CP628"/>
  <c r="CA629"/>
  <c r="CB629"/>
  <c r="CC629"/>
  <c r="CD629"/>
  <c r="CE629"/>
  <c r="CF629"/>
  <c r="CG629"/>
  <c r="CH629"/>
  <c r="CI629"/>
  <c r="CJ629"/>
  <c r="CK629"/>
  <c r="CL629"/>
  <c r="CM629"/>
  <c r="CN629"/>
  <c r="CO629"/>
  <c r="CP629"/>
  <c r="CA630"/>
  <c r="CB630"/>
  <c r="CC630"/>
  <c r="CD630"/>
  <c r="CE630"/>
  <c r="CF630"/>
  <c r="CG630"/>
  <c r="CH630"/>
  <c r="CI630"/>
  <c r="CJ630"/>
  <c r="CK630"/>
  <c r="CL630"/>
  <c r="CM630"/>
  <c r="CN630"/>
  <c r="CO630"/>
  <c r="CP630"/>
  <c r="CA631"/>
  <c r="CB631"/>
  <c r="CC631"/>
  <c r="CD631"/>
  <c r="CE631"/>
  <c r="CF631"/>
  <c r="CG631"/>
  <c r="CH631"/>
  <c r="CI631"/>
  <c r="CJ631"/>
  <c r="CK631"/>
  <c r="CL631"/>
  <c r="CM631"/>
  <c r="CN631"/>
  <c r="CO631"/>
  <c r="CP631"/>
  <c r="CA632"/>
  <c r="CB632"/>
  <c r="CC632"/>
  <c r="CD632"/>
  <c r="CE632"/>
  <c r="CF632"/>
  <c r="CG632"/>
  <c r="CH632"/>
  <c r="CI632"/>
  <c r="CJ632"/>
  <c r="CK632"/>
  <c r="CL632"/>
  <c r="CM632"/>
  <c r="CN632"/>
  <c r="CO632"/>
  <c r="CP632"/>
  <c r="CA633"/>
  <c r="CB633"/>
  <c r="CC633"/>
  <c r="CD633"/>
  <c r="CE633"/>
  <c r="CF633"/>
  <c r="CG633"/>
  <c r="CH633"/>
  <c r="CI633"/>
  <c r="CJ633"/>
  <c r="CK633"/>
  <c r="CL633"/>
  <c r="CM633"/>
  <c r="CN633"/>
  <c r="CO633"/>
  <c r="CP633"/>
  <c r="CA634"/>
  <c r="CB634"/>
  <c r="CC634"/>
  <c r="CD634"/>
  <c r="CE634"/>
  <c r="CF634"/>
  <c r="CG634"/>
  <c r="CH634"/>
  <c r="CI634"/>
  <c r="CJ634"/>
  <c r="CK634"/>
  <c r="CL634"/>
  <c r="CM634"/>
  <c r="CN634"/>
  <c r="CO634"/>
  <c r="CP634"/>
  <c r="CA635"/>
  <c r="CB635"/>
  <c r="CC635"/>
  <c r="CD635"/>
  <c r="CE635"/>
  <c r="CF635"/>
  <c r="CG635"/>
  <c r="CH635"/>
  <c r="CI635"/>
  <c r="CJ635"/>
  <c r="CK635"/>
  <c r="CL635"/>
  <c r="CM635"/>
  <c r="CN635"/>
  <c r="CO635"/>
  <c r="CP635"/>
  <c r="CA636"/>
  <c r="CB636"/>
  <c r="CC636"/>
  <c r="CD636"/>
  <c r="CE636"/>
  <c r="CF636"/>
  <c r="CG636"/>
  <c r="CH636"/>
  <c r="CI636"/>
  <c r="CJ636"/>
  <c r="CK636"/>
  <c r="CL636"/>
  <c r="CM636"/>
  <c r="CN636"/>
  <c r="CO636"/>
  <c r="CP636"/>
  <c r="CA637"/>
  <c r="CB637"/>
  <c r="CC637"/>
  <c r="CD637"/>
  <c r="CE637"/>
  <c r="CF637"/>
  <c r="CG637"/>
  <c r="CH637"/>
  <c r="CI637"/>
  <c r="CJ637"/>
  <c r="CK637"/>
  <c r="CL637"/>
  <c r="CM637"/>
  <c r="CN637"/>
  <c r="CO637"/>
  <c r="CP637"/>
  <c r="CA638"/>
  <c r="CB638"/>
  <c r="CC638"/>
  <c r="CD638"/>
  <c r="CE638"/>
  <c r="CF638"/>
  <c r="CG638"/>
  <c r="CH638"/>
  <c r="CI638"/>
  <c r="CJ638"/>
  <c r="CK638"/>
  <c r="CL638"/>
  <c r="CM638"/>
  <c r="CN638"/>
  <c r="CO638"/>
  <c r="CP638"/>
  <c r="CA639"/>
  <c r="CB639"/>
  <c r="CC639"/>
  <c r="CD639"/>
  <c r="CE639"/>
  <c r="CF639"/>
  <c r="CG639"/>
  <c r="CH639"/>
  <c r="CI639"/>
  <c r="CJ639"/>
  <c r="CK639"/>
  <c r="CL639"/>
  <c r="CM639"/>
  <c r="CN639"/>
  <c r="CO639"/>
  <c r="CP639"/>
  <c r="CA640"/>
  <c r="CB640"/>
  <c r="CC640"/>
  <c r="CD640"/>
  <c r="CE640"/>
  <c r="CF640"/>
  <c r="CG640"/>
  <c r="CH640"/>
  <c r="CI640"/>
  <c r="CJ640"/>
  <c r="CK640"/>
  <c r="CL640"/>
  <c r="CM640"/>
  <c r="CN640"/>
  <c r="CO640"/>
  <c r="CP640"/>
  <c r="CA641"/>
  <c r="CB641"/>
  <c r="CC641"/>
  <c r="CD641"/>
  <c r="CE641"/>
  <c r="CF641"/>
  <c r="CG641"/>
  <c r="CH641"/>
  <c r="CI641"/>
  <c r="CJ641"/>
  <c r="CK641"/>
  <c r="CL641"/>
  <c r="CM641"/>
  <c r="CN641"/>
  <c r="CO641"/>
  <c r="CP641"/>
  <c r="CA642"/>
  <c r="CB642"/>
  <c r="CC642"/>
  <c r="CD642"/>
  <c r="CE642"/>
  <c r="CF642"/>
  <c r="CG642"/>
  <c r="CH642"/>
  <c r="CI642"/>
  <c r="CJ642"/>
  <c r="CK642"/>
  <c r="CL642"/>
  <c r="CM642"/>
  <c r="CN642"/>
  <c r="CO642"/>
  <c r="CP642"/>
  <c r="CA643"/>
  <c r="CB643"/>
  <c r="CC643"/>
  <c r="CD643"/>
  <c r="CE643"/>
  <c r="CF643"/>
  <c r="CG643"/>
  <c r="CH643"/>
  <c r="CI643"/>
  <c r="CJ643"/>
  <c r="CK643"/>
  <c r="CL643"/>
  <c r="CM643"/>
  <c r="CN643"/>
  <c r="CO643"/>
  <c r="CP643"/>
  <c r="CA644"/>
  <c r="CB644"/>
  <c r="CC644"/>
  <c r="CD644"/>
  <c r="CE644"/>
  <c r="CF644"/>
  <c r="CG644"/>
  <c r="CH644"/>
  <c r="CI644"/>
  <c r="CJ644"/>
  <c r="CK644"/>
  <c r="CL644"/>
  <c r="CM644"/>
  <c r="CN644"/>
  <c r="CO644"/>
  <c r="CP644"/>
  <c r="CA645"/>
  <c r="CB645"/>
  <c r="CC645"/>
  <c r="CD645"/>
  <c r="CE645"/>
  <c r="CF645"/>
  <c r="CG645"/>
  <c r="CH645"/>
  <c r="CI645"/>
  <c r="CJ645"/>
  <c r="CK645"/>
  <c r="CL645"/>
  <c r="CM645"/>
  <c r="CN645"/>
  <c r="CO645"/>
  <c r="CP645"/>
  <c r="CA646"/>
  <c r="CB646"/>
  <c r="CC646"/>
  <c r="CD646"/>
  <c r="CE646"/>
  <c r="CF646"/>
  <c r="CG646"/>
  <c r="CH646"/>
  <c r="CI646"/>
  <c r="CJ646"/>
  <c r="CK646"/>
  <c r="CL646"/>
  <c r="CM646"/>
  <c r="CN646"/>
  <c r="CO646"/>
  <c r="CP646"/>
  <c r="CA647"/>
  <c r="CB647"/>
  <c r="CC647"/>
  <c r="CD647"/>
  <c r="CE647"/>
  <c r="CF647"/>
  <c r="CG647"/>
  <c r="CH647"/>
  <c r="CI647"/>
  <c r="CJ647"/>
  <c r="CK647"/>
  <c r="CL647"/>
  <c r="CM647"/>
  <c r="CN647"/>
  <c r="CO647"/>
  <c r="CP647"/>
  <c r="CA648"/>
  <c r="CB648"/>
  <c r="CC648"/>
  <c r="CD648"/>
  <c r="CE648"/>
  <c r="CF648"/>
  <c r="CG648"/>
  <c r="CH648"/>
  <c r="CI648"/>
  <c r="CJ648"/>
  <c r="CK648"/>
  <c r="CL648"/>
  <c r="CM648"/>
  <c r="CN648"/>
  <c r="CO648"/>
  <c r="CP648"/>
  <c r="CA649"/>
  <c r="CB649"/>
  <c r="CC649"/>
  <c r="CD649"/>
  <c r="CE649"/>
  <c r="CF649"/>
  <c r="CG649"/>
  <c r="CH649"/>
  <c r="CI649"/>
  <c r="CJ649"/>
  <c r="CK649"/>
  <c r="CL649"/>
  <c r="CM649"/>
  <c r="CN649"/>
  <c r="CO649"/>
  <c r="CP649"/>
  <c r="CA650"/>
  <c r="CB650"/>
  <c r="CC650"/>
  <c r="CD650"/>
  <c r="CE650"/>
  <c r="CF650"/>
  <c r="CG650"/>
  <c r="CH650"/>
  <c r="CI650"/>
  <c r="CJ650"/>
  <c r="CK650"/>
  <c r="CL650"/>
  <c r="CM650"/>
  <c r="CN650"/>
  <c r="CO650"/>
  <c r="CP650"/>
  <c r="CA651"/>
  <c r="CB651"/>
  <c r="CC651"/>
  <c r="CD651"/>
  <c r="CE651"/>
  <c r="CF651"/>
  <c r="CG651"/>
  <c r="CH651"/>
  <c r="CI651"/>
  <c r="CJ651"/>
  <c r="CK651"/>
  <c r="CL651"/>
  <c r="CM651"/>
  <c r="CN651"/>
  <c r="CO651"/>
  <c r="CP651"/>
  <c r="CA652"/>
  <c r="CB652"/>
  <c r="CC652"/>
  <c r="CD652"/>
  <c r="CE652"/>
  <c r="CF652"/>
  <c r="CG652"/>
  <c r="CH652"/>
  <c r="CI652"/>
  <c r="CJ652"/>
  <c r="CK652"/>
  <c r="CL652"/>
  <c r="CM652"/>
  <c r="CN652"/>
  <c r="CO652"/>
  <c r="CP652"/>
  <c r="CA653"/>
  <c r="CB653"/>
  <c r="CC653"/>
  <c r="CD653"/>
  <c r="CE653"/>
  <c r="CF653"/>
  <c r="CG653"/>
  <c r="CH653"/>
  <c r="CI653"/>
  <c r="CJ653"/>
  <c r="CK653"/>
  <c r="CL653"/>
  <c r="CM653"/>
  <c r="CN653"/>
  <c r="CO653"/>
  <c r="CP653"/>
  <c r="CA654"/>
  <c r="CB654"/>
  <c r="CC654"/>
  <c r="CD654"/>
  <c r="CE654"/>
  <c r="CF654"/>
  <c r="CG654"/>
  <c r="CH654"/>
  <c r="CI654"/>
  <c r="CJ654"/>
  <c r="CK654"/>
  <c r="CL654"/>
  <c r="CM654"/>
  <c r="CN654"/>
  <c r="CO654"/>
  <c r="CP654"/>
  <c r="CA655"/>
  <c r="CB655"/>
  <c r="CC655"/>
  <c r="CD655"/>
  <c r="CE655"/>
  <c r="CF655"/>
  <c r="CG655"/>
  <c r="CH655"/>
  <c r="CI655"/>
  <c r="CJ655"/>
  <c r="CK655"/>
  <c r="CL655"/>
  <c r="CM655"/>
  <c r="CN655"/>
  <c r="CO655"/>
  <c r="CP655"/>
  <c r="CA656"/>
  <c r="CB656"/>
  <c r="CC656"/>
  <c r="CD656"/>
  <c r="CE656"/>
  <c r="CF656"/>
  <c r="CG656"/>
  <c r="CH656"/>
  <c r="CI656"/>
  <c r="CJ656"/>
  <c r="CK656"/>
  <c r="CL656"/>
  <c r="CM656"/>
  <c r="CN656"/>
  <c r="CO656"/>
  <c r="CP656"/>
  <c r="CA657"/>
  <c r="CB657"/>
  <c r="CC657"/>
  <c r="CD657"/>
  <c r="CE657"/>
  <c r="CF657"/>
  <c r="CG657"/>
  <c r="CH657"/>
  <c r="CI657"/>
  <c r="CJ657"/>
  <c r="CK657"/>
  <c r="CL657"/>
  <c r="CM657"/>
  <c r="CN657"/>
  <c r="CO657"/>
  <c r="CP657"/>
  <c r="CA658"/>
  <c r="CB658"/>
  <c r="CC658"/>
  <c r="CD658"/>
  <c r="CE658"/>
  <c r="CF658"/>
  <c r="CG658"/>
  <c r="CH658"/>
  <c r="CI658"/>
  <c r="CJ658"/>
  <c r="CK658"/>
  <c r="CL658"/>
  <c r="CM658"/>
  <c r="CN658"/>
  <c r="CO658"/>
  <c r="CP658"/>
  <c r="CA659"/>
  <c r="CB659"/>
  <c r="CC659"/>
  <c r="CD659"/>
  <c r="CE659"/>
  <c r="CF659"/>
  <c r="CG659"/>
  <c r="CH659"/>
  <c r="CI659"/>
  <c r="CJ659"/>
  <c r="CK659"/>
  <c r="CL659"/>
  <c r="CM659"/>
  <c r="CN659"/>
  <c r="CO659"/>
  <c r="CP659"/>
  <c r="CA660"/>
  <c r="CB660"/>
  <c r="CC660"/>
  <c r="CD660"/>
  <c r="CE660"/>
  <c r="CF660"/>
  <c r="CG660"/>
  <c r="CH660"/>
  <c r="CI660"/>
  <c r="CJ660"/>
  <c r="CK660"/>
  <c r="CL660"/>
  <c r="CM660"/>
  <c r="CN660"/>
  <c r="CO660"/>
  <c r="CP660"/>
  <c r="CA661"/>
  <c r="CB661"/>
  <c r="CC661"/>
  <c r="CD661"/>
  <c r="CE661"/>
  <c r="CF661"/>
  <c r="CG661"/>
  <c r="CH661"/>
  <c r="CI661"/>
  <c r="CJ661"/>
  <c r="CK661"/>
  <c r="CL661"/>
  <c r="CM661"/>
  <c r="CN661"/>
  <c r="CO661"/>
  <c r="CP661"/>
  <c r="CA662"/>
  <c r="CB662"/>
  <c r="CC662"/>
  <c r="CD662"/>
  <c r="CE662"/>
  <c r="CF662"/>
  <c r="CG662"/>
  <c r="CH662"/>
  <c r="CI662"/>
  <c r="CJ662"/>
  <c r="CK662"/>
  <c r="CL662"/>
  <c r="CM662"/>
  <c r="CN662"/>
  <c r="CO662"/>
  <c r="CP662"/>
  <c r="CA663"/>
  <c r="CB663"/>
  <c r="CC663"/>
  <c r="CD663"/>
  <c r="CE663"/>
  <c r="CF663"/>
  <c r="CG663"/>
  <c r="CH663"/>
  <c r="CI663"/>
  <c r="CJ663"/>
  <c r="CK663"/>
  <c r="CL663"/>
  <c r="CM663"/>
  <c r="CN663"/>
  <c r="CO663"/>
  <c r="CP663"/>
  <c r="CA664"/>
  <c r="CB664"/>
  <c r="CC664"/>
  <c r="CD664"/>
  <c r="CE664"/>
  <c r="CF664"/>
  <c r="CG664"/>
  <c r="CH664"/>
  <c r="CI664"/>
  <c r="CJ664"/>
  <c r="CK664"/>
  <c r="CL664"/>
  <c r="CM664"/>
  <c r="CN664"/>
  <c r="CO664"/>
  <c r="CP664"/>
  <c r="CA665"/>
  <c r="CB665"/>
  <c r="CC665"/>
  <c r="CD665"/>
  <c r="CE665"/>
  <c r="CF665"/>
  <c r="CG665"/>
  <c r="CH665"/>
  <c r="CI665"/>
  <c r="CJ665"/>
  <c r="CK665"/>
  <c r="CL665"/>
  <c r="CM665"/>
  <c r="CN665"/>
  <c r="CO665"/>
  <c r="CP665"/>
  <c r="CA666"/>
  <c r="CB666"/>
  <c r="CC666"/>
  <c r="CD666"/>
  <c r="CE666"/>
  <c r="CF666"/>
  <c r="CG666"/>
  <c r="CH666"/>
  <c r="CI666"/>
  <c r="CJ666"/>
  <c r="CK666"/>
  <c r="CL666"/>
  <c r="CM666"/>
  <c r="CN666"/>
  <c r="CO666"/>
  <c r="CP666"/>
  <c r="CA667"/>
  <c r="CB667"/>
  <c r="CC667"/>
  <c r="CD667"/>
  <c r="CE667"/>
  <c r="CF667"/>
  <c r="CG667"/>
  <c r="CH667"/>
  <c r="CI667"/>
  <c r="CJ667"/>
  <c r="CK667"/>
  <c r="CL667"/>
  <c r="CM667"/>
  <c r="CN667"/>
  <c r="CO667"/>
  <c r="CP667"/>
  <c r="CA668"/>
  <c r="CB668"/>
  <c r="CC668"/>
  <c r="CD668"/>
  <c r="CE668"/>
  <c r="CF668"/>
  <c r="CG668"/>
  <c r="CH668"/>
  <c r="CI668"/>
  <c r="CJ668"/>
  <c r="CK668"/>
  <c r="CL668"/>
  <c r="CM668"/>
  <c r="CN668"/>
  <c r="CO668"/>
  <c r="CP668"/>
  <c r="CA669"/>
  <c r="CB669"/>
  <c r="CC669"/>
  <c r="CD669"/>
  <c r="CE669"/>
  <c r="CF669"/>
  <c r="CG669"/>
  <c r="CH669"/>
  <c r="CI669"/>
  <c r="CJ669"/>
  <c r="CK669"/>
  <c r="CL669"/>
  <c r="CM669"/>
  <c r="CN669"/>
  <c r="CO669"/>
  <c r="CP669"/>
  <c r="CA670"/>
  <c r="CB670"/>
  <c r="CC670"/>
  <c r="CD670"/>
  <c r="CE670"/>
  <c r="CF670"/>
  <c r="CG670"/>
  <c r="CH670"/>
  <c r="CI670"/>
  <c r="CJ670"/>
  <c r="CK670"/>
  <c r="CL670"/>
  <c r="CM670"/>
  <c r="CN670"/>
  <c r="CO670"/>
  <c r="CP670"/>
  <c r="CA671"/>
  <c r="CB671"/>
  <c r="CC671"/>
  <c r="CD671"/>
  <c r="CE671"/>
  <c r="CF671"/>
  <c r="CG671"/>
  <c r="CH671"/>
  <c r="CI671"/>
  <c r="CJ671"/>
  <c r="CK671"/>
  <c r="CL671"/>
  <c r="CM671"/>
  <c r="CN671"/>
  <c r="CO671"/>
  <c r="CP671"/>
  <c r="CA672"/>
  <c r="CB672"/>
  <c r="CC672"/>
  <c r="CD672"/>
  <c r="CE672"/>
  <c r="CF672"/>
  <c r="CG672"/>
  <c r="CH672"/>
  <c r="CI672"/>
  <c r="CJ672"/>
  <c r="CK672"/>
  <c r="CL672"/>
  <c r="CM672"/>
  <c r="CN672"/>
  <c r="CO672"/>
  <c r="CP672"/>
  <c r="CA673"/>
  <c r="CB673"/>
  <c r="CC673"/>
  <c r="CD673"/>
  <c r="CE673"/>
  <c r="CF673"/>
  <c r="CG673"/>
  <c r="CH673"/>
  <c r="CI673"/>
  <c r="CJ673"/>
  <c r="CK673"/>
  <c r="CL673"/>
  <c r="CM673"/>
  <c r="CN673"/>
  <c r="CO673"/>
  <c r="CP673"/>
  <c r="CA674"/>
  <c r="CB674"/>
  <c r="CC674"/>
  <c r="CD674"/>
  <c r="CE674"/>
  <c r="CF674"/>
  <c r="CG674"/>
  <c r="CH674"/>
  <c r="CI674"/>
  <c r="CJ674"/>
  <c r="CK674"/>
  <c r="CL674"/>
  <c r="CM674"/>
  <c r="CN674"/>
  <c r="CO674"/>
  <c r="CP674"/>
  <c r="CA675"/>
  <c r="CB675"/>
  <c r="CC675"/>
  <c r="CD675"/>
  <c r="CE675"/>
  <c r="CF675"/>
  <c r="CG675"/>
  <c r="CH675"/>
  <c r="CI675"/>
  <c r="CJ675"/>
  <c r="CK675"/>
  <c r="CL675"/>
  <c r="CM675"/>
  <c r="CN675"/>
  <c r="CO675"/>
  <c r="CP675"/>
  <c r="CA676"/>
  <c r="CB676"/>
  <c r="CC676"/>
  <c r="CD676"/>
  <c r="CE676"/>
  <c r="CF676"/>
  <c r="CG676"/>
  <c r="CH676"/>
  <c r="CI676"/>
  <c r="CJ676"/>
  <c r="CK676"/>
  <c r="CL676"/>
  <c r="CM676"/>
  <c r="CN676"/>
  <c r="CO676"/>
  <c r="CP676"/>
  <c r="CA677"/>
  <c r="CB677"/>
  <c r="CC677"/>
  <c r="CD677"/>
  <c r="CE677"/>
  <c r="CF677"/>
  <c r="CG677"/>
  <c r="CH677"/>
  <c r="CI677"/>
  <c r="CJ677"/>
  <c r="CK677"/>
  <c r="CL677"/>
  <c r="CM677"/>
  <c r="CN677"/>
  <c r="CO677"/>
  <c r="CP677"/>
  <c r="CA678"/>
  <c r="CB678"/>
  <c r="CC678"/>
  <c r="CD678"/>
  <c r="CE678"/>
  <c r="CF678"/>
  <c r="CG678"/>
  <c r="CH678"/>
  <c r="CI678"/>
  <c r="CJ678"/>
  <c r="CK678"/>
  <c r="CL678"/>
  <c r="CM678"/>
  <c r="CN678"/>
  <c r="CO678"/>
  <c r="CP678"/>
  <c r="CA679"/>
  <c r="CB679"/>
  <c r="CC679"/>
  <c r="CD679"/>
  <c r="CE679"/>
  <c r="CF679"/>
  <c r="CG679"/>
  <c r="CH679"/>
  <c r="CI679"/>
  <c r="CJ679"/>
  <c r="CK679"/>
  <c r="CL679"/>
  <c r="CM679"/>
  <c r="CN679"/>
  <c r="CO679"/>
  <c r="CP679"/>
  <c r="CA680"/>
  <c r="CB680"/>
  <c r="CC680"/>
  <c r="CD680"/>
  <c r="CE680"/>
  <c r="CF680"/>
  <c r="CG680"/>
  <c r="CH680"/>
  <c r="CI680"/>
  <c r="CJ680"/>
  <c r="CK680"/>
  <c r="CL680"/>
  <c r="CM680"/>
  <c r="CN680"/>
  <c r="CO680"/>
  <c r="CP680"/>
  <c r="CA681"/>
  <c r="CB681"/>
  <c r="CC681"/>
  <c r="CD681"/>
  <c r="CE681"/>
  <c r="CF681"/>
  <c r="CG681"/>
  <c r="CH681"/>
  <c r="CI681"/>
  <c r="CJ681"/>
  <c r="CK681"/>
  <c r="CL681"/>
  <c r="CM681"/>
  <c r="CN681"/>
  <c r="CO681"/>
  <c r="CP681"/>
  <c r="CA682"/>
  <c r="CB682"/>
  <c r="CC682"/>
  <c r="CD682"/>
  <c r="CE682"/>
  <c r="CF682"/>
  <c r="CG682"/>
  <c r="CH682"/>
  <c r="CI682"/>
  <c r="CJ682"/>
  <c r="CK682"/>
  <c r="CL682"/>
  <c r="CM682"/>
  <c r="CN682"/>
  <c r="CO682"/>
  <c r="CP682"/>
  <c r="CH560"/>
  <c r="CI560"/>
  <c r="CJ560"/>
  <c r="CK560"/>
  <c r="CL560"/>
  <c r="CM560"/>
  <c r="CN560"/>
  <c r="CO560"/>
  <c r="CP560"/>
  <c r="CA560"/>
  <c r="CB560"/>
  <c r="CC560"/>
  <c r="CD560"/>
  <c r="CE560"/>
  <c r="CF560"/>
  <c r="C591"/>
  <c r="R564"/>
  <c r="S564"/>
  <c r="T564"/>
  <c r="U564"/>
  <c r="V564"/>
  <c r="W564"/>
  <c r="X564"/>
  <c r="Y564"/>
  <c r="Z564"/>
  <c r="I564"/>
  <c r="AA564"/>
  <c r="AB564"/>
  <c r="J564"/>
  <c r="AC564"/>
  <c r="AD564"/>
  <c r="AE564"/>
  <c r="AF564"/>
  <c r="AG564"/>
  <c r="AH564"/>
  <c r="AI564"/>
  <c r="AJ564"/>
  <c r="AK564"/>
  <c r="AL564"/>
  <c r="AM564"/>
  <c r="AN564"/>
  <c r="AO564"/>
  <c r="AP564"/>
  <c r="AQ564"/>
  <c r="AR564"/>
  <c r="AS564"/>
  <c r="AT564"/>
  <c r="AU564"/>
  <c r="AV564"/>
  <c r="AW564"/>
  <c r="AX564"/>
  <c r="AY564"/>
  <c r="AZ564"/>
  <c r="BA564"/>
  <c r="BB564"/>
  <c r="BC564"/>
  <c r="BD564"/>
  <c r="BE564"/>
  <c r="BF564"/>
  <c r="BG564"/>
  <c r="BH564"/>
  <c r="BI564"/>
  <c r="BJ564"/>
  <c r="BK564"/>
  <c r="BL564"/>
  <c r="BM564"/>
  <c r="BN564"/>
  <c r="BO564"/>
  <c r="BP564"/>
  <c r="BQ564"/>
  <c r="BR564"/>
  <c r="BS564"/>
  <c r="BT564"/>
  <c r="BU564"/>
  <c r="BV564"/>
  <c r="BW564"/>
  <c r="BX564"/>
  <c r="BY564"/>
  <c r="BZ564"/>
  <c r="CQ564"/>
  <c r="CR564"/>
  <c r="CS564"/>
  <c r="CT564"/>
  <c r="CU564"/>
  <c r="CV564"/>
  <c r="CW564"/>
  <c r="CX564"/>
  <c r="CY564"/>
  <c r="CZ564"/>
  <c r="DA564"/>
  <c r="DB564"/>
  <c r="DC564"/>
  <c r="DD564"/>
  <c r="DE564"/>
  <c r="DF564"/>
  <c r="DG564"/>
  <c r="DH564"/>
  <c r="DI564"/>
  <c r="DJ564"/>
  <c r="DK564"/>
  <c r="DL564"/>
  <c r="DM564"/>
  <c r="DN564"/>
  <c r="DO564"/>
  <c r="DP564"/>
  <c r="DQ564"/>
  <c r="DR564"/>
  <c r="DS564"/>
  <c r="DT564"/>
  <c r="DU564"/>
  <c r="DV564"/>
  <c r="DW564"/>
  <c r="DX564"/>
  <c r="DY564"/>
  <c r="DZ564"/>
  <c r="EA564"/>
  <c r="EB564"/>
  <c r="EC564"/>
  <c r="ED564"/>
  <c r="EE564"/>
  <c r="EF564"/>
  <c r="EG564"/>
  <c r="EH564"/>
  <c r="EI564"/>
  <c r="EJ564"/>
  <c r="EK564"/>
  <c r="EL564"/>
  <c r="EM564"/>
  <c r="EN564"/>
  <c r="EO564"/>
  <c r="EP564"/>
  <c r="EQ564"/>
  <c r="ER564"/>
  <c r="ES564"/>
  <c r="ET564"/>
  <c r="EU564"/>
  <c r="EV564"/>
  <c r="EW564"/>
  <c r="EX564"/>
  <c r="EY564"/>
  <c r="EZ564"/>
  <c r="FA564"/>
  <c r="FB564"/>
  <c r="FC564"/>
  <c r="FD564"/>
  <c r="FE564"/>
  <c r="FF564"/>
  <c r="FG564"/>
  <c r="FH564"/>
  <c r="FI564"/>
  <c r="FJ564"/>
  <c r="FK564"/>
  <c r="FL564"/>
  <c r="FM564"/>
  <c r="FN564"/>
  <c r="FO564"/>
  <c r="FP564"/>
  <c r="FQ564"/>
  <c r="FR564"/>
  <c r="FS564"/>
  <c r="FT564"/>
  <c r="FU564"/>
  <c r="FV564"/>
  <c r="FW564"/>
  <c r="FX564"/>
  <c r="FY564"/>
  <c r="FZ564"/>
  <c r="GA564"/>
  <c r="GB564"/>
  <c r="GC564"/>
  <c r="GD564"/>
  <c r="GE564"/>
  <c r="GF564"/>
  <c r="GG564"/>
  <c r="GH564"/>
  <c r="GI564"/>
  <c r="GJ564"/>
  <c r="GK564"/>
  <c r="GL564"/>
  <c r="GM564"/>
  <c r="GN564"/>
  <c r="GO564"/>
  <c r="GP564"/>
  <c r="GQ564"/>
  <c r="GR564"/>
  <c r="R565"/>
  <c r="S565"/>
  <c r="T565"/>
  <c r="U565"/>
  <c r="V565"/>
  <c r="W565"/>
  <c r="X565"/>
  <c r="Y565"/>
  <c r="Z565"/>
  <c r="I565"/>
  <c r="AA565"/>
  <c r="AB565"/>
  <c r="J565"/>
  <c r="AC565"/>
  <c r="AD565"/>
  <c r="AE565"/>
  <c r="AF565"/>
  <c r="AG565"/>
  <c r="AH565"/>
  <c r="AI565"/>
  <c r="AJ565"/>
  <c r="AK565"/>
  <c r="AL565"/>
  <c r="AM565"/>
  <c r="AN565"/>
  <c r="AO565"/>
  <c r="AP565"/>
  <c r="AQ565"/>
  <c r="AR565"/>
  <c r="AS565"/>
  <c r="AT565"/>
  <c r="AU565"/>
  <c r="AV565"/>
  <c r="AW565"/>
  <c r="AX565"/>
  <c r="AY565"/>
  <c r="AZ565"/>
  <c r="BA565"/>
  <c r="BB565"/>
  <c r="BC565"/>
  <c r="BD565"/>
  <c r="BE565"/>
  <c r="BF565"/>
  <c r="BG565"/>
  <c r="BH565"/>
  <c r="BI565"/>
  <c r="BJ565"/>
  <c r="BK565"/>
  <c r="BL565"/>
  <c r="BM565"/>
  <c r="BN565"/>
  <c r="BO565"/>
  <c r="BP565"/>
  <c r="BQ565"/>
  <c r="BR565"/>
  <c r="BS565"/>
  <c r="BT565"/>
  <c r="BU565"/>
  <c r="BV565"/>
  <c r="BW565"/>
  <c r="BX565"/>
  <c r="BY565"/>
  <c r="BZ565"/>
  <c r="CQ565"/>
  <c r="CR565"/>
  <c r="CS565"/>
  <c r="CT565"/>
  <c r="CU565"/>
  <c r="CV565"/>
  <c r="CW565"/>
  <c r="CX565"/>
  <c r="CY565"/>
  <c r="CZ565"/>
  <c r="DA565"/>
  <c r="DB565"/>
  <c r="DC565"/>
  <c r="DD565"/>
  <c r="DE565"/>
  <c r="DF565"/>
  <c r="DG565"/>
  <c r="DH565"/>
  <c r="DI565"/>
  <c r="DJ565"/>
  <c r="DK565"/>
  <c r="DL565"/>
  <c r="DM565"/>
  <c r="DN565"/>
  <c r="DO565"/>
  <c r="DP565"/>
  <c r="DQ565"/>
  <c r="DR565"/>
  <c r="DS565"/>
  <c r="DT565"/>
  <c r="DU565"/>
  <c r="DV565"/>
  <c r="DW565"/>
  <c r="DX565"/>
  <c r="DY565"/>
  <c r="DZ565"/>
  <c r="EA565"/>
  <c r="EB565"/>
  <c r="EC565"/>
  <c r="ED565"/>
  <c r="EE565"/>
  <c r="EF565"/>
  <c r="EG565"/>
  <c r="EH565"/>
  <c r="EI565"/>
  <c r="EJ565"/>
  <c r="EK565"/>
  <c r="EL565"/>
  <c r="EM565"/>
  <c r="EN565"/>
  <c r="EO565"/>
  <c r="EP565"/>
  <c r="EQ565"/>
  <c r="ER565"/>
  <c r="ES565"/>
  <c r="ET565"/>
  <c r="EU565"/>
  <c r="EV565"/>
  <c r="EW565"/>
  <c r="EX565"/>
  <c r="EY565"/>
  <c r="EZ565"/>
  <c r="FA565"/>
  <c r="FB565"/>
  <c r="FC565"/>
  <c r="FD565"/>
  <c r="FE565"/>
  <c r="FF565"/>
  <c r="FG565"/>
  <c r="FH565"/>
  <c r="FI565"/>
  <c r="FJ565"/>
  <c r="FK565"/>
  <c r="FL565"/>
  <c r="FM565"/>
  <c r="FN565"/>
  <c r="FO565"/>
  <c r="FP565"/>
  <c r="FQ565"/>
  <c r="FR565"/>
  <c r="FS565"/>
  <c r="FT565"/>
  <c r="FU565"/>
  <c r="FV565"/>
  <c r="FW565"/>
  <c r="FX565"/>
  <c r="FY565"/>
  <c r="FZ565"/>
  <c r="GA565"/>
  <c r="GB565"/>
  <c r="GC565"/>
  <c r="GD565"/>
  <c r="GE565"/>
  <c r="GF565"/>
  <c r="GG565"/>
  <c r="GH565"/>
  <c r="GI565"/>
  <c r="GJ565"/>
  <c r="GK565"/>
  <c r="GL565"/>
  <c r="GM565"/>
  <c r="GN565"/>
  <c r="GO565"/>
  <c r="GP565"/>
  <c r="GQ565"/>
  <c r="GR565"/>
  <c r="R566"/>
  <c r="S566"/>
  <c r="T566"/>
  <c r="U566"/>
  <c r="V566"/>
  <c r="W566"/>
  <c r="X566"/>
  <c r="Y566"/>
  <c r="Z566"/>
  <c r="I566"/>
  <c r="AA566"/>
  <c r="AB566"/>
  <c r="J566"/>
  <c r="AC566"/>
  <c r="AD566"/>
  <c r="AE566"/>
  <c r="AF566"/>
  <c r="AG566"/>
  <c r="AH566"/>
  <c r="AI566"/>
  <c r="AJ566"/>
  <c r="AK566"/>
  <c r="AL566"/>
  <c r="AM566"/>
  <c r="AN566"/>
  <c r="AO566"/>
  <c r="AP566"/>
  <c r="AQ566"/>
  <c r="AR566"/>
  <c r="AS566"/>
  <c r="AT566"/>
  <c r="AU566"/>
  <c r="AV566"/>
  <c r="AW566"/>
  <c r="AX566"/>
  <c r="AY566"/>
  <c r="AZ566"/>
  <c r="BA566"/>
  <c r="BB566"/>
  <c r="BC566"/>
  <c r="BD566"/>
  <c r="BE566"/>
  <c r="BF566"/>
  <c r="BG566"/>
  <c r="BH566"/>
  <c r="BI566"/>
  <c r="BJ566"/>
  <c r="BK566"/>
  <c r="BL566"/>
  <c r="BM566"/>
  <c r="BN566"/>
  <c r="BO566"/>
  <c r="BP566"/>
  <c r="BQ566"/>
  <c r="BR566"/>
  <c r="BS566"/>
  <c r="BT566"/>
  <c r="BU566"/>
  <c r="BV566"/>
  <c r="BW566"/>
  <c r="BX566"/>
  <c r="BY566"/>
  <c r="BZ566"/>
  <c r="CQ566"/>
  <c r="CR566"/>
  <c r="CS566"/>
  <c r="CT566"/>
  <c r="CU566"/>
  <c r="CV566"/>
  <c r="CW566"/>
  <c r="CX566"/>
  <c r="CY566"/>
  <c r="CZ566"/>
  <c r="DA566"/>
  <c r="DB566"/>
  <c r="DC566"/>
  <c r="DD566"/>
  <c r="DE566"/>
  <c r="DF566"/>
  <c r="DG566"/>
  <c r="DH566"/>
  <c r="DI566"/>
  <c r="DJ566"/>
  <c r="DK566"/>
  <c r="DL566"/>
  <c r="DM566"/>
  <c r="DN566"/>
  <c r="DO566"/>
  <c r="DP566"/>
  <c r="DQ566"/>
  <c r="DR566"/>
  <c r="DS566"/>
  <c r="DT566"/>
  <c r="DU566"/>
  <c r="DV566"/>
  <c r="DW566"/>
  <c r="DX566"/>
  <c r="DY566"/>
  <c r="DZ566"/>
  <c r="EA566"/>
  <c r="EB566"/>
  <c r="EC566"/>
  <c r="ED566"/>
  <c r="EE566"/>
  <c r="EF566"/>
  <c r="EG566"/>
  <c r="EH566"/>
  <c r="EI566"/>
  <c r="EJ566"/>
  <c r="EK566"/>
  <c r="EL566"/>
  <c r="EM566"/>
  <c r="EN566"/>
  <c r="EO566"/>
  <c r="EP566"/>
  <c r="EQ566"/>
  <c r="ER566"/>
  <c r="ES566"/>
  <c r="ET566"/>
  <c r="EU566"/>
  <c r="EV566"/>
  <c r="EW566"/>
  <c r="EX566"/>
  <c r="EY566"/>
  <c r="EZ566"/>
  <c r="FA566"/>
  <c r="FB566"/>
  <c r="FC566"/>
  <c r="FD566"/>
  <c r="FE566"/>
  <c r="FF566"/>
  <c r="FG566"/>
  <c r="FH566"/>
  <c r="FI566"/>
  <c r="FJ566"/>
  <c r="FK566"/>
  <c r="FL566"/>
  <c r="FM566"/>
  <c r="FN566"/>
  <c r="FO566"/>
  <c r="FP566"/>
  <c r="FQ566"/>
  <c r="FR566"/>
  <c r="FS566"/>
  <c r="FT566"/>
  <c r="FU566"/>
  <c r="FV566"/>
  <c r="FW566"/>
  <c r="FX566"/>
  <c r="FY566"/>
  <c r="FZ566"/>
  <c r="GA566"/>
  <c r="GB566"/>
  <c r="GC566"/>
  <c r="GD566"/>
  <c r="GE566"/>
  <c r="GF566"/>
  <c r="GG566"/>
  <c r="GH566"/>
  <c r="GI566"/>
  <c r="GJ566"/>
  <c r="GK566"/>
  <c r="GL566"/>
  <c r="GM566"/>
  <c r="GN566"/>
  <c r="GO566"/>
  <c r="GP566"/>
  <c r="GQ566"/>
  <c r="GR566"/>
  <c r="R567"/>
  <c r="S567"/>
  <c r="T567"/>
  <c r="U567"/>
  <c r="V567"/>
  <c r="W567"/>
  <c r="X567"/>
  <c r="Y567"/>
  <c r="Z567"/>
  <c r="I567"/>
  <c r="AA567"/>
  <c r="AB567"/>
  <c r="J567"/>
  <c r="AC567"/>
  <c r="AD567"/>
  <c r="AE567"/>
  <c r="AF567"/>
  <c r="AG567"/>
  <c r="AH567"/>
  <c r="AI567"/>
  <c r="AJ567"/>
  <c r="AK567"/>
  <c r="AL567"/>
  <c r="AM567"/>
  <c r="AN567"/>
  <c r="AO567"/>
  <c r="AP567"/>
  <c r="AQ567"/>
  <c r="AR567"/>
  <c r="AS567"/>
  <c r="AT567"/>
  <c r="AU567"/>
  <c r="AV567"/>
  <c r="AW567"/>
  <c r="AX567"/>
  <c r="AY567"/>
  <c r="AZ567"/>
  <c r="BA567"/>
  <c r="BB567"/>
  <c r="BC567"/>
  <c r="BD567"/>
  <c r="BE567"/>
  <c r="BF567"/>
  <c r="BG567"/>
  <c r="BH567"/>
  <c r="BI567"/>
  <c r="BJ567"/>
  <c r="BK567"/>
  <c r="BL567"/>
  <c r="BM567"/>
  <c r="BN567"/>
  <c r="BO567"/>
  <c r="BP567"/>
  <c r="BQ567"/>
  <c r="BR567"/>
  <c r="BS567"/>
  <c r="BT567"/>
  <c r="BU567"/>
  <c r="BV567"/>
  <c r="BW567"/>
  <c r="BX567"/>
  <c r="BY567"/>
  <c r="BZ567"/>
  <c r="CQ567"/>
  <c r="CR567"/>
  <c r="CS567"/>
  <c r="CT567"/>
  <c r="CU567"/>
  <c r="CV567"/>
  <c r="CW567"/>
  <c r="CX567"/>
  <c r="CY567"/>
  <c r="CZ567"/>
  <c r="DA567"/>
  <c r="DB567"/>
  <c r="DC567"/>
  <c r="DD567"/>
  <c r="DE567"/>
  <c r="DF567"/>
  <c r="DG567"/>
  <c r="DH567"/>
  <c r="DI567"/>
  <c r="DJ567"/>
  <c r="DK567"/>
  <c r="DL567"/>
  <c r="DM567"/>
  <c r="DN567"/>
  <c r="DO567"/>
  <c r="DP567"/>
  <c r="DQ567"/>
  <c r="DR567"/>
  <c r="DS567"/>
  <c r="DT567"/>
  <c r="DU567"/>
  <c r="DV567"/>
  <c r="DW567"/>
  <c r="DX567"/>
  <c r="DY567"/>
  <c r="DZ567"/>
  <c r="EA567"/>
  <c r="EB567"/>
  <c r="EC567"/>
  <c r="ED567"/>
  <c r="EE567"/>
  <c r="EF567"/>
  <c r="EG567"/>
  <c r="EH567"/>
  <c r="EI567"/>
  <c r="EJ567"/>
  <c r="EK567"/>
  <c r="EL567"/>
  <c r="EM567"/>
  <c r="EN567"/>
  <c r="EO567"/>
  <c r="EP567"/>
  <c r="EQ567"/>
  <c r="ER567"/>
  <c r="ES567"/>
  <c r="ET567"/>
  <c r="EU567"/>
  <c r="EV567"/>
  <c r="EW567"/>
  <c r="EX567"/>
  <c r="EY567"/>
  <c r="EZ567"/>
  <c r="FA567"/>
  <c r="FB567"/>
  <c r="FC567"/>
  <c r="FD567"/>
  <c r="FE567"/>
  <c r="FF567"/>
  <c r="FG567"/>
  <c r="FH567"/>
  <c r="FI567"/>
  <c r="FJ567"/>
  <c r="FK567"/>
  <c r="FL567"/>
  <c r="FM567"/>
  <c r="FN567"/>
  <c r="FO567"/>
  <c r="FP567"/>
  <c r="FQ567"/>
  <c r="FR567"/>
  <c r="FS567"/>
  <c r="FT567"/>
  <c r="FU567"/>
  <c r="FV567"/>
  <c r="FW567"/>
  <c r="FX567"/>
  <c r="FY567"/>
  <c r="FZ567"/>
  <c r="GA567"/>
  <c r="GB567"/>
  <c r="GC567"/>
  <c r="GD567"/>
  <c r="GE567"/>
  <c r="GF567"/>
  <c r="GG567"/>
  <c r="GH567"/>
  <c r="GI567"/>
  <c r="GJ567"/>
  <c r="GK567"/>
  <c r="GL567"/>
  <c r="GM567"/>
  <c r="GN567"/>
  <c r="GO567"/>
  <c r="GP567"/>
  <c r="GQ567"/>
  <c r="GR567"/>
  <c r="R568"/>
  <c r="S568"/>
  <c r="T568"/>
  <c r="U568"/>
  <c r="V568"/>
  <c r="W568"/>
  <c r="X568"/>
  <c r="Y568"/>
  <c r="Z568"/>
  <c r="I568"/>
  <c r="AA568"/>
  <c r="AB568"/>
  <c r="J568"/>
  <c r="AC568"/>
  <c r="AD568"/>
  <c r="AE568"/>
  <c r="AF568"/>
  <c r="AG568"/>
  <c r="AH568"/>
  <c r="AI568"/>
  <c r="AJ568"/>
  <c r="AK568"/>
  <c r="AL568"/>
  <c r="AM568"/>
  <c r="AN568"/>
  <c r="AO568"/>
  <c r="AP568"/>
  <c r="AQ568"/>
  <c r="AR568"/>
  <c r="AS568"/>
  <c r="AT568"/>
  <c r="AU568"/>
  <c r="AV568"/>
  <c r="AW568"/>
  <c r="AX568"/>
  <c r="AY568"/>
  <c r="AZ568"/>
  <c r="BA568"/>
  <c r="BB568"/>
  <c r="BC568"/>
  <c r="BD568"/>
  <c r="BE568"/>
  <c r="BF568"/>
  <c r="BG568"/>
  <c r="BH568"/>
  <c r="BI568"/>
  <c r="BJ568"/>
  <c r="BK568"/>
  <c r="BL568"/>
  <c r="BM568"/>
  <c r="BN568"/>
  <c r="BO568"/>
  <c r="BP568"/>
  <c r="BQ568"/>
  <c r="BR568"/>
  <c r="BS568"/>
  <c r="BT568"/>
  <c r="BU568"/>
  <c r="BV568"/>
  <c r="BW568"/>
  <c r="BX568"/>
  <c r="BY568"/>
  <c r="BZ568"/>
  <c r="CQ568"/>
  <c r="CR568"/>
  <c r="CS568"/>
  <c r="CT568"/>
  <c r="CU568"/>
  <c r="CV568"/>
  <c r="CW568"/>
  <c r="CX568"/>
  <c r="CY568"/>
  <c r="CZ568"/>
  <c r="DA568"/>
  <c r="DB568"/>
  <c r="DC568"/>
  <c r="DD568"/>
  <c r="DE568"/>
  <c r="DF568"/>
  <c r="DG568"/>
  <c r="DH568"/>
  <c r="DI568"/>
  <c r="DJ568"/>
  <c r="DK568"/>
  <c r="DL568"/>
  <c r="DM568"/>
  <c r="DN568"/>
  <c r="DO568"/>
  <c r="DP568"/>
  <c r="DQ568"/>
  <c r="DR568"/>
  <c r="DS568"/>
  <c r="DT568"/>
  <c r="DU568"/>
  <c r="DV568"/>
  <c r="DW568"/>
  <c r="DX568"/>
  <c r="DY568"/>
  <c r="DZ568"/>
  <c r="EA568"/>
  <c r="EB568"/>
  <c r="EC568"/>
  <c r="ED568"/>
  <c r="EE568"/>
  <c r="EF568"/>
  <c r="EG568"/>
  <c r="EH568"/>
  <c r="EI568"/>
  <c r="EJ568"/>
  <c r="EK568"/>
  <c r="EL568"/>
  <c r="EM568"/>
  <c r="EN568"/>
  <c r="EO568"/>
  <c r="EP568"/>
  <c r="EQ568"/>
  <c r="ER568"/>
  <c r="ES568"/>
  <c r="ET568"/>
  <c r="EU568"/>
  <c r="EV568"/>
  <c r="EW568"/>
  <c r="EX568"/>
  <c r="EY568"/>
  <c r="EZ568"/>
  <c r="FA568"/>
  <c r="FB568"/>
  <c r="FC568"/>
  <c r="FD568"/>
  <c r="FE568"/>
  <c r="FF568"/>
  <c r="FG568"/>
  <c r="FH568"/>
  <c r="FI568"/>
  <c r="FJ568"/>
  <c r="FK568"/>
  <c r="FL568"/>
  <c r="FM568"/>
  <c r="FN568"/>
  <c r="FO568"/>
  <c r="FP568"/>
  <c r="FQ568"/>
  <c r="FR568"/>
  <c r="FS568"/>
  <c r="FT568"/>
  <c r="FU568"/>
  <c r="FV568"/>
  <c r="FW568"/>
  <c r="FX568"/>
  <c r="FY568"/>
  <c r="FZ568"/>
  <c r="GA568"/>
  <c r="GB568"/>
  <c r="GC568"/>
  <c r="GD568"/>
  <c r="GE568"/>
  <c r="GF568"/>
  <c r="GG568"/>
  <c r="GH568"/>
  <c r="GI568"/>
  <c r="GJ568"/>
  <c r="GK568"/>
  <c r="GL568"/>
  <c r="GM568"/>
  <c r="GN568"/>
  <c r="GO568"/>
  <c r="GP568"/>
  <c r="GQ568"/>
  <c r="GR568"/>
  <c r="R569"/>
  <c r="S569"/>
  <c r="T569"/>
  <c r="U569"/>
  <c r="V569"/>
  <c r="W569"/>
  <c r="X569"/>
  <c r="Y569"/>
  <c r="Z569"/>
  <c r="I569"/>
  <c r="AA569"/>
  <c r="AB569"/>
  <c r="J569"/>
  <c r="AC569"/>
  <c r="AD569"/>
  <c r="AE569"/>
  <c r="AF569"/>
  <c r="AG569"/>
  <c r="AH569"/>
  <c r="AI569"/>
  <c r="AJ569"/>
  <c r="AK569"/>
  <c r="AL569"/>
  <c r="AM569"/>
  <c r="AN569"/>
  <c r="AO569"/>
  <c r="AP569"/>
  <c r="AQ569"/>
  <c r="AR569"/>
  <c r="AS569"/>
  <c r="AT569"/>
  <c r="AU569"/>
  <c r="AV569"/>
  <c r="AW569"/>
  <c r="AX569"/>
  <c r="AY569"/>
  <c r="AZ569"/>
  <c r="BA569"/>
  <c r="BB569"/>
  <c r="BC569"/>
  <c r="BD569"/>
  <c r="BE569"/>
  <c r="BF569"/>
  <c r="BG569"/>
  <c r="BH569"/>
  <c r="BI569"/>
  <c r="BJ569"/>
  <c r="BK569"/>
  <c r="BL569"/>
  <c r="BM569"/>
  <c r="BN569"/>
  <c r="BO569"/>
  <c r="BP569"/>
  <c r="BQ569"/>
  <c r="BR569"/>
  <c r="BS569"/>
  <c r="BT569"/>
  <c r="BU569"/>
  <c r="BV569"/>
  <c r="BW569"/>
  <c r="BX569"/>
  <c r="BY569"/>
  <c r="BZ569"/>
  <c r="CQ569"/>
  <c r="CR569"/>
  <c r="CS569"/>
  <c r="CT569"/>
  <c r="CU569"/>
  <c r="CV569"/>
  <c r="CW569"/>
  <c r="CX569"/>
  <c r="CY569"/>
  <c r="CZ569"/>
  <c r="DA569"/>
  <c r="DB569"/>
  <c r="DC569"/>
  <c r="DD569"/>
  <c r="DE569"/>
  <c r="DF569"/>
  <c r="DG569"/>
  <c r="DH569"/>
  <c r="DI569"/>
  <c r="DJ569"/>
  <c r="DK569"/>
  <c r="DL569"/>
  <c r="DM569"/>
  <c r="DN569"/>
  <c r="DO569"/>
  <c r="DP569"/>
  <c r="DQ569"/>
  <c r="DR569"/>
  <c r="DS569"/>
  <c r="DT569"/>
  <c r="DU569"/>
  <c r="DV569"/>
  <c r="DW569"/>
  <c r="DX569"/>
  <c r="DY569"/>
  <c r="DZ569"/>
  <c r="EA569"/>
  <c r="EB569"/>
  <c r="EC569"/>
  <c r="ED569"/>
  <c r="EE569"/>
  <c r="EF569"/>
  <c r="EG569"/>
  <c r="EH569"/>
  <c r="EI569"/>
  <c r="EJ569"/>
  <c r="EK569"/>
  <c r="EL569"/>
  <c r="EM569"/>
  <c r="EN569"/>
  <c r="EO569"/>
  <c r="EP569"/>
  <c r="EQ569"/>
  <c r="ER569"/>
  <c r="ES569"/>
  <c r="ET569"/>
  <c r="EU569"/>
  <c r="EV569"/>
  <c r="EW569"/>
  <c r="EX569"/>
  <c r="EY569"/>
  <c r="EZ569"/>
  <c r="FA569"/>
  <c r="FB569"/>
  <c r="FC569"/>
  <c r="FD569"/>
  <c r="FE569"/>
  <c r="FF569"/>
  <c r="FG569"/>
  <c r="FH569"/>
  <c r="FI569"/>
  <c r="FJ569"/>
  <c r="FK569"/>
  <c r="FL569"/>
  <c r="FM569"/>
  <c r="FN569"/>
  <c r="FO569"/>
  <c r="FP569"/>
  <c r="FQ569"/>
  <c r="FR569"/>
  <c r="FS569"/>
  <c r="FT569"/>
  <c r="FU569"/>
  <c r="FV569"/>
  <c r="FW569"/>
  <c r="FX569"/>
  <c r="FY569"/>
  <c r="FZ569"/>
  <c r="GA569"/>
  <c r="GB569"/>
  <c r="GC569"/>
  <c r="GD569"/>
  <c r="GE569"/>
  <c r="GF569"/>
  <c r="GG569"/>
  <c r="GH569"/>
  <c r="GI569"/>
  <c r="GJ569"/>
  <c r="GK569"/>
  <c r="GL569"/>
  <c r="GM569"/>
  <c r="GN569"/>
  <c r="GO569"/>
  <c r="GP569"/>
  <c r="GQ569"/>
  <c r="GR569"/>
  <c r="R570"/>
  <c r="S570"/>
  <c r="T570"/>
  <c r="U570"/>
  <c r="V570"/>
  <c r="W570"/>
  <c r="X570"/>
  <c r="Y570"/>
  <c r="Z570"/>
  <c r="I570"/>
  <c r="AA570"/>
  <c r="AB570"/>
  <c r="J570"/>
  <c r="AC570"/>
  <c r="AD570"/>
  <c r="AE570"/>
  <c r="AF570"/>
  <c r="AG570"/>
  <c r="AH570"/>
  <c r="AI570"/>
  <c r="AJ570"/>
  <c r="AK570"/>
  <c r="AL570"/>
  <c r="AM570"/>
  <c r="AN570"/>
  <c r="AO570"/>
  <c r="AP570"/>
  <c r="AQ570"/>
  <c r="AR570"/>
  <c r="AS570"/>
  <c r="AT570"/>
  <c r="AU570"/>
  <c r="AV570"/>
  <c r="AW570"/>
  <c r="AX570"/>
  <c r="AY570"/>
  <c r="AZ570"/>
  <c r="BA570"/>
  <c r="BB570"/>
  <c r="BC570"/>
  <c r="BD570"/>
  <c r="BE570"/>
  <c r="BF570"/>
  <c r="BG570"/>
  <c r="BH570"/>
  <c r="BI570"/>
  <c r="BJ570"/>
  <c r="BK570"/>
  <c r="BL570"/>
  <c r="BM570"/>
  <c r="BN570"/>
  <c r="BO570"/>
  <c r="BP570"/>
  <c r="BQ570"/>
  <c r="BR570"/>
  <c r="BS570"/>
  <c r="BT570"/>
  <c r="BU570"/>
  <c r="BV570"/>
  <c r="BW570"/>
  <c r="BX570"/>
  <c r="BY570"/>
  <c r="BZ570"/>
  <c r="CQ570"/>
  <c r="CR570"/>
  <c r="CS570"/>
  <c r="CT570"/>
  <c r="CU570"/>
  <c r="CV570"/>
  <c r="CW570"/>
  <c r="CX570"/>
  <c r="CY570"/>
  <c r="CZ570"/>
  <c r="DA570"/>
  <c r="DB570"/>
  <c r="DC570"/>
  <c r="DD570"/>
  <c r="DE570"/>
  <c r="DF570"/>
  <c r="DG570"/>
  <c r="DH570"/>
  <c r="DI570"/>
  <c r="DJ570"/>
  <c r="DK570"/>
  <c r="DL570"/>
  <c r="DM570"/>
  <c r="DN570"/>
  <c r="DO570"/>
  <c r="DP570"/>
  <c r="DQ570"/>
  <c r="DR570"/>
  <c r="DS570"/>
  <c r="DT570"/>
  <c r="DU570"/>
  <c r="DV570"/>
  <c r="DW570"/>
  <c r="DX570"/>
  <c r="DY570"/>
  <c r="DZ570"/>
  <c r="EA570"/>
  <c r="EB570"/>
  <c r="EC570"/>
  <c r="ED570"/>
  <c r="EE570"/>
  <c r="EF570"/>
  <c r="EG570"/>
  <c r="EH570"/>
  <c r="EI570"/>
  <c r="EJ570"/>
  <c r="EK570"/>
  <c r="EL570"/>
  <c r="EM570"/>
  <c r="EN570"/>
  <c r="EO570"/>
  <c r="EP570"/>
  <c r="EQ570"/>
  <c r="ER570"/>
  <c r="ES570"/>
  <c r="ET570"/>
  <c r="EU570"/>
  <c r="EV570"/>
  <c r="EW570"/>
  <c r="EX570"/>
  <c r="EY570"/>
  <c r="EZ570"/>
  <c r="FA570"/>
  <c r="FB570"/>
  <c r="FC570"/>
  <c r="FD570"/>
  <c r="FE570"/>
  <c r="FF570"/>
  <c r="FG570"/>
  <c r="FH570"/>
  <c r="FI570"/>
  <c r="FJ570"/>
  <c r="FK570"/>
  <c r="FL570"/>
  <c r="FM570"/>
  <c r="FN570"/>
  <c r="FO570"/>
  <c r="FP570"/>
  <c r="FQ570"/>
  <c r="FR570"/>
  <c r="FS570"/>
  <c r="FT570"/>
  <c r="FU570"/>
  <c r="FV570"/>
  <c r="FW570"/>
  <c r="FX570"/>
  <c r="FY570"/>
  <c r="FZ570"/>
  <c r="GA570"/>
  <c r="GB570"/>
  <c r="GC570"/>
  <c r="GD570"/>
  <c r="GE570"/>
  <c r="GF570"/>
  <c r="GG570"/>
  <c r="GH570"/>
  <c r="GI570"/>
  <c r="GJ570"/>
  <c r="GK570"/>
  <c r="GL570"/>
  <c r="GM570"/>
  <c r="GN570"/>
  <c r="GO570"/>
  <c r="GP570"/>
  <c r="GQ570"/>
  <c r="GR570"/>
  <c r="R571"/>
  <c r="S571"/>
  <c r="T571"/>
  <c r="U571"/>
  <c r="V571"/>
  <c r="W571"/>
  <c r="X571"/>
  <c r="Y571"/>
  <c r="Z571"/>
  <c r="I571"/>
  <c r="AA571"/>
  <c r="AB571"/>
  <c r="J571"/>
  <c r="AC571"/>
  <c r="AD571"/>
  <c r="AE571"/>
  <c r="AF571"/>
  <c r="AG571"/>
  <c r="AH571"/>
  <c r="AI571"/>
  <c r="AJ571"/>
  <c r="AK571"/>
  <c r="AL571"/>
  <c r="AM571"/>
  <c r="AN571"/>
  <c r="AO571"/>
  <c r="AP571"/>
  <c r="AQ571"/>
  <c r="AR571"/>
  <c r="AS571"/>
  <c r="AT571"/>
  <c r="AU571"/>
  <c r="AV571"/>
  <c r="AW571"/>
  <c r="AX571"/>
  <c r="AY571"/>
  <c r="AZ571"/>
  <c r="BA571"/>
  <c r="BB571"/>
  <c r="BC571"/>
  <c r="BD571"/>
  <c r="BE571"/>
  <c r="BF571"/>
  <c r="BG571"/>
  <c r="BH571"/>
  <c r="BI571"/>
  <c r="BJ571"/>
  <c r="BK571"/>
  <c r="BL571"/>
  <c r="BM571"/>
  <c r="BN571"/>
  <c r="BO571"/>
  <c r="BP571"/>
  <c r="BQ571"/>
  <c r="BR571"/>
  <c r="BS571"/>
  <c r="BT571"/>
  <c r="BU571"/>
  <c r="BV571"/>
  <c r="BW571"/>
  <c r="BX571"/>
  <c r="BY571"/>
  <c r="BZ571"/>
  <c r="CQ571"/>
  <c r="CR571"/>
  <c r="CS571"/>
  <c r="CT571"/>
  <c r="CU571"/>
  <c r="CV571"/>
  <c r="CW571"/>
  <c r="CX571"/>
  <c r="CY571"/>
  <c r="CZ571"/>
  <c r="DA571"/>
  <c r="DB571"/>
  <c r="DC571"/>
  <c r="DD571"/>
  <c r="DE571"/>
  <c r="DF571"/>
  <c r="DG571"/>
  <c r="DH571"/>
  <c r="DI571"/>
  <c r="DJ571"/>
  <c r="DK571"/>
  <c r="DL571"/>
  <c r="DM571"/>
  <c r="DN571"/>
  <c r="DO571"/>
  <c r="DP571"/>
  <c r="DQ571"/>
  <c r="DR571"/>
  <c r="DS571"/>
  <c r="DT571"/>
  <c r="DU571"/>
  <c r="DV571"/>
  <c r="DW571"/>
  <c r="DX571"/>
  <c r="DY571"/>
  <c r="DZ571"/>
  <c r="EA571"/>
  <c r="EB571"/>
  <c r="EC571"/>
  <c r="ED571"/>
  <c r="EE571"/>
  <c r="EF571"/>
  <c r="EG571"/>
  <c r="EH571"/>
  <c r="EI571"/>
  <c r="EJ571"/>
  <c r="EK571"/>
  <c r="EL571"/>
  <c r="EM571"/>
  <c r="EN571"/>
  <c r="EO571"/>
  <c r="EP571"/>
  <c r="EQ571"/>
  <c r="ER571"/>
  <c r="ES571"/>
  <c r="ET571"/>
  <c r="EU571"/>
  <c r="EV571"/>
  <c r="EW571"/>
  <c r="EX571"/>
  <c r="EY571"/>
  <c r="EZ571"/>
  <c r="FA571"/>
  <c r="FB571"/>
  <c r="FC571"/>
  <c r="FD571"/>
  <c r="FE571"/>
  <c r="FF571"/>
  <c r="FG571"/>
  <c r="FH571"/>
  <c r="FI571"/>
  <c r="FJ571"/>
  <c r="FK571"/>
  <c r="FL571"/>
  <c r="FM571"/>
  <c r="FN571"/>
  <c r="FO571"/>
  <c r="FP571"/>
  <c r="FQ571"/>
  <c r="FR571"/>
  <c r="FS571"/>
  <c r="FT571"/>
  <c r="FU571"/>
  <c r="FV571"/>
  <c r="FW571"/>
  <c r="FX571"/>
  <c r="FY571"/>
  <c r="FZ571"/>
  <c r="GA571"/>
  <c r="GB571"/>
  <c r="GC571"/>
  <c r="GD571"/>
  <c r="GE571"/>
  <c r="GF571"/>
  <c r="GG571"/>
  <c r="GH571"/>
  <c r="GI571"/>
  <c r="GJ571"/>
  <c r="GK571"/>
  <c r="GL571"/>
  <c r="GM571"/>
  <c r="GN571"/>
  <c r="GO571"/>
  <c r="GP571"/>
  <c r="GQ571"/>
  <c r="GR571"/>
  <c r="R572"/>
  <c r="S572"/>
  <c r="T572"/>
  <c r="U572"/>
  <c r="V572"/>
  <c r="W572"/>
  <c r="X572"/>
  <c r="Y572"/>
  <c r="Z572"/>
  <c r="I572"/>
  <c r="AA572"/>
  <c r="AB572"/>
  <c r="J572"/>
  <c r="AC572"/>
  <c r="AD572"/>
  <c r="AE572"/>
  <c r="AF572"/>
  <c r="AG572"/>
  <c r="AH572"/>
  <c r="AI572"/>
  <c r="AJ572"/>
  <c r="AK572"/>
  <c r="AL572"/>
  <c r="AM572"/>
  <c r="AN572"/>
  <c r="AO572"/>
  <c r="AP572"/>
  <c r="AQ572"/>
  <c r="AR572"/>
  <c r="AS572"/>
  <c r="AT572"/>
  <c r="AU572"/>
  <c r="AV572"/>
  <c r="AW572"/>
  <c r="AX572"/>
  <c r="AY572"/>
  <c r="AZ572"/>
  <c r="BA572"/>
  <c r="BB572"/>
  <c r="BC572"/>
  <c r="BD572"/>
  <c r="BE572"/>
  <c r="BF572"/>
  <c r="BG572"/>
  <c r="BH572"/>
  <c r="BI572"/>
  <c r="BJ572"/>
  <c r="BK572"/>
  <c r="BL572"/>
  <c r="BM572"/>
  <c r="BN572"/>
  <c r="BO572"/>
  <c r="BP572"/>
  <c r="BQ572"/>
  <c r="BR572"/>
  <c r="BS572"/>
  <c r="BT572"/>
  <c r="BU572"/>
  <c r="BV572"/>
  <c r="BW572"/>
  <c r="BX572"/>
  <c r="BY572"/>
  <c r="BZ572"/>
  <c r="CQ572"/>
  <c r="CR572"/>
  <c r="CS572"/>
  <c r="CT572"/>
  <c r="CU572"/>
  <c r="CV572"/>
  <c r="CW572"/>
  <c r="CX572"/>
  <c r="CY572"/>
  <c r="CZ572"/>
  <c r="DA572"/>
  <c r="DB572"/>
  <c r="DC572"/>
  <c r="DD572"/>
  <c r="DE572"/>
  <c r="DF572"/>
  <c r="DG572"/>
  <c r="DH572"/>
  <c r="DI572"/>
  <c r="DJ572"/>
  <c r="DK572"/>
  <c r="DL572"/>
  <c r="DM572"/>
  <c r="DN572"/>
  <c r="DO572"/>
  <c r="DP572"/>
  <c r="DQ572"/>
  <c r="DR572"/>
  <c r="DS572"/>
  <c r="DT572"/>
  <c r="DU572"/>
  <c r="DV572"/>
  <c r="DW572"/>
  <c r="DX572"/>
  <c r="DY572"/>
  <c r="DZ572"/>
  <c r="EA572"/>
  <c r="EB572"/>
  <c r="EC572"/>
  <c r="ED572"/>
  <c r="EE572"/>
  <c r="EF572"/>
  <c r="EG572"/>
  <c r="EH572"/>
  <c r="EI572"/>
  <c r="EJ572"/>
  <c r="EK572"/>
  <c r="EL572"/>
  <c r="EM572"/>
  <c r="EN572"/>
  <c r="EO572"/>
  <c r="EP572"/>
  <c r="EQ572"/>
  <c r="ER572"/>
  <c r="ES572"/>
  <c r="ET572"/>
  <c r="EU572"/>
  <c r="EV572"/>
  <c r="EW572"/>
  <c r="EX572"/>
  <c r="EY572"/>
  <c r="EZ572"/>
  <c r="FA572"/>
  <c r="FB572"/>
  <c r="FC572"/>
  <c r="FD572"/>
  <c r="FE572"/>
  <c r="FF572"/>
  <c r="FG572"/>
  <c r="FH572"/>
  <c r="FI572"/>
  <c r="FJ572"/>
  <c r="FK572"/>
  <c r="FL572"/>
  <c r="FM572"/>
  <c r="FN572"/>
  <c r="FO572"/>
  <c r="FP572"/>
  <c r="FQ572"/>
  <c r="FR572"/>
  <c r="FS572"/>
  <c r="FT572"/>
  <c r="FU572"/>
  <c r="FV572"/>
  <c r="FW572"/>
  <c r="FX572"/>
  <c r="FY572"/>
  <c r="FZ572"/>
  <c r="GA572"/>
  <c r="GB572"/>
  <c r="GC572"/>
  <c r="GD572"/>
  <c r="GE572"/>
  <c r="GF572"/>
  <c r="GG572"/>
  <c r="GH572"/>
  <c r="GI572"/>
  <c r="GJ572"/>
  <c r="GK572"/>
  <c r="GL572"/>
  <c r="GM572"/>
  <c r="GN572"/>
  <c r="GO572"/>
  <c r="GP572"/>
  <c r="GQ572"/>
  <c r="GR572"/>
  <c r="R573"/>
  <c r="S573"/>
  <c r="T573"/>
  <c r="U573"/>
  <c r="V573"/>
  <c r="W573"/>
  <c r="X573"/>
  <c r="Y573"/>
  <c r="Z573"/>
  <c r="I573"/>
  <c r="AA573"/>
  <c r="AB573"/>
  <c r="J573"/>
  <c r="AC573"/>
  <c r="AD573"/>
  <c r="AE573"/>
  <c r="AF573"/>
  <c r="AG573"/>
  <c r="AH573"/>
  <c r="AI573"/>
  <c r="AJ573"/>
  <c r="AK573"/>
  <c r="AL573"/>
  <c r="AM573"/>
  <c r="AN573"/>
  <c r="AO573"/>
  <c r="AP573"/>
  <c r="AQ573"/>
  <c r="AR573"/>
  <c r="AS573"/>
  <c r="AT573"/>
  <c r="AU573"/>
  <c r="AV573"/>
  <c r="AW573"/>
  <c r="AX573"/>
  <c r="AY573"/>
  <c r="AZ573"/>
  <c r="BA573"/>
  <c r="BB573"/>
  <c r="BC573"/>
  <c r="BD573"/>
  <c r="BE573"/>
  <c r="BF573"/>
  <c r="BG573"/>
  <c r="BH573"/>
  <c r="BI573"/>
  <c r="BJ573"/>
  <c r="BK573"/>
  <c r="BL573"/>
  <c r="BM573"/>
  <c r="BN573"/>
  <c r="BO573"/>
  <c r="BP573"/>
  <c r="BQ573"/>
  <c r="BR573"/>
  <c r="BS573"/>
  <c r="BT573"/>
  <c r="BU573"/>
  <c r="BV573"/>
  <c r="BW573"/>
  <c r="BX573"/>
  <c r="BY573"/>
  <c r="BZ573"/>
  <c r="CQ573"/>
  <c r="CR573"/>
  <c r="CS573"/>
  <c r="CT573"/>
  <c r="CU573"/>
  <c r="CV573"/>
  <c r="CW573"/>
  <c r="CX573"/>
  <c r="CY573"/>
  <c r="CZ573"/>
  <c r="DA573"/>
  <c r="DB573"/>
  <c r="DC573"/>
  <c r="DD573"/>
  <c r="DE573"/>
  <c r="DF573"/>
  <c r="DG573"/>
  <c r="DH573"/>
  <c r="DI573"/>
  <c r="DJ573"/>
  <c r="DK573"/>
  <c r="DL573"/>
  <c r="DM573"/>
  <c r="DN573"/>
  <c r="DO573"/>
  <c r="DP573"/>
  <c r="DQ573"/>
  <c r="DR573"/>
  <c r="DS573"/>
  <c r="DT573"/>
  <c r="DU573"/>
  <c r="DV573"/>
  <c r="DW573"/>
  <c r="DX573"/>
  <c r="DY573"/>
  <c r="DZ573"/>
  <c r="EA573"/>
  <c r="EB573"/>
  <c r="EC573"/>
  <c r="ED573"/>
  <c r="EE573"/>
  <c r="EF573"/>
  <c r="EG573"/>
  <c r="EH573"/>
  <c r="EI573"/>
  <c r="EJ573"/>
  <c r="EK573"/>
  <c r="EL573"/>
  <c r="EM573"/>
  <c r="EN573"/>
  <c r="EO573"/>
  <c r="EP573"/>
  <c r="EQ573"/>
  <c r="ER573"/>
  <c r="ES573"/>
  <c r="ET573"/>
  <c r="EU573"/>
  <c r="EV573"/>
  <c r="EW573"/>
  <c r="EX573"/>
  <c r="EY573"/>
  <c r="EZ573"/>
  <c r="FA573"/>
  <c r="FB573"/>
  <c r="FC573"/>
  <c r="FD573"/>
  <c r="FE573"/>
  <c r="FF573"/>
  <c r="FG573"/>
  <c r="FH573"/>
  <c r="FI573"/>
  <c r="FJ573"/>
  <c r="FK573"/>
  <c r="FL573"/>
  <c r="FM573"/>
  <c r="FN573"/>
  <c r="FO573"/>
  <c r="FP573"/>
  <c r="FQ573"/>
  <c r="FR573"/>
  <c r="FS573"/>
  <c r="FT573"/>
  <c r="FU573"/>
  <c r="FV573"/>
  <c r="FW573"/>
  <c r="FX573"/>
  <c r="FY573"/>
  <c r="FZ573"/>
  <c r="GA573"/>
  <c r="GB573"/>
  <c r="GC573"/>
  <c r="GD573"/>
  <c r="GE573"/>
  <c r="GF573"/>
  <c r="GG573"/>
  <c r="GH573"/>
  <c r="GI573"/>
  <c r="GJ573"/>
  <c r="GK573"/>
  <c r="GL573"/>
  <c r="GM573"/>
  <c r="GN573"/>
  <c r="GO573"/>
  <c r="GP573"/>
  <c r="GQ573"/>
  <c r="GR573"/>
  <c r="R574"/>
  <c r="S574"/>
  <c r="T574"/>
  <c r="U574"/>
  <c r="V574"/>
  <c r="W574"/>
  <c r="X574"/>
  <c r="Y574"/>
  <c r="Z574"/>
  <c r="I574"/>
  <c r="AA574"/>
  <c r="AB574"/>
  <c r="J574"/>
  <c r="AC574"/>
  <c r="AD574"/>
  <c r="AE574"/>
  <c r="AF574"/>
  <c r="AG574"/>
  <c r="AH574"/>
  <c r="AI574"/>
  <c r="AJ574"/>
  <c r="AK574"/>
  <c r="AL574"/>
  <c r="AM574"/>
  <c r="AN574"/>
  <c r="AO574"/>
  <c r="AP574"/>
  <c r="AQ574"/>
  <c r="AR574"/>
  <c r="AS574"/>
  <c r="AT574"/>
  <c r="AU574"/>
  <c r="AV574"/>
  <c r="AW574"/>
  <c r="AX574"/>
  <c r="AY574"/>
  <c r="AZ574"/>
  <c r="BA574"/>
  <c r="BB574"/>
  <c r="BC574"/>
  <c r="BD574"/>
  <c r="BE574"/>
  <c r="BF574"/>
  <c r="BG574"/>
  <c r="BH574"/>
  <c r="BI574"/>
  <c r="BJ574"/>
  <c r="BK574"/>
  <c r="BL574"/>
  <c r="BM574"/>
  <c r="BN574"/>
  <c r="BO574"/>
  <c r="BP574"/>
  <c r="BQ574"/>
  <c r="BR574"/>
  <c r="BS574"/>
  <c r="BT574"/>
  <c r="BU574"/>
  <c r="BV574"/>
  <c r="BW574"/>
  <c r="BX574"/>
  <c r="BY574"/>
  <c r="BZ574"/>
  <c r="CQ574"/>
  <c r="CR574"/>
  <c r="CS574"/>
  <c r="CT574"/>
  <c r="CU574"/>
  <c r="CV574"/>
  <c r="CW574"/>
  <c r="CX574"/>
  <c r="CY574"/>
  <c r="CZ574"/>
  <c r="DA574"/>
  <c r="DB574"/>
  <c r="DC574"/>
  <c r="DD574"/>
  <c r="DE574"/>
  <c r="DF574"/>
  <c r="DG574"/>
  <c r="DH574"/>
  <c r="DI574"/>
  <c r="DJ574"/>
  <c r="DK574"/>
  <c r="DL574"/>
  <c r="DM574"/>
  <c r="DN574"/>
  <c r="DO574"/>
  <c r="DP574"/>
  <c r="DQ574"/>
  <c r="DR574"/>
  <c r="DS574"/>
  <c r="DT574"/>
  <c r="DU574"/>
  <c r="DV574"/>
  <c r="DW574"/>
  <c r="DX574"/>
  <c r="DY574"/>
  <c r="DZ574"/>
  <c r="EA574"/>
  <c r="EB574"/>
  <c r="EC574"/>
  <c r="ED574"/>
  <c r="EE574"/>
  <c r="EF574"/>
  <c r="EG574"/>
  <c r="EH574"/>
  <c r="EI574"/>
  <c r="EJ574"/>
  <c r="EK574"/>
  <c r="EL574"/>
  <c r="EM574"/>
  <c r="EN574"/>
  <c r="EO574"/>
  <c r="EP574"/>
  <c r="EQ574"/>
  <c r="ER574"/>
  <c r="ES574"/>
  <c r="ET574"/>
  <c r="EU574"/>
  <c r="EV574"/>
  <c r="EW574"/>
  <c r="EX574"/>
  <c r="EY574"/>
  <c r="EZ574"/>
  <c r="FA574"/>
  <c r="FB574"/>
  <c r="FC574"/>
  <c r="FD574"/>
  <c r="FE574"/>
  <c r="FF574"/>
  <c r="FG574"/>
  <c r="FH574"/>
  <c r="FI574"/>
  <c r="FJ574"/>
  <c r="FK574"/>
  <c r="FL574"/>
  <c r="FM574"/>
  <c r="FN574"/>
  <c r="FO574"/>
  <c r="FP574"/>
  <c r="FQ574"/>
  <c r="FR574"/>
  <c r="FS574"/>
  <c r="FT574"/>
  <c r="FU574"/>
  <c r="FV574"/>
  <c r="FW574"/>
  <c r="FX574"/>
  <c r="FY574"/>
  <c r="FZ574"/>
  <c r="GA574"/>
  <c r="GB574"/>
  <c r="GC574"/>
  <c r="GD574"/>
  <c r="GE574"/>
  <c r="GF574"/>
  <c r="GG574"/>
  <c r="GH574"/>
  <c r="GI574"/>
  <c r="GJ574"/>
  <c r="GK574"/>
  <c r="GL574"/>
  <c r="GM574"/>
  <c r="GN574"/>
  <c r="GO574"/>
  <c r="GP574"/>
  <c r="GQ574"/>
  <c r="GR574"/>
  <c r="R575"/>
  <c r="S575"/>
  <c r="T575"/>
  <c r="U575"/>
  <c r="V575"/>
  <c r="W575"/>
  <c r="X575"/>
  <c r="Y575"/>
  <c r="Z575"/>
  <c r="I575"/>
  <c r="AA575"/>
  <c r="AB575"/>
  <c r="J575"/>
  <c r="AC575"/>
  <c r="AD575"/>
  <c r="AE575"/>
  <c r="AF575"/>
  <c r="AG575"/>
  <c r="AH575"/>
  <c r="AI575"/>
  <c r="AJ575"/>
  <c r="AK575"/>
  <c r="AL575"/>
  <c r="AM575"/>
  <c r="AN575"/>
  <c r="AO575"/>
  <c r="AP575"/>
  <c r="AQ575"/>
  <c r="AR575"/>
  <c r="AS575"/>
  <c r="AT575"/>
  <c r="AU575"/>
  <c r="AV575"/>
  <c r="AW575"/>
  <c r="AX575"/>
  <c r="AY575"/>
  <c r="AZ575"/>
  <c r="BA575"/>
  <c r="BB575"/>
  <c r="BC575"/>
  <c r="BD575"/>
  <c r="BE575"/>
  <c r="BF575"/>
  <c r="BG575"/>
  <c r="BH575"/>
  <c r="BI575"/>
  <c r="BJ575"/>
  <c r="BK575"/>
  <c r="BL575"/>
  <c r="BM575"/>
  <c r="BN575"/>
  <c r="BO575"/>
  <c r="BP575"/>
  <c r="BQ575"/>
  <c r="BR575"/>
  <c r="BS575"/>
  <c r="BT575"/>
  <c r="BU575"/>
  <c r="BV575"/>
  <c r="BW575"/>
  <c r="BX575"/>
  <c r="BY575"/>
  <c r="BZ575"/>
  <c r="CQ575"/>
  <c r="CR575"/>
  <c r="CS575"/>
  <c r="CT575"/>
  <c r="CU575"/>
  <c r="CV575"/>
  <c r="CW575"/>
  <c r="CX575"/>
  <c r="CY575"/>
  <c r="CZ575"/>
  <c r="DA575"/>
  <c r="DB575"/>
  <c r="DC575"/>
  <c r="DD575"/>
  <c r="DE575"/>
  <c r="DF575"/>
  <c r="DG575"/>
  <c r="DH575"/>
  <c r="DI575"/>
  <c r="DJ575"/>
  <c r="DK575"/>
  <c r="DL575"/>
  <c r="DM575"/>
  <c r="DN575"/>
  <c r="DO575"/>
  <c r="DP575"/>
  <c r="DQ575"/>
  <c r="DR575"/>
  <c r="DS575"/>
  <c r="DT575"/>
  <c r="DU575"/>
  <c r="DV575"/>
  <c r="DW575"/>
  <c r="DX575"/>
  <c r="DY575"/>
  <c r="DZ575"/>
  <c r="EA575"/>
  <c r="EB575"/>
  <c r="EC575"/>
  <c r="ED575"/>
  <c r="EE575"/>
  <c r="EF575"/>
  <c r="EG575"/>
  <c r="EH575"/>
  <c r="EI575"/>
  <c r="EJ575"/>
  <c r="EK575"/>
  <c r="EL575"/>
  <c r="EM575"/>
  <c r="EN575"/>
  <c r="EO575"/>
  <c r="EP575"/>
  <c r="EQ575"/>
  <c r="ER575"/>
  <c r="ES575"/>
  <c r="ET575"/>
  <c r="EU575"/>
  <c r="EV575"/>
  <c r="EW575"/>
  <c r="EX575"/>
  <c r="EY575"/>
  <c r="EZ575"/>
  <c r="FA575"/>
  <c r="FB575"/>
  <c r="FC575"/>
  <c r="FD575"/>
  <c r="FE575"/>
  <c r="FF575"/>
  <c r="FG575"/>
  <c r="FH575"/>
  <c r="FI575"/>
  <c r="FJ575"/>
  <c r="FK575"/>
  <c r="FL575"/>
  <c r="FM575"/>
  <c r="FN575"/>
  <c r="FO575"/>
  <c r="FP575"/>
  <c r="FQ575"/>
  <c r="FR575"/>
  <c r="FS575"/>
  <c r="FT575"/>
  <c r="FU575"/>
  <c r="FV575"/>
  <c r="FW575"/>
  <c r="FX575"/>
  <c r="FY575"/>
  <c r="FZ575"/>
  <c r="GA575"/>
  <c r="GB575"/>
  <c r="GC575"/>
  <c r="GD575"/>
  <c r="GE575"/>
  <c r="GF575"/>
  <c r="GG575"/>
  <c r="GH575"/>
  <c r="GI575"/>
  <c r="GJ575"/>
  <c r="GK575"/>
  <c r="GL575"/>
  <c r="GM575"/>
  <c r="GN575"/>
  <c r="GO575"/>
  <c r="GP575"/>
  <c r="GQ575"/>
  <c r="GR575"/>
  <c r="R576"/>
  <c r="S576"/>
  <c r="T576"/>
  <c r="U576"/>
  <c r="V576"/>
  <c r="W576"/>
  <c r="X576"/>
  <c r="Y576"/>
  <c r="Z576"/>
  <c r="I576"/>
  <c r="AA576"/>
  <c r="AB576"/>
  <c r="J576"/>
  <c r="AC576"/>
  <c r="AD576"/>
  <c r="AE576"/>
  <c r="AF576"/>
  <c r="AG576"/>
  <c r="AH576"/>
  <c r="AI576"/>
  <c r="AJ576"/>
  <c r="AK576"/>
  <c r="AL576"/>
  <c r="AM576"/>
  <c r="AN576"/>
  <c r="AO576"/>
  <c r="AP576"/>
  <c r="AQ576"/>
  <c r="AR576"/>
  <c r="AS576"/>
  <c r="AT576"/>
  <c r="AU576"/>
  <c r="AV576"/>
  <c r="AW576"/>
  <c r="AX576"/>
  <c r="AY576"/>
  <c r="AZ576"/>
  <c r="BA576"/>
  <c r="BB576"/>
  <c r="BC576"/>
  <c r="BD576"/>
  <c r="BE576"/>
  <c r="BF576"/>
  <c r="BG576"/>
  <c r="BH576"/>
  <c r="BI576"/>
  <c r="BJ576"/>
  <c r="BK576"/>
  <c r="BL576"/>
  <c r="BM576"/>
  <c r="BN576"/>
  <c r="BO576"/>
  <c r="BP576"/>
  <c r="BQ576"/>
  <c r="BR576"/>
  <c r="BS576"/>
  <c r="BT576"/>
  <c r="BU576"/>
  <c r="BV576"/>
  <c r="BW576"/>
  <c r="BX576"/>
  <c r="BY576"/>
  <c r="BZ576"/>
  <c r="CQ576"/>
  <c r="CR576"/>
  <c r="CS576"/>
  <c r="CT576"/>
  <c r="CU576"/>
  <c r="CV576"/>
  <c r="CW576"/>
  <c r="CX576"/>
  <c r="CY576"/>
  <c r="CZ576"/>
  <c r="DA576"/>
  <c r="DB576"/>
  <c r="DC576"/>
  <c r="DD576"/>
  <c r="DE576"/>
  <c r="DF576"/>
  <c r="DG576"/>
  <c r="DH576"/>
  <c r="DI576"/>
  <c r="DJ576"/>
  <c r="DK576"/>
  <c r="DL576"/>
  <c r="DM576"/>
  <c r="DN576"/>
  <c r="DO576"/>
  <c r="DP576"/>
  <c r="DQ576"/>
  <c r="DR576"/>
  <c r="DS576"/>
  <c r="DT576"/>
  <c r="DU576"/>
  <c r="DV576"/>
  <c r="DW576"/>
  <c r="DX576"/>
  <c r="DY576"/>
  <c r="DZ576"/>
  <c r="EA576"/>
  <c r="EB576"/>
  <c r="EC576"/>
  <c r="ED576"/>
  <c r="EE576"/>
  <c r="EF576"/>
  <c r="EG576"/>
  <c r="EH576"/>
  <c r="EI576"/>
  <c r="EJ576"/>
  <c r="EK576"/>
  <c r="EL576"/>
  <c r="EM576"/>
  <c r="EN576"/>
  <c r="EO576"/>
  <c r="EP576"/>
  <c r="EQ576"/>
  <c r="ER576"/>
  <c r="ES576"/>
  <c r="ET576"/>
  <c r="EU576"/>
  <c r="EV576"/>
  <c r="EW576"/>
  <c r="EX576"/>
  <c r="EY576"/>
  <c r="EZ576"/>
  <c r="FA576"/>
  <c r="FB576"/>
  <c r="FC576"/>
  <c r="FD576"/>
  <c r="FE576"/>
  <c r="FF576"/>
  <c r="FG576"/>
  <c r="FH576"/>
  <c r="FI576"/>
  <c r="FJ576"/>
  <c r="FK576"/>
  <c r="FL576"/>
  <c r="FM576"/>
  <c r="FN576"/>
  <c r="FO576"/>
  <c r="FP576"/>
  <c r="FQ576"/>
  <c r="FR576"/>
  <c r="FS576"/>
  <c r="FT576"/>
  <c r="FU576"/>
  <c r="FV576"/>
  <c r="FW576"/>
  <c r="FX576"/>
  <c r="FY576"/>
  <c r="FZ576"/>
  <c r="GA576"/>
  <c r="GB576"/>
  <c r="GC576"/>
  <c r="GD576"/>
  <c r="GE576"/>
  <c r="GF576"/>
  <c r="GG576"/>
  <c r="GH576"/>
  <c r="GI576"/>
  <c r="GJ576"/>
  <c r="GK576"/>
  <c r="GL576"/>
  <c r="GM576"/>
  <c r="GN576"/>
  <c r="GO576"/>
  <c r="GP576"/>
  <c r="GQ576"/>
  <c r="GR576"/>
  <c r="R577"/>
  <c r="S577"/>
  <c r="T577"/>
  <c r="U577"/>
  <c r="V577"/>
  <c r="W577"/>
  <c r="X577"/>
  <c r="Y577"/>
  <c r="Z577"/>
  <c r="I577"/>
  <c r="AA577"/>
  <c r="AB577"/>
  <c r="J577"/>
  <c r="AC577"/>
  <c r="AD577"/>
  <c r="AE577"/>
  <c r="AF577"/>
  <c r="AG577"/>
  <c r="AH577"/>
  <c r="AI577"/>
  <c r="AJ577"/>
  <c r="AK577"/>
  <c r="AL577"/>
  <c r="AM577"/>
  <c r="AN577"/>
  <c r="AO577"/>
  <c r="AP577"/>
  <c r="AQ577"/>
  <c r="AR577"/>
  <c r="AS577"/>
  <c r="AT577"/>
  <c r="AU577"/>
  <c r="AV577"/>
  <c r="AW577"/>
  <c r="AX577"/>
  <c r="AY577"/>
  <c r="AZ577"/>
  <c r="BA577"/>
  <c r="BB577"/>
  <c r="BC577"/>
  <c r="BD577"/>
  <c r="BE577"/>
  <c r="BF577"/>
  <c r="BG577"/>
  <c r="BH577"/>
  <c r="BI577"/>
  <c r="BJ577"/>
  <c r="BK577"/>
  <c r="BL577"/>
  <c r="BM577"/>
  <c r="BN577"/>
  <c r="BO577"/>
  <c r="BP577"/>
  <c r="BQ577"/>
  <c r="BR577"/>
  <c r="BS577"/>
  <c r="BT577"/>
  <c r="BU577"/>
  <c r="BV577"/>
  <c r="BW577"/>
  <c r="BX577"/>
  <c r="BY577"/>
  <c r="BZ577"/>
  <c r="CQ577"/>
  <c r="CR577"/>
  <c r="CS577"/>
  <c r="CT577"/>
  <c r="CU577"/>
  <c r="CV577"/>
  <c r="CW577"/>
  <c r="CX577"/>
  <c r="CY577"/>
  <c r="CZ577"/>
  <c r="DA577"/>
  <c r="DB577"/>
  <c r="DC577"/>
  <c r="DD577"/>
  <c r="DE577"/>
  <c r="DF577"/>
  <c r="DG577"/>
  <c r="DH577"/>
  <c r="DI577"/>
  <c r="DJ577"/>
  <c r="DK577"/>
  <c r="DL577"/>
  <c r="DM577"/>
  <c r="DN577"/>
  <c r="DO577"/>
  <c r="DP577"/>
  <c r="DQ577"/>
  <c r="DR577"/>
  <c r="DS577"/>
  <c r="DT577"/>
  <c r="DU577"/>
  <c r="DV577"/>
  <c r="DW577"/>
  <c r="DX577"/>
  <c r="DY577"/>
  <c r="DZ577"/>
  <c r="EA577"/>
  <c r="EB577"/>
  <c r="EC577"/>
  <c r="ED577"/>
  <c r="EE577"/>
  <c r="EF577"/>
  <c r="EG577"/>
  <c r="EH577"/>
  <c r="EI577"/>
  <c r="EJ577"/>
  <c r="EK577"/>
  <c r="EL577"/>
  <c r="EM577"/>
  <c r="EN577"/>
  <c r="EO577"/>
  <c r="EP577"/>
  <c r="EQ577"/>
  <c r="ER577"/>
  <c r="ES577"/>
  <c r="ET577"/>
  <c r="EU577"/>
  <c r="EV577"/>
  <c r="EW577"/>
  <c r="EX577"/>
  <c r="EY577"/>
  <c r="EZ577"/>
  <c r="FA577"/>
  <c r="FB577"/>
  <c r="FC577"/>
  <c r="FD577"/>
  <c r="FE577"/>
  <c r="FF577"/>
  <c r="FG577"/>
  <c r="FH577"/>
  <c r="FI577"/>
  <c r="FJ577"/>
  <c r="FK577"/>
  <c r="FL577"/>
  <c r="FM577"/>
  <c r="FN577"/>
  <c r="FO577"/>
  <c r="FP577"/>
  <c r="FQ577"/>
  <c r="FR577"/>
  <c r="FS577"/>
  <c r="FT577"/>
  <c r="FU577"/>
  <c r="FV577"/>
  <c r="FW577"/>
  <c r="FX577"/>
  <c r="FY577"/>
  <c r="FZ577"/>
  <c r="GA577"/>
  <c r="GB577"/>
  <c r="GC577"/>
  <c r="GD577"/>
  <c r="GE577"/>
  <c r="GF577"/>
  <c r="GG577"/>
  <c r="GH577"/>
  <c r="GI577"/>
  <c r="GJ577"/>
  <c r="GK577"/>
  <c r="GL577"/>
  <c r="GM577"/>
  <c r="GN577"/>
  <c r="GO577"/>
  <c r="GP577"/>
  <c r="GQ577"/>
  <c r="GR577"/>
  <c r="R578"/>
  <c r="S578"/>
  <c r="T578"/>
  <c r="U578"/>
  <c r="V578"/>
  <c r="W578"/>
  <c r="X578"/>
  <c r="Y578"/>
  <c r="Z578"/>
  <c r="I578"/>
  <c r="AA578"/>
  <c r="AB578"/>
  <c r="J578"/>
  <c r="AC578"/>
  <c r="AD578"/>
  <c r="AE578"/>
  <c r="AF578"/>
  <c r="AG578"/>
  <c r="AH578"/>
  <c r="AI578"/>
  <c r="AJ578"/>
  <c r="AK578"/>
  <c r="AL578"/>
  <c r="AM578"/>
  <c r="AN578"/>
  <c r="AO578"/>
  <c r="AP578"/>
  <c r="AQ578"/>
  <c r="AR578"/>
  <c r="AS578"/>
  <c r="AT578"/>
  <c r="AU578"/>
  <c r="AV578"/>
  <c r="AW578"/>
  <c r="AX578"/>
  <c r="AY578"/>
  <c r="AZ578"/>
  <c r="BA578"/>
  <c r="BB578"/>
  <c r="BC578"/>
  <c r="BD578"/>
  <c r="BE578"/>
  <c r="BF578"/>
  <c r="BG578"/>
  <c r="BH578"/>
  <c r="BI578"/>
  <c r="BJ578"/>
  <c r="BK578"/>
  <c r="BL578"/>
  <c r="BM578"/>
  <c r="BN578"/>
  <c r="BO578"/>
  <c r="BP578"/>
  <c r="BQ578"/>
  <c r="BR578"/>
  <c r="BS578"/>
  <c r="BT578"/>
  <c r="BU578"/>
  <c r="BV578"/>
  <c r="BW578"/>
  <c r="BX578"/>
  <c r="BY578"/>
  <c r="BZ578"/>
  <c r="CQ578"/>
  <c r="CR578"/>
  <c r="CS578"/>
  <c r="CT578"/>
  <c r="CU578"/>
  <c r="CV578"/>
  <c r="CW578"/>
  <c r="CX578"/>
  <c r="CY578"/>
  <c r="CZ578"/>
  <c r="DA578"/>
  <c r="DB578"/>
  <c r="DC578"/>
  <c r="DD578"/>
  <c r="DE578"/>
  <c r="DF578"/>
  <c r="DG578"/>
  <c r="DH578"/>
  <c r="DI578"/>
  <c r="DJ578"/>
  <c r="DK578"/>
  <c r="DL578"/>
  <c r="DM578"/>
  <c r="DN578"/>
  <c r="DO578"/>
  <c r="DP578"/>
  <c r="DQ578"/>
  <c r="DR578"/>
  <c r="DS578"/>
  <c r="DT578"/>
  <c r="DU578"/>
  <c r="DV578"/>
  <c r="DW578"/>
  <c r="DX578"/>
  <c r="DY578"/>
  <c r="DZ578"/>
  <c r="EA578"/>
  <c r="EB578"/>
  <c r="EC578"/>
  <c r="ED578"/>
  <c r="EE578"/>
  <c r="EF578"/>
  <c r="EG578"/>
  <c r="EH578"/>
  <c r="EI578"/>
  <c r="EJ578"/>
  <c r="EK578"/>
  <c r="EL578"/>
  <c r="EM578"/>
  <c r="EN578"/>
  <c r="EO578"/>
  <c r="EP578"/>
  <c r="EQ578"/>
  <c r="ER578"/>
  <c r="ES578"/>
  <c r="ET578"/>
  <c r="EU578"/>
  <c r="EV578"/>
  <c r="EW578"/>
  <c r="EX578"/>
  <c r="EY578"/>
  <c r="EZ578"/>
  <c r="FA578"/>
  <c r="FB578"/>
  <c r="FC578"/>
  <c r="FD578"/>
  <c r="FE578"/>
  <c r="FF578"/>
  <c r="FG578"/>
  <c r="FH578"/>
  <c r="FI578"/>
  <c r="FJ578"/>
  <c r="FK578"/>
  <c r="FL578"/>
  <c r="FM578"/>
  <c r="FN578"/>
  <c r="FO578"/>
  <c r="FP578"/>
  <c r="FQ578"/>
  <c r="FR578"/>
  <c r="FS578"/>
  <c r="FT578"/>
  <c r="FU578"/>
  <c r="FV578"/>
  <c r="FW578"/>
  <c r="FX578"/>
  <c r="FY578"/>
  <c r="FZ578"/>
  <c r="GA578"/>
  <c r="GB578"/>
  <c r="GC578"/>
  <c r="GD578"/>
  <c r="GE578"/>
  <c r="GF578"/>
  <c r="GG578"/>
  <c r="GH578"/>
  <c r="GI578"/>
  <c r="GJ578"/>
  <c r="GK578"/>
  <c r="GL578"/>
  <c r="GM578"/>
  <c r="GN578"/>
  <c r="GO578"/>
  <c r="GP578"/>
  <c r="GQ578"/>
  <c r="GR578"/>
  <c r="R579"/>
  <c r="S579"/>
  <c r="T579"/>
  <c r="U579"/>
  <c r="V579"/>
  <c r="W579"/>
  <c r="X579"/>
  <c r="Y579"/>
  <c r="Z579"/>
  <c r="I579"/>
  <c r="AA579"/>
  <c r="AB579"/>
  <c r="J579"/>
  <c r="AC579"/>
  <c r="AD579"/>
  <c r="AE579"/>
  <c r="AF579"/>
  <c r="AG579"/>
  <c r="AH579"/>
  <c r="AI579"/>
  <c r="AJ579"/>
  <c r="AK579"/>
  <c r="AL579"/>
  <c r="AM579"/>
  <c r="AN579"/>
  <c r="AO579"/>
  <c r="AP579"/>
  <c r="AQ579"/>
  <c r="AR579"/>
  <c r="AS579"/>
  <c r="AT579"/>
  <c r="AU579"/>
  <c r="AV579"/>
  <c r="AW579"/>
  <c r="AX579"/>
  <c r="AY579"/>
  <c r="AZ579"/>
  <c r="BA579"/>
  <c r="BB579"/>
  <c r="BC579"/>
  <c r="BD579"/>
  <c r="BE579"/>
  <c r="BF579"/>
  <c r="BG579"/>
  <c r="BH579"/>
  <c r="BI579"/>
  <c r="BJ579"/>
  <c r="BK579"/>
  <c r="BL579"/>
  <c r="BM579"/>
  <c r="BN579"/>
  <c r="BO579"/>
  <c r="BP579"/>
  <c r="BQ579"/>
  <c r="BR579"/>
  <c r="BS579"/>
  <c r="BT579"/>
  <c r="BU579"/>
  <c r="BV579"/>
  <c r="BW579"/>
  <c r="BX579"/>
  <c r="BY579"/>
  <c r="BZ579"/>
  <c r="CQ579"/>
  <c r="CR579"/>
  <c r="CS579"/>
  <c r="CT579"/>
  <c r="CU579"/>
  <c r="CV579"/>
  <c r="CW579"/>
  <c r="CX579"/>
  <c r="CY579"/>
  <c r="CZ579"/>
  <c r="DA579"/>
  <c r="DB579"/>
  <c r="DC579"/>
  <c r="DD579"/>
  <c r="DE579"/>
  <c r="DF579"/>
  <c r="DG579"/>
  <c r="DH579"/>
  <c r="DI579"/>
  <c r="DJ579"/>
  <c r="DK579"/>
  <c r="DL579"/>
  <c r="DM579"/>
  <c r="DN579"/>
  <c r="DO579"/>
  <c r="DP579"/>
  <c r="DQ579"/>
  <c r="DR579"/>
  <c r="DS579"/>
  <c r="DT579"/>
  <c r="DU579"/>
  <c r="DV579"/>
  <c r="DW579"/>
  <c r="DX579"/>
  <c r="DY579"/>
  <c r="DZ579"/>
  <c r="EA579"/>
  <c r="EB579"/>
  <c r="EC579"/>
  <c r="ED579"/>
  <c r="EE579"/>
  <c r="EF579"/>
  <c r="EG579"/>
  <c r="EH579"/>
  <c r="EI579"/>
  <c r="EJ579"/>
  <c r="EK579"/>
  <c r="EL579"/>
  <c r="EM579"/>
  <c r="EN579"/>
  <c r="EO579"/>
  <c r="EP579"/>
  <c r="EQ579"/>
  <c r="ER579"/>
  <c r="ES579"/>
  <c r="ET579"/>
  <c r="EU579"/>
  <c r="EV579"/>
  <c r="EW579"/>
  <c r="EX579"/>
  <c r="EY579"/>
  <c r="EZ579"/>
  <c r="FA579"/>
  <c r="FB579"/>
  <c r="FC579"/>
  <c r="FD579"/>
  <c r="FE579"/>
  <c r="FF579"/>
  <c r="FG579"/>
  <c r="FH579"/>
  <c r="FI579"/>
  <c r="FJ579"/>
  <c r="FK579"/>
  <c r="FL579"/>
  <c r="FM579"/>
  <c r="FN579"/>
  <c r="FO579"/>
  <c r="FP579"/>
  <c r="FQ579"/>
  <c r="FR579"/>
  <c r="FS579"/>
  <c r="FT579"/>
  <c r="FU579"/>
  <c r="FV579"/>
  <c r="FW579"/>
  <c r="FX579"/>
  <c r="FY579"/>
  <c r="FZ579"/>
  <c r="GA579"/>
  <c r="GB579"/>
  <c r="GC579"/>
  <c r="GD579"/>
  <c r="GE579"/>
  <c r="GF579"/>
  <c r="GG579"/>
  <c r="GH579"/>
  <c r="GI579"/>
  <c r="GJ579"/>
  <c r="GK579"/>
  <c r="GL579"/>
  <c r="GM579"/>
  <c r="GN579"/>
  <c r="GO579"/>
  <c r="GP579"/>
  <c r="GQ579"/>
  <c r="GR579"/>
  <c r="R580"/>
  <c r="S580"/>
  <c r="T580"/>
  <c r="U580"/>
  <c r="V580"/>
  <c r="W580"/>
  <c r="X580"/>
  <c r="Y580"/>
  <c r="Z580"/>
  <c r="I580"/>
  <c r="AA580"/>
  <c r="AB580"/>
  <c r="J580"/>
  <c r="AC580"/>
  <c r="AD580"/>
  <c r="AE580"/>
  <c r="AF580"/>
  <c r="AG580"/>
  <c r="AH580"/>
  <c r="AI580"/>
  <c r="AJ580"/>
  <c r="AK580"/>
  <c r="AL580"/>
  <c r="AM580"/>
  <c r="AN580"/>
  <c r="AO580"/>
  <c r="AP580"/>
  <c r="AQ580"/>
  <c r="AR580"/>
  <c r="AS580"/>
  <c r="AT580"/>
  <c r="AU580"/>
  <c r="AV580"/>
  <c r="AW580"/>
  <c r="AX580"/>
  <c r="AY580"/>
  <c r="AZ580"/>
  <c r="BA580"/>
  <c r="BB580"/>
  <c r="BC580"/>
  <c r="BD580"/>
  <c r="BE580"/>
  <c r="BF580"/>
  <c r="BG580"/>
  <c r="BH580"/>
  <c r="BI580"/>
  <c r="BJ580"/>
  <c r="BK580"/>
  <c r="BL580"/>
  <c r="BM580"/>
  <c r="BN580"/>
  <c r="BO580"/>
  <c r="BP580"/>
  <c r="BQ580"/>
  <c r="BR580"/>
  <c r="BS580"/>
  <c r="BT580"/>
  <c r="BU580"/>
  <c r="BV580"/>
  <c r="BW580"/>
  <c r="BX580"/>
  <c r="BY580"/>
  <c r="BZ580"/>
  <c r="CQ580"/>
  <c r="CR580"/>
  <c r="CS580"/>
  <c r="CT580"/>
  <c r="CU580"/>
  <c r="CV580"/>
  <c r="CW580"/>
  <c r="CX580"/>
  <c r="CY580"/>
  <c r="CZ580"/>
  <c r="DA580"/>
  <c r="DB580"/>
  <c r="DC580"/>
  <c r="DD580"/>
  <c r="DE580"/>
  <c r="DF580"/>
  <c r="DG580"/>
  <c r="DH580"/>
  <c r="DI580"/>
  <c r="DJ580"/>
  <c r="DK580"/>
  <c r="DL580"/>
  <c r="DM580"/>
  <c r="DN580"/>
  <c r="DO580"/>
  <c r="DP580"/>
  <c r="DQ580"/>
  <c r="DR580"/>
  <c r="DS580"/>
  <c r="DT580"/>
  <c r="DU580"/>
  <c r="DV580"/>
  <c r="DW580"/>
  <c r="DX580"/>
  <c r="DY580"/>
  <c r="DZ580"/>
  <c r="EA580"/>
  <c r="EB580"/>
  <c r="EC580"/>
  <c r="ED580"/>
  <c r="EE580"/>
  <c r="EF580"/>
  <c r="EG580"/>
  <c r="EH580"/>
  <c r="EI580"/>
  <c r="EJ580"/>
  <c r="EK580"/>
  <c r="EL580"/>
  <c r="EM580"/>
  <c r="EN580"/>
  <c r="EO580"/>
  <c r="EP580"/>
  <c r="EQ580"/>
  <c r="ER580"/>
  <c r="ES580"/>
  <c r="ET580"/>
  <c r="EU580"/>
  <c r="EV580"/>
  <c r="EW580"/>
  <c r="EX580"/>
  <c r="EY580"/>
  <c r="EZ580"/>
  <c r="FA580"/>
  <c r="FB580"/>
  <c r="FC580"/>
  <c r="FD580"/>
  <c r="FE580"/>
  <c r="FF580"/>
  <c r="FG580"/>
  <c r="FH580"/>
  <c r="FI580"/>
  <c r="FJ580"/>
  <c r="FK580"/>
  <c r="FL580"/>
  <c r="FM580"/>
  <c r="FN580"/>
  <c r="FO580"/>
  <c r="FP580"/>
  <c r="FQ580"/>
  <c r="FR580"/>
  <c r="FS580"/>
  <c r="FT580"/>
  <c r="FU580"/>
  <c r="FV580"/>
  <c r="FW580"/>
  <c r="FX580"/>
  <c r="FY580"/>
  <c r="FZ580"/>
  <c r="GA580"/>
  <c r="GB580"/>
  <c r="GC580"/>
  <c r="GD580"/>
  <c r="GE580"/>
  <c r="GF580"/>
  <c r="GG580"/>
  <c r="GH580"/>
  <c r="GI580"/>
  <c r="GJ580"/>
  <c r="GK580"/>
  <c r="GL580"/>
  <c r="GM580"/>
  <c r="GN580"/>
  <c r="GO580"/>
  <c r="GP580"/>
  <c r="GQ580"/>
  <c r="GR580"/>
  <c r="R581"/>
  <c r="S581"/>
  <c r="T581"/>
  <c r="U581"/>
  <c r="V581"/>
  <c r="W581"/>
  <c r="X581"/>
  <c r="Y581"/>
  <c r="Z581"/>
  <c r="I581"/>
  <c r="AA581"/>
  <c r="AB581"/>
  <c r="J581"/>
  <c r="AC581"/>
  <c r="AD581"/>
  <c r="AE581"/>
  <c r="AF581"/>
  <c r="AG581"/>
  <c r="AH581"/>
  <c r="AI581"/>
  <c r="AJ581"/>
  <c r="AK581"/>
  <c r="AL581"/>
  <c r="AM581"/>
  <c r="AN581"/>
  <c r="AO581"/>
  <c r="AP581"/>
  <c r="AQ581"/>
  <c r="AR581"/>
  <c r="AS581"/>
  <c r="AT581"/>
  <c r="AU581"/>
  <c r="AV581"/>
  <c r="AW581"/>
  <c r="AX581"/>
  <c r="AY581"/>
  <c r="AZ581"/>
  <c r="BA581"/>
  <c r="BB581"/>
  <c r="BC581"/>
  <c r="BD581"/>
  <c r="BE581"/>
  <c r="BF581"/>
  <c r="BG581"/>
  <c r="BH581"/>
  <c r="BI581"/>
  <c r="BJ581"/>
  <c r="BK581"/>
  <c r="BL581"/>
  <c r="BM581"/>
  <c r="BN581"/>
  <c r="BO581"/>
  <c r="BP581"/>
  <c r="BQ581"/>
  <c r="BR581"/>
  <c r="BS581"/>
  <c r="BT581"/>
  <c r="BU581"/>
  <c r="BV581"/>
  <c r="BW581"/>
  <c r="BX581"/>
  <c r="BY581"/>
  <c r="BZ581"/>
  <c r="CQ581"/>
  <c r="CR581"/>
  <c r="CS581"/>
  <c r="CT581"/>
  <c r="CU581"/>
  <c r="CV581"/>
  <c r="CW581"/>
  <c r="CX581"/>
  <c r="CY581"/>
  <c r="CZ581"/>
  <c r="DA581"/>
  <c r="DB581"/>
  <c r="DC581"/>
  <c r="DD581"/>
  <c r="DE581"/>
  <c r="DF581"/>
  <c r="DG581"/>
  <c r="DH581"/>
  <c r="DI581"/>
  <c r="DJ581"/>
  <c r="DK581"/>
  <c r="DL581"/>
  <c r="DM581"/>
  <c r="DN581"/>
  <c r="DO581"/>
  <c r="DP581"/>
  <c r="DQ581"/>
  <c r="DR581"/>
  <c r="DS581"/>
  <c r="DT581"/>
  <c r="DU581"/>
  <c r="DV581"/>
  <c r="DW581"/>
  <c r="DX581"/>
  <c r="DY581"/>
  <c r="DZ581"/>
  <c r="EA581"/>
  <c r="EB581"/>
  <c r="EC581"/>
  <c r="ED581"/>
  <c r="EE581"/>
  <c r="EF581"/>
  <c r="EG581"/>
  <c r="EH581"/>
  <c r="EI581"/>
  <c r="EJ581"/>
  <c r="EK581"/>
  <c r="EL581"/>
  <c r="EM581"/>
  <c r="EN581"/>
  <c r="EO581"/>
  <c r="EP581"/>
  <c r="EQ581"/>
  <c r="ER581"/>
  <c r="ES581"/>
  <c r="ET581"/>
  <c r="EU581"/>
  <c r="EV581"/>
  <c r="EW581"/>
  <c r="EX581"/>
  <c r="EY581"/>
  <c r="EZ581"/>
  <c r="FA581"/>
  <c r="FB581"/>
  <c r="FC581"/>
  <c r="FD581"/>
  <c r="FE581"/>
  <c r="FF581"/>
  <c r="FG581"/>
  <c r="FH581"/>
  <c r="FI581"/>
  <c r="FJ581"/>
  <c r="FK581"/>
  <c r="FL581"/>
  <c r="FM581"/>
  <c r="FN581"/>
  <c r="FO581"/>
  <c r="FP581"/>
  <c r="FQ581"/>
  <c r="FR581"/>
  <c r="FS581"/>
  <c r="FT581"/>
  <c r="FU581"/>
  <c r="FV581"/>
  <c r="FW581"/>
  <c r="FX581"/>
  <c r="FY581"/>
  <c r="FZ581"/>
  <c r="GA581"/>
  <c r="GB581"/>
  <c r="GC581"/>
  <c r="GD581"/>
  <c r="GE581"/>
  <c r="GF581"/>
  <c r="GG581"/>
  <c r="GH581"/>
  <c r="GI581"/>
  <c r="GJ581"/>
  <c r="GK581"/>
  <c r="GL581"/>
  <c r="GM581"/>
  <c r="GN581"/>
  <c r="GO581"/>
  <c r="GP581"/>
  <c r="GQ581"/>
  <c r="GR581"/>
  <c r="R582"/>
  <c r="S582"/>
  <c r="T582"/>
  <c r="U582"/>
  <c r="V582"/>
  <c r="W582"/>
  <c r="X582"/>
  <c r="Y582"/>
  <c r="Z582"/>
  <c r="I582"/>
  <c r="AA582"/>
  <c r="AB582"/>
  <c r="J582"/>
  <c r="AC582"/>
  <c r="AD582"/>
  <c r="AE582"/>
  <c r="AF582"/>
  <c r="AG582"/>
  <c r="AH582"/>
  <c r="AI582"/>
  <c r="AJ582"/>
  <c r="AK582"/>
  <c r="AL582"/>
  <c r="AM582"/>
  <c r="AN582"/>
  <c r="AO582"/>
  <c r="AP582"/>
  <c r="AQ582"/>
  <c r="AR582"/>
  <c r="AS582"/>
  <c r="AT582"/>
  <c r="AU582"/>
  <c r="AV582"/>
  <c r="AW582"/>
  <c r="AX582"/>
  <c r="AY582"/>
  <c r="AZ582"/>
  <c r="BA582"/>
  <c r="BB582"/>
  <c r="BC582"/>
  <c r="BD582"/>
  <c r="BE582"/>
  <c r="BF582"/>
  <c r="BG582"/>
  <c r="BH582"/>
  <c r="BI582"/>
  <c r="BJ582"/>
  <c r="BK582"/>
  <c r="BL582"/>
  <c r="BM582"/>
  <c r="BN582"/>
  <c r="BO582"/>
  <c r="BP582"/>
  <c r="BQ582"/>
  <c r="BR582"/>
  <c r="BS582"/>
  <c r="BT582"/>
  <c r="BU582"/>
  <c r="BV582"/>
  <c r="BW582"/>
  <c r="BX582"/>
  <c r="BY582"/>
  <c r="BZ582"/>
  <c r="CQ582"/>
  <c r="CR582"/>
  <c r="CS582"/>
  <c r="CT582"/>
  <c r="CU582"/>
  <c r="CV582"/>
  <c r="CW582"/>
  <c r="CX582"/>
  <c r="CY582"/>
  <c r="CZ582"/>
  <c r="DA582"/>
  <c r="DB582"/>
  <c r="DC582"/>
  <c r="DD582"/>
  <c r="DE582"/>
  <c r="DF582"/>
  <c r="DG582"/>
  <c r="DH582"/>
  <c r="DI582"/>
  <c r="DJ582"/>
  <c r="DK582"/>
  <c r="DL582"/>
  <c r="DM582"/>
  <c r="DN582"/>
  <c r="DO582"/>
  <c r="DP582"/>
  <c r="DQ582"/>
  <c r="DR582"/>
  <c r="DS582"/>
  <c r="DT582"/>
  <c r="DU582"/>
  <c r="DV582"/>
  <c r="DW582"/>
  <c r="DX582"/>
  <c r="DY582"/>
  <c r="DZ582"/>
  <c r="EA582"/>
  <c r="EB582"/>
  <c r="EC582"/>
  <c r="ED582"/>
  <c r="EE582"/>
  <c r="EF582"/>
  <c r="EG582"/>
  <c r="EH582"/>
  <c r="EI582"/>
  <c r="EJ582"/>
  <c r="EK582"/>
  <c r="EL582"/>
  <c r="EM582"/>
  <c r="EN582"/>
  <c r="EO582"/>
  <c r="EP582"/>
  <c r="EQ582"/>
  <c r="ER582"/>
  <c r="ES582"/>
  <c r="ET582"/>
  <c r="EU582"/>
  <c r="EV582"/>
  <c r="EW582"/>
  <c r="EX582"/>
  <c r="EY582"/>
  <c r="EZ582"/>
  <c r="FA582"/>
  <c r="FB582"/>
  <c r="FC582"/>
  <c r="FD582"/>
  <c r="FE582"/>
  <c r="FF582"/>
  <c r="FG582"/>
  <c r="FH582"/>
  <c r="FI582"/>
  <c r="FJ582"/>
  <c r="FK582"/>
  <c r="FL582"/>
  <c r="FM582"/>
  <c r="FN582"/>
  <c r="FO582"/>
  <c r="FP582"/>
  <c r="FQ582"/>
  <c r="FR582"/>
  <c r="FS582"/>
  <c r="FT582"/>
  <c r="FU582"/>
  <c r="FV582"/>
  <c r="FW582"/>
  <c r="FX582"/>
  <c r="FY582"/>
  <c r="FZ582"/>
  <c r="GA582"/>
  <c r="GB582"/>
  <c r="GC582"/>
  <c r="GD582"/>
  <c r="GE582"/>
  <c r="GF582"/>
  <c r="GG582"/>
  <c r="GH582"/>
  <c r="GI582"/>
  <c r="GJ582"/>
  <c r="GK582"/>
  <c r="GL582"/>
  <c r="GM582"/>
  <c r="GN582"/>
  <c r="GO582"/>
  <c r="GP582"/>
  <c r="GQ582"/>
  <c r="GR582"/>
  <c r="R583"/>
  <c r="S583"/>
  <c r="T583"/>
  <c r="U583"/>
  <c r="V583"/>
  <c r="W583"/>
  <c r="X583"/>
  <c r="Y583"/>
  <c r="Z583"/>
  <c r="I583"/>
  <c r="AA583"/>
  <c r="AB583"/>
  <c r="J583"/>
  <c r="AC583"/>
  <c r="AD583"/>
  <c r="AE583"/>
  <c r="AF583"/>
  <c r="AG583"/>
  <c r="AH583"/>
  <c r="AI583"/>
  <c r="AJ583"/>
  <c r="AK583"/>
  <c r="AL583"/>
  <c r="AM583"/>
  <c r="AN583"/>
  <c r="AO583"/>
  <c r="AP583"/>
  <c r="AQ583"/>
  <c r="AR583"/>
  <c r="AS583"/>
  <c r="AT583"/>
  <c r="AU583"/>
  <c r="AV583"/>
  <c r="AW583"/>
  <c r="AX583"/>
  <c r="AY583"/>
  <c r="AZ583"/>
  <c r="BA583"/>
  <c r="BB583"/>
  <c r="BC583"/>
  <c r="BD583"/>
  <c r="BE583"/>
  <c r="BF583"/>
  <c r="BG583"/>
  <c r="BH583"/>
  <c r="BI583"/>
  <c r="BJ583"/>
  <c r="BK583"/>
  <c r="BL583"/>
  <c r="BM583"/>
  <c r="BN583"/>
  <c r="BO583"/>
  <c r="BP583"/>
  <c r="BQ583"/>
  <c r="BR583"/>
  <c r="BS583"/>
  <c r="BT583"/>
  <c r="BU583"/>
  <c r="BV583"/>
  <c r="BW583"/>
  <c r="BX583"/>
  <c r="BY583"/>
  <c r="BZ583"/>
  <c r="CQ583"/>
  <c r="CR583"/>
  <c r="CS583"/>
  <c r="CT583"/>
  <c r="CU583"/>
  <c r="CV583"/>
  <c r="CW583"/>
  <c r="CX583"/>
  <c r="CY583"/>
  <c r="CZ583"/>
  <c r="DA583"/>
  <c r="DB583"/>
  <c r="DC583"/>
  <c r="DD583"/>
  <c r="DE583"/>
  <c r="DF583"/>
  <c r="DG583"/>
  <c r="DH583"/>
  <c r="DI583"/>
  <c r="DJ583"/>
  <c r="DK583"/>
  <c r="DL583"/>
  <c r="DM583"/>
  <c r="DN583"/>
  <c r="DO583"/>
  <c r="DP583"/>
  <c r="DQ583"/>
  <c r="DR583"/>
  <c r="DS583"/>
  <c r="DT583"/>
  <c r="DU583"/>
  <c r="DV583"/>
  <c r="DW583"/>
  <c r="DX583"/>
  <c r="DY583"/>
  <c r="DZ583"/>
  <c r="EA583"/>
  <c r="EB583"/>
  <c r="EC583"/>
  <c r="ED583"/>
  <c r="EE583"/>
  <c r="EF583"/>
  <c r="EG583"/>
  <c r="EH583"/>
  <c r="EI583"/>
  <c r="EJ583"/>
  <c r="EK583"/>
  <c r="EL583"/>
  <c r="EM583"/>
  <c r="EN583"/>
  <c r="EO583"/>
  <c r="EP583"/>
  <c r="EQ583"/>
  <c r="ER583"/>
  <c r="ES583"/>
  <c r="ET583"/>
  <c r="EU583"/>
  <c r="EV583"/>
  <c r="EW583"/>
  <c r="EX583"/>
  <c r="EY583"/>
  <c r="EZ583"/>
  <c r="FA583"/>
  <c r="FB583"/>
  <c r="FC583"/>
  <c r="FD583"/>
  <c r="FE583"/>
  <c r="FF583"/>
  <c r="FG583"/>
  <c r="FH583"/>
  <c r="FI583"/>
  <c r="FJ583"/>
  <c r="FK583"/>
  <c r="FL583"/>
  <c r="FM583"/>
  <c r="FN583"/>
  <c r="FO583"/>
  <c r="FP583"/>
  <c r="FQ583"/>
  <c r="FR583"/>
  <c r="FS583"/>
  <c r="FT583"/>
  <c r="FU583"/>
  <c r="FV583"/>
  <c r="FW583"/>
  <c r="FX583"/>
  <c r="FY583"/>
  <c r="FZ583"/>
  <c r="GA583"/>
  <c r="GB583"/>
  <c r="GC583"/>
  <c r="GD583"/>
  <c r="GE583"/>
  <c r="GF583"/>
  <c r="GG583"/>
  <c r="GH583"/>
  <c r="GI583"/>
  <c r="GJ583"/>
  <c r="GK583"/>
  <c r="GL583"/>
  <c r="GM583"/>
  <c r="GN583"/>
  <c r="GO583"/>
  <c r="GP583"/>
  <c r="GQ583"/>
  <c r="GR583"/>
  <c r="R584"/>
  <c r="S584"/>
  <c r="T584"/>
  <c r="U584"/>
  <c r="V584"/>
  <c r="W584"/>
  <c r="X584"/>
  <c r="Y584"/>
  <c r="Z584"/>
  <c r="I584"/>
  <c r="AA584"/>
  <c r="AB584"/>
  <c r="J584"/>
  <c r="AC584"/>
  <c r="AD584"/>
  <c r="AE584"/>
  <c r="AF584"/>
  <c r="AG584"/>
  <c r="AH584"/>
  <c r="AI584"/>
  <c r="AJ584"/>
  <c r="AK584"/>
  <c r="AL584"/>
  <c r="AM584"/>
  <c r="AN584"/>
  <c r="AO584"/>
  <c r="AP584"/>
  <c r="AQ584"/>
  <c r="AR584"/>
  <c r="AS584"/>
  <c r="AT584"/>
  <c r="AU584"/>
  <c r="AV584"/>
  <c r="AW584"/>
  <c r="AX584"/>
  <c r="AY584"/>
  <c r="AZ584"/>
  <c r="BA584"/>
  <c r="BB584"/>
  <c r="BC584"/>
  <c r="BD584"/>
  <c r="BE584"/>
  <c r="BF584"/>
  <c r="BG584"/>
  <c r="BH584"/>
  <c r="BI584"/>
  <c r="BJ584"/>
  <c r="BK584"/>
  <c r="BL584"/>
  <c r="BM584"/>
  <c r="BN584"/>
  <c r="BO584"/>
  <c r="BP584"/>
  <c r="BQ584"/>
  <c r="BR584"/>
  <c r="BS584"/>
  <c r="BT584"/>
  <c r="BU584"/>
  <c r="BV584"/>
  <c r="BW584"/>
  <c r="BX584"/>
  <c r="BY584"/>
  <c r="BZ584"/>
  <c r="CQ584"/>
  <c r="CR584"/>
  <c r="CS584"/>
  <c r="CT584"/>
  <c r="CU584"/>
  <c r="CV584"/>
  <c r="CW584"/>
  <c r="CX584"/>
  <c r="CY584"/>
  <c r="CZ584"/>
  <c r="DA584"/>
  <c r="DB584"/>
  <c r="DC584"/>
  <c r="DD584"/>
  <c r="DE584"/>
  <c r="DF584"/>
  <c r="DG584"/>
  <c r="DH584"/>
  <c r="DI584"/>
  <c r="DJ584"/>
  <c r="DK584"/>
  <c r="DL584"/>
  <c r="DM584"/>
  <c r="DN584"/>
  <c r="DO584"/>
  <c r="DP584"/>
  <c r="DQ584"/>
  <c r="DR584"/>
  <c r="DS584"/>
  <c r="DT584"/>
  <c r="DU584"/>
  <c r="DV584"/>
  <c r="DW584"/>
  <c r="DX584"/>
  <c r="DY584"/>
  <c r="DZ584"/>
  <c r="EA584"/>
  <c r="EB584"/>
  <c r="EC584"/>
  <c r="ED584"/>
  <c r="EE584"/>
  <c r="EF584"/>
  <c r="EG584"/>
  <c r="EH584"/>
  <c r="EI584"/>
  <c r="EJ584"/>
  <c r="EK584"/>
  <c r="EL584"/>
  <c r="EM584"/>
  <c r="EN584"/>
  <c r="EO584"/>
  <c r="EP584"/>
  <c r="EQ584"/>
  <c r="ER584"/>
  <c r="ES584"/>
  <c r="ET584"/>
  <c r="EU584"/>
  <c r="EV584"/>
  <c r="EW584"/>
  <c r="EX584"/>
  <c r="EY584"/>
  <c r="EZ584"/>
  <c r="FA584"/>
  <c r="FB584"/>
  <c r="FC584"/>
  <c r="FD584"/>
  <c r="FE584"/>
  <c r="FF584"/>
  <c r="FG584"/>
  <c r="FH584"/>
  <c r="FI584"/>
  <c r="FJ584"/>
  <c r="FK584"/>
  <c r="FL584"/>
  <c r="FM584"/>
  <c r="FN584"/>
  <c r="FO584"/>
  <c r="FP584"/>
  <c r="FQ584"/>
  <c r="FR584"/>
  <c r="FS584"/>
  <c r="FT584"/>
  <c r="FU584"/>
  <c r="FV584"/>
  <c r="FW584"/>
  <c r="FX584"/>
  <c r="FY584"/>
  <c r="FZ584"/>
  <c r="GA584"/>
  <c r="GB584"/>
  <c r="GC584"/>
  <c r="GD584"/>
  <c r="GE584"/>
  <c r="GF584"/>
  <c r="GG584"/>
  <c r="GH584"/>
  <c r="GI584"/>
  <c r="GJ584"/>
  <c r="GK584"/>
  <c r="GL584"/>
  <c r="GM584"/>
  <c r="GN584"/>
  <c r="GO584"/>
  <c r="GP584"/>
  <c r="GQ584"/>
  <c r="GR584"/>
  <c r="R585"/>
  <c r="S585"/>
  <c r="T585"/>
  <c r="U585"/>
  <c r="V585"/>
  <c r="W585"/>
  <c r="X585"/>
  <c r="Y585"/>
  <c r="Z585"/>
  <c r="I585"/>
  <c r="AA585"/>
  <c r="AB585"/>
  <c r="J585"/>
  <c r="AC585"/>
  <c r="AD585"/>
  <c r="AE585"/>
  <c r="AF585"/>
  <c r="AG585"/>
  <c r="AH585"/>
  <c r="AI585"/>
  <c r="AJ585"/>
  <c r="AK585"/>
  <c r="AL585"/>
  <c r="AM585"/>
  <c r="AN585"/>
  <c r="AO585"/>
  <c r="AP585"/>
  <c r="AQ585"/>
  <c r="AR585"/>
  <c r="AS585"/>
  <c r="AT585"/>
  <c r="AU585"/>
  <c r="AV585"/>
  <c r="AW585"/>
  <c r="AX585"/>
  <c r="AY585"/>
  <c r="AZ585"/>
  <c r="BA585"/>
  <c r="BB585"/>
  <c r="BC585"/>
  <c r="BD585"/>
  <c r="BE585"/>
  <c r="BF585"/>
  <c r="BG585"/>
  <c r="BH585"/>
  <c r="BI585"/>
  <c r="BJ585"/>
  <c r="BK585"/>
  <c r="BL585"/>
  <c r="BM585"/>
  <c r="BN585"/>
  <c r="BO585"/>
  <c r="BP585"/>
  <c r="BQ585"/>
  <c r="BR585"/>
  <c r="BS585"/>
  <c r="BT585"/>
  <c r="BU585"/>
  <c r="BV585"/>
  <c r="BW585"/>
  <c r="BX585"/>
  <c r="BY585"/>
  <c r="BZ585"/>
  <c r="CQ585"/>
  <c r="CR585"/>
  <c r="CS585"/>
  <c r="CT585"/>
  <c r="CU585"/>
  <c r="CV585"/>
  <c r="CW585"/>
  <c r="CX585"/>
  <c r="CY585"/>
  <c r="CZ585"/>
  <c r="DA585"/>
  <c r="DB585"/>
  <c r="DC585"/>
  <c r="DD585"/>
  <c r="DE585"/>
  <c r="DF585"/>
  <c r="DG585"/>
  <c r="DH585"/>
  <c r="DI585"/>
  <c r="DJ585"/>
  <c r="DK585"/>
  <c r="DL585"/>
  <c r="DM585"/>
  <c r="DN585"/>
  <c r="DO585"/>
  <c r="DP585"/>
  <c r="DQ585"/>
  <c r="DR585"/>
  <c r="DS585"/>
  <c r="DT585"/>
  <c r="DU585"/>
  <c r="DV585"/>
  <c r="DW585"/>
  <c r="DX585"/>
  <c r="DY585"/>
  <c r="DZ585"/>
  <c r="EA585"/>
  <c r="EB585"/>
  <c r="EC585"/>
  <c r="ED585"/>
  <c r="EE585"/>
  <c r="EF585"/>
  <c r="EG585"/>
  <c r="EH585"/>
  <c r="EI585"/>
  <c r="EJ585"/>
  <c r="EK585"/>
  <c r="EL585"/>
  <c r="EM585"/>
  <c r="EN585"/>
  <c r="EO585"/>
  <c r="EP585"/>
  <c r="EQ585"/>
  <c r="ER585"/>
  <c r="ES585"/>
  <c r="ET585"/>
  <c r="EU585"/>
  <c r="EV585"/>
  <c r="EW585"/>
  <c r="EX585"/>
  <c r="EY585"/>
  <c r="EZ585"/>
  <c r="FA585"/>
  <c r="FB585"/>
  <c r="FC585"/>
  <c r="FD585"/>
  <c r="FE585"/>
  <c r="FF585"/>
  <c r="FG585"/>
  <c r="FH585"/>
  <c r="FI585"/>
  <c r="FJ585"/>
  <c r="FK585"/>
  <c r="FL585"/>
  <c r="FM585"/>
  <c r="FN585"/>
  <c r="FO585"/>
  <c r="FP585"/>
  <c r="FQ585"/>
  <c r="FR585"/>
  <c r="FS585"/>
  <c r="FT585"/>
  <c r="FU585"/>
  <c r="FV585"/>
  <c r="FW585"/>
  <c r="FX585"/>
  <c r="FY585"/>
  <c r="FZ585"/>
  <c r="GA585"/>
  <c r="GB585"/>
  <c r="GC585"/>
  <c r="GD585"/>
  <c r="GE585"/>
  <c r="GF585"/>
  <c r="GG585"/>
  <c r="GH585"/>
  <c r="GI585"/>
  <c r="GJ585"/>
  <c r="GK585"/>
  <c r="GL585"/>
  <c r="GM585"/>
  <c r="GN585"/>
  <c r="GO585"/>
  <c r="GP585"/>
  <c r="GQ585"/>
  <c r="GR585"/>
  <c r="R586"/>
  <c r="S586"/>
  <c r="T586"/>
  <c r="U586"/>
  <c r="V586"/>
  <c r="W586"/>
  <c r="X586"/>
  <c r="Y586"/>
  <c r="Z586"/>
  <c r="I586"/>
  <c r="AA586"/>
  <c r="AB586"/>
  <c r="J586"/>
  <c r="AC586"/>
  <c r="AD586"/>
  <c r="AE586"/>
  <c r="AF586"/>
  <c r="AG586"/>
  <c r="AH586"/>
  <c r="AI586"/>
  <c r="AJ586"/>
  <c r="AK586"/>
  <c r="AL586"/>
  <c r="AM586"/>
  <c r="AN586"/>
  <c r="AO586"/>
  <c r="AP586"/>
  <c r="AQ586"/>
  <c r="AR586"/>
  <c r="AS586"/>
  <c r="AT586"/>
  <c r="AU586"/>
  <c r="AV586"/>
  <c r="AW586"/>
  <c r="AX586"/>
  <c r="AY586"/>
  <c r="AZ586"/>
  <c r="BA586"/>
  <c r="BB586"/>
  <c r="BC586"/>
  <c r="BD586"/>
  <c r="BE586"/>
  <c r="BF586"/>
  <c r="BG586"/>
  <c r="BH586"/>
  <c r="BI586"/>
  <c r="BJ586"/>
  <c r="BK586"/>
  <c r="BL586"/>
  <c r="BM586"/>
  <c r="BN586"/>
  <c r="BO586"/>
  <c r="BP586"/>
  <c r="BQ586"/>
  <c r="BR586"/>
  <c r="BS586"/>
  <c r="BT586"/>
  <c r="BU586"/>
  <c r="BV586"/>
  <c r="BW586"/>
  <c r="BX586"/>
  <c r="BY586"/>
  <c r="BZ586"/>
  <c r="CQ586"/>
  <c r="CR586"/>
  <c r="CS586"/>
  <c r="CT586"/>
  <c r="CU586"/>
  <c r="CV586"/>
  <c r="CW586"/>
  <c r="CX586"/>
  <c r="CY586"/>
  <c r="CZ586"/>
  <c r="DA586"/>
  <c r="DB586"/>
  <c r="DC586"/>
  <c r="DD586"/>
  <c r="DE586"/>
  <c r="DF586"/>
  <c r="DG586"/>
  <c r="DH586"/>
  <c r="DI586"/>
  <c r="DJ586"/>
  <c r="DK586"/>
  <c r="DL586"/>
  <c r="DM586"/>
  <c r="DN586"/>
  <c r="DO586"/>
  <c r="DP586"/>
  <c r="DQ586"/>
  <c r="DR586"/>
  <c r="DS586"/>
  <c r="DT586"/>
  <c r="DU586"/>
  <c r="DV586"/>
  <c r="DW586"/>
  <c r="DX586"/>
  <c r="DY586"/>
  <c r="DZ586"/>
  <c r="EA586"/>
  <c r="EB586"/>
  <c r="EC586"/>
  <c r="ED586"/>
  <c r="EE586"/>
  <c r="EF586"/>
  <c r="EG586"/>
  <c r="EH586"/>
  <c r="EI586"/>
  <c r="EJ586"/>
  <c r="EK586"/>
  <c r="EL586"/>
  <c r="EM586"/>
  <c r="EN586"/>
  <c r="EO586"/>
  <c r="EP586"/>
  <c r="EQ586"/>
  <c r="ER586"/>
  <c r="ES586"/>
  <c r="ET586"/>
  <c r="EU586"/>
  <c r="EV586"/>
  <c r="EW586"/>
  <c r="EX586"/>
  <c r="EY586"/>
  <c r="EZ586"/>
  <c r="FA586"/>
  <c r="FB586"/>
  <c r="FC586"/>
  <c r="FD586"/>
  <c r="FE586"/>
  <c r="FF586"/>
  <c r="FG586"/>
  <c r="FH586"/>
  <c r="FI586"/>
  <c r="FJ586"/>
  <c r="FK586"/>
  <c r="FL586"/>
  <c r="FM586"/>
  <c r="FN586"/>
  <c r="FO586"/>
  <c r="FP586"/>
  <c r="FQ586"/>
  <c r="FR586"/>
  <c r="FS586"/>
  <c r="FT586"/>
  <c r="FU586"/>
  <c r="FV586"/>
  <c r="FW586"/>
  <c r="FX586"/>
  <c r="FY586"/>
  <c r="FZ586"/>
  <c r="GA586"/>
  <c r="GB586"/>
  <c r="GC586"/>
  <c r="GD586"/>
  <c r="GE586"/>
  <c r="GF586"/>
  <c r="GG586"/>
  <c r="GH586"/>
  <c r="GI586"/>
  <c r="GJ586"/>
  <c r="GK586"/>
  <c r="GL586"/>
  <c r="GM586"/>
  <c r="GN586"/>
  <c r="GO586"/>
  <c r="GP586"/>
  <c r="GQ586"/>
  <c r="GR586"/>
  <c r="R587"/>
  <c r="S587"/>
  <c r="T587"/>
  <c r="U587"/>
  <c r="V587"/>
  <c r="W587"/>
  <c r="X587"/>
  <c r="Y587"/>
  <c r="Z587"/>
  <c r="I587"/>
  <c r="AA587"/>
  <c r="AB587"/>
  <c r="J587"/>
  <c r="AC587"/>
  <c r="AD587"/>
  <c r="AE587"/>
  <c r="AF587"/>
  <c r="AG587"/>
  <c r="AH587"/>
  <c r="AI587"/>
  <c r="AJ587"/>
  <c r="AK587"/>
  <c r="AL587"/>
  <c r="AM587"/>
  <c r="AN587"/>
  <c r="AO587"/>
  <c r="AP587"/>
  <c r="AQ587"/>
  <c r="AR587"/>
  <c r="AS587"/>
  <c r="AT587"/>
  <c r="AU587"/>
  <c r="AV587"/>
  <c r="AW587"/>
  <c r="AX587"/>
  <c r="AY587"/>
  <c r="AZ587"/>
  <c r="BA587"/>
  <c r="BB587"/>
  <c r="BC587"/>
  <c r="BD587"/>
  <c r="BE587"/>
  <c r="BF587"/>
  <c r="BG587"/>
  <c r="BH587"/>
  <c r="BI587"/>
  <c r="BJ587"/>
  <c r="BK587"/>
  <c r="BL587"/>
  <c r="BM587"/>
  <c r="BN587"/>
  <c r="BO587"/>
  <c r="BP587"/>
  <c r="BQ587"/>
  <c r="BR587"/>
  <c r="BS587"/>
  <c r="BT587"/>
  <c r="BU587"/>
  <c r="BV587"/>
  <c r="BW587"/>
  <c r="BX587"/>
  <c r="BY587"/>
  <c r="BZ587"/>
  <c r="CQ587"/>
  <c r="CR587"/>
  <c r="CS587"/>
  <c r="CT587"/>
  <c r="CU587"/>
  <c r="CV587"/>
  <c r="CW587"/>
  <c r="CX587"/>
  <c r="CY587"/>
  <c r="CZ587"/>
  <c r="DA587"/>
  <c r="DB587"/>
  <c r="DC587"/>
  <c r="DD587"/>
  <c r="DE587"/>
  <c r="DF587"/>
  <c r="DG587"/>
  <c r="DH587"/>
  <c r="DI587"/>
  <c r="DJ587"/>
  <c r="DK587"/>
  <c r="DL587"/>
  <c r="DM587"/>
  <c r="DN587"/>
  <c r="DO587"/>
  <c r="DP587"/>
  <c r="DQ587"/>
  <c r="DR587"/>
  <c r="DS587"/>
  <c r="DT587"/>
  <c r="DU587"/>
  <c r="DV587"/>
  <c r="DW587"/>
  <c r="DX587"/>
  <c r="DY587"/>
  <c r="DZ587"/>
  <c r="EA587"/>
  <c r="EB587"/>
  <c r="EC587"/>
  <c r="ED587"/>
  <c r="EE587"/>
  <c r="EF587"/>
  <c r="EG587"/>
  <c r="EH587"/>
  <c r="EI587"/>
  <c r="EJ587"/>
  <c r="EK587"/>
  <c r="EL587"/>
  <c r="EM587"/>
  <c r="EN587"/>
  <c r="EO587"/>
  <c r="EP587"/>
  <c r="EQ587"/>
  <c r="ER587"/>
  <c r="ES587"/>
  <c r="ET587"/>
  <c r="EU587"/>
  <c r="EV587"/>
  <c r="EW587"/>
  <c r="EX587"/>
  <c r="EY587"/>
  <c r="EZ587"/>
  <c r="FA587"/>
  <c r="FB587"/>
  <c r="FC587"/>
  <c r="FD587"/>
  <c r="FE587"/>
  <c r="FF587"/>
  <c r="FG587"/>
  <c r="FH587"/>
  <c r="FI587"/>
  <c r="FJ587"/>
  <c r="FK587"/>
  <c r="FL587"/>
  <c r="FM587"/>
  <c r="FN587"/>
  <c r="FO587"/>
  <c r="FP587"/>
  <c r="FQ587"/>
  <c r="FR587"/>
  <c r="FS587"/>
  <c r="FT587"/>
  <c r="FU587"/>
  <c r="FV587"/>
  <c r="FW587"/>
  <c r="FX587"/>
  <c r="FY587"/>
  <c r="FZ587"/>
  <c r="GA587"/>
  <c r="GB587"/>
  <c r="GC587"/>
  <c r="GD587"/>
  <c r="GE587"/>
  <c r="GF587"/>
  <c r="GG587"/>
  <c r="GH587"/>
  <c r="GI587"/>
  <c r="GJ587"/>
  <c r="GK587"/>
  <c r="GL587"/>
  <c r="GM587"/>
  <c r="GN587"/>
  <c r="GO587"/>
  <c r="GP587"/>
  <c r="GQ587"/>
  <c r="GR587"/>
  <c r="R588"/>
  <c r="S588"/>
  <c r="T588"/>
  <c r="U588"/>
  <c r="V588"/>
  <c r="W588"/>
  <c r="X588"/>
  <c r="Y588"/>
  <c r="Z588"/>
  <c r="I588"/>
  <c r="AA588"/>
  <c r="AB588"/>
  <c r="J588"/>
  <c r="AC588"/>
  <c r="AD588"/>
  <c r="AE588"/>
  <c r="AF588"/>
  <c r="AG588"/>
  <c r="AH588"/>
  <c r="AI588"/>
  <c r="AJ588"/>
  <c r="AK588"/>
  <c r="AL588"/>
  <c r="AM588"/>
  <c r="AN588"/>
  <c r="AO588"/>
  <c r="AP588"/>
  <c r="AQ588"/>
  <c r="AR588"/>
  <c r="AS588"/>
  <c r="AT588"/>
  <c r="AU588"/>
  <c r="AV588"/>
  <c r="AW588"/>
  <c r="AX588"/>
  <c r="AY588"/>
  <c r="AZ588"/>
  <c r="BA588"/>
  <c r="BB588"/>
  <c r="BC588"/>
  <c r="BD588"/>
  <c r="BE588"/>
  <c r="BF588"/>
  <c r="BG588"/>
  <c r="BH588"/>
  <c r="BI588"/>
  <c r="BJ588"/>
  <c r="BK588"/>
  <c r="BL588"/>
  <c r="BM588"/>
  <c r="BN588"/>
  <c r="BO588"/>
  <c r="BP588"/>
  <c r="BQ588"/>
  <c r="BR588"/>
  <c r="BS588"/>
  <c r="BT588"/>
  <c r="BU588"/>
  <c r="BV588"/>
  <c r="BW588"/>
  <c r="BX588"/>
  <c r="BY588"/>
  <c r="BZ588"/>
  <c r="CQ588"/>
  <c r="CR588"/>
  <c r="CS588"/>
  <c r="CT588"/>
  <c r="CU588"/>
  <c r="CV588"/>
  <c r="CW588"/>
  <c r="CX588"/>
  <c r="CY588"/>
  <c r="CZ588"/>
  <c r="DA588"/>
  <c r="DB588"/>
  <c r="DC588"/>
  <c r="DD588"/>
  <c r="DE588"/>
  <c r="DF588"/>
  <c r="DG588"/>
  <c r="DH588"/>
  <c r="DI588"/>
  <c r="DJ588"/>
  <c r="DK588"/>
  <c r="DL588"/>
  <c r="DM588"/>
  <c r="DN588"/>
  <c r="DO588"/>
  <c r="DP588"/>
  <c r="DQ588"/>
  <c r="DR588"/>
  <c r="DS588"/>
  <c r="DT588"/>
  <c r="DU588"/>
  <c r="DV588"/>
  <c r="DW588"/>
  <c r="DX588"/>
  <c r="DY588"/>
  <c r="DZ588"/>
  <c r="EA588"/>
  <c r="EB588"/>
  <c r="EC588"/>
  <c r="ED588"/>
  <c r="EE588"/>
  <c r="EF588"/>
  <c r="EG588"/>
  <c r="EH588"/>
  <c r="EI588"/>
  <c r="EJ588"/>
  <c r="EK588"/>
  <c r="EL588"/>
  <c r="EM588"/>
  <c r="EN588"/>
  <c r="EO588"/>
  <c r="EP588"/>
  <c r="EQ588"/>
  <c r="ER588"/>
  <c r="ES588"/>
  <c r="ET588"/>
  <c r="EU588"/>
  <c r="EV588"/>
  <c r="EW588"/>
  <c r="EX588"/>
  <c r="EY588"/>
  <c r="EZ588"/>
  <c r="FA588"/>
  <c r="FB588"/>
  <c r="FC588"/>
  <c r="FD588"/>
  <c r="FE588"/>
  <c r="FF588"/>
  <c r="FG588"/>
  <c r="FH588"/>
  <c r="FI588"/>
  <c r="FJ588"/>
  <c r="FK588"/>
  <c r="FL588"/>
  <c r="FM588"/>
  <c r="FN588"/>
  <c r="FO588"/>
  <c r="FP588"/>
  <c r="FQ588"/>
  <c r="FR588"/>
  <c r="FS588"/>
  <c r="FT588"/>
  <c r="FU588"/>
  <c r="FV588"/>
  <c r="FW588"/>
  <c r="FX588"/>
  <c r="FY588"/>
  <c r="FZ588"/>
  <c r="GA588"/>
  <c r="GB588"/>
  <c r="GC588"/>
  <c r="GD588"/>
  <c r="GE588"/>
  <c r="GF588"/>
  <c r="GG588"/>
  <c r="GH588"/>
  <c r="GI588"/>
  <c r="GJ588"/>
  <c r="GK588"/>
  <c r="GL588"/>
  <c r="GM588"/>
  <c r="GN588"/>
  <c r="GO588"/>
  <c r="GP588"/>
  <c r="GQ588"/>
  <c r="GR588"/>
  <c r="R589"/>
  <c r="S589"/>
  <c r="T589"/>
  <c r="U589"/>
  <c r="V589"/>
  <c r="W589"/>
  <c r="X589"/>
  <c r="Y589"/>
  <c r="Z589"/>
  <c r="I589"/>
  <c r="AA589"/>
  <c r="AB589"/>
  <c r="J589"/>
  <c r="AC589"/>
  <c r="AD589"/>
  <c r="AE589"/>
  <c r="AF589"/>
  <c r="AG589"/>
  <c r="AH589"/>
  <c r="AI589"/>
  <c r="AJ589"/>
  <c r="AK589"/>
  <c r="AL589"/>
  <c r="AM589"/>
  <c r="AN589"/>
  <c r="AO589"/>
  <c r="AP589"/>
  <c r="AQ589"/>
  <c r="AR589"/>
  <c r="AS589"/>
  <c r="AT589"/>
  <c r="AU589"/>
  <c r="AV589"/>
  <c r="AW589"/>
  <c r="AX589"/>
  <c r="AY589"/>
  <c r="AZ589"/>
  <c r="BA589"/>
  <c r="BB589"/>
  <c r="BC589"/>
  <c r="BD589"/>
  <c r="BE589"/>
  <c r="BF589"/>
  <c r="BG589"/>
  <c r="BH589"/>
  <c r="BI589"/>
  <c r="BJ589"/>
  <c r="BK589"/>
  <c r="BL589"/>
  <c r="BM589"/>
  <c r="BN589"/>
  <c r="BO589"/>
  <c r="BP589"/>
  <c r="BQ589"/>
  <c r="BR589"/>
  <c r="BS589"/>
  <c r="BT589"/>
  <c r="BU589"/>
  <c r="BV589"/>
  <c r="BW589"/>
  <c r="BX589"/>
  <c r="BY589"/>
  <c r="BZ589"/>
  <c r="CQ589"/>
  <c r="CR589"/>
  <c r="CS589"/>
  <c r="CT589"/>
  <c r="CU589"/>
  <c r="CV589"/>
  <c r="CW589"/>
  <c r="CX589"/>
  <c r="CY589"/>
  <c r="CZ589"/>
  <c r="DA589"/>
  <c r="DB589"/>
  <c r="DC589"/>
  <c r="DD589"/>
  <c r="DE589"/>
  <c r="DF589"/>
  <c r="DG589"/>
  <c r="DH589"/>
  <c r="DI589"/>
  <c r="DJ589"/>
  <c r="DK589"/>
  <c r="DL589"/>
  <c r="DM589"/>
  <c r="DN589"/>
  <c r="DO589"/>
  <c r="DP589"/>
  <c r="DQ589"/>
  <c r="DR589"/>
  <c r="DS589"/>
  <c r="DT589"/>
  <c r="DU589"/>
  <c r="DV589"/>
  <c r="DW589"/>
  <c r="DX589"/>
  <c r="DY589"/>
  <c r="DZ589"/>
  <c r="EA589"/>
  <c r="EB589"/>
  <c r="EC589"/>
  <c r="ED589"/>
  <c r="EE589"/>
  <c r="EF589"/>
  <c r="EG589"/>
  <c r="EH589"/>
  <c r="EI589"/>
  <c r="EJ589"/>
  <c r="EK589"/>
  <c r="EL589"/>
  <c r="EM589"/>
  <c r="EN589"/>
  <c r="EO589"/>
  <c r="EP589"/>
  <c r="EQ589"/>
  <c r="ER589"/>
  <c r="ES589"/>
  <c r="ET589"/>
  <c r="EU589"/>
  <c r="EV589"/>
  <c r="EW589"/>
  <c r="EX589"/>
  <c r="EY589"/>
  <c r="EZ589"/>
  <c r="FA589"/>
  <c r="FB589"/>
  <c r="FC589"/>
  <c r="FD589"/>
  <c r="FE589"/>
  <c r="FF589"/>
  <c r="FG589"/>
  <c r="FH589"/>
  <c r="FI589"/>
  <c r="FJ589"/>
  <c r="FK589"/>
  <c r="FL589"/>
  <c r="FM589"/>
  <c r="FN589"/>
  <c r="FO589"/>
  <c r="FP589"/>
  <c r="FQ589"/>
  <c r="FR589"/>
  <c r="FS589"/>
  <c r="FT589"/>
  <c r="FU589"/>
  <c r="FV589"/>
  <c r="FW589"/>
  <c r="FX589"/>
  <c r="FY589"/>
  <c r="FZ589"/>
  <c r="GA589"/>
  <c r="GB589"/>
  <c r="GC589"/>
  <c r="GD589"/>
  <c r="GE589"/>
  <c r="GF589"/>
  <c r="GG589"/>
  <c r="GH589"/>
  <c r="GI589"/>
  <c r="GJ589"/>
  <c r="GK589"/>
  <c r="GL589"/>
  <c r="GM589"/>
  <c r="GN589"/>
  <c r="GO589"/>
  <c r="GP589"/>
  <c r="GQ589"/>
  <c r="GR589"/>
  <c r="R590"/>
  <c r="S590"/>
  <c r="T590"/>
  <c r="U590"/>
  <c r="V590"/>
  <c r="W590"/>
  <c r="X590"/>
  <c r="Y590"/>
  <c r="Z590"/>
  <c r="I590"/>
  <c r="AA590"/>
  <c r="AB590"/>
  <c r="J590"/>
  <c r="AC590"/>
  <c r="AD590"/>
  <c r="AE590"/>
  <c r="AF590"/>
  <c r="AG590"/>
  <c r="AH590"/>
  <c r="AI590"/>
  <c r="AJ590"/>
  <c r="AK590"/>
  <c r="AL590"/>
  <c r="AM590"/>
  <c r="AN590"/>
  <c r="AO590"/>
  <c r="AP590"/>
  <c r="AQ590"/>
  <c r="AR590"/>
  <c r="AS590"/>
  <c r="AT590"/>
  <c r="AU590"/>
  <c r="AV590"/>
  <c r="AW590"/>
  <c r="AX590"/>
  <c r="AY590"/>
  <c r="AZ590"/>
  <c r="BA590"/>
  <c r="BB590"/>
  <c r="BC590"/>
  <c r="BD590"/>
  <c r="BE590"/>
  <c r="BF590"/>
  <c r="BG590"/>
  <c r="BH590"/>
  <c r="BI590"/>
  <c r="BJ590"/>
  <c r="BK590"/>
  <c r="BL590"/>
  <c r="BM590"/>
  <c r="BN590"/>
  <c r="BO590"/>
  <c r="BP590"/>
  <c r="BQ590"/>
  <c r="BR590"/>
  <c r="BS590"/>
  <c r="BT590"/>
  <c r="BU590"/>
  <c r="BV590"/>
  <c r="BW590"/>
  <c r="BX590"/>
  <c r="BY590"/>
  <c r="BZ590"/>
  <c r="CQ590"/>
  <c r="CR590"/>
  <c r="CS590"/>
  <c r="CT590"/>
  <c r="CU590"/>
  <c r="CV590"/>
  <c r="CW590"/>
  <c r="CX590"/>
  <c r="CY590"/>
  <c r="CZ590"/>
  <c r="DA590"/>
  <c r="DB590"/>
  <c r="DC590"/>
  <c r="DD590"/>
  <c r="DE590"/>
  <c r="DF590"/>
  <c r="DG590"/>
  <c r="DH590"/>
  <c r="DI590"/>
  <c r="DJ590"/>
  <c r="DK590"/>
  <c r="DL590"/>
  <c r="DM590"/>
  <c r="DN590"/>
  <c r="DO590"/>
  <c r="DP590"/>
  <c r="DQ590"/>
  <c r="DR590"/>
  <c r="DS590"/>
  <c r="DT590"/>
  <c r="DU590"/>
  <c r="DV590"/>
  <c r="DW590"/>
  <c r="DX590"/>
  <c r="DY590"/>
  <c r="DZ590"/>
  <c r="EA590"/>
  <c r="EB590"/>
  <c r="EC590"/>
  <c r="ED590"/>
  <c r="EE590"/>
  <c r="EF590"/>
  <c r="EG590"/>
  <c r="EH590"/>
  <c r="EI590"/>
  <c r="EJ590"/>
  <c r="EK590"/>
  <c r="EL590"/>
  <c r="EM590"/>
  <c r="EN590"/>
  <c r="EO590"/>
  <c r="EP590"/>
  <c r="EQ590"/>
  <c r="ER590"/>
  <c r="ES590"/>
  <c r="ET590"/>
  <c r="EU590"/>
  <c r="EV590"/>
  <c r="EW590"/>
  <c r="EX590"/>
  <c r="EY590"/>
  <c r="EZ590"/>
  <c r="FA590"/>
  <c r="FB590"/>
  <c r="FC590"/>
  <c r="FD590"/>
  <c r="FE590"/>
  <c r="FF590"/>
  <c r="FG590"/>
  <c r="FH590"/>
  <c r="FI590"/>
  <c r="FJ590"/>
  <c r="FK590"/>
  <c r="FL590"/>
  <c r="FM590"/>
  <c r="FN590"/>
  <c r="FO590"/>
  <c r="FP590"/>
  <c r="FQ590"/>
  <c r="FR590"/>
  <c r="FS590"/>
  <c r="FT590"/>
  <c r="FU590"/>
  <c r="FV590"/>
  <c r="FW590"/>
  <c r="FX590"/>
  <c r="FY590"/>
  <c r="FZ590"/>
  <c r="GA590"/>
  <c r="GB590"/>
  <c r="GC590"/>
  <c r="GD590"/>
  <c r="GE590"/>
  <c r="GF590"/>
  <c r="GG590"/>
  <c r="GH590"/>
  <c r="GI590"/>
  <c r="GJ590"/>
  <c r="GK590"/>
  <c r="GL590"/>
  <c r="GM590"/>
  <c r="GN590"/>
  <c r="GO590"/>
  <c r="GP590"/>
  <c r="GQ590"/>
  <c r="GR590"/>
  <c r="R591"/>
  <c r="S591"/>
  <c r="T591"/>
  <c r="U591"/>
  <c r="V591"/>
  <c r="W591"/>
  <c r="X591"/>
  <c r="Y591"/>
  <c r="Z591"/>
  <c r="I591"/>
  <c r="AA591"/>
  <c r="AB591"/>
  <c r="J591"/>
  <c r="AC591"/>
  <c r="AD591"/>
  <c r="AE591"/>
  <c r="AF591"/>
  <c r="AG591"/>
  <c r="AH591"/>
  <c r="AI591"/>
  <c r="AJ591"/>
  <c r="AK591"/>
  <c r="AL591"/>
  <c r="AM591"/>
  <c r="AN591"/>
  <c r="AO591"/>
  <c r="AP591"/>
  <c r="AQ591"/>
  <c r="AR591"/>
  <c r="AS591"/>
  <c r="AT591"/>
  <c r="AU591"/>
  <c r="AV591"/>
  <c r="AW591"/>
  <c r="AX591"/>
  <c r="AY591"/>
  <c r="AZ591"/>
  <c r="BA591"/>
  <c r="BB591"/>
  <c r="BC591"/>
  <c r="BD591"/>
  <c r="BE591"/>
  <c r="BF591"/>
  <c r="BG591"/>
  <c r="BH591"/>
  <c r="BI591"/>
  <c r="BJ591"/>
  <c r="BK591"/>
  <c r="BL591"/>
  <c r="BM591"/>
  <c r="BN591"/>
  <c r="BO591"/>
  <c r="BP591"/>
  <c r="BQ591"/>
  <c r="BR591"/>
  <c r="BS591"/>
  <c r="BT591"/>
  <c r="BU591"/>
  <c r="BV591"/>
  <c r="BW591"/>
  <c r="BX591"/>
  <c r="BY591"/>
  <c r="BZ591"/>
  <c r="CQ591"/>
  <c r="CR591"/>
  <c r="CS591"/>
  <c r="CT591"/>
  <c r="CU591"/>
  <c r="CV591"/>
  <c r="CW591"/>
  <c r="CX591"/>
  <c r="CY591"/>
  <c r="CZ591"/>
  <c r="DA591"/>
  <c r="DB591"/>
  <c r="DC591"/>
  <c r="DD591"/>
  <c r="DE591"/>
  <c r="DF591"/>
  <c r="DG591"/>
  <c r="DH591"/>
  <c r="DI591"/>
  <c r="DJ591"/>
  <c r="DK591"/>
  <c r="DL591"/>
  <c r="DM591"/>
  <c r="DN591"/>
  <c r="DO591"/>
  <c r="DP591"/>
  <c r="DQ591"/>
  <c r="DR591"/>
  <c r="DS591"/>
  <c r="DT591"/>
  <c r="DU591"/>
  <c r="DV591"/>
  <c r="DW591"/>
  <c r="DX591"/>
  <c r="DY591"/>
  <c r="DZ591"/>
  <c r="EA591"/>
  <c r="EB591"/>
  <c r="EC591"/>
  <c r="ED591"/>
  <c r="EE591"/>
  <c r="EF591"/>
  <c r="EG591"/>
  <c r="EH591"/>
  <c r="EI591"/>
  <c r="EJ591"/>
  <c r="EK591"/>
  <c r="EL591"/>
  <c r="EM591"/>
  <c r="EN591"/>
  <c r="EO591"/>
  <c r="EP591"/>
  <c r="EQ591"/>
  <c r="ER591"/>
  <c r="ES591"/>
  <c r="ET591"/>
  <c r="EU591"/>
  <c r="EV591"/>
  <c r="EW591"/>
  <c r="EX591"/>
  <c r="EY591"/>
  <c r="EZ591"/>
  <c r="FA591"/>
  <c r="FB591"/>
  <c r="FC591"/>
  <c r="FD591"/>
  <c r="FE591"/>
  <c r="FF591"/>
  <c r="FG591"/>
  <c r="FH591"/>
  <c r="FI591"/>
  <c r="FJ591"/>
  <c r="FK591"/>
  <c r="FL591"/>
  <c r="FM591"/>
  <c r="FN591"/>
  <c r="FO591"/>
  <c r="FP591"/>
  <c r="FQ591"/>
  <c r="FR591"/>
  <c r="FS591"/>
  <c r="FT591"/>
  <c r="FU591"/>
  <c r="FV591"/>
  <c r="FW591"/>
  <c r="FX591"/>
  <c r="FY591"/>
  <c r="FZ591"/>
  <c r="GA591"/>
  <c r="GB591"/>
  <c r="GC591"/>
  <c r="GD591"/>
  <c r="GE591"/>
  <c r="GF591"/>
  <c r="GG591"/>
  <c r="GH591"/>
  <c r="GI591"/>
  <c r="GJ591"/>
  <c r="GK591"/>
  <c r="GL591"/>
  <c r="GM591"/>
  <c r="GN591"/>
  <c r="GO591"/>
  <c r="GP591"/>
  <c r="GQ591"/>
  <c r="GR591"/>
  <c r="R592"/>
  <c r="S592"/>
  <c r="T592"/>
  <c r="U592"/>
  <c r="V592"/>
  <c r="W592"/>
  <c r="X592"/>
  <c r="Y592"/>
  <c r="Z592"/>
  <c r="I592"/>
  <c r="AA592"/>
  <c r="AB592"/>
  <c r="J592"/>
  <c r="AC592"/>
  <c r="AD592"/>
  <c r="AE592"/>
  <c r="AF592"/>
  <c r="AG592"/>
  <c r="AH592"/>
  <c r="AI592"/>
  <c r="AJ592"/>
  <c r="AK592"/>
  <c r="AL592"/>
  <c r="AM592"/>
  <c r="AN592"/>
  <c r="AO592"/>
  <c r="AP592"/>
  <c r="AQ592"/>
  <c r="AR592"/>
  <c r="AS592"/>
  <c r="AT592"/>
  <c r="AU592"/>
  <c r="AV592"/>
  <c r="AW592"/>
  <c r="AX592"/>
  <c r="AY592"/>
  <c r="AZ592"/>
  <c r="BA592"/>
  <c r="BB592"/>
  <c r="BC592"/>
  <c r="BD592"/>
  <c r="BE592"/>
  <c r="BF592"/>
  <c r="BG592"/>
  <c r="BH592"/>
  <c r="BI592"/>
  <c r="BJ592"/>
  <c r="BK592"/>
  <c r="BL592"/>
  <c r="BM592"/>
  <c r="BN592"/>
  <c r="BO592"/>
  <c r="BP592"/>
  <c r="BQ592"/>
  <c r="BR592"/>
  <c r="BS592"/>
  <c r="BT592"/>
  <c r="BU592"/>
  <c r="BV592"/>
  <c r="BW592"/>
  <c r="BX592"/>
  <c r="BY592"/>
  <c r="BZ592"/>
  <c r="CQ592"/>
  <c r="CR592"/>
  <c r="CS592"/>
  <c r="CT592"/>
  <c r="CU592"/>
  <c r="CV592"/>
  <c r="CW592"/>
  <c r="CX592"/>
  <c r="CY592"/>
  <c r="CZ592"/>
  <c r="DA592"/>
  <c r="DB592"/>
  <c r="DC592"/>
  <c r="DD592"/>
  <c r="DE592"/>
  <c r="DF592"/>
  <c r="DG592"/>
  <c r="DH592"/>
  <c r="DI592"/>
  <c r="DJ592"/>
  <c r="DK592"/>
  <c r="DL592"/>
  <c r="DM592"/>
  <c r="DN592"/>
  <c r="DO592"/>
  <c r="DP592"/>
  <c r="DQ592"/>
  <c r="DR592"/>
  <c r="DS592"/>
  <c r="DT592"/>
  <c r="DU592"/>
  <c r="DV592"/>
  <c r="DW592"/>
  <c r="DX592"/>
  <c r="DY592"/>
  <c r="DZ592"/>
  <c r="EA592"/>
  <c r="EB592"/>
  <c r="EC592"/>
  <c r="ED592"/>
  <c r="EE592"/>
  <c r="EF592"/>
  <c r="EG592"/>
  <c r="EH592"/>
  <c r="EI592"/>
  <c r="EJ592"/>
  <c r="EK592"/>
  <c r="EL592"/>
  <c r="EM592"/>
  <c r="EN592"/>
  <c r="EO592"/>
  <c r="EP592"/>
  <c r="EQ592"/>
  <c r="ER592"/>
  <c r="ES592"/>
  <c r="ET592"/>
  <c r="EU592"/>
  <c r="EV592"/>
  <c r="EW592"/>
  <c r="EX592"/>
  <c r="EY592"/>
  <c r="EZ592"/>
  <c r="FA592"/>
  <c r="FB592"/>
  <c r="FC592"/>
  <c r="FD592"/>
  <c r="FE592"/>
  <c r="FF592"/>
  <c r="FG592"/>
  <c r="FH592"/>
  <c r="FI592"/>
  <c r="FJ592"/>
  <c r="FK592"/>
  <c r="FL592"/>
  <c r="FM592"/>
  <c r="FN592"/>
  <c r="FO592"/>
  <c r="FP592"/>
  <c r="FQ592"/>
  <c r="FR592"/>
  <c r="FS592"/>
  <c r="FT592"/>
  <c r="FU592"/>
  <c r="FV592"/>
  <c r="FW592"/>
  <c r="FX592"/>
  <c r="FY592"/>
  <c r="FZ592"/>
  <c r="GA592"/>
  <c r="GB592"/>
  <c r="GC592"/>
  <c r="GD592"/>
  <c r="GE592"/>
  <c r="GF592"/>
  <c r="GG592"/>
  <c r="GH592"/>
  <c r="GI592"/>
  <c r="GJ592"/>
  <c r="GK592"/>
  <c r="GL592"/>
  <c r="GM592"/>
  <c r="GN592"/>
  <c r="GO592"/>
  <c r="GP592"/>
  <c r="GQ592"/>
  <c r="GR592"/>
  <c r="R593"/>
  <c r="S593"/>
  <c r="T593"/>
  <c r="U593"/>
  <c r="V593"/>
  <c r="W593"/>
  <c r="X593"/>
  <c r="Y593"/>
  <c r="Z593"/>
  <c r="I593"/>
  <c r="AA593"/>
  <c r="AB593"/>
  <c r="J593"/>
  <c r="AC593"/>
  <c r="AD593"/>
  <c r="AE593"/>
  <c r="AF593"/>
  <c r="AG593"/>
  <c r="AH593"/>
  <c r="AI593"/>
  <c r="AJ593"/>
  <c r="AK593"/>
  <c r="AL593"/>
  <c r="AM593"/>
  <c r="AN593"/>
  <c r="AO593"/>
  <c r="AP593"/>
  <c r="AQ593"/>
  <c r="AR593"/>
  <c r="AS593"/>
  <c r="AT593"/>
  <c r="AU593"/>
  <c r="AV593"/>
  <c r="AW593"/>
  <c r="AX593"/>
  <c r="AY593"/>
  <c r="AZ593"/>
  <c r="BA593"/>
  <c r="BB593"/>
  <c r="BC593"/>
  <c r="BD593"/>
  <c r="BE593"/>
  <c r="BF593"/>
  <c r="BG593"/>
  <c r="BH593"/>
  <c r="BI593"/>
  <c r="BJ593"/>
  <c r="BK593"/>
  <c r="BL593"/>
  <c r="BM593"/>
  <c r="BN593"/>
  <c r="BO593"/>
  <c r="BP593"/>
  <c r="BQ593"/>
  <c r="BR593"/>
  <c r="BS593"/>
  <c r="BT593"/>
  <c r="BU593"/>
  <c r="BV593"/>
  <c r="BW593"/>
  <c r="BX593"/>
  <c r="BY593"/>
  <c r="BZ593"/>
  <c r="CQ593"/>
  <c r="CR593"/>
  <c r="CS593"/>
  <c r="CT593"/>
  <c r="CU593"/>
  <c r="CV593"/>
  <c r="CW593"/>
  <c r="CX593"/>
  <c r="CY593"/>
  <c r="CZ593"/>
  <c r="DA593"/>
  <c r="DB593"/>
  <c r="DC593"/>
  <c r="DD593"/>
  <c r="DE593"/>
  <c r="DF593"/>
  <c r="DG593"/>
  <c r="DH593"/>
  <c r="DI593"/>
  <c r="DJ593"/>
  <c r="DK593"/>
  <c r="DL593"/>
  <c r="DM593"/>
  <c r="DN593"/>
  <c r="DO593"/>
  <c r="DP593"/>
  <c r="DQ593"/>
  <c r="DR593"/>
  <c r="DS593"/>
  <c r="DT593"/>
  <c r="DU593"/>
  <c r="DV593"/>
  <c r="DW593"/>
  <c r="DX593"/>
  <c r="DY593"/>
  <c r="DZ593"/>
  <c r="EA593"/>
  <c r="EB593"/>
  <c r="EC593"/>
  <c r="ED593"/>
  <c r="EE593"/>
  <c r="EF593"/>
  <c r="EG593"/>
  <c r="EH593"/>
  <c r="EI593"/>
  <c r="EJ593"/>
  <c r="EK593"/>
  <c r="EL593"/>
  <c r="EM593"/>
  <c r="EN593"/>
  <c r="EO593"/>
  <c r="EP593"/>
  <c r="EQ593"/>
  <c r="ER593"/>
  <c r="ES593"/>
  <c r="ET593"/>
  <c r="EU593"/>
  <c r="EV593"/>
  <c r="EW593"/>
  <c r="EX593"/>
  <c r="EY593"/>
  <c r="EZ593"/>
  <c r="FA593"/>
  <c r="FB593"/>
  <c r="FC593"/>
  <c r="FD593"/>
  <c r="FE593"/>
  <c r="FF593"/>
  <c r="FG593"/>
  <c r="FH593"/>
  <c r="FI593"/>
  <c r="FJ593"/>
  <c r="FK593"/>
  <c r="FL593"/>
  <c r="FM593"/>
  <c r="FN593"/>
  <c r="FO593"/>
  <c r="FP593"/>
  <c r="FQ593"/>
  <c r="FR593"/>
  <c r="FS593"/>
  <c r="FT593"/>
  <c r="FU593"/>
  <c r="FV593"/>
  <c r="FW593"/>
  <c r="FX593"/>
  <c r="FY593"/>
  <c r="FZ593"/>
  <c r="GA593"/>
  <c r="GB593"/>
  <c r="GC593"/>
  <c r="GD593"/>
  <c r="GE593"/>
  <c r="GF593"/>
  <c r="GG593"/>
  <c r="GH593"/>
  <c r="GI593"/>
  <c r="GJ593"/>
  <c r="GK593"/>
  <c r="GL593"/>
  <c r="GM593"/>
  <c r="GN593"/>
  <c r="GO593"/>
  <c r="GP593"/>
  <c r="GQ593"/>
  <c r="GR593"/>
  <c r="R594"/>
  <c r="S594"/>
  <c r="T594"/>
  <c r="U594"/>
  <c r="V594"/>
  <c r="W594"/>
  <c r="X594"/>
  <c r="Y594"/>
  <c r="Z594"/>
  <c r="I594"/>
  <c r="AA594"/>
  <c r="AB594"/>
  <c r="J594"/>
  <c r="AC594"/>
  <c r="AD594"/>
  <c r="AE594"/>
  <c r="AF594"/>
  <c r="AG594"/>
  <c r="AH594"/>
  <c r="AI594"/>
  <c r="AJ594"/>
  <c r="AK594"/>
  <c r="AL594"/>
  <c r="AM594"/>
  <c r="AN594"/>
  <c r="AO594"/>
  <c r="AP594"/>
  <c r="AQ594"/>
  <c r="AR594"/>
  <c r="AS594"/>
  <c r="AT594"/>
  <c r="AU594"/>
  <c r="AV594"/>
  <c r="AW594"/>
  <c r="AX594"/>
  <c r="AY594"/>
  <c r="AZ594"/>
  <c r="BA594"/>
  <c r="BB594"/>
  <c r="BC594"/>
  <c r="BD594"/>
  <c r="BE594"/>
  <c r="BF594"/>
  <c r="BG594"/>
  <c r="BH594"/>
  <c r="BI594"/>
  <c r="BJ594"/>
  <c r="BK594"/>
  <c r="BL594"/>
  <c r="BM594"/>
  <c r="BN594"/>
  <c r="BO594"/>
  <c r="BP594"/>
  <c r="BQ594"/>
  <c r="BR594"/>
  <c r="BS594"/>
  <c r="BT594"/>
  <c r="BU594"/>
  <c r="BV594"/>
  <c r="BW594"/>
  <c r="BX594"/>
  <c r="BY594"/>
  <c r="BZ594"/>
  <c r="CQ594"/>
  <c r="CR594"/>
  <c r="CS594"/>
  <c r="CT594"/>
  <c r="CU594"/>
  <c r="CV594"/>
  <c r="CW594"/>
  <c r="CX594"/>
  <c r="CY594"/>
  <c r="CZ594"/>
  <c r="DA594"/>
  <c r="DB594"/>
  <c r="DC594"/>
  <c r="DD594"/>
  <c r="DE594"/>
  <c r="DF594"/>
  <c r="DG594"/>
  <c r="DH594"/>
  <c r="DI594"/>
  <c r="DJ594"/>
  <c r="DK594"/>
  <c r="DL594"/>
  <c r="DM594"/>
  <c r="DN594"/>
  <c r="DO594"/>
  <c r="DP594"/>
  <c r="DQ594"/>
  <c r="DR594"/>
  <c r="DS594"/>
  <c r="DT594"/>
  <c r="DU594"/>
  <c r="DV594"/>
  <c r="DW594"/>
  <c r="DX594"/>
  <c r="DY594"/>
  <c r="DZ594"/>
  <c r="EA594"/>
  <c r="EB594"/>
  <c r="EC594"/>
  <c r="ED594"/>
  <c r="EE594"/>
  <c r="EF594"/>
  <c r="EG594"/>
  <c r="EH594"/>
  <c r="EI594"/>
  <c r="EJ594"/>
  <c r="EK594"/>
  <c r="EL594"/>
  <c r="EM594"/>
  <c r="EN594"/>
  <c r="EO594"/>
  <c r="EP594"/>
  <c r="EQ594"/>
  <c r="ER594"/>
  <c r="ES594"/>
  <c r="ET594"/>
  <c r="EU594"/>
  <c r="EV594"/>
  <c r="EW594"/>
  <c r="EX594"/>
  <c r="EY594"/>
  <c r="EZ594"/>
  <c r="FA594"/>
  <c r="FB594"/>
  <c r="FC594"/>
  <c r="FD594"/>
  <c r="FE594"/>
  <c r="FF594"/>
  <c r="FG594"/>
  <c r="FH594"/>
  <c r="FI594"/>
  <c r="FJ594"/>
  <c r="FK594"/>
  <c r="FL594"/>
  <c r="FM594"/>
  <c r="FN594"/>
  <c r="FO594"/>
  <c r="FP594"/>
  <c r="FQ594"/>
  <c r="FR594"/>
  <c r="FS594"/>
  <c r="FT594"/>
  <c r="FU594"/>
  <c r="FV594"/>
  <c r="FW594"/>
  <c r="FX594"/>
  <c r="FY594"/>
  <c r="FZ594"/>
  <c r="GA594"/>
  <c r="GB594"/>
  <c r="GC594"/>
  <c r="GD594"/>
  <c r="GE594"/>
  <c r="GF594"/>
  <c r="GG594"/>
  <c r="GH594"/>
  <c r="GI594"/>
  <c r="GJ594"/>
  <c r="GK594"/>
  <c r="GL594"/>
  <c r="GM594"/>
  <c r="GN594"/>
  <c r="GO594"/>
  <c r="GP594"/>
  <c r="GQ594"/>
  <c r="GR594"/>
  <c r="R595"/>
  <c r="S595"/>
  <c r="T595"/>
  <c r="U595"/>
  <c r="V595"/>
  <c r="W595"/>
  <c r="X595"/>
  <c r="Y595"/>
  <c r="Z595"/>
  <c r="I595"/>
  <c r="AA595"/>
  <c r="AB595"/>
  <c r="J595"/>
  <c r="AC595"/>
  <c r="AD595"/>
  <c r="AE595"/>
  <c r="AF595"/>
  <c r="AG595"/>
  <c r="AH595"/>
  <c r="AI595"/>
  <c r="AJ595"/>
  <c r="AK595"/>
  <c r="AL595"/>
  <c r="AM595"/>
  <c r="AN595"/>
  <c r="AO595"/>
  <c r="AP595"/>
  <c r="AQ595"/>
  <c r="AR595"/>
  <c r="AS595"/>
  <c r="AT595"/>
  <c r="AU595"/>
  <c r="AV595"/>
  <c r="AW595"/>
  <c r="AX595"/>
  <c r="AY595"/>
  <c r="AZ595"/>
  <c r="BA595"/>
  <c r="BB595"/>
  <c r="BC595"/>
  <c r="BD595"/>
  <c r="BE595"/>
  <c r="BF595"/>
  <c r="BG595"/>
  <c r="BH595"/>
  <c r="BI595"/>
  <c r="BJ595"/>
  <c r="BK595"/>
  <c r="BL595"/>
  <c r="BM595"/>
  <c r="BN595"/>
  <c r="BO595"/>
  <c r="BP595"/>
  <c r="BQ595"/>
  <c r="BR595"/>
  <c r="BS595"/>
  <c r="BT595"/>
  <c r="BU595"/>
  <c r="BV595"/>
  <c r="BW595"/>
  <c r="BX595"/>
  <c r="BY595"/>
  <c r="BZ595"/>
  <c r="CQ595"/>
  <c r="CR595"/>
  <c r="CS595"/>
  <c r="CT595"/>
  <c r="CU595"/>
  <c r="CV595"/>
  <c r="CW595"/>
  <c r="CX595"/>
  <c r="CY595"/>
  <c r="CZ595"/>
  <c r="DA595"/>
  <c r="DB595"/>
  <c r="DC595"/>
  <c r="DD595"/>
  <c r="DE595"/>
  <c r="DF595"/>
  <c r="DG595"/>
  <c r="DH595"/>
  <c r="DI595"/>
  <c r="DJ595"/>
  <c r="DK595"/>
  <c r="DL595"/>
  <c r="DM595"/>
  <c r="DN595"/>
  <c r="DO595"/>
  <c r="DP595"/>
  <c r="DQ595"/>
  <c r="DR595"/>
  <c r="DS595"/>
  <c r="DT595"/>
  <c r="DU595"/>
  <c r="DV595"/>
  <c r="DW595"/>
  <c r="DX595"/>
  <c r="DY595"/>
  <c r="DZ595"/>
  <c r="EA595"/>
  <c r="EB595"/>
  <c r="EC595"/>
  <c r="ED595"/>
  <c r="EE595"/>
  <c r="EF595"/>
  <c r="EG595"/>
  <c r="EH595"/>
  <c r="EI595"/>
  <c r="EJ595"/>
  <c r="EK595"/>
  <c r="EL595"/>
  <c r="EM595"/>
  <c r="EN595"/>
  <c r="EO595"/>
  <c r="EP595"/>
  <c r="EQ595"/>
  <c r="ER595"/>
  <c r="ES595"/>
  <c r="ET595"/>
  <c r="EU595"/>
  <c r="EV595"/>
  <c r="EW595"/>
  <c r="EX595"/>
  <c r="EY595"/>
  <c r="EZ595"/>
  <c r="FA595"/>
  <c r="FB595"/>
  <c r="FC595"/>
  <c r="FD595"/>
  <c r="FE595"/>
  <c r="FF595"/>
  <c r="FG595"/>
  <c r="FH595"/>
  <c r="FI595"/>
  <c r="FJ595"/>
  <c r="FK595"/>
  <c r="FL595"/>
  <c r="FM595"/>
  <c r="FN595"/>
  <c r="FO595"/>
  <c r="FP595"/>
  <c r="FQ595"/>
  <c r="FR595"/>
  <c r="FS595"/>
  <c r="FT595"/>
  <c r="FU595"/>
  <c r="FV595"/>
  <c r="FW595"/>
  <c r="FX595"/>
  <c r="FY595"/>
  <c r="FZ595"/>
  <c r="GA595"/>
  <c r="GB595"/>
  <c r="GC595"/>
  <c r="GD595"/>
  <c r="GE595"/>
  <c r="GF595"/>
  <c r="GG595"/>
  <c r="GH595"/>
  <c r="GI595"/>
  <c r="GJ595"/>
  <c r="GK595"/>
  <c r="GL595"/>
  <c r="GM595"/>
  <c r="GN595"/>
  <c r="GO595"/>
  <c r="GP595"/>
  <c r="GQ595"/>
  <c r="GR595"/>
  <c r="R596"/>
  <c r="S596"/>
  <c r="T596"/>
  <c r="U596"/>
  <c r="V596"/>
  <c r="W596"/>
  <c r="X596"/>
  <c r="Y596"/>
  <c r="Z596"/>
  <c r="I596"/>
  <c r="AA596"/>
  <c r="AB596"/>
  <c r="J596"/>
  <c r="AC596"/>
  <c r="AD596"/>
  <c r="AE596"/>
  <c r="AF596"/>
  <c r="AG596"/>
  <c r="AH596"/>
  <c r="AI596"/>
  <c r="AJ596"/>
  <c r="AK596"/>
  <c r="AL596"/>
  <c r="AM596"/>
  <c r="AN596"/>
  <c r="AO596"/>
  <c r="AP596"/>
  <c r="AQ596"/>
  <c r="AR596"/>
  <c r="AS596"/>
  <c r="AT596"/>
  <c r="AU596"/>
  <c r="AV596"/>
  <c r="AW596"/>
  <c r="AX596"/>
  <c r="AY596"/>
  <c r="AZ596"/>
  <c r="BA596"/>
  <c r="BB596"/>
  <c r="BC596"/>
  <c r="BD596"/>
  <c r="BE596"/>
  <c r="BF596"/>
  <c r="BG596"/>
  <c r="BH596"/>
  <c r="BI596"/>
  <c r="BJ596"/>
  <c r="BK596"/>
  <c r="BL596"/>
  <c r="BM596"/>
  <c r="BN596"/>
  <c r="BO596"/>
  <c r="BP596"/>
  <c r="BQ596"/>
  <c r="BR596"/>
  <c r="BS596"/>
  <c r="BT596"/>
  <c r="BU596"/>
  <c r="BV596"/>
  <c r="BW596"/>
  <c r="BX596"/>
  <c r="BY596"/>
  <c r="BZ596"/>
  <c r="CQ596"/>
  <c r="CR596"/>
  <c r="CS596"/>
  <c r="CT596"/>
  <c r="CU596"/>
  <c r="CV596"/>
  <c r="CW596"/>
  <c r="CX596"/>
  <c r="CY596"/>
  <c r="CZ596"/>
  <c r="DA596"/>
  <c r="DB596"/>
  <c r="DC596"/>
  <c r="DD596"/>
  <c r="DE596"/>
  <c r="DF596"/>
  <c r="DG596"/>
  <c r="DH596"/>
  <c r="DI596"/>
  <c r="DJ596"/>
  <c r="DK596"/>
  <c r="DL596"/>
  <c r="DM596"/>
  <c r="DN596"/>
  <c r="DO596"/>
  <c r="DP596"/>
  <c r="DQ596"/>
  <c r="DR596"/>
  <c r="DS596"/>
  <c r="DT596"/>
  <c r="DU596"/>
  <c r="DV596"/>
  <c r="DW596"/>
  <c r="DX596"/>
  <c r="DY596"/>
  <c r="DZ596"/>
  <c r="EA596"/>
  <c r="EB596"/>
  <c r="EC596"/>
  <c r="ED596"/>
  <c r="EE596"/>
  <c r="EF596"/>
  <c r="EG596"/>
  <c r="EH596"/>
  <c r="EI596"/>
  <c r="EJ596"/>
  <c r="EK596"/>
  <c r="EL596"/>
  <c r="EM596"/>
  <c r="EN596"/>
  <c r="EO596"/>
  <c r="EP596"/>
  <c r="EQ596"/>
  <c r="ER596"/>
  <c r="ES596"/>
  <c r="ET596"/>
  <c r="EU596"/>
  <c r="EV596"/>
  <c r="EW596"/>
  <c r="EX596"/>
  <c r="EY596"/>
  <c r="EZ596"/>
  <c r="FA596"/>
  <c r="FB596"/>
  <c r="FC596"/>
  <c r="FD596"/>
  <c r="FE596"/>
  <c r="FF596"/>
  <c r="FG596"/>
  <c r="FH596"/>
  <c r="FI596"/>
  <c r="FJ596"/>
  <c r="FK596"/>
  <c r="FL596"/>
  <c r="FM596"/>
  <c r="FN596"/>
  <c r="FO596"/>
  <c r="FP596"/>
  <c r="FQ596"/>
  <c r="FR596"/>
  <c r="FS596"/>
  <c r="FT596"/>
  <c r="FU596"/>
  <c r="FV596"/>
  <c r="FW596"/>
  <c r="FX596"/>
  <c r="FY596"/>
  <c r="FZ596"/>
  <c r="GA596"/>
  <c r="GB596"/>
  <c r="GC596"/>
  <c r="GD596"/>
  <c r="GE596"/>
  <c r="GF596"/>
  <c r="GG596"/>
  <c r="GH596"/>
  <c r="GI596"/>
  <c r="GJ596"/>
  <c r="GK596"/>
  <c r="GL596"/>
  <c r="GM596"/>
  <c r="GN596"/>
  <c r="GO596"/>
  <c r="GP596"/>
  <c r="GQ596"/>
  <c r="GR596"/>
  <c r="R597"/>
  <c r="S597"/>
  <c r="T597"/>
  <c r="U597"/>
  <c r="V597"/>
  <c r="W597"/>
  <c r="X597"/>
  <c r="Y597"/>
  <c r="Z597"/>
  <c r="I597"/>
  <c r="AA597"/>
  <c r="AB597"/>
  <c r="J597"/>
  <c r="AC597"/>
  <c r="AD597"/>
  <c r="AE597"/>
  <c r="AF597"/>
  <c r="AG597"/>
  <c r="AH597"/>
  <c r="AI597"/>
  <c r="AJ597"/>
  <c r="AK597"/>
  <c r="AL597"/>
  <c r="AM597"/>
  <c r="AN597"/>
  <c r="AO597"/>
  <c r="AP597"/>
  <c r="AQ597"/>
  <c r="AR597"/>
  <c r="AS597"/>
  <c r="AT597"/>
  <c r="AU597"/>
  <c r="AV597"/>
  <c r="AW597"/>
  <c r="AX597"/>
  <c r="AY597"/>
  <c r="AZ597"/>
  <c r="BA597"/>
  <c r="BB597"/>
  <c r="BC597"/>
  <c r="BD597"/>
  <c r="BE597"/>
  <c r="BF597"/>
  <c r="BG597"/>
  <c r="BH597"/>
  <c r="BI597"/>
  <c r="BJ597"/>
  <c r="BK597"/>
  <c r="BL597"/>
  <c r="BM597"/>
  <c r="BN597"/>
  <c r="BO597"/>
  <c r="BP597"/>
  <c r="BQ597"/>
  <c r="BR597"/>
  <c r="BS597"/>
  <c r="BT597"/>
  <c r="BU597"/>
  <c r="BV597"/>
  <c r="BW597"/>
  <c r="BX597"/>
  <c r="BY597"/>
  <c r="BZ597"/>
  <c r="CQ597"/>
  <c r="CR597"/>
  <c r="CS597"/>
  <c r="CT597"/>
  <c r="CU597"/>
  <c r="CV597"/>
  <c r="CW597"/>
  <c r="CX597"/>
  <c r="CY597"/>
  <c r="CZ597"/>
  <c r="DA597"/>
  <c r="DB597"/>
  <c r="DC597"/>
  <c r="DD597"/>
  <c r="DE597"/>
  <c r="DF597"/>
  <c r="DG597"/>
  <c r="DH597"/>
  <c r="DI597"/>
  <c r="DJ597"/>
  <c r="DK597"/>
  <c r="DL597"/>
  <c r="DM597"/>
  <c r="DN597"/>
  <c r="DO597"/>
  <c r="DP597"/>
  <c r="DQ597"/>
  <c r="DR597"/>
  <c r="DS597"/>
  <c r="DT597"/>
  <c r="DU597"/>
  <c r="DV597"/>
  <c r="DW597"/>
  <c r="DX597"/>
  <c r="DY597"/>
  <c r="DZ597"/>
  <c r="EA597"/>
  <c r="EB597"/>
  <c r="EC597"/>
  <c r="ED597"/>
  <c r="EE597"/>
  <c r="EF597"/>
  <c r="EG597"/>
  <c r="EH597"/>
  <c r="EI597"/>
  <c r="EJ597"/>
  <c r="EK597"/>
  <c r="EL597"/>
  <c r="EM597"/>
  <c r="EN597"/>
  <c r="EO597"/>
  <c r="EP597"/>
  <c r="EQ597"/>
  <c r="ER597"/>
  <c r="ES597"/>
  <c r="ET597"/>
  <c r="EU597"/>
  <c r="EV597"/>
  <c r="EW597"/>
  <c r="EX597"/>
  <c r="EY597"/>
  <c r="EZ597"/>
  <c r="FA597"/>
  <c r="FB597"/>
  <c r="FC597"/>
  <c r="FD597"/>
  <c r="FE597"/>
  <c r="FF597"/>
  <c r="FG597"/>
  <c r="FH597"/>
  <c r="FI597"/>
  <c r="FJ597"/>
  <c r="FK597"/>
  <c r="FL597"/>
  <c r="FM597"/>
  <c r="FN597"/>
  <c r="FO597"/>
  <c r="FP597"/>
  <c r="FQ597"/>
  <c r="FR597"/>
  <c r="FS597"/>
  <c r="FT597"/>
  <c r="FU597"/>
  <c r="FV597"/>
  <c r="FW597"/>
  <c r="FX597"/>
  <c r="FY597"/>
  <c r="FZ597"/>
  <c r="GA597"/>
  <c r="GB597"/>
  <c r="GC597"/>
  <c r="GD597"/>
  <c r="GE597"/>
  <c r="GF597"/>
  <c r="GG597"/>
  <c r="GH597"/>
  <c r="GI597"/>
  <c r="GJ597"/>
  <c r="GK597"/>
  <c r="GL597"/>
  <c r="GM597"/>
  <c r="GN597"/>
  <c r="GO597"/>
  <c r="GP597"/>
  <c r="GQ597"/>
  <c r="GR597"/>
  <c r="R598"/>
  <c r="S598"/>
  <c r="T598"/>
  <c r="U598"/>
  <c r="V598"/>
  <c r="W598"/>
  <c r="X598"/>
  <c r="Y598"/>
  <c r="Z598"/>
  <c r="I598"/>
  <c r="AA598"/>
  <c r="AB598"/>
  <c r="J598"/>
  <c r="AC598"/>
  <c r="AD598"/>
  <c r="AE598"/>
  <c r="AF598"/>
  <c r="AG598"/>
  <c r="AH598"/>
  <c r="AI598"/>
  <c r="AJ598"/>
  <c r="AK598"/>
  <c r="AL598"/>
  <c r="AM598"/>
  <c r="AN598"/>
  <c r="AO598"/>
  <c r="AP598"/>
  <c r="AQ598"/>
  <c r="AR598"/>
  <c r="AS598"/>
  <c r="AT598"/>
  <c r="AU598"/>
  <c r="AV598"/>
  <c r="AW598"/>
  <c r="AX598"/>
  <c r="AY598"/>
  <c r="AZ598"/>
  <c r="BA598"/>
  <c r="BB598"/>
  <c r="BC598"/>
  <c r="BD598"/>
  <c r="BE598"/>
  <c r="BF598"/>
  <c r="BG598"/>
  <c r="BH598"/>
  <c r="BI598"/>
  <c r="BJ598"/>
  <c r="BK598"/>
  <c r="BL598"/>
  <c r="BM598"/>
  <c r="BN598"/>
  <c r="BO598"/>
  <c r="BP598"/>
  <c r="BQ598"/>
  <c r="BR598"/>
  <c r="BS598"/>
  <c r="BT598"/>
  <c r="BU598"/>
  <c r="BV598"/>
  <c r="BW598"/>
  <c r="BX598"/>
  <c r="BY598"/>
  <c r="BZ598"/>
  <c r="CQ598"/>
  <c r="CR598"/>
  <c r="CS598"/>
  <c r="CT598"/>
  <c r="CU598"/>
  <c r="CV598"/>
  <c r="CW598"/>
  <c r="CX598"/>
  <c r="CY598"/>
  <c r="CZ598"/>
  <c r="DA598"/>
  <c r="DB598"/>
  <c r="DC598"/>
  <c r="DD598"/>
  <c r="DE598"/>
  <c r="DF598"/>
  <c r="DG598"/>
  <c r="DH598"/>
  <c r="DI598"/>
  <c r="DJ598"/>
  <c r="DK598"/>
  <c r="DL598"/>
  <c r="DM598"/>
  <c r="DN598"/>
  <c r="DO598"/>
  <c r="DP598"/>
  <c r="DQ598"/>
  <c r="DR598"/>
  <c r="DS598"/>
  <c r="DT598"/>
  <c r="DU598"/>
  <c r="DV598"/>
  <c r="DW598"/>
  <c r="DX598"/>
  <c r="DY598"/>
  <c r="DZ598"/>
  <c r="EA598"/>
  <c r="EB598"/>
  <c r="EC598"/>
  <c r="ED598"/>
  <c r="EE598"/>
  <c r="EF598"/>
  <c r="EG598"/>
  <c r="EH598"/>
  <c r="EI598"/>
  <c r="EJ598"/>
  <c r="EK598"/>
  <c r="EL598"/>
  <c r="EM598"/>
  <c r="EN598"/>
  <c r="EO598"/>
  <c r="EP598"/>
  <c r="EQ598"/>
  <c r="ER598"/>
  <c r="ES598"/>
  <c r="ET598"/>
  <c r="EU598"/>
  <c r="EV598"/>
  <c r="EW598"/>
  <c r="EX598"/>
  <c r="EY598"/>
  <c r="EZ598"/>
  <c r="FA598"/>
  <c r="FB598"/>
  <c r="FC598"/>
  <c r="FD598"/>
  <c r="FE598"/>
  <c r="FF598"/>
  <c r="FG598"/>
  <c r="FH598"/>
  <c r="FI598"/>
  <c r="FJ598"/>
  <c r="FK598"/>
  <c r="FL598"/>
  <c r="FM598"/>
  <c r="FN598"/>
  <c r="FO598"/>
  <c r="FP598"/>
  <c r="FQ598"/>
  <c r="FR598"/>
  <c r="FS598"/>
  <c r="FT598"/>
  <c r="FU598"/>
  <c r="FV598"/>
  <c r="FW598"/>
  <c r="FX598"/>
  <c r="FY598"/>
  <c r="FZ598"/>
  <c r="GA598"/>
  <c r="GB598"/>
  <c r="GC598"/>
  <c r="GD598"/>
  <c r="GE598"/>
  <c r="GF598"/>
  <c r="GG598"/>
  <c r="GH598"/>
  <c r="GI598"/>
  <c r="GJ598"/>
  <c r="GK598"/>
  <c r="GL598"/>
  <c r="GM598"/>
  <c r="GN598"/>
  <c r="GO598"/>
  <c r="GP598"/>
  <c r="GQ598"/>
  <c r="GR598"/>
  <c r="R599"/>
  <c r="S599"/>
  <c r="T599"/>
  <c r="U599"/>
  <c r="V599"/>
  <c r="W599"/>
  <c r="X599"/>
  <c r="Y599"/>
  <c r="Z599"/>
  <c r="I599"/>
  <c r="AA599"/>
  <c r="AB599"/>
  <c r="J599"/>
  <c r="AC599"/>
  <c r="AD599"/>
  <c r="AE599"/>
  <c r="AF599"/>
  <c r="AG599"/>
  <c r="AH599"/>
  <c r="AI599"/>
  <c r="AJ599"/>
  <c r="AK599"/>
  <c r="AL599"/>
  <c r="AM599"/>
  <c r="AN599"/>
  <c r="AO599"/>
  <c r="AP599"/>
  <c r="AQ599"/>
  <c r="AR599"/>
  <c r="AS599"/>
  <c r="AT599"/>
  <c r="AU599"/>
  <c r="AV599"/>
  <c r="AW599"/>
  <c r="AX599"/>
  <c r="AY599"/>
  <c r="AZ599"/>
  <c r="BA599"/>
  <c r="BB599"/>
  <c r="BC599"/>
  <c r="BD599"/>
  <c r="BE599"/>
  <c r="BF599"/>
  <c r="BG599"/>
  <c r="BH599"/>
  <c r="BI599"/>
  <c r="BJ599"/>
  <c r="BK599"/>
  <c r="BL599"/>
  <c r="BM599"/>
  <c r="BN599"/>
  <c r="BO599"/>
  <c r="BP599"/>
  <c r="BQ599"/>
  <c r="BR599"/>
  <c r="BS599"/>
  <c r="BT599"/>
  <c r="BU599"/>
  <c r="BV599"/>
  <c r="BW599"/>
  <c r="BX599"/>
  <c r="BY599"/>
  <c r="BZ599"/>
  <c r="CQ599"/>
  <c r="CR599"/>
  <c r="CS599"/>
  <c r="CT599"/>
  <c r="CU599"/>
  <c r="CV599"/>
  <c r="CW599"/>
  <c r="CX599"/>
  <c r="CY599"/>
  <c r="CZ599"/>
  <c r="DA599"/>
  <c r="DB599"/>
  <c r="DC599"/>
  <c r="DD599"/>
  <c r="DE599"/>
  <c r="DF599"/>
  <c r="DG599"/>
  <c r="DH599"/>
  <c r="DI599"/>
  <c r="DJ599"/>
  <c r="DK599"/>
  <c r="DL599"/>
  <c r="DM599"/>
  <c r="DN599"/>
  <c r="DO599"/>
  <c r="DP599"/>
  <c r="DQ599"/>
  <c r="DR599"/>
  <c r="DS599"/>
  <c r="DT599"/>
  <c r="DU599"/>
  <c r="DV599"/>
  <c r="DW599"/>
  <c r="DX599"/>
  <c r="DY599"/>
  <c r="DZ599"/>
  <c r="EA599"/>
  <c r="EB599"/>
  <c r="EC599"/>
  <c r="ED599"/>
  <c r="EE599"/>
  <c r="EF599"/>
  <c r="EG599"/>
  <c r="EH599"/>
  <c r="EI599"/>
  <c r="EJ599"/>
  <c r="EK599"/>
  <c r="EL599"/>
  <c r="EM599"/>
  <c r="EN599"/>
  <c r="EO599"/>
  <c r="EP599"/>
  <c r="EQ599"/>
  <c r="ER599"/>
  <c r="ES599"/>
  <c r="ET599"/>
  <c r="EU599"/>
  <c r="EV599"/>
  <c r="EW599"/>
  <c r="EX599"/>
  <c r="EY599"/>
  <c r="EZ599"/>
  <c r="FA599"/>
  <c r="FB599"/>
  <c r="FC599"/>
  <c r="FD599"/>
  <c r="FE599"/>
  <c r="FF599"/>
  <c r="FG599"/>
  <c r="FH599"/>
  <c r="FI599"/>
  <c r="FJ599"/>
  <c r="FK599"/>
  <c r="FL599"/>
  <c r="FM599"/>
  <c r="FN599"/>
  <c r="FO599"/>
  <c r="FP599"/>
  <c r="FQ599"/>
  <c r="FR599"/>
  <c r="FS599"/>
  <c r="FT599"/>
  <c r="FU599"/>
  <c r="FV599"/>
  <c r="FW599"/>
  <c r="FX599"/>
  <c r="FY599"/>
  <c r="FZ599"/>
  <c r="GA599"/>
  <c r="GB599"/>
  <c r="GC599"/>
  <c r="GD599"/>
  <c r="GE599"/>
  <c r="GF599"/>
  <c r="GG599"/>
  <c r="GH599"/>
  <c r="GI599"/>
  <c r="GJ599"/>
  <c r="GK599"/>
  <c r="GL599"/>
  <c r="GM599"/>
  <c r="GN599"/>
  <c r="GO599"/>
  <c r="GP599"/>
  <c r="GQ599"/>
  <c r="GR599"/>
  <c r="R600"/>
  <c r="S600"/>
  <c r="T600"/>
  <c r="U600"/>
  <c r="V600"/>
  <c r="W600"/>
  <c r="X600"/>
  <c r="Y600"/>
  <c r="Z600"/>
  <c r="I600"/>
  <c r="AA600"/>
  <c r="AB600"/>
  <c r="J600"/>
  <c r="AC600"/>
  <c r="AD600"/>
  <c r="AE600"/>
  <c r="AF600"/>
  <c r="AG600"/>
  <c r="AH600"/>
  <c r="AI600"/>
  <c r="AJ600"/>
  <c r="AK600"/>
  <c r="AL600"/>
  <c r="AM600"/>
  <c r="AN600"/>
  <c r="AO600"/>
  <c r="AP600"/>
  <c r="AQ600"/>
  <c r="AR600"/>
  <c r="AS600"/>
  <c r="AT600"/>
  <c r="AU600"/>
  <c r="AV600"/>
  <c r="AW600"/>
  <c r="AX600"/>
  <c r="AY600"/>
  <c r="AZ600"/>
  <c r="BA600"/>
  <c r="BB600"/>
  <c r="BC600"/>
  <c r="BD600"/>
  <c r="BE600"/>
  <c r="BF600"/>
  <c r="BG600"/>
  <c r="BH600"/>
  <c r="BI600"/>
  <c r="BJ600"/>
  <c r="BK600"/>
  <c r="BL600"/>
  <c r="BM600"/>
  <c r="BN600"/>
  <c r="BO600"/>
  <c r="BP600"/>
  <c r="BQ600"/>
  <c r="BR600"/>
  <c r="BS600"/>
  <c r="BT600"/>
  <c r="BU600"/>
  <c r="BV600"/>
  <c r="BW600"/>
  <c r="BX600"/>
  <c r="BY600"/>
  <c r="BZ600"/>
  <c r="CQ600"/>
  <c r="CR600"/>
  <c r="CS600"/>
  <c r="CT600"/>
  <c r="CU600"/>
  <c r="CV600"/>
  <c r="CW600"/>
  <c r="CX600"/>
  <c r="CY600"/>
  <c r="CZ600"/>
  <c r="DA600"/>
  <c r="DB600"/>
  <c r="DC600"/>
  <c r="DD600"/>
  <c r="DE600"/>
  <c r="DF600"/>
  <c r="DG600"/>
  <c r="DH600"/>
  <c r="DI600"/>
  <c r="DJ600"/>
  <c r="DK600"/>
  <c r="DL600"/>
  <c r="DM600"/>
  <c r="DN600"/>
  <c r="DO600"/>
  <c r="DP600"/>
  <c r="DQ600"/>
  <c r="DR600"/>
  <c r="DS600"/>
  <c r="DT600"/>
  <c r="DU600"/>
  <c r="DV600"/>
  <c r="DW600"/>
  <c r="DX600"/>
  <c r="DY600"/>
  <c r="DZ600"/>
  <c r="EA600"/>
  <c r="EB600"/>
  <c r="EC600"/>
  <c r="ED600"/>
  <c r="EE600"/>
  <c r="EF600"/>
  <c r="EG600"/>
  <c r="EH600"/>
  <c r="EI600"/>
  <c r="EJ600"/>
  <c r="EK600"/>
  <c r="EL600"/>
  <c r="EM600"/>
  <c r="EN600"/>
  <c r="EO600"/>
  <c r="EP600"/>
  <c r="EQ600"/>
  <c r="ER600"/>
  <c r="ES600"/>
  <c r="ET600"/>
  <c r="EU600"/>
  <c r="EV600"/>
  <c r="EW600"/>
  <c r="EX600"/>
  <c r="EY600"/>
  <c r="EZ600"/>
  <c r="FA600"/>
  <c r="FB600"/>
  <c r="FC600"/>
  <c r="FD600"/>
  <c r="FE600"/>
  <c r="FF600"/>
  <c r="FG600"/>
  <c r="FH600"/>
  <c r="FI600"/>
  <c r="FJ600"/>
  <c r="FK600"/>
  <c r="FL600"/>
  <c r="FM600"/>
  <c r="FN600"/>
  <c r="FO600"/>
  <c r="FP600"/>
  <c r="FQ600"/>
  <c r="FR600"/>
  <c r="FS600"/>
  <c r="FT600"/>
  <c r="FU600"/>
  <c r="FV600"/>
  <c r="FW600"/>
  <c r="FX600"/>
  <c r="FY600"/>
  <c r="FZ600"/>
  <c r="GA600"/>
  <c r="GB600"/>
  <c r="GC600"/>
  <c r="GD600"/>
  <c r="GE600"/>
  <c r="GF600"/>
  <c r="GG600"/>
  <c r="GH600"/>
  <c r="GI600"/>
  <c r="GJ600"/>
  <c r="GK600"/>
  <c r="GL600"/>
  <c r="GM600"/>
  <c r="GN600"/>
  <c r="GO600"/>
  <c r="GP600"/>
  <c r="GQ600"/>
  <c r="GR600"/>
  <c r="R601"/>
  <c r="S601"/>
  <c r="T601"/>
  <c r="U601"/>
  <c r="V601"/>
  <c r="W601"/>
  <c r="X601"/>
  <c r="Y601"/>
  <c r="Z601"/>
  <c r="I601"/>
  <c r="AA601"/>
  <c r="AB601"/>
  <c r="J601"/>
  <c r="AC601"/>
  <c r="AD601"/>
  <c r="AE601"/>
  <c r="AF601"/>
  <c r="AG601"/>
  <c r="AH601"/>
  <c r="AI601"/>
  <c r="AJ601"/>
  <c r="AK601"/>
  <c r="AL601"/>
  <c r="AM601"/>
  <c r="AN601"/>
  <c r="AO601"/>
  <c r="AP601"/>
  <c r="AQ601"/>
  <c r="AR601"/>
  <c r="AS601"/>
  <c r="AT601"/>
  <c r="AU601"/>
  <c r="AV601"/>
  <c r="AW601"/>
  <c r="AX601"/>
  <c r="AY601"/>
  <c r="AZ601"/>
  <c r="BA601"/>
  <c r="BB601"/>
  <c r="BC601"/>
  <c r="BD601"/>
  <c r="BE601"/>
  <c r="BF601"/>
  <c r="BG601"/>
  <c r="BH601"/>
  <c r="BI601"/>
  <c r="BJ601"/>
  <c r="BK601"/>
  <c r="BL601"/>
  <c r="BM601"/>
  <c r="BN601"/>
  <c r="BO601"/>
  <c r="BP601"/>
  <c r="BQ601"/>
  <c r="BR601"/>
  <c r="BS601"/>
  <c r="BT601"/>
  <c r="BU601"/>
  <c r="BV601"/>
  <c r="BW601"/>
  <c r="BX601"/>
  <c r="BY601"/>
  <c r="BZ601"/>
  <c r="CQ601"/>
  <c r="CR601"/>
  <c r="CS601"/>
  <c r="CT601"/>
  <c r="CU601"/>
  <c r="CV601"/>
  <c r="CW601"/>
  <c r="CX601"/>
  <c r="CY601"/>
  <c r="CZ601"/>
  <c r="DA601"/>
  <c r="DB601"/>
  <c r="DC601"/>
  <c r="DD601"/>
  <c r="DE601"/>
  <c r="DF601"/>
  <c r="DG601"/>
  <c r="DH601"/>
  <c r="DI601"/>
  <c r="DJ601"/>
  <c r="DK601"/>
  <c r="DL601"/>
  <c r="DM601"/>
  <c r="DN601"/>
  <c r="DO601"/>
  <c r="DP601"/>
  <c r="DQ601"/>
  <c r="DR601"/>
  <c r="DS601"/>
  <c r="DT601"/>
  <c r="DU601"/>
  <c r="DV601"/>
  <c r="DW601"/>
  <c r="DX601"/>
  <c r="DY601"/>
  <c r="DZ601"/>
  <c r="EA601"/>
  <c r="EB601"/>
  <c r="EC601"/>
  <c r="ED601"/>
  <c r="EE601"/>
  <c r="EF601"/>
  <c r="EG601"/>
  <c r="EH601"/>
  <c r="EI601"/>
  <c r="EJ601"/>
  <c r="EK601"/>
  <c r="EL601"/>
  <c r="EM601"/>
  <c r="EN601"/>
  <c r="EO601"/>
  <c r="EP601"/>
  <c r="EQ601"/>
  <c r="ER601"/>
  <c r="ES601"/>
  <c r="ET601"/>
  <c r="EU601"/>
  <c r="EV601"/>
  <c r="EW601"/>
  <c r="EX601"/>
  <c r="EY601"/>
  <c r="EZ601"/>
  <c r="FA601"/>
  <c r="FB601"/>
  <c r="FC601"/>
  <c r="FD601"/>
  <c r="FE601"/>
  <c r="FF601"/>
  <c r="FG601"/>
  <c r="FH601"/>
  <c r="FI601"/>
  <c r="FJ601"/>
  <c r="FK601"/>
  <c r="FL601"/>
  <c r="FM601"/>
  <c r="FN601"/>
  <c r="FO601"/>
  <c r="FP601"/>
  <c r="FQ601"/>
  <c r="FR601"/>
  <c r="FS601"/>
  <c r="FT601"/>
  <c r="FU601"/>
  <c r="FV601"/>
  <c r="FW601"/>
  <c r="FX601"/>
  <c r="FY601"/>
  <c r="FZ601"/>
  <c r="GA601"/>
  <c r="GB601"/>
  <c r="GC601"/>
  <c r="GD601"/>
  <c r="GE601"/>
  <c r="GF601"/>
  <c r="GG601"/>
  <c r="GH601"/>
  <c r="GI601"/>
  <c r="GJ601"/>
  <c r="GK601"/>
  <c r="GL601"/>
  <c r="GM601"/>
  <c r="GN601"/>
  <c r="GO601"/>
  <c r="GP601"/>
  <c r="GQ601"/>
  <c r="GR601"/>
  <c r="R602"/>
  <c r="S602"/>
  <c r="T602"/>
  <c r="U602"/>
  <c r="V602"/>
  <c r="W602"/>
  <c r="X602"/>
  <c r="Y602"/>
  <c r="Z602"/>
  <c r="I602"/>
  <c r="AA602"/>
  <c r="AB602"/>
  <c r="J602"/>
  <c r="AC602"/>
  <c r="AD602"/>
  <c r="AE602"/>
  <c r="AF602"/>
  <c r="AG602"/>
  <c r="AH602"/>
  <c r="AI602"/>
  <c r="AJ602"/>
  <c r="AK602"/>
  <c r="AL602"/>
  <c r="AM602"/>
  <c r="AN602"/>
  <c r="AO602"/>
  <c r="AP602"/>
  <c r="AQ602"/>
  <c r="AR602"/>
  <c r="AS602"/>
  <c r="AT602"/>
  <c r="AU602"/>
  <c r="AV602"/>
  <c r="AW602"/>
  <c r="AX602"/>
  <c r="AY602"/>
  <c r="AZ602"/>
  <c r="BA602"/>
  <c r="BB602"/>
  <c r="BC602"/>
  <c r="BD602"/>
  <c r="BE602"/>
  <c r="BF602"/>
  <c r="BG602"/>
  <c r="BH602"/>
  <c r="BI602"/>
  <c r="BJ602"/>
  <c r="BK602"/>
  <c r="BL602"/>
  <c r="BM602"/>
  <c r="BN602"/>
  <c r="BO602"/>
  <c r="BP602"/>
  <c r="BQ602"/>
  <c r="BR602"/>
  <c r="BS602"/>
  <c r="BT602"/>
  <c r="BU602"/>
  <c r="BV602"/>
  <c r="BW602"/>
  <c r="BX602"/>
  <c r="BY602"/>
  <c r="BZ602"/>
  <c r="CQ602"/>
  <c r="CR602"/>
  <c r="CS602"/>
  <c r="CT602"/>
  <c r="CU602"/>
  <c r="CV602"/>
  <c r="CW602"/>
  <c r="CX602"/>
  <c r="CY602"/>
  <c r="CZ602"/>
  <c r="DA602"/>
  <c r="DB602"/>
  <c r="DC602"/>
  <c r="DD602"/>
  <c r="DE602"/>
  <c r="DF602"/>
  <c r="DG602"/>
  <c r="DH602"/>
  <c r="DI602"/>
  <c r="DJ602"/>
  <c r="DK602"/>
  <c r="DL602"/>
  <c r="DM602"/>
  <c r="DN602"/>
  <c r="DO602"/>
  <c r="DP602"/>
  <c r="DQ602"/>
  <c r="DR602"/>
  <c r="DS602"/>
  <c r="DT602"/>
  <c r="DU602"/>
  <c r="DV602"/>
  <c r="DW602"/>
  <c r="DX602"/>
  <c r="DY602"/>
  <c r="DZ602"/>
  <c r="EA602"/>
  <c r="EB602"/>
  <c r="EC602"/>
  <c r="ED602"/>
  <c r="EE602"/>
  <c r="EF602"/>
  <c r="EG602"/>
  <c r="EH602"/>
  <c r="EI602"/>
  <c r="EJ602"/>
  <c r="EK602"/>
  <c r="EL602"/>
  <c r="EM602"/>
  <c r="EN602"/>
  <c r="EO602"/>
  <c r="EP602"/>
  <c r="EQ602"/>
  <c r="ER602"/>
  <c r="ES602"/>
  <c r="ET602"/>
  <c r="EU602"/>
  <c r="EV602"/>
  <c r="EW602"/>
  <c r="EX602"/>
  <c r="EY602"/>
  <c r="EZ602"/>
  <c r="FA602"/>
  <c r="FB602"/>
  <c r="FC602"/>
  <c r="FD602"/>
  <c r="FE602"/>
  <c r="FF602"/>
  <c r="FG602"/>
  <c r="FH602"/>
  <c r="FI602"/>
  <c r="FJ602"/>
  <c r="FK602"/>
  <c r="FL602"/>
  <c r="FM602"/>
  <c r="FN602"/>
  <c r="FO602"/>
  <c r="FP602"/>
  <c r="FQ602"/>
  <c r="FR602"/>
  <c r="FS602"/>
  <c r="FT602"/>
  <c r="FU602"/>
  <c r="FV602"/>
  <c r="FW602"/>
  <c r="FX602"/>
  <c r="FY602"/>
  <c r="FZ602"/>
  <c r="GA602"/>
  <c r="GB602"/>
  <c r="GC602"/>
  <c r="GD602"/>
  <c r="GE602"/>
  <c r="GF602"/>
  <c r="GG602"/>
  <c r="GH602"/>
  <c r="GI602"/>
  <c r="GJ602"/>
  <c r="GK602"/>
  <c r="GL602"/>
  <c r="GM602"/>
  <c r="GN602"/>
  <c r="GO602"/>
  <c r="GP602"/>
  <c r="GQ602"/>
  <c r="GR602"/>
  <c r="R603"/>
  <c r="S603"/>
  <c r="T603"/>
  <c r="U603"/>
  <c r="V603"/>
  <c r="W603"/>
  <c r="X603"/>
  <c r="Y603"/>
  <c r="Z603"/>
  <c r="I603"/>
  <c r="AA603"/>
  <c r="AB603"/>
  <c r="J603"/>
  <c r="AC603"/>
  <c r="AD603"/>
  <c r="AE603"/>
  <c r="AF603"/>
  <c r="AG603"/>
  <c r="AH603"/>
  <c r="AI603"/>
  <c r="AJ603"/>
  <c r="AK603"/>
  <c r="AL603"/>
  <c r="AM603"/>
  <c r="AN603"/>
  <c r="AO603"/>
  <c r="AP603"/>
  <c r="AQ603"/>
  <c r="AR603"/>
  <c r="AS603"/>
  <c r="AT603"/>
  <c r="AU603"/>
  <c r="AV603"/>
  <c r="AW603"/>
  <c r="AX603"/>
  <c r="AY603"/>
  <c r="AZ603"/>
  <c r="BA603"/>
  <c r="BB603"/>
  <c r="BC603"/>
  <c r="BD603"/>
  <c r="BE603"/>
  <c r="BF603"/>
  <c r="BG603"/>
  <c r="BH603"/>
  <c r="BI603"/>
  <c r="BJ603"/>
  <c r="BK603"/>
  <c r="BL603"/>
  <c r="BM603"/>
  <c r="BN603"/>
  <c r="BO603"/>
  <c r="BP603"/>
  <c r="BQ603"/>
  <c r="BR603"/>
  <c r="BS603"/>
  <c r="BT603"/>
  <c r="BU603"/>
  <c r="BV603"/>
  <c r="BW603"/>
  <c r="BX603"/>
  <c r="BY603"/>
  <c r="BZ603"/>
  <c r="CQ603"/>
  <c r="CR603"/>
  <c r="CS603"/>
  <c r="CT603"/>
  <c r="CU603"/>
  <c r="CV603"/>
  <c r="CW603"/>
  <c r="CX603"/>
  <c r="CY603"/>
  <c r="CZ603"/>
  <c r="DA603"/>
  <c r="DB603"/>
  <c r="DC603"/>
  <c r="DD603"/>
  <c r="DE603"/>
  <c r="DF603"/>
  <c r="DG603"/>
  <c r="DH603"/>
  <c r="DI603"/>
  <c r="DJ603"/>
  <c r="DK603"/>
  <c r="DL603"/>
  <c r="DM603"/>
  <c r="DN603"/>
  <c r="DO603"/>
  <c r="DP603"/>
  <c r="DQ603"/>
  <c r="DR603"/>
  <c r="DS603"/>
  <c r="DT603"/>
  <c r="DU603"/>
  <c r="DV603"/>
  <c r="DW603"/>
  <c r="DX603"/>
  <c r="DY603"/>
  <c r="DZ603"/>
  <c r="EA603"/>
  <c r="EB603"/>
  <c r="EC603"/>
  <c r="ED603"/>
  <c r="EE603"/>
  <c r="EF603"/>
  <c r="EG603"/>
  <c r="EH603"/>
  <c r="EI603"/>
  <c r="EJ603"/>
  <c r="EK603"/>
  <c r="EL603"/>
  <c r="EM603"/>
  <c r="EN603"/>
  <c r="EO603"/>
  <c r="EP603"/>
  <c r="EQ603"/>
  <c r="ER603"/>
  <c r="ES603"/>
  <c r="ET603"/>
  <c r="EU603"/>
  <c r="EV603"/>
  <c r="EW603"/>
  <c r="EX603"/>
  <c r="EY603"/>
  <c r="EZ603"/>
  <c r="FA603"/>
  <c r="FB603"/>
  <c r="FC603"/>
  <c r="FD603"/>
  <c r="FE603"/>
  <c r="FF603"/>
  <c r="FG603"/>
  <c r="FH603"/>
  <c r="FI603"/>
  <c r="FJ603"/>
  <c r="FK603"/>
  <c r="FL603"/>
  <c r="FM603"/>
  <c r="FN603"/>
  <c r="FO603"/>
  <c r="FP603"/>
  <c r="FQ603"/>
  <c r="FR603"/>
  <c r="FS603"/>
  <c r="FT603"/>
  <c r="FU603"/>
  <c r="FV603"/>
  <c r="FW603"/>
  <c r="FX603"/>
  <c r="FY603"/>
  <c r="FZ603"/>
  <c r="GA603"/>
  <c r="GB603"/>
  <c r="GC603"/>
  <c r="GD603"/>
  <c r="GE603"/>
  <c r="GF603"/>
  <c r="GG603"/>
  <c r="GH603"/>
  <c r="GI603"/>
  <c r="GJ603"/>
  <c r="GK603"/>
  <c r="GL603"/>
  <c r="GM603"/>
  <c r="GN603"/>
  <c r="GO603"/>
  <c r="GP603"/>
  <c r="GQ603"/>
  <c r="GR603"/>
  <c r="R604"/>
  <c r="S604"/>
  <c r="T604"/>
  <c r="U604"/>
  <c r="V604"/>
  <c r="W604"/>
  <c r="X604"/>
  <c r="Y604"/>
  <c r="Z604"/>
  <c r="I604"/>
  <c r="AA604"/>
  <c r="AB604"/>
  <c r="J604"/>
  <c r="AC604"/>
  <c r="AD604"/>
  <c r="AE604"/>
  <c r="AF604"/>
  <c r="AG604"/>
  <c r="AH604"/>
  <c r="AI604"/>
  <c r="AJ604"/>
  <c r="AK604"/>
  <c r="AL604"/>
  <c r="AM604"/>
  <c r="AN604"/>
  <c r="AO604"/>
  <c r="AP604"/>
  <c r="AQ604"/>
  <c r="AR604"/>
  <c r="AS604"/>
  <c r="AT604"/>
  <c r="AU604"/>
  <c r="AV604"/>
  <c r="AW604"/>
  <c r="AX604"/>
  <c r="AY604"/>
  <c r="AZ604"/>
  <c r="BA604"/>
  <c r="BB604"/>
  <c r="BC604"/>
  <c r="BD604"/>
  <c r="BE604"/>
  <c r="BF604"/>
  <c r="BG604"/>
  <c r="BH604"/>
  <c r="BI604"/>
  <c r="BJ604"/>
  <c r="BK604"/>
  <c r="BL604"/>
  <c r="BM604"/>
  <c r="BN604"/>
  <c r="BO604"/>
  <c r="BP604"/>
  <c r="BQ604"/>
  <c r="BR604"/>
  <c r="BS604"/>
  <c r="BT604"/>
  <c r="BU604"/>
  <c r="BV604"/>
  <c r="BW604"/>
  <c r="BX604"/>
  <c r="BY604"/>
  <c r="BZ604"/>
  <c r="CQ604"/>
  <c r="CR604"/>
  <c r="CS604"/>
  <c r="CT604"/>
  <c r="CU604"/>
  <c r="CV604"/>
  <c r="CW604"/>
  <c r="CX604"/>
  <c r="CY604"/>
  <c r="CZ604"/>
  <c r="DA604"/>
  <c r="DB604"/>
  <c r="DC604"/>
  <c r="DD604"/>
  <c r="DE604"/>
  <c r="DF604"/>
  <c r="DG604"/>
  <c r="DH604"/>
  <c r="DI604"/>
  <c r="DJ604"/>
  <c r="DK604"/>
  <c r="DL604"/>
  <c r="DM604"/>
  <c r="DN604"/>
  <c r="DO604"/>
  <c r="DP604"/>
  <c r="DQ604"/>
  <c r="DR604"/>
  <c r="DS604"/>
  <c r="DT604"/>
  <c r="DU604"/>
  <c r="DV604"/>
  <c r="DW604"/>
  <c r="DX604"/>
  <c r="DY604"/>
  <c r="DZ604"/>
  <c r="EA604"/>
  <c r="EB604"/>
  <c r="EC604"/>
  <c r="ED604"/>
  <c r="EE604"/>
  <c r="EF604"/>
  <c r="EG604"/>
  <c r="EH604"/>
  <c r="EI604"/>
  <c r="EJ604"/>
  <c r="EK604"/>
  <c r="EL604"/>
  <c r="EM604"/>
  <c r="EN604"/>
  <c r="EO604"/>
  <c r="EP604"/>
  <c r="EQ604"/>
  <c r="ER604"/>
  <c r="ES604"/>
  <c r="ET604"/>
  <c r="EU604"/>
  <c r="EV604"/>
  <c r="EW604"/>
  <c r="EX604"/>
  <c r="EY604"/>
  <c r="EZ604"/>
  <c r="FA604"/>
  <c r="FB604"/>
  <c r="FC604"/>
  <c r="FD604"/>
  <c r="FE604"/>
  <c r="FF604"/>
  <c r="FG604"/>
  <c r="FH604"/>
  <c r="FI604"/>
  <c r="FJ604"/>
  <c r="FK604"/>
  <c r="FL604"/>
  <c r="FM604"/>
  <c r="FN604"/>
  <c r="FO604"/>
  <c r="FP604"/>
  <c r="FQ604"/>
  <c r="FR604"/>
  <c r="FS604"/>
  <c r="FT604"/>
  <c r="FU604"/>
  <c r="FV604"/>
  <c r="FW604"/>
  <c r="FX604"/>
  <c r="FY604"/>
  <c r="FZ604"/>
  <c r="GA604"/>
  <c r="GB604"/>
  <c r="GC604"/>
  <c r="GD604"/>
  <c r="GE604"/>
  <c r="GF604"/>
  <c r="GG604"/>
  <c r="GH604"/>
  <c r="GI604"/>
  <c r="GJ604"/>
  <c r="GK604"/>
  <c r="GL604"/>
  <c r="GM604"/>
  <c r="GN604"/>
  <c r="GO604"/>
  <c r="GP604"/>
  <c r="GQ604"/>
  <c r="GR604"/>
  <c r="R605"/>
  <c r="S605"/>
  <c r="T605"/>
  <c r="U605"/>
  <c r="V605"/>
  <c r="W605"/>
  <c r="X605"/>
  <c r="Y605"/>
  <c r="Z605"/>
  <c r="I605"/>
  <c r="AA605"/>
  <c r="AB605"/>
  <c r="J605"/>
  <c r="AC605"/>
  <c r="AD605"/>
  <c r="AE605"/>
  <c r="AF605"/>
  <c r="AG605"/>
  <c r="AH605"/>
  <c r="AI605"/>
  <c r="AJ605"/>
  <c r="AK605"/>
  <c r="AL605"/>
  <c r="AM605"/>
  <c r="AN605"/>
  <c r="AO605"/>
  <c r="AP605"/>
  <c r="AQ605"/>
  <c r="AR605"/>
  <c r="AS605"/>
  <c r="AT605"/>
  <c r="AU605"/>
  <c r="AV605"/>
  <c r="AW605"/>
  <c r="AX605"/>
  <c r="AY605"/>
  <c r="AZ605"/>
  <c r="BA605"/>
  <c r="BB605"/>
  <c r="BC605"/>
  <c r="BD605"/>
  <c r="BE605"/>
  <c r="BF605"/>
  <c r="BG605"/>
  <c r="BH605"/>
  <c r="BI605"/>
  <c r="BJ605"/>
  <c r="BK605"/>
  <c r="BL605"/>
  <c r="BM605"/>
  <c r="BN605"/>
  <c r="BO605"/>
  <c r="BP605"/>
  <c r="BQ605"/>
  <c r="BR605"/>
  <c r="BS605"/>
  <c r="BT605"/>
  <c r="BU605"/>
  <c r="BV605"/>
  <c r="BW605"/>
  <c r="BX605"/>
  <c r="BY605"/>
  <c r="BZ605"/>
  <c r="CQ605"/>
  <c r="CR605"/>
  <c r="CS605"/>
  <c r="CT605"/>
  <c r="CU605"/>
  <c r="CV605"/>
  <c r="CW605"/>
  <c r="CX605"/>
  <c r="CY605"/>
  <c r="CZ605"/>
  <c r="DA605"/>
  <c r="DB605"/>
  <c r="DC605"/>
  <c r="DD605"/>
  <c r="DE605"/>
  <c r="DF605"/>
  <c r="DG605"/>
  <c r="DH605"/>
  <c r="DI605"/>
  <c r="DJ605"/>
  <c r="DK605"/>
  <c r="DL605"/>
  <c r="DM605"/>
  <c r="DN605"/>
  <c r="DO605"/>
  <c r="DP605"/>
  <c r="DQ605"/>
  <c r="DR605"/>
  <c r="DS605"/>
  <c r="DT605"/>
  <c r="DU605"/>
  <c r="DV605"/>
  <c r="DW605"/>
  <c r="DX605"/>
  <c r="DY605"/>
  <c r="DZ605"/>
  <c r="EA605"/>
  <c r="EB605"/>
  <c r="EC605"/>
  <c r="ED605"/>
  <c r="EE605"/>
  <c r="EF605"/>
  <c r="EG605"/>
  <c r="EH605"/>
  <c r="EI605"/>
  <c r="EJ605"/>
  <c r="EK605"/>
  <c r="EL605"/>
  <c r="EM605"/>
  <c r="EN605"/>
  <c r="EO605"/>
  <c r="EP605"/>
  <c r="EQ605"/>
  <c r="ER605"/>
  <c r="ES605"/>
  <c r="ET605"/>
  <c r="EU605"/>
  <c r="EV605"/>
  <c r="EW605"/>
  <c r="EX605"/>
  <c r="EY605"/>
  <c r="EZ605"/>
  <c r="FA605"/>
  <c r="FB605"/>
  <c r="FC605"/>
  <c r="FD605"/>
  <c r="FE605"/>
  <c r="FF605"/>
  <c r="FG605"/>
  <c r="FH605"/>
  <c r="FI605"/>
  <c r="FJ605"/>
  <c r="FK605"/>
  <c r="FL605"/>
  <c r="FM605"/>
  <c r="FN605"/>
  <c r="FO605"/>
  <c r="FP605"/>
  <c r="FQ605"/>
  <c r="FR605"/>
  <c r="FS605"/>
  <c r="FT605"/>
  <c r="FU605"/>
  <c r="FV605"/>
  <c r="FW605"/>
  <c r="FX605"/>
  <c r="FY605"/>
  <c r="FZ605"/>
  <c r="GA605"/>
  <c r="GB605"/>
  <c r="GC605"/>
  <c r="GD605"/>
  <c r="GE605"/>
  <c r="GF605"/>
  <c r="GG605"/>
  <c r="GH605"/>
  <c r="GI605"/>
  <c r="GJ605"/>
  <c r="GK605"/>
  <c r="GL605"/>
  <c r="GM605"/>
  <c r="GN605"/>
  <c r="GO605"/>
  <c r="GP605"/>
  <c r="GQ605"/>
  <c r="GR605"/>
  <c r="R606"/>
  <c r="S606"/>
  <c r="T606"/>
  <c r="U606"/>
  <c r="V606"/>
  <c r="W606"/>
  <c r="X606"/>
  <c r="Y606"/>
  <c r="Z606"/>
  <c r="I606"/>
  <c r="AA606"/>
  <c r="AB606"/>
  <c r="J606"/>
  <c r="AC606"/>
  <c r="AD606"/>
  <c r="AE606"/>
  <c r="AF606"/>
  <c r="AG606"/>
  <c r="AH606"/>
  <c r="AI606"/>
  <c r="AJ606"/>
  <c r="AK606"/>
  <c r="AL606"/>
  <c r="AM606"/>
  <c r="AN606"/>
  <c r="AO606"/>
  <c r="AP606"/>
  <c r="AQ606"/>
  <c r="AR606"/>
  <c r="AS606"/>
  <c r="AT606"/>
  <c r="AU606"/>
  <c r="AV606"/>
  <c r="AW606"/>
  <c r="AX606"/>
  <c r="AY606"/>
  <c r="AZ606"/>
  <c r="BA606"/>
  <c r="BB606"/>
  <c r="BC606"/>
  <c r="BD606"/>
  <c r="BE606"/>
  <c r="BF606"/>
  <c r="BG606"/>
  <c r="BH606"/>
  <c r="BI606"/>
  <c r="BJ606"/>
  <c r="BK606"/>
  <c r="BL606"/>
  <c r="BM606"/>
  <c r="BN606"/>
  <c r="BO606"/>
  <c r="BP606"/>
  <c r="BQ606"/>
  <c r="BR606"/>
  <c r="BS606"/>
  <c r="BT606"/>
  <c r="BU606"/>
  <c r="BV606"/>
  <c r="BW606"/>
  <c r="BX606"/>
  <c r="BY606"/>
  <c r="BZ606"/>
  <c r="CQ606"/>
  <c r="CR606"/>
  <c r="CS606"/>
  <c r="CT606"/>
  <c r="CU606"/>
  <c r="CV606"/>
  <c r="CW606"/>
  <c r="CX606"/>
  <c r="CY606"/>
  <c r="CZ606"/>
  <c r="DA606"/>
  <c r="DB606"/>
  <c r="DC606"/>
  <c r="DD606"/>
  <c r="DE606"/>
  <c r="DF606"/>
  <c r="DG606"/>
  <c r="DH606"/>
  <c r="DI606"/>
  <c r="DJ606"/>
  <c r="DK606"/>
  <c r="DL606"/>
  <c r="DM606"/>
  <c r="DN606"/>
  <c r="DO606"/>
  <c r="DP606"/>
  <c r="DQ606"/>
  <c r="DR606"/>
  <c r="DS606"/>
  <c r="DT606"/>
  <c r="DU606"/>
  <c r="DV606"/>
  <c r="DW606"/>
  <c r="DX606"/>
  <c r="DY606"/>
  <c r="DZ606"/>
  <c r="EA606"/>
  <c r="EB606"/>
  <c r="EC606"/>
  <c r="ED606"/>
  <c r="EE606"/>
  <c r="EF606"/>
  <c r="EG606"/>
  <c r="EH606"/>
  <c r="EI606"/>
  <c r="EJ606"/>
  <c r="EK606"/>
  <c r="EL606"/>
  <c r="EM606"/>
  <c r="EN606"/>
  <c r="EO606"/>
  <c r="EP606"/>
  <c r="EQ606"/>
  <c r="ER606"/>
  <c r="ES606"/>
  <c r="ET606"/>
  <c r="EU606"/>
  <c r="EV606"/>
  <c r="EW606"/>
  <c r="EX606"/>
  <c r="EY606"/>
  <c r="EZ606"/>
  <c r="FA606"/>
  <c r="FB606"/>
  <c r="FC606"/>
  <c r="FD606"/>
  <c r="FE606"/>
  <c r="FF606"/>
  <c r="FG606"/>
  <c r="FH606"/>
  <c r="FI606"/>
  <c r="FJ606"/>
  <c r="FK606"/>
  <c r="FL606"/>
  <c r="FM606"/>
  <c r="FN606"/>
  <c r="FO606"/>
  <c r="FP606"/>
  <c r="FQ606"/>
  <c r="FR606"/>
  <c r="FS606"/>
  <c r="FT606"/>
  <c r="FU606"/>
  <c r="FV606"/>
  <c r="FW606"/>
  <c r="FX606"/>
  <c r="FY606"/>
  <c r="FZ606"/>
  <c r="GA606"/>
  <c r="GB606"/>
  <c r="GC606"/>
  <c r="GD606"/>
  <c r="GE606"/>
  <c r="GF606"/>
  <c r="GG606"/>
  <c r="GH606"/>
  <c r="GI606"/>
  <c r="GJ606"/>
  <c r="GK606"/>
  <c r="GL606"/>
  <c r="GM606"/>
  <c r="GN606"/>
  <c r="GO606"/>
  <c r="GP606"/>
  <c r="GQ606"/>
  <c r="GR606"/>
  <c r="R607"/>
  <c r="S607"/>
  <c r="T607"/>
  <c r="U607"/>
  <c r="V607"/>
  <c r="W607"/>
  <c r="X607"/>
  <c r="Y607"/>
  <c r="Z607"/>
  <c r="I607"/>
  <c r="AA607"/>
  <c r="AB607"/>
  <c r="J607"/>
  <c r="AC607"/>
  <c r="AD607"/>
  <c r="AE607"/>
  <c r="AF607"/>
  <c r="AG607"/>
  <c r="AH607"/>
  <c r="AI607"/>
  <c r="AJ607"/>
  <c r="AK607"/>
  <c r="AL607"/>
  <c r="AM607"/>
  <c r="AN607"/>
  <c r="AO607"/>
  <c r="AP607"/>
  <c r="AQ607"/>
  <c r="AR607"/>
  <c r="AS607"/>
  <c r="AT607"/>
  <c r="AU607"/>
  <c r="AV607"/>
  <c r="AW607"/>
  <c r="AX607"/>
  <c r="AY607"/>
  <c r="AZ607"/>
  <c r="BA607"/>
  <c r="BB607"/>
  <c r="BC607"/>
  <c r="BD607"/>
  <c r="BE607"/>
  <c r="BF607"/>
  <c r="BG607"/>
  <c r="BH607"/>
  <c r="BI607"/>
  <c r="BJ607"/>
  <c r="BK607"/>
  <c r="BL607"/>
  <c r="BM607"/>
  <c r="BN607"/>
  <c r="BO607"/>
  <c r="BP607"/>
  <c r="BQ607"/>
  <c r="BR607"/>
  <c r="BS607"/>
  <c r="BT607"/>
  <c r="BU607"/>
  <c r="BV607"/>
  <c r="BW607"/>
  <c r="BX607"/>
  <c r="BY607"/>
  <c r="BZ607"/>
  <c r="CQ607"/>
  <c r="CR607"/>
  <c r="CS607"/>
  <c r="CT607"/>
  <c r="CU607"/>
  <c r="CV607"/>
  <c r="CW607"/>
  <c r="CX607"/>
  <c r="CY607"/>
  <c r="CZ607"/>
  <c r="DA607"/>
  <c r="DB607"/>
  <c r="DC607"/>
  <c r="DD607"/>
  <c r="DE607"/>
  <c r="DF607"/>
  <c r="DG607"/>
  <c r="DH607"/>
  <c r="DI607"/>
  <c r="DJ607"/>
  <c r="DK607"/>
  <c r="DL607"/>
  <c r="DM607"/>
  <c r="DN607"/>
  <c r="DO607"/>
  <c r="DP607"/>
  <c r="DQ607"/>
  <c r="DR607"/>
  <c r="DS607"/>
  <c r="DT607"/>
  <c r="DU607"/>
  <c r="DV607"/>
  <c r="DW607"/>
  <c r="DX607"/>
  <c r="DY607"/>
  <c r="DZ607"/>
  <c r="EA607"/>
  <c r="EB607"/>
  <c r="EC607"/>
  <c r="ED607"/>
  <c r="EE607"/>
  <c r="EF607"/>
  <c r="EG607"/>
  <c r="EH607"/>
  <c r="EI607"/>
  <c r="EJ607"/>
  <c r="EK607"/>
  <c r="EL607"/>
  <c r="EM607"/>
  <c r="EN607"/>
  <c r="EO607"/>
  <c r="EP607"/>
  <c r="EQ607"/>
  <c r="ER607"/>
  <c r="ES607"/>
  <c r="ET607"/>
  <c r="EU607"/>
  <c r="EV607"/>
  <c r="EW607"/>
  <c r="EX607"/>
  <c r="EY607"/>
  <c r="EZ607"/>
  <c r="FA607"/>
  <c r="FB607"/>
  <c r="FC607"/>
  <c r="FD607"/>
  <c r="FE607"/>
  <c r="FF607"/>
  <c r="FG607"/>
  <c r="FH607"/>
  <c r="FI607"/>
  <c r="FJ607"/>
  <c r="FK607"/>
  <c r="FL607"/>
  <c r="FM607"/>
  <c r="FN607"/>
  <c r="FO607"/>
  <c r="FP607"/>
  <c r="FQ607"/>
  <c r="FR607"/>
  <c r="FS607"/>
  <c r="FT607"/>
  <c r="FU607"/>
  <c r="FV607"/>
  <c r="FW607"/>
  <c r="FX607"/>
  <c r="FY607"/>
  <c r="FZ607"/>
  <c r="GA607"/>
  <c r="GB607"/>
  <c r="GC607"/>
  <c r="GD607"/>
  <c r="GE607"/>
  <c r="GF607"/>
  <c r="GG607"/>
  <c r="GH607"/>
  <c r="GI607"/>
  <c r="GJ607"/>
  <c r="GK607"/>
  <c r="GL607"/>
  <c r="GM607"/>
  <c r="GN607"/>
  <c r="GO607"/>
  <c r="GP607"/>
  <c r="GQ607"/>
  <c r="GR607"/>
  <c r="R608"/>
  <c r="S608"/>
  <c r="T608"/>
  <c r="U608"/>
  <c r="V608"/>
  <c r="W608"/>
  <c r="X608"/>
  <c r="Y608"/>
  <c r="Z608"/>
  <c r="I608"/>
  <c r="AA608"/>
  <c r="AB608"/>
  <c r="J608"/>
  <c r="AC608"/>
  <c r="AD608"/>
  <c r="AE608"/>
  <c r="AF608"/>
  <c r="AG608"/>
  <c r="AH608"/>
  <c r="AI608"/>
  <c r="AJ608"/>
  <c r="AK608"/>
  <c r="AL608"/>
  <c r="AM608"/>
  <c r="AN608"/>
  <c r="AO608"/>
  <c r="AP608"/>
  <c r="AQ608"/>
  <c r="AR608"/>
  <c r="AS608"/>
  <c r="AT608"/>
  <c r="AU608"/>
  <c r="AV608"/>
  <c r="AW608"/>
  <c r="AX608"/>
  <c r="AY608"/>
  <c r="AZ608"/>
  <c r="BA608"/>
  <c r="BB608"/>
  <c r="BC608"/>
  <c r="BD608"/>
  <c r="BE608"/>
  <c r="BF608"/>
  <c r="BG608"/>
  <c r="BH608"/>
  <c r="BI608"/>
  <c r="BJ608"/>
  <c r="BK608"/>
  <c r="BL608"/>
  <c r="BM608"/>
  <c r="BN608"/>
  <c r="BO608"/>
  <c r="BP608"/>
  <c r="BQ608"/>
  <c r="BR608"/>
  <c r="BS608"/>
  <c r="BT608"/>
  <c r="BU608"/>
  <c r="BV608"/>
  <c r="BW608"/>
  <c r="BX608"/>
  <c r="BY608"/>
  <c r="BZ608"/>
  <c r="CQ608"/>
  <c r="CR608"/>
  <c r="CS608"/>
  <c r="CT608"/>
  <c r="CU608"/>
  <c r="CV608"/>
  <c r="CW608"/>
  <c r="CX608"/>
  <c r="CY608"/>
  <c r="CZ608"/>
  <c r="DA608"/>
  <c r="DB608"/>
  <c r="DC608"/>
  <c r="DD608"/>
  <c r="DE608"/>
  <c r="DF608"/>
  <c r="DG608"/>
  <c r="DH608"/>
  <c r="DI608"/>
  <c r="DJ608"/>
  <c r="DK608"/>
  <c r="DL608"/>
  <c r="DM608"/>
  <c r="DN608"/>
  <c r="DO608"/>
  <c r="DP608"/>
  <c r="DQ608"/>
  <c r="DR608"/>
  <c r="DS608"/>
  <c r="DT608"/>
  <c r="DU608"/>
  <c r="DV608"/>
  <c r="DW608"/>
  <c r="DX608"/>
  <c r="DY608"/>
  <c r="DZ608"/>
  <c r="EA608"/>
  <c r="EB608"/>
  <c r="EC608"/>
  <c r="ED608"/>
  <c r="EE608"/>
  <c r="EF608"/>
  <c r="EG608"/>
  <c r="EH608"/>
  <c r="EI608"/>
  <c r="EJ608"/>
  <c r="EK608"/>
  <c r="EL608"/>
  <c r="EM608"/>
  <c r="EN608"/>
  <c r="EO608"/>
  <c r="EP608"/>
  <c r="EQ608"/>
  <c r="ER608"/>
  <c r="ES608"/>
  <c r="ET608"/>
  <c r="EU608"/>
  <c r="EV608"/>
  <c r="EW608"/>
  <c r="EX608"/>
  <c r="EY608"/>
  <c r="EZ608"/>
  <c r="FA608"/>
  <c r="FB608"/>
  <c r="FC608"/>
  <c r="FD608"/>
  <c r="FE608"/>
  <c r="FF608"/>
  <c r="FG608"/>
  <c r="FH608"/>
  <c r="FI608"/>
  <c r="FJ608"/>
  <c r="FK608"/>
  <c r="FL608"/>
  <c r="FM608"/>
  <c r="FN608"/>
  <c r="FO608"/>
  <c r="FP608"/>
  <c r="FQ608"/>
  <c r="FR608"/>
  <c r="FS608"/>
  <c r="FT608"/>
  <c r="FU608"/>
  <c r="FV608"/>
  <c r="FW608"/>
  <c r="FX608"/>
  <c r="FY608"/>
  <c r="FZ608"/>
  <c r="GA608"/>
  <c r="GB608"/>
  <c r="GC608"/>
  <c r="GD608"/>
  <c r="GE608"/>
  <c r="GF608"/>
  <c r="GG608"/>
  <c r="GH608"/>
  <c r="GI608"/>
  <c r="GJ608"/>
  <c r="GK608"/>
  <c r="GL608"/>
  <c r="GM608"/>
  <c r="GN608"/>
  <c r="GO608"/>
  <c r="GP608"/>
  <c r="GQ608"/>
  <c r="GR608"/>
  <c r="R609"/>
  <c r="S609"/>
  <c r="T609"/>
  <c r="U609"/>
  <c r="V609"/>
  <c r="W609"/>
  <c r="X609"/>
  <c r="Y609"/>
  <c r="Z609"/>
  <c r="I609"/>
  <c r="AA609"/>
  <c r="AB609"/>
  <c r="J609"/>
  <c r="AC609"/>
  <c r="AD609"/>
  <c r="AE609"/>
  <c r="AF609"/>
  <c r="AG609"/>
  <c r="AH609"/>
  <c r="AI609"/>
  <c r="AJ609"/>
  <c r="AK609"/>
  <c r="AL609"/>
  <c r="AM609"/>
  <c r="AN609"/>
  <c r="AO609"/>
  <c r="AP609"/>
  <c r="AQ609"/>
  <c r="AR609"/>
  <c r="AS609"/>
  <c r="AT609"/>
  <c r="AU609"/>
  <c r="AV609"/>
  <c r="AW609"/>
  <c r="AX609"/>
  <c r="AY609"/>
  <c r="AZ609"/>
  <c r="BA609"/>
  <c r="BB609"/>
  <c r="BC609"/>
  <c r="BD609"/>
  <c r="BE609"/>
  <c r="BF609"/>
  <c r="BG609"/>
  <c r="BH609"/>
  <c r="BI609"/>
  <c r="BJ609"/>
  <c r="BK609"/>
  <c r="BL609"/>
  <c r="BM609"/>
  <c r="BN609"/>
  <c r="BO609"/>
  <c r="BP609"/>
  <c r="BQ609"/>
  <c r="BR609"/>
  <c r="BS609"/>
  <c r="BT609"/>
  <c r="BU609"/>
  <c r="BV609"/>
  <c r="BW609"/>
  <c r="BX609"/>
  <c r="BY609"/>
  <c r="BZ609"/>
  <c r="CQ609"/>
  <c r="CR609"/>
  <c r="CS609"/>
  <c r="CT609"/>
  <c r="CU609"/>
  <c r="CV609"/>
  <c r="CW609"/>
  <c r="CX609"/>
  <c r="CY609"/>
  <c r="CZ609"/>
  <c r="DA609"/>
  <c r="DB609"/>
  <c r="DC609"/>
  <c r="DD609"/>
  <c r="DE609"/>
  <c r="DF609"/>
  <c r="DG609"/>
  <c r="DH609"/>
  <c r="DI609"/>
  <c r="DJ609"/>
  <c r="DK609"/>
  <c r="DL609"/>
  <c r="DM609"/>
  <c r="DN609"/>
  <c r="DO609"/>
  <c r="DP609"/>
  <c r="DQ609"/>
  <c r="DR609"/>
  <c r="DS609"/>
  <c r="DT609"/>
  <c r="DU609"/>
  <c r="DV609"/>
  <c r="DW609"/>
  <c r="DX609"/>
  <c r="DY609"/>
  <c r="DZ609"/>
  <c r="EA609"/>
  <c r="EB609"/>
  <c r="EC609"/>
  <c r="ED609"/>
  <c r="EE609"/>
  <c r="EF609"/>
  <c r="EG609"/>
  <c r="EH609"/>
  <c r="EI609"/>
  <c r="EJ609"/>
  <c r="EK609"/>
  <c r="EL609"/>
  <c r="EM609"/>
  <c r="EN609"/>
  <c r="EO609"/>
  <c r="EP609"/>
  <c r="EQ609"/>
  <c r="ER609"/>
  <c r="ES609"/>
  <c r="ET609"/>
  <c r="EU609"/>
  <c r="EV609"/>
  <c r="EW609"/>
  <c r="EX609"/>
  <c r="EY609"/>
  <c r="EZ609"/>
  <c r="FA609"/>
  <c r="FB609"/>
  <c r="FC609"/>
  <c r="FD609"/>
  <c r="FE609"/>
  <c r="FF609"/>
  <c r="FG609"/>
  <c r="FH609"/>
  <c r="FI609"/>
  <c r="FJ609"/>
  <c r="FK609"/>
  <c r="FL609"/>
  <c r="FM609"/>
  <c r="FN609"/>
  <c r="FO609"/>
  <c r="FP609"/>
  <c r="FQ609"/>
  <c r="FR609"/>
  <c r="FS609"/>
  <c r="FT609"/>
  <c r="FU609"/>
  <c r="FV609"/>
  <c r="FW609"/>
  <c r="FX609"/>
  <c r="FY609"/>
  <c r="FZ609"/>
  <c r="GA609"/>
  <c r="GB609"/>
  <c r="GC609"/>
  <c r="GD609"/>
  <c r="GE609"/>
  <c r="GF609"/>
  <c r="GG609"/>
  <c r="GH609"/>
  <c r="GI609"/>
  <c r="GJ609"/>
  <c r="GK609"/>
  <c r="GL609"/>
  <c r="GM609"/>
  <c r="GN609"/>
  <c r="GO609"/>
  <c r="GP609"/>
  <c r="GQ609"/>
  <c r="GR609"/>
  <c r="R610"/>
  <c r="S610"/>
  <c r="T610"/>
  <c r="U610"/>
  <c r="V610"/>
  <c r="W610"/>
  <c r="X610"/>
  <c r="Y610"/>
  <c r="Z610"/>
  <c r="I610"/>
  <c r="AA610"/>
  <c r="AB610"/>
  <c r="J610"/>
  <c r="AC610"/>
  <c r="AD610"/>
  <c r="AE610"/>
  <c r="AF610"/>
  <c r="AG610"/>
  <c r="AH610"/>
  <c r="AI610"/>
  <c r="AJ610"/>
  <c r="AK610"/>
  <c r="AL610"/>
  <c r="AM610"/>
  <c r="AN610"/>
  <c r="AO610"/>
  <c r="AP610"/>
  <c r="AQ610"/>
  <c r="AR610"/>
  <c r="AS610"/>
  <c r="AT610"/>
  <c r="AU610"/>
  <c r="AV610"/>
  <c r="AW610"/>
  <c r="AX610"/>
  <c r="AY610"/>
  <c r="AZ610"/>
  <c r="BA610"/>
  <c r="BB610"/>
  <c r="BC610"/>
  <c r="BD610"/>
  <c r="BE610"/>
  <c r="BF610"/>
  <c r="BG610"/>
  <c r="BH610"/>
  <c r="BI610"/>
  <c r="BJ610"/>
  <c r="BK610"/>
  <c r="BL610"/>
  <c r="BM610"/>
  <c r="BN610"/>
  <c r="BO610"/>
  <c r="BP610"/>
  <c r="BQ610"/>
  <c r="BR610"/>
  <c r="BS610"/>
  <c r="BT610"/>
  <c r="BU610"/>
  <c r="BV610"/>
  <c r="BW610"/>
  <c r="BX610"/>
  <c r="BY610"/>
  <c r="BZ610"/>
  <c r="CQ610"/>
  <c r="CR610"/>
  <c r="CS610"/>
  <c r="CT610"/>
  <c r="CU610"/>
  <c r="CV610"/>
  <c r="CW610"/>
  <c r="CX610"/>
  <c r="CY610"/>
  <c r="CZ610"/>
  <c r="DA610"/>
  <c r="DB610"/>
  <c r="DC610"/>
  <c r="DD610"/>
  <c r="DE610"/>
  <c r="DF610"/>
  <c r="DG610"/>
  <c r="DH610"/>
  <c r="DI610"/>
  <c r="DJ610"/>
  <c r="DK610"/>
  <c r="DL610"/>
  <c r="DM610"/>
  <c r="DN610"/>
  <c r="DO610"/>
  <c r="DP610"/>
  <c r="DQ610"/>
  <c r="DR610"/>
  <c r="DS610"/>
  <c r="DT610"/>
  <c r="DU610"/>
  <c r="DV610"/>
  <c r="DW610"/>
  <c r="DX610"/>
  <c r="DY610"/>
  <c r="DZ610"/>
  <c r="EA610"/>
  <c r="EB610"/>
  <c r="EC610"/>
  <c r="ED610"/>
  <c r="EE610"/>
  <c r="EF610"/>
  <c r="EG610"/>
  <c r="EH610"/>
  <c r="EI610"/>
  <c r="EJ610"/>
  <c r="EK610"/>
  <c r="EL610"/>
  <c r="EM610"/>
  <c r="EN610"/>
  <c r="EO610"/>
  <c r="EP610"/>
  <c r="EQ610"/>
  <c r="ER610"/>
  <c r="ES610"/>
  <c r="ET610"/>
  <c r="EU610"/>
  <c r="EV610"/>
  <c r="EW610"/>
  <c r="EX610"/>
  <c r="EY610"/>
  <c r="EZ610"/>
  <c r="FA610"/>
  <c r="FB610"/>
  <c r="FC610"/>
  <c r="FD610"/>
  <c r="FE610"/>
  <c r="FF610"/>
  <c r="FG610"/>
  <c r="FH610"/>
  <c r="FI610"/>
  <c r="FJ610"/>
  <c r="FK610"/>
  <c r="FL610"/>
  <c r="FM610"/>
  <c r="FN610"/>
  <c r="FO610"/>
  <c r="FP610"/>
  <c r="FQ610"/>
  <c r="FR610"/>
  <c r="FS610"/>
  <c r="FT610"/>
  <c r="FU610"/>
  <c r="FV610"/>
  <c r="FW610"/>
  <c r="FX610"/>
  <c r="FY610"/>
  <c r="FZ610"/>
  <c r="GA610"/>
  <c r="GB610"/>
  <c r="GC610"/>
  <c r="GD610"/>
  <c r="GE610"/>
  <c r="GF610"/>
  <c r="GG610"/>
  <c r="GH610"/>
  <c r="GI610"/>
  <c r="GJ610"/>
  <c r="GK610"/>
  <c r="GL610"/>
  <c r="GM610"/>
  <c r="GN610"/>
  <c r="GO610"/>
  <c r="GP610"/>
  <c r="GQ610"/>
  <c r="GR610"/>
  <c r="R611"/>
  <c r="S611"/>
  <c r="T611"/>
  <c r="U611"/>
  <c r="V611"/>
  <c r="W611"/>
  <c r="X611"/>
  <c r="Y611"/>
  <c r="Z611"/>
  <c r="I611"/>
  <c r="AA611"/>
  <c r="AB611"/>
  <c r="J611"/>
  <c r="AC611"/>
  <c r="AD611"/>
  <c r="AE611"/>
  <c r="AF611"/>
  <c r="AG611"/>
  <c r="AH611"/>
  <c r="AI611"/>
  <c r="AJ611"/>
  <c r="AK611"/>
  <c r="AL611"/>
  <c r="AM611"/>
  <c r="AN611"/>
  <c r="AO611"/>
  <c r="AP611"/>
  <c r="AQ611"/>
  <c r="AR611"/>
  <c r="AS611"/>
  <c r="AT611"/>
  <c r="AU611"/>
  <c r="AV611"/>
  <c r="AW611"/>
  <c r="AX611"/>
  <c r="AY611"/>
  <c r="AZ611"/>
  <c r="BA611"/>
  <c r="BB611"/>
  <c r="BC611"/>
  <c r="BD611"/>
  <c r="BE611"/>
  <c r="BF611"/>
  <c r="BG611"/>
  <c r="BH611"/>
  <c r="BI611"/>
  <c r="BJ611"/>
  <c r="BK611"/>
  <c r="BL611"/>
  <c r="BM611"/>
  <c r="BN611"/>
  <c r="BO611"/>
  <c r="BP611"/>
  <c r="BQ611"/>
  <c r="BR611"/>
  <c r="BS611"/>
  <c r="BT611"/>
  <c r="BU611"/>
  <c r="BV611"/>
  <c r="BW611"/>
  <c r="BX611"/>
  <c r="BY611"/>
  <c r="BZ611"/>
  <c r="CQ611"/>
  <c r="CR611"/>
  <c r="CS611"/>
  <c r="CT611"/>
  <c r="CU611"/>
  <c r="CV611"/>
  <c r="CW611"/>
  <c r="CX611"/>
  <c r="CY611"/>
  <c r="CZ611"/>
  <c r="DA611"/>
  <c r="DB611"/>
  <c r="DC611"/>
  <c r="DD611"/>
  <c r="DE611"/>
  <c r="DF611"/>
  <c r="DG611"/>
  <c r="DH611"/>
  <c r="DI611"/>
  <c r="DJ611"/>
  <c r="DK611"/>
  <c r="DL611"/>
  <c r="DM611"/>
  <c r="DN611"/>
  <c r="DO611"/>
  <c r="DP611"/>
  <c r="DQ611"/>
  <c r="DR611"/>
  <c r="DS611"/>
  <c r="DT611"/>
  <c r="DU611"/>
  <c r="DV611"/>
  <c r="DW611"/>
  <c r="DX611"/>
  <c r="DY611"/>
  <c r="DZ611"/>
  <c r="EA611"/>
  <c r="EB611"/>
  <c r="EC611"/>
  <c r="ED611"/>
  <c r="EE611"/>
  <c r="EF611"/>
  <c r="EG611"/>
  <c r="EH611"/>
  <c r="EI611"/>
  <c r="EJ611"/>
  <c r="EK611"/>
  <c r="EL611"/>
  <c r="EM611"/>
  <c r="EN611"/>
  <c r="EO611"/>
  <c r="EP611"/>
  <c r="EQ611"/>
  <c r="ER611"/>
  <c r="ES611"/>
  <c r="ET611"/>
  <c r="EU611"/>
  <c r="EV611"/>
  <c r="EW611"/>
  <c r="EX611"/>
  <c r="EY611"/>
  <c r="EZ611"/>
  <c r="FA611"/>
  <c r="FB611"/>
  <c r="FC611"/>
  <c r="FD611"/>
  <c r="FE611"/>
  <c r="FF611"/>
  <c r="FG611"/>
  <c r="FH611"/>
  <c r="FI611"/>
  <c r="FJ611"/>
  <c r="FK611"/>
  <c r="FL611"/>
  <c r="FM611"/>
  <c r="FN611"/>
  <c r="FO611"/>
  <c r="FP611"/>
  <c r="FQ611"/>
  <c r="FR611"/>
  <c r="FS611"/>
  <c r="FT611"/>
  <c r="FU611"/>
  <c r="FV611"/>
  <c r="FW611"/>
  <c r="FX611"/>
  <c r="FY611"/>
  <c r="FZ611"/>
  <c r="GA611"/>
  <c r="GB611"/>
  <c r="GC611"/>
  <c r="GD611"/>
  <c r="GE611"/>
  <c r="GF611"/>
  <c r="GG611"/>
  <c r="GH611"/>
  <c r="GI611"/>
  <c r="GJ611"/>
  <c r="GK611"/>
  <c r="GL611"/>
  <c r="GM611"/>
  <c r="GN611"/>
  <c r="GO611"/>
  <c r="GP611"/>
  <c r="GQ611"/>
  <c r="GR611"/>
  <c r="R612"/>
  <c r="S612"/>
  <c r="T612"/>
  <c r="U612"/>
  <c r="V612"/>
  <c r="W612"/>
  <c r="X612"/>
  <c r="Y612"/>
  <c r="Z612"/>
  <c r="I612"/>
  <c r="AA612"/>
  <c r="AB612"/>
  <c r="J612"/>
  <c r="AC612"/>
  <c r="AD612"/>
  <c r="AE612"/>
  <c r="AF612"/>
  <c r="AG612"/>
  <c r="AH612"/>
  <c r="AI612"/>
  <c r="AJ612"/>
  <c r="AK612"/>
  <c r="AL612"/>
  <c r="AM612"/>
  <c r="AN612"/>
  <c r="AO612"/>
  <c r="AP612"/>
  <c r="AQ612"/>
  <c r="AR612"/>
  <c r="AS612"/>
  <c r="AT612"/>
  <c r="AU612"/>
  <c r="AV612"/>
  <c r="AW612"/>
  <c r="AX612"/>
  <c r="AY612"/>
  <c r="AZ612"/>
  <c r="BA612"/>
  <c r="BB612"/>
  <c r="BC612"/>
  <c r="BD612"/>
  <c r="BE612"/>
  <c r="BF612"/>
  <c r="BG612"/>
  <c r="BH612"/>
  <c r="BI612"/>
  <c r="BJ612"/>
  <c r="BK612"/>
  <c r="BL612"/>
  <c r="BM612"/>
  <c r="BN612"/>
  <c r="BO612"/>
  <c r="BP612"/>
  <c r="BQ612"/>
  <c r="BR612"/>
  <c r="BS612"/>
  <c r="BT612"/>
  <c r="BU612"/>
  <c r="BV612"/>
  <c r="BW612"/>
  <c r="BX612"/>
  <c r="BY612"/>
  <c r="BZ612"/>
  <c r="CQ612"/>
  <c r="CR612"/>
  <c r="CS612"/>
  <c r="CT612"/>
  <c r="CU612"/>
  <c r="CV612"/>
  <c r="CW612"/>
  <c r="CX612"/>
  <c r="CY612"/>
  <c r="CZ612"/>
  <c r="DA612"/>
  <c r="DB612"/>
  <c r="DC612"/>
  <c r="DD612"/>
  <c r="DE612"/>
  <c r="DF612"/>
  <c r="DG612"/>
  <c r="DH612"/>
  <c r="DI612"/>
  <c r="DJ612"/>
  <c r="DK612"/>
  <c r="DL612"/>
  <c r="DM612"/>
  <c r="DN612"/>
  <c r="DO612"/>
  <c r="DP612"/>
  <c r="DQ612"/>
  <c r="DR612"/>
  <c r="DS612"/>
  <c r="DT612"/>
  <c r="DU612"/>
  <c r="DV612"/>
  <c r="DW612"/>
  <c r="DX612"/>
  <c r="DY612"/>
  <c r="DZ612"/>
  <c r="EA612"/>
  <c r="EB612"/>
  <c r="EC612"/>
  <c r="ED612"/>
  <c r="EE612"/>
  <c r="EF612"/>
  <c r="EG612"/>
  <c r="EH612"/>
  <c r="EI612"/>
  <c r="EJ612"/>
  <c r="EK612"/>
  <c r="EL612"/>
  <c r="EM612"/>
  <c r="EN612"/>
  <c r="EO612"/>
  <c r="EP612"/>
  <c r="EQ612"/>
  <c r="ER612"/>
  <c r="ES612"/>
  <c r="ET612"/>
  <c r="EU612"/>
  <c r="EV612"/>
  <c r="EW612"/>
  <c r="EX612"/>
  <c r="EY612"/>
  <c r="EZ612"/>
  <c r="FA612"/>
  <c r="FB612"/>
  <c r="FC612"/>
  <c r="FD612"/>
  <c r="FE612"/>
  <c r="FF612"/>
  <c r="FG612"/>
  <c r="FH612"/>
  <c r="FI612"/>
  <c r="FJ612"/>
  <c r="FK612"/>
  <c r="FL612"/>
  <c r="FM612"/>
  <c r="FN612"/>
  <c r="FO612"/>
  <c r="FP612"/>
  <c r="FQ612"/>
  <c r="FR612"/>
  <c r="FS612"/>
  <c r="FT612"/>
  <c r="FU612"/>
  <c r="FV612"/>
  <c r="FW612"/>
  <c r="FX612"/>
  <c r="FY612"/>
  <c r="FZ612"/>
  <c r="GA612"/>
  <c r="GB612"/>
  <c r="GC612"/>
  <c r="GD612"/>
  <c r="GE612"/>
  <c r="GF612"/>
  <c r="GG612"/>
  <c r="GH612"/>
  <c r="GI612"/>
  <c r="GJ612"/>
  <c r="GK612"/>
  <c r="GL612"/>
  <c r="GM612"/>
  <c r="GN612"/>
  <c r="GO612"/>
  <c r="GP612"/>
  <c r="GQ612"/>
  <c r="GR612"/>
  <c r="R613"/>
  <c r="S613"/>
  <c r="T613"/>
  <c r="U613"/>
  <c r="V613"/>
  <c r="W613"/>
  <c r="X613"/>
  <c r="Y613"/>
  <c r="Z613"/>
  <c r="I613"/>
  <c r="AA613"/>
  <c r="AB613"/>
  <c r="J613"/>
  <c r="AC613"/>
  <c r="AD613"/>
  <c r="AE613"/>
  <c r="AF613"/>
  <c r="AG613"/>
  <c r="AH613"/>
  <c r="AI613"/>
  <c r="AJ613"/>
  <c r="AK613"/>
  <c r="AL613"/>
  <c r="AM613"/>
  <c r="AN613"/>
  <c r="AO613"/>
  <c r="AP613"/>
  <c r="AQ613"/>
  <c r="AR613"/>
  <c r="AS613"/>
  <c r="AT613"/>
  <c r="AU613"/>
  <c r="AV613"/>
  <c r="AW613"/>
  <c r="AX613"/>
  <c r="AY613"/>
  <c r="AZ613"/>
  <c r="BA613"/>
  <c r="BB613"/>
  <c r="BC613"/>
  <c r="BD613"/>
  <c r="BE613"/>
  <c r="BF613"/>
  <c r="BG613"/>
  <c r="BH613"/>
  <c r="BI613"/>
  <c r="BJ613"/>
  <c r="BK613"/>
  <c r="BL613"/>
  <c r="BM613"/>
  <c r="BN613"/>
  <c r="BO613"/>
  <c r="BP613"/>
  <c r="BQ613"/>
  <c r="BR613"/>
  <c r="BS613"/>
  <c r="BT613"/>
  <c r="BU613"/>
  <c r="BV613"/>
  <c r="BW613"/>
  <c r="BX613"/>
  <c r="BY613"/>
  <c r="BZ613"/>
  <c r="CQ613"/>
  <c r="CR613"/>
  <c r="CS613"/>
  <c r="CT613"/>
  <c r="CU613"/>
  <c r="CV613"/>
  <c r="CW613"/>
  <c r="CX613"/>
  <c r="CY613"/>
  <c r="CZ613"/>
  <c r="DA613"/>
  <c r="DB613"/>
  <c r="DC613"/>
  <c r="DD613"/>
  <c r="DE613"/>
  <c r="DF613"/>
  <c r="DG613"/>
  <c r="DH613"/>
  <c r="DI613"/>
  <c r="DJ613"/>
  <c r="DK613"/>
  <c r="DL613"/>
  <c r="DM613"/>
  <c r="DN613"/>
  <c r="DO613"/>
  <c r="DP613"/>
  <c r="DQ613"/>
  <c r="DR613"/>
  <c r="DS613"/>
  <c r="DT613"/>
  <c r="DU613"/>
  <c r="DV613"/>
  <c r="DW613"/>
  <c r="DX613"/>
  <c r="DY613"/>
  <c r="DZ613"/>
  <c r="EA613"/>
  <c r="EB613"/>
  <c r="EC613"/>
  <c r="ED613"/>
  <c r="EE613"/>
  <c r="EF613"/>
  <c r="EG613"/>
  <c r="EH613"/>
  <c r="EI613"/>
  <c r="EJ613"/>
  <c r="EK613"/>
  <c r="EL613"/>
  <c r="EM613"/>
  <c r="EN613"/>
  <c r="EO613"/>
  <c r="EP613"/>
  <c r="EQ613"/>
  <c r="ER613"/>
  <c r="ES613"/>
  <c r="ET613"/>
  <c r="EU613"/>
  <c r="EV613"/>
  <c r="EW613"/>
  <c r="EX613"/>
  <c r="EY613"/>
  <c r="EZ613"/>
  <c r="FA613"/>
  <c r="FB613"/>
  <c r="FC613"/>
  <c r="FD613"/>
  <c r="FE613"/>
  <c r="FF613"/>
  <c r="FG613"/>
  <c r="FH613"/>
  <c r="FI613"/>
  <c r="FJ613"/>
  <c r="FK613"/>
  <c r="FL613"/>
  <c r="FM613"/>
  <c r="FN613"/>
  <c r="FO613"/>
  <c r="FP613"/>
  <c r="FQ613"/>
  <c r="FR613"/>
  <c r="FS613"/>
  <c r="FT613"/>
  <c r="FU613"/>
  <c r="FV613"/>
  <c r="FW613"/>
  <c r="FX613"/>
  <c r="FY613"/>
  <c r="FZ613"/>
  <c r="GA613"/>
  <c r="GB613"/>
  <c r="GC613"/>
  <c r="GD613"/>
  <c r="GE613"/>
  <c r="GF613"/>
  <c r="GG613"/>
  <c r="GH613"/>
  <c r="GI613"/>
  <c r="GJ613"/>
  <c r="GK613"/>
  <c r="GL613"/>
  <c r="GM613"/>
  <c r="GN613"/>
  <c r="GO613"/>
  <c r="GP613"/>
  <c r="GQ613"/>
  <c r="GR613"/>
  <c r="R614"/>
  <c r="S614"/>
  <c r="T614"/>
  <c r="U614"/>
  <c r="V614"/>
  <c r="W614"/>
  <c r="X614"/>
  <c r="Y614"/>
  <c r="Z614"/>
  <c r="I614"/>
  <c r="AA614"/>
  <c r="AB614"/>
  <c r="J614"/>
  <c r="AC614"/>
  <c r="AD614"/>
  <c r="AE614"/>
  <c r="AF614"/>
  <c r="AG614"/>
  <c r="AH614"/>
  <c r="AI614"/>
  <c r="AJ614"/>
  <c r="AK614"/>
  <c r="AL614"/>
  <c r="AM614"/>
  <c r="AN614"/>
  <c r="AO614"/>
  <c r="AP614"/>
  <c r="AQ614"/>
  <c r="AR614"/>
  <c r="AS614"/>
  <c r="AT614"/>
  <c r="AU614"/>
  <c r="AV614"/>
  <c r="AW614"/>
  <c r="AX614"/>
  <c r="AY614"/>
  <c r="AZ614"/>
  <c r="BA614"/>
  <c r="BB614"/>
  <c r="BC614"/>
  <c r="BD614"/>
  <c r="BE614"/>
  <c r="BF614"/>
  <c r="BG614"/>
  <c r="BH614"/>
  <c r="BI614"/>
  <c r="BJ614"/>
  <c r="BK614"/>
  <c r="BL614"/>
  <c r="BM614"/>
  <c r="BN614"/>
  <c r="BO614"/>
  <c r="BP614"/>
  <c r="BQ614"/>
  <c r="BR614"/>
  <c r="BS614"/>
  <c r="BT614"/>
  <c r="BU614"/>
  <c r="BV614"/>
  <c r="BW614"/>
  <c r="BX614"/>
  <c r="BY614"/>
  <c r="BZ614"/>
  <c r="CQ614"/>
  <c r="CR614"/>
  <c r="CS614"/>
  <c r="CT614"/>
  <c r="CU614"/>
  <c r="CV614"/>
  <c r="CW614"/>
  <c r="CX614"/>
  <c r="CY614"/>
  <c r="CZ614"/>
  <c r="DA614"/>
  <c r="DB614"/>
  <c r="DC614"/>
  <c r="DD614"/>
  <c r="DE614"/>
  <c r="DF614"/>
  <c r="DG614"/>
  <c r="DH614"/>
  <c r="DI614"/>
  <c r="DJ614"/>
  <c r="DK614"/>
  <c r="DL614"/>
  <c r="DM614"/>
  <c r="DN614"/>
  <c r="DO614"/>
  <c r="DP614"/>
  <c r="DQ614"/>
  <c r="DR614"/>
  <c r="DS614"/>
  <c r="DT614"/>
  <c r="DU614"/>
  <c r="DV614"/>
  <c r="DW614"/>
  <c r="DX614"/>
  <c r="DY614"/>
  <c r="DZ614"/>
  <c r="EA614"/>
  <c r="EB614"/>
  <c r="EC614"/>
  <c r="ED614"/>
  <c r="EE614"/>
  <c r="EF614"/>
  <c r="EG614"/>
  <c r="EH614"/>
  <c r="EI614"/>
  <c r="EJ614"/>
  <c r="EK614"/>
  <c r="EL614"/>
  <c r="EM614"/>
  <c r="EN614"/>
  <c r="EO614"/>
  <c r="EP614"/>
  <c r="EQ614"/>
  <c r="ER614"/>
  <c r="ES614"/>
  <c r="ET614"/>
  <c r="EU614"/>
  <c r="EV614"/>
  <c r="EW614"/>
  <c r="EX614"/>
  <c r="EY614"/>
  <c r="EZ614"/>
  <c r="FA614"/>
  <c r="FB614"/>
  <c r="FC614"/>
  <c r="FD614"/>
  <c r="FE614"/>
  <c r="FF614"/>
  <c r="FG614"/>
  <c r="FH614"/>
  <c r="FI614"/>
  <c r="FJ614"/>
  <c r="FK614"/>
  <c r="FL614"/>
  <c r="FM614"/>
  <c r="FN614"/>
  <c r="FO614"/>
  <c r="FP614"/>
  <c r="FQ614"/>
  <c r="FR614"/>
  <c r="FS614"/>
  <c r="FT614"/>
  <c r="FU614"/>
  <c r="FV614"/>
  <c r="FW614"/>
  <c r="FX614"/>
  <c r="FY614"/>
  <c r="FZ614"/>
  <c r="GA614"/>
  <c r="GB614"/>
  <c r="GC614"/>
  <c r="GD614"/>
  <c r="GE614"/>
  <c r="GF614"/>
  <c r="GG614"/>
  <c r="GH614"/>
  <c r="GI614"/>
  <c r="GJ614"/>
  <c r="GK614"/>
  <c r="GL614"/>
  <c r="GM614"/>
  <c r="GN614"/>
  <c r="GO614"/>
  <c r="GP614"/>
  <c r="GQ614"/>
  <c r="GR614"/>
  <c r="R615"/>
  <c r="S615"/>
  <c r="T615"/>
  <c r="U615"/>
  <c r="V615"/>
  <c r="W615"/>
  <c r="X615"/>
  <c r="Y615"/>
  <c r="Z615"/>
  <c r="I615"/>
  <c r="AA615"/>
  <c r="AB615"/>
  <c r="J615"/>
  <c r="AC615"/>
  <c r="AD615"/>
  <c r="AE615"/>
  <c r="AF615"/>
  <c r="AG615"/>
  <c r="AH615"/>
  <c r="AI615"/>
  <c r="AJ615"/>
  <c r="AK615"/>
  <c r="AL615"/>
  <c r="AM615"/>
  <c r="AN615"/>
  <c r="AO615"/>
  <c r="AP615"/>
  <c r="AQ615"/>
  <c r="AR615"/>
  <c r="AS615"/>
  <c r="AT615"/>
  <c r="AU615"/>
  <c r="AV615"/>
  <c r="AW615"/>
  <c r="AX615"/>
  <c r="AY615"/>
  <c r="AZ615"/>
  <c r="BA615"/>
  <c r="BB615"/>
  <c r="BC615"/>
  <c r="BD615"/>
  <c r="BE615"/>
  <c r="BF615"/>
  <c r="BG615"/>
  <c r="BH615"/>
  <c r="BI615"/>
  <c r="BJ615"/>
  <c r="BK615"/>
  <c r="BL615"/>
  <c r="BM615"/>
  <c r="BN615"/>
  <c r="BO615"/>
  <c r="BP615"/>
  <c r="BQ615"/>
  <c r="BR615"/>
  <c r="BS615"/>
  <c r="BT615"/>
  <c r="BU615"/>
  <c r="BV615"/>
  <c r="BW615"/>
  <c r="BX615"/>
  <c r="BY615"/>
  <c r="BZ615"/>
  <c r="CQ615"/>
  <c r="CR615"/>
  <c r="CS615"/>
  <c r="CT615"/>
  <c r="CU615"/>
  <c r="CV615"/>
  <c r="CW615"/>
  <c r="CX615"/>
  <c r="CY615"/>
  <c r="CZ615"/>
  <c r="DA615"/>
  <c r="DB615"/>
  <c r="DC615"/>
  <c r="DD615"/>
  <c r="DE615"/>
  <c r="DF615"/>
  <c r="DG615"/>
  <c r="DH615"/>
  <c r="DI615"/>
  <c r="DJ615"/>
  <c r="DK615"/>
  <c r="DL615"/>
  <c r="DM615"/>
  <c r="DN615"/>
  <c r="DO615"/>
  <c r="DP615"/>
  <c r="DQ615"/>
  <c r="DR615"/>
  <c r="DS615"/>
  <c r="DT615"/>
  <c r="DU615"/>
  <c r="DV615"/>
  <c r="DW615"/>
  <c r="DX615"/>
  <c r="DY615"/>
  <c r="DZ615"/>
  <c r="EA615"/>
  <c r="EB615"/>
  <c r="EC615"/>
  <c r="ED615"/>
  <c r="EE615"/>
  <c r="EF615"/>
  <c r="EG615"/>
  <c r="EH615"/>
  <c r="EI615"/>
  <c r="EJ615"/>
  <c r="EK615"/>
  <c r="EL615"/>
  <c r="EM615"/>
  <c r="EN615"/>
  <c r="EO615"/>
  <c r="EP615"/>
  <c r="EQ615"/>
  <c r="ER615"/>
  <c r="ES615"/>
  <c r="ET615"/>
  <c r="EU615"/>
  <c r="EV615"/>
  <c r="EW615"/>
  <c r="EX615"/>
  <c r="EY615"/>
  <c r="EZ615"/>
  <c r="FA615"/>
  <c r="FB615"/>
  <c r="FC615"/>
  <c r="FD615"/>
  <c r="FE615"/>
  <c r="FF615"/>
  <c r="FG615"/>
  <c r="FH615"/>
  <c r="FI615"/>
  <c r="FJ615"/>
  <c r="FK615"/>
  <c r="FL615"/>
  <c r="FM615"/>
  <c r="FN615"/>
  <c r="FO615"/>
  <c r="FP615"/>
  <c r="FQ615"/>
  <c r="FR615"/>
  <c r="FS615"/>
  <c r="FT615"/>
  <c r="FU615"/>
  <c r="FV615"/>
  <c r="FW615"/>
  <c r="FX615"/>
  <c r="FY615"/>
  <c r="FZ615"/>
  <c r="GA615"/>
  <c r="GB615"/>
  <c r="GC615"/>
  <c r="GD615"/>
  <c r="GE615"/>
  <c r="GF615"/>
  <c r="GG615"/>
  <c r="GH615"/>
  <c r="GI615"/>
  <c r="GJ615"/>
  <c r="GK615"/>
  <c r="GL615"/>
  <c r="GM615"/>
  <c r="GN615"/>
  <c r="GO615"/>
  <c r="GP615"/>
  <c r="GQ615"/>
  <c r="GR615"/>
  <c r="R616"/>
  <c r="S616"/>
  <c r="T616"/>
  <c r="U616"/>
  <c r="V616"/>
  <c r="W616"/>
  <c r="X616"/>
  <c r="Y616"/>
  <c r="Z616"/>
  <c r="I616"/>
  <c r="AA616"/>
  <c r="AB616"/>
  <c r="J616"/>
  <c r="AC616"/>
  <c r="AD616"/>
  <c r="AE616"/>
  <c r="AF616"/>
  <c r="AG616"/>
  <c r="AH616"/>
  <c r="AI616"/>
  <c r="AJ616"/>
  <c r="AK616"/>
  <c r="AL616"/>
  <c r="AM616"/>
  <c r="AN616"/>
  <c r="AO616"/>
  <c r="AP616"/>
  <c r="AQ616"/>
  <c r="AR616"/>
  <c r="AS616"/>
  <c r="AT616"/>
  <c r="AU616"/>
  <c r="AV616"/>
  <c r="AW616"/>
  <c r="AX616"/>
  <c r="AY616"/>
  <c r="AZ616"/>
  <c r="BA616"/>
  <c r="BB616"/>
  <c r="BC616"/>
  <c r="BD616"/>
  <c r="BE616"/>
  <c r="BF616"/>
  <c r="BG616"/>
  <c r="BH616"/>
  <c r="BI616"/>
  <c r="BJ616"/>
  <c r="BK616"/>
  <c r="BL616"/>
  <c r="BM616"/>
  <c r="BN616"/>
  <c r="BO616"/>
  <c r="BP616"/>
  <c r="BQ616"/>
  <c r="BR616"/>
  <c r="BS616"/>
  <c r="BT616"/>
  <c r="BU616"/>
  <c r="BV616"/>
  <c r="BW616"/>
  <c r="BX616"/>
  <c r="BY616"/>
  <c r="BZ616"/>
  <c r="CQ616"/>
  <c r="CR616"/>
  <c r="CS616"/>
  <c r="CT616"/>
  <c r="CU616"/>
  <c r="CV616"/>
  <c r="CW616"/>
  <c r="CX616"/>
  <c r="CY616"/>
  <c r="CZ616"/>
  <c r="DA616"/>
  <c r="DB616"/>
  <c r="DC616"/>
  <c r="DD616"/>
  <c r="DE616"/>
  <c r="DF616"/>
  <c r="DG616"/>
  <c r="DH616"/>
  <c r="DI616"/>
  <c r="DJ616"/>
  <c r="DK616"/>
  <c r="DL616"/>
  <c r="DM616"/>
  <c r="DN616"/>
  <c r="DO616"/>
  <c r="DP616"/>
  <c r="DQ616"/>
  <c r="DR616"/>
  <c r="DS616"/>
  <c r="DT616"/>
  <c r="DU616"/>
  <c r="DV616"/>
  <c r="DW616"/>
  <c r="DX616"/>
  <c r="DY616"/>
  <c r="DZ616"/>
  <c r="EA616"/>
  <c r="EB616"/>
  <c r="EC616"/>
  <c r="ED616"/>
  <c r="EE616"/>
  <c r="EF616"/>
  <c r="EG616"/>
  <c r="EH616"/>
  <c r="EI616"/>
  <c r="EJ616"/>
  <c r="EK616"/>
  <c r="EL616"/>
  <c r="EM616"/>
  <c r="EN616"/>
  <c r="EO616"/>
  <c r="EP616"/>
  <c r="EQ616"/>
  <c r="ER616"/>
  <c r="ES616"/>
  <c r="ET616"/>
  <c r="EU616"/>
  <c r="EV616"/>
  <c r="EW616"/>
  <c r="EX616"/>
  <c r="EY616"/>
  <c r="EZ616"/>
  <c r="FA616"/>
  <c r="FB616"/>
  <c r="FC616"/>
  <c r="FD616"/>
  <c r="FE616"/>
  <c r="FF616"/>
  <c r="FG616"/>
  <c r="FH616"/>
  <c r="FI616"/>
  <c r="FJ616"/>
  <c r="FK616"/>
  <c r="FL616"/>
  <c r="FM616"/>
  <c r="FN616"/>
  <c r="FO616"/>
  <c r="FP616"/>
  <c r="FQ616"/>
  <c r="FR616"/>
  <c r="FS616"/>
  <c r="FT616"/>
  <c r="FU616"/>
  <c r="FV616"/>
  <c r="FW616"/>
  <c r="FX616"/>
  <c r="FY616"/>
  <c r="FZ616"/>
  <c r="GA616"/>
  <c r="GB616"/>
  <c r="GC616"/>
  <c r="GD616"/>
  <c r="GE616"/>
  <c r="GF616"/>
  <c r="GG616"/>
  <c r="GH616"/>
  <c r="GI616"/>
  <c r="GJ616"/>
  <c r="GK616"/>
  <c r="GL616"/>
  <c r="GM616"/>
  <c r="GN616"/>
  <c r="GO616"/>
  <c r="GP616"/>
  <c r="GQ616"/>
  <c r="GR616"/>
  <c r="R617"/>
  <c r="S617"/>
  <c r="T617"/>
  <c r="U617"/>
  <c r="V617"/>
  <c r="W617"/>
  <c r="X617"/>
  <c r="Y617"/>
  <c r="Z617"/>
  <c r="I617"/>
  <c r="AA617"/>
  <c r="AB617"/>
  <c r="J617"/>
  <c r="AC617"/>
  <c r="AD617"/>
  <c r="AE617"/>
  <c r="AF617"/>
  <c r="AG617"/>
  <c r="AH617"/>
  <c r="AI617"/>
  <c r="AJ617"/>
  <c r="AK617"/>
  <c r="AL617"/>
  <c r="AM617"/>
  <c r="AN617"/>
  <c r="AO617"/>
  <c r="AP617"/>
  <c r="AQ617"/>
  <c r="AR617"/>
  <c r="AS617"/>
  <c r="AT617"/>
  <c r="AU617"/>
  <c r="AV617"/>
  <c r="AW617"/>
  <c r="AX617"/>
  <c r="AY617"/>
  <c r="AZ617"/>
  <c r="BA617"/>
  <c r="BB617"/>
  <c r="BC617"/>
  <c r="BD617"/>
  <c r="BE617"/>
  <c r="BF617"/>
  <c r="BG617"/>
  <c r="BH617"/>
  <c r="BI617"/>
  <c r="BJ617"/>
  <c r="BK617"/>
  <c r="BL617"/>
  <c r="BM617"/>
  <c r="BN617"/>
  <c r="BO617"/>
  <c r="BP617"/>
  <c r="BQ617"/>
  <c r="BR617"/>
  <c r="BS617"/>
  <c r="BT617"/>
  <c r="BU617"/>
  <c r="BV617"/>
  <c r="BW617"/>
  <c r="BX617"/>
  <c r="BY617"/>
  <c r="BZ617"/>
  <c r="CQ617"/>
  <c r="CR617"/>
  <c r="CS617"/>
  <c r="CT617"/>
  <c r="CU617"/>
  <c r="CV617"/>
  <c r="CW617"/>
  <c r="CX617"/>
  <c r="CY617"/>
  <c r="CZ617"/>
  <c r="DA617"/>
  <c r="DB617"/>
  <c r="DC617"/>
  <c r="DD617"/>
  <c r="DE617"/>
  <c r="DF617"/>
  <c r="DG617"/>
  <c r="DH617"/>
  <c r="DI617"/>
  <c r="DJ617"/>
  <c r="DK617"/>
  <c r="DL617"/>
  <c r="DM617"/>
  <c r="DN617"/>
  <c r="DO617"/>
  <c r="DP617"/>
  <c r="DQ617"/>
  <c r="DR617"/>
  <c r="DS617"/>
  <c r="DT617"/>
  <c r="DU617"/>
  <c r="DV617"/>
  <c r="DW617"/>
  <c r="DX617"/>
  <c r="DY617"/>
  <c r="DZ617"/>
  <c r="EA617"/>
  <c r="EB617"/>
  <c r="EC617"/>
  <c r="ED617"/>
  <c r="EE617"/>
  <c r="EF617"/>
  <c r="EG617"/>
  <c r="EH617"/>
  <c r="EI617"/>
  <c r="EJ617"/>
  <c r="EK617"/>
  <c r="EL617"/>
  <c r="EM617"/>
  <c r="EN617"/>
  <c r="EO617"/>
  <c r="EP617"/>
  <c r="EQ617"/>
  <c r="ER617"/>
  <c r="ES617"/>
  <c r="ET617"/>
  <c r="EU617"/>
  <c r="EV617"/>
  <c r="EW617"/>
  <c r="EX617"/>
  <c r="EY617"/>
  <c r="EZ617"/>
  <c r="FA617"/>
  <c r="FB617"/>
  <c r="FC617"/>
  <c r="FD617"/>
  <c r="FE617"/>
  <c r="FF617"/>
  <c r="FG617"/>
  <c r="FH617"/>
  <c r="FI617"/>
  <c r="FJ617"/>
  <c r="FK617"/>
  <c r="FL617"/>
  <c r="FM617"/>
  <c r="FN617"/>
  <c r="FO617"/>
  <c r="FP617"/>
  <c r="FQ617"/>
  <c r="FR617"/>
  <c r="FS617"/>
  <c r="FT617"/>
  <c r="FU617"/>
  <c r="FV617"/>
  <c r="FW617"/>
  <c r="FX617"/>
  <c r="FY617"/>
  <c r="FZ617"/>
  <c r="GA617"/>
  <c r="GB617"/>
  <c r="GC617"/>
  <c r="GD617"/>
  <c r="GE617"/>
  <c r="GF617"/>
  <c r="GG617"/>
  <c r="GH617"/>
  <c r="GI617"/>
  <c r="GJ617"/>
  <c r="GK617"/>
  <c r="GL617"/>
  <c r="GM617"/>
  <c r="GN617"/>
  <c r="GO617"/>
  <c r="GP617"/>
  <c r="GQ617"/>
  <c r="GR617"/>
  <c r="R618"/>
  <c r="S618"/>
  <c r="T618"/>
  <c r="U618"/>
  <c r="V618"/>
  <c r="W618"/>
  <c r="X618"/>
  <c r="Y618"/>
  <c r="Z618"/>
  <c r="I618"/>
  <c r="AA618"/>
  <c r="AB618"/>
  <c r="J618"/>
  <c r="AC618"/>
  <c r="AD618"/>
  <c r="AE618"/>
  <c r="AF618"/>
  <c r="AG618"/>
  <c r="AH618"/>
  <c r="AI618"/>
  <c r="AJ618"/>
  <c r="AK618"/>
  <c r="AL618"/>
  <c r="AM618"/>
  <c r="AN618"/>
  <c r="AO618"/>
  <c r="AP618"/>
  <c r="AQ618"/>
  <c r="AR618"/>
  <c r="AS618"/>
  <c r="AT618"/>
  <c r="AU618"/>
  <c r="AV618"/>
  <c r="AW618"/>
  <c r="AX618"/>
  <c r="AY618"/>
  <c r="AZ618"/>
  <c r="BA618"/>
  <c r="BB618"/>
  <c r="BC618"/>
  <c r="BD618"/>
  <c r="BE618"/>
  <c r="BF618"/>
  <c r="BG618"/>
  <c r="BH618"/>
  <c r="BI618"/>
  <c r="BJ618"/>
  <c r="BK618"/>
  <c r="BL618"/>
  <c r="BM618"/>
  <c r="BN618"/>
  <c r="BO618"/>
  <c r="BP618"/>
  <c r="BQ618"/>
  <c r="BR618"/>
  <c r="BS618"/>
  <c r="BT618"/>
  <c r="BU618"/>
  <c r="BV618"/>
  <c r="BW618"/>
  <c r="BX618"/>
  <c r="BY618"/>
  <c r="BZ618"/>
  <c r="CQ618"/>
  <c r="CR618"/>
  <c r="CS618"/>
  <c r="CT618"/>
  <c r="CU618"/>
  <c r="CV618"/>
  <c r="CW618"/>
  <c r="CX618"/>
  <c r="CY618"/>
  <c r="CZ618"/>
  <c r="DA618"/>
  <c r="DB618"/>
  <c r="DC618"/>
  <c r="DD618"/>
  <c r="DE618"/>
  <c r="DF618"/>
  <c r="DG618"/>
  <c r="DH618"/>
  <c r="DI618"/>
  <c r="DJ618"/>
  <c r="DK618"/>
  <c r="DL618"/>
  <c r="DM618"/>
  <c r="DN618"/>
  <c r="DO618"/>
  <c r="DP618"/>
  <c r="DQ618"/>
  <c r="DR618"/>
  <c r="DS618"/>
  <c r="DT618"/>
  <c r="DU618"/>
  <c r="DV618"/>
  <c r="DW618"/>
  <c r="DX618"/>
  <c r="DY618"/>
  <c r="DZ618"/>
  <c r="EA618"/>
  <c r="EB618"/>
  <c r="EC618"/>
  <c r="ED618"/>
  <c r="EE618"/>
  <c r="EF618"/>
  <c r="EG618"/>
  <c r="EH618"/>
  <c r="EI618"/>
  <c r="EJ618"/>
  <c r="EK618"/>
  <c r="EL618"/>
  <c r="EM618"/>
  <c r="EN618"/>
  <c r="EO618"/>
  <c r="EP618"/>
  <c r="EQ618"/>
  <c r="ER618"/>
  <c r="ES618"/>
  <c r="ET618"/>
  <c r="EU618"/>
  <c r="EV618"/>
  <c r="EW618"/>
  <c r="EX618"/>
  <c r="EY618"/>
  <c r="EZ618"/>
  <c r="FA618"/>
  <c r="FB618"/>
  <c r="FC618"/>
  <c r="FD618"/>
  <c r="FE618"/>
  <c r="FF618"/>
  <c r="FG618"/>
  <c r="FH618"/>
  <c r="FI618"/>
  <c r="FJ618"/>
  <c r="FK618"/>
  <c r="FL618"/>
  <c r="FM618"/>
  <c r="FN618"/>
  <c r="FO618"/>
  <c r="FP618"/>
  <c r="FQ618"/>
  <c r="FR618"/>
  <c r="FS618"/>
  <c r="FT618"/>
  <c r="FU618"/>
  <c r="FV618"/>
  <c r="FW618"/>
  <c r="FX618"/>
  <c r="FY618"/>
  <c r="FZ618"/>
  <c r="GA618"/>
  <c r="GB618"/>
  <c r="GC618"/>
  <c r="GD618"/>
  <c r="GE618"/>
  <c r="GF618"/>
  <c r="GG618"/>
  <c r="GH618"/>
  <c r="GI618"/>
  <c r="GJ618"/>
  <c r="GK618"/>
  <c r="GL618"/>
  <c r="GM618"/>
  <c r="GN618"/>
  <c r="GO618"/>
  <c r="GP618"/>
  <c r="GQ618"/>
  <c r="GR618"/>
  <c r="R619"/>
  <c r="S619"/>
  <c r="T619"/>
  <c r="U619"/>
  <c r="V619"/>
  <c r="W619"/>
  <c r="X619"/>
  <c r="Y619"/>
  <c r="Z619"/>
  <c r="I619"/>
  <c r="AA619"/>
  <c r="AB619"/>
  <c r="J619"/>
  <c r="AC619"/>
  <c r="AD619"/>
  <c r="AE619"/>
  <c r="AF619"/>
  <c r="AG619"/>
  <c r="AH619"/>
  <c r="AI619"/>
  <c r="AJ619"/>
  <c r="AK619"/>
  <c r="AL619"/>
  <c r="AM619"/>
  <c r="AN619"/>
  <c r="AO619"/>
  <c r="AP619"/>
  <c r="AQ619"/>
  <c r="AR619"/>
  <c r="AS619"/>
  <c r="AT619"/>
  <c r="AU619"/>
  <c r="AV619"/>
  <c r="AW619"/>
  <c r="AX619"/>
  <c r="AY619"/>
  <c r="AZ619"/>
  <c r="BA619"/>
  <c r="BB619"/>
  <c r="BC619"/>
  <c r="BD619"/>
  <c r="BE619"/>
  <c r="BF619"/>
  <c r="BG619"/>
  <c r="BH619"/>
  <c r="BI619"/>
  <c r="BJ619"/>
  <c r="BK619"/>
  <c r="BL619"/>
  <c r="BM619"/>
  <c r="BN619"/>
  <c r="BO619"/>
  <c r="BP619"/>
  <c r="BQ619"/>
  <c r="BR619"/>
  <c r="BS619"/>
  <c r="BT619"/>
  <c r="BU619"/>
  <c r="BV619"/>
  <c r="BW619"/>
  <c r="BX619"/>
  <c r="BY619"/>
  <c r="BZ619"/>
  <c r="CQ619"/>
  <c r="CR619"/>
  <c r="CS619"/>
  <c r="CT619"/>
  <c r="CU619"/>
  <c r="CV619"/>
  <c r="CW619"/>
  <c r="CX619"/>
  <c r="CY619"/>
  <c r="CZ619"/>
  <c r="DA619"/>
  <c r="DB619"/>
  <c r="DC619"/>
  <c r="DD619"/>
  <c r="DE619"/>
  <c r="DF619"/>
  <c r="DG619"/>
  <c r="DH619"/>
  <c r="DI619"/>
  <c r="DJ619"/>
  <c r="DK619"/>
  <c r="DL619"/>
  <c r="DM619"/>
  <c r="DN619"/>
  <c r="DO619"/>
  <c r="DP619"/>
  <c r="DQ619"/>
  <c r="DR619"/>
  <c r="DS619"/>
  <c r="DT619"/>
  <c r="DU619"/>
  <c r="DV619"/>
  <c r="DW619"/>
  <c r="DX619"/>
  <c r="DY619"/>
  <c r="DZ619"/>
  <c r="EA619"/>
  <c r="EB619"/>
  <c r="EC619"/>
  <c r="ED619"/>
  <c r="EE619"/>
  <c r="EF619"/>
  <c r="EG619"/>
  <c r="EH619"/>
  <c r="EI619"/>
  <c r="EJ619"/>
  <c r="EK619"/>
  <c r="EL619"/>
  <c r="EM619"/>
  <c r="EN619"/>
  <c r="EO619"/>
  <c r="EP619"/>
  <c r="EQ619"/>
  <c r="ER619"/>
  <c r="ES619"/>
  <c r="ET619"/>
  <c r="EU619"/>
  <c r="EV619"/>
  <c r="EW619"/>
  <c r="EX619"/>
  <c r="EY619"/>
  <c r="EZ619"/>
  <c r="FA619"/>
  <c r="FB619"/>
  <c r="FC619"/>
  <c r="FD619"/>
  <c r="FE619"/>
  <c r="FF619"/>
  <c r="FG619"/>
  <c r="FH619"/>
  <c r="FI619"/>
  <c r="FJ619"/>
  <c r="FK619"/>
  <c r="FL619"/>
  <c r="FM619"/>
  <c r="FN619"/>
  <c r="FO619"/>
  <c r="FP619"/>
  <c r="FQ619"/>
  <c r="FR619"/>
  <c r="FS619"/>
  <c r="FT619"/>
  <c r="FU619"/>
  <c r="FV619"/>
  <c r="FW619"/>
  <c r="FX619"/>
  <c r="FY619"/>
  <c r="FZ619"/>
  <c r="GA619"/>
  <c r="GB619"/>
  <c r="GC619"/>
  <c r="GD619"/>
  <c r="GE619"/>
  <c r="GF619"/>
  <c r="GG619"/>
  <c r="GH619"/>
  <c r="GI619"/>
  <c r="GJ619"/>
  <c r="GK619"/>
  <c r="GL619"/>
  <c r="GM619"/>
  <c r="GN619"/>
  <c r="GO619"/>
  <c r="GP619"/>
  <c r="GQ619"/>
  <c r="GR619"/>
  <c r="R620"/>
  <c r="S620"/>
  <c r="T620"/>
  <c r="U620"/>
  <c r="V620"/>
  <c r="W620"/>
  <c r="X620"/>
  <c r="Y620"/>
  <c r="Z620"/>
  <c r="I620"/>
  <c r="AA620"/>
  <c r="AB620"/>
  <c r="J620"/>
  <c r="AC620"/>
  <c r="AD620"/>
  <c r="AE620"/>
  <c r="AF620"/>
  <c r="AG620"/>
  <c r="AH620"/>
  <c r="AI620"/>
  <c r="AJ620"/>
  <c r="AK620"/>
  <c r="AL620"/>
  <c r="AM620"/>
  <c r="AN620"/>
  <c r="AO620"/>
  <c r="AP620"/>
  <c r="AQ620"/>
  <c r="AR620"/>
  <c r="AS620"/>
  <c r="AT620"/>
  <c r="AU620"/>
  <c r="AV620"/>
  <c r="AW620"/>
  <c r="AX620"/>
  <c r="AY620"/>
  <c r="AZ620"/>
  <c r="BA620"/>
  <c r="BB620"/>
  <c r="BC620"/>
  <c r="BD620"/>
  <c r="BE620"/>
  <c r="BF620"/>
  <c r="BG620"/>
  <c r="BH620"/>
  <c r="BI620"/>
  <c r="BJ620"/>
  <c r="BK620"/>
  <c r="BL620"/>
  <c r="BM620"/>
  <c r="BN620"/>
  <c r="BO620"/>
  <c r="BP620"/>
  <c r="BQ620"/>
  <c r="BR620"/>
  <c r="BS620"/>
  <c r="BT620"/>
  <c r="BU620"/>
  <c r="BV620"/>
  <c r="BW620"/>
  <c r="BX620"/>
  <c r="BY620"/>
  <c r="BZ620"/>
  <c r="CQ620"/>
  <c r="CR620"/>
  <c r="CS620"/>
  <c r="CT620"/>
  <c r="CU620"/>
  <c r="CV620"/>
  <c r="CW620"/>
  <c r="CX620"/>
  <c r="CY620"/>
  <c r="CZ620"/>
  <c r="DA620"/>
  <c r="DB620"/>
  <c r="DC620"/>
  <c r="DD620"/>
  <c r="DE620"/>
  <c r="DF620"/>
  <c r="DG620"/>
  <c r="DH620"/>
  <c r="DI620"/>
  <c r="DJ620"/>
  <c r="DK620"/>
  <c r="DL620"/>
  <c r="DM620"/>
  <c r="DN620"/>
  <c r="DO620"/>
  <c r="DP620"/>
  <c r="DQ620"/>
  <c r="DR620"/>
  <c r="DS620"/>
  <c r="DT620"/>
  <c r="DU620"/>
  <c r="DV620"/>
  <c r="DW620"/>
  <c r="DX620"/>
  <c r="DY620"/>
  <c r="DZ620"/>
  <c r="EA620"/>
  <c r="EB620"/>
  <c r="EC620"/>
  <c r="ED620"/>
  <c r="EE620"/>
  <c r="EF620"/>
  <c r="EG620"/>
  <c r="EH620"/>
  <c r="EI620"/>
  <c r="EJ620"/>
  <c r="EK620"/>
  <c r="EL620"/>
  <c r="EM620"/>
  <c r="EN620"/>
  <c r="EO620"/>
  <c r="EP620"/>
  <c r="EQ620"/>
  <c r="ER620"/>
  <c r="ES620"/>
  <c r="ET620"/>
  <c r="EU620"/>
  <c r="EV620"/>
  <c r="EW620"/>
  <c r="EX620"/>
  <c r="EY620"/>
  <c r="EZ620"/>
  <c r="FA620"/>
  <c r="FB620"/>
  <c r="FC620"/>
  <c r="FD620"/>
  <c r="FE620"/>
  <c r="FF620"/>
  <c r="FG620"/>
  <c r="FH620"/>
  <c r="FI620"/>
  <c r="FJ620"/>
  <c r="FK620"/>
  <c r="FL620"/>
  <c r="FM620"/>
  <c r="FN620"/>
  <c r="FO620"/>
  <c r="FP620"/>
  <c r="FQ620"/>
  <c r="FR620"/>
  <c r="FS620"/>
  <c r="FT620"/>
  <c r="FU620"/>
  <c r="FV620"/>
  <c r="FW620"/>
  <c r="FX620"/>
  <c r="FY620"/>
  <c r="FZ620"/>
  <c r="GA620"/>
  <c r="GB620"/>
  <c r="GC620"/>
  <c r="GD620"/>
  <c r="GE620"/>
  <c r="GF620"/>
  <c r="GG620"/>
  <c r="GH620"/>
  <c r="GI620"/>
  <c r="GJ620"/>
  <c r="GK620"/>
  <c r="GL620"/>
  <c r="GM620"/>
  <c r="GN620"/>
  <c r="GO620"/>
  <c r="GP620"/>
  <c r="GQ620"/>
  <c r="GR620"/>
  <c r="R621"/>
  <c r="S621"/>
  <c r="T621"/>
  <c r="U621"/>
  <c r="V621"/>
  <c r="W621"/>
  <c r="X621"/>
  <c r="Y621"/>
  <c r="Z621"/>
  <c r="I621"/>
  <c r="AA621"/>
  <c r="AB621"/>
  <c r="J621"/>
  <c r="AC621"/>
  <c r="AD621"/>
  <c r="AE621"/>
  <c r="AF621"/>
  <c r="AG621"/>
  <c r="AH621"/>
  <c r="AI621"/>
  <c r="AJ621"/>
  <c r="AK621"/>
  <c r="AL621"/>
  <c r="AM621"/>
  <c r="AN621"/>
  <c r="AO621"/>
  <c r="AP621"/>
  <c r="AQ621"/>
  <c r="AR621"/>
  <c r="AS621"/>
  <c r="AT621"/>
  <c r="AU621"/>
  <c r="AV621"/>
  <c r="AW621"/>
  <c r="AX621"/>
  <c r="AY621"/>
  <c r="AZ621"/>
  <c r="BA621"/>
  <c r="BB621"/>
  <c r="BC621"/>
  <c r="BD621"/>
  <c r="BE621"/>
  <c r="BF621"/>
  <c r="BG621"/>
  <c r="BH621"/>
  <c r="BI621"/>
  <c r="BJ621"/>
  <c r="BK621"/>
  <c r="BL621"/>
  <c r="BM621"/>
  <c r="BN621"/>
  <c r="BO621"/>
  <c r="BP621"/>
  <c r="BQ621"/>
  <c r="BR621"/>
  <c r="BS621"/>
  <c r="BT621"/>
  <c r="BU621"/>
  <c r="BV621"/>
  <c r="BW621"/>
  <c r="BX621"/>
  <c r="BY621"/>
  <c r="BZ621"/>
  <c r="CQ621"/>
  <c r="CR621"/>
  <c r="CS621"/>
  <c r="CT621"/>
  <c r="CU621"/>
  <c r="CV621"/>
  <c r="CW621"/>
  <c r="CX621"/>
  <c r="CY621"/>
  <c r="CZ621"/>
  <c r="DA621"/>
  <c r="DB621"/>
  <c r="DC621"/>
  <c r="DD621"/>
  <c r="DE621"/>
  <c r="DF621"/>
  <c r="DG621"/>
  <c r="DH621"/>
  <c r="DI621"/>
  <c r="DJ621"/>
  <c r="DK621"/>
  <c r="DL621"/>
  <c r="DM621"/>
  <c r="DN621"/>
  <c r="DO621"/>
  <c r="DP621"/>
  <c r="DQ621"/>
  <c r="DR621"/>
  <c r="DS621"/>
  <c r="DT621"/>
  <c r="DU621"/>
  <c r="DV621"/>
  <c r="DW621"/>
  <c r="DX621"/>
  <c r="DY621"/>
  <c r="DZ621"/>
  <c r="EA621"/>
  <c r="EB621"/>
  <c r="EC621"/>
  <c r="ED621"/>
  <c r="EE621"/>
  <c r="EF621"/>
  <c r="EG621"/>
  <c r="EH621"/>
  <c r="EI621"/>
  <c r="EJ621"/>
  <c r="EK621"/>
  <c r="EL621"/>
  <c r="EM621"/>
  <c r="EN621"/>
  <c r="EO621"/>
  <c r="EP621"/>
  <c r="EQ621"/>
  <c r="ER621"/>
  <c r="ES621"/>
  <c r="ET621"/>
  <c r="EU621"/>
  <c r="EV621"/>
  <c r="EW621"/>
  <c r="EX621"/>
  <c r="EY621"/>
  <c r="EZ621"/>
  <c r="FA621"/>
  <c r="FB621"/>
  <c r="FC621"/>
  <c r="FD621"/>
  <c r="FE621"/>
  <c r="FF621"/>
  <c r="FG621"/>
  <c r="FH621"/>
  <c r="FI621"/>
  <c r="FJ621"/>
  <c r="FK621"/>
  <c r="FL621"/>
  <c r="FM621"/>
  <c r="FN621"/>
  <c r="FO621"/>
  <c r="FP621"/>
  <c r="FQ621"/>
  <c r="FR621"/>
  <c r="FS621"/>
  <c r="FT621"/>
  <c r="FU621"/>
  <c r="FV621"/>
  <c r="FW621"/>
  <c r="FX621"/>
  <c r="FY621"/>
  <c r="FZ621"/>
  <c r="GA621"/>
  <c r="GB621"/>
  <c r="GC621"/>
  <c r="GD621"/>
  <c r="GE621"/>
  <c r="GF621"/>
  <c r="GG621"/>
  <c r="GH621"/>
  <c r="GI621"/>
  <c r="GJ621"/>
  <c r="GK621"/>
  <c r="GL621"/>
  <c r="GM621"/>
  <c r="GN621"/>
  <c r="GO621"/>
  <c r="GP621"/>
  <c r="GQ621"/>
  <c r="GR621"/>
  <c r="R622"/>
  <c r="S622"/>
  <c r="T622"/>
  <c r="U622"/>
  <c r="V622"/>
  <c r="W622"/>
  <c r="X622"/>
  <c r="Y622"/>
  <c r="Z622"/>
  <c r="I622"/>
  <c r="AA622"/>
  <c r="AB622"/>
  <c r="J622"/>
  <c r="AC622"/>
  <c r="AD622"/>
  <c r="AE622"/>
  <c r="AF622"/>
  <c r="AG622"/>
  <c r="AH622"/>
  <c r="AI622"/>
  <c r="AJ622"/>
  <c r="AK622"/>
  <c r="AL622"/>
  <c r="AM622"/>
  <c r="AN622"/>
  <c r="AO622"/>
  <c r="AP622"/>
  <c r="AQ622"/>
  <c r="AR622"/>
  <c r="AS622"/>
  <c r="AT622"/>
  <c r="AU622"/>
  <c r="AV622"/>
  <c r="AW622"/>
  <c r="AX622"/>
  <c r="AY622"/>
  <c r="AZ622"/>
  <c r="BA622"/>
  <c r="BB622"/>
  <c r="BC622"/>
  <c r="BD622"/>
  <c r="BE622"/>
  <c r="BF622"/>
  <c r="BG622"/>
  <c r="BH622"/>
  <c r="BI622"/>
  <c r="BJ622"/>
  <c r="BK622"/>
  <c r="BL622"/>
  <c r="BM622"/>
  <c r="BN622"/>
  <c r="BO622"/>
  <c r="BP622"/>
  <c r="BQ622"/>
  <c r="BR622"/>
  <c r="BS622"/>
  <c r="BT622"/>
  <c r="BU622"/>
  <c r="BV622"/>
  <c r="BW622"/>
  <c r="BX622"/>
  <c r="BY622"/>
  <c r="BZ622"/>
  <c r="CQ622"/>
  <c r="CR622"/>
  <c r="CS622"/>
  <c r="CT622"/>
  <c r="CU622"/>
  <c r="CV622"/>
  <c r="CW622"/>
  <c r="CX622"/>
  <c r="CY622"/>
  <c r="CZ622"/>
  <c r="DA622"/>
  <c r="DB622"/>
  <c r="DC622"/>
  <c r="DD622"/>
  <c r="DE622"/>
  <c r="DF622"/>
  <c r="DG622"/>
  <c r="DH622"/>
  <c r="DI622"/>
  <c r="DJ622"/>
  <c r="DK622"/>
  <c r="DL622"/>
  <c r="DM622"/>
  <c r="DN622"/>
  <c r="DO622"/>
  <c r="DP622"/>
  <c r="DQ622"/>
  <c r="DR622"/>
  <c r="DS622"/>
  <c r="DT622"/>
  <c r="DU622"/>
  <c r="DV622"/>
  <c r="DW622"/>
  <c r="DX622"/>
  <c r="DY622"/>
  <c r="DZ622"/>
  <c r="EA622"/>
  <c r="EB622"/>
  <c r="EC622"/>
  <c r="ED622"/>
  <c r="EE622"/>
  <c r="EF622"/>
  <c r="EG622"/>
  <c r="EH622"/>
  <c r="EI622"/>
  <c r="EJ622"/>
  <c r="EK622"/>
  <c r="EL622"/>
  <c r="EM622"/>
  <c r="EN622"/>
  <c r="EO622"/>
  <c r="EP622"/>
  <c r="EQ622"/>
  <c r="ER622"/>
  <c r="ES622"/>
  <c r="ET622"/>
  <c r="EU622"/>
  <c r="EV622"/>
  <c r="EW622"/>
  <c r="EX622"/>
  <c r="EY622"/>
  <c r="EZ622"/>
  <c r="FA622"/>
  <c r="FB622"/>
  <c r="FC622"/>
  <c r="FD622"/>
  <c r="FE622"/>
  <c r="FF622"/>
  <c r="FG622"/>
  <c r="FH622"/>
  <c r="FI622"/>
  <c r="FJ622"/>
  <c r="FK622"/>
  <c r="FL622"/>
  <c r="FM622"/>
  <c r="FN622"/>
  <c r="FO622"/>
  <c r="FP622"/>
  <c r="FQ622"/>
  <c r="FR622"/>
  <c r="FS622"/>
  <c r="FT622"/>
  <c r="FU622"/>
  <c r="FV622"/>
  <c r="FW622"/>
  <c r="FX622"/>
  <c r="FY622"/>
  <c r="FZ622"/>
  <c r="GA622"/>
  <c r="GB622"/>
  <c r="GC622"/>
  <c r="GD622"/>
  <c r="GE622"/>
  <c r="GF622"/>
  <c r="GG622"/>
  <c r="GH622"/>
  <c r="GI622"/>
  <c r="GJ622"/>
  <c r="GK622"/>
  <c r="GL622"/>
  <c r="GM622"/>
  <c r="GN622"/>
  <c r="GO622"/>
  <c r="GP622"/>
  <c r="GQ622"/>
  <c r="GR622"/>
  <c r="R623"/>
  <c r="S623"/>
  <c r="T623"/>
  <c r="U623"/>
  <c r="V623"/>
  <c r="W623"/>
  <c r="X623"/>
  <c r="Y623"/>
  <c r="Z623"/>
  <c r="I623"/>
  <c r="AA623"/>
  <c r="AB623"/>
  <c r="J623"/>
  <c r="AC623"/>
  <c r="AD623"/>
  <c r="AE623"/>
  <c r="AF623"/>
  <c r="AG623"/>
  <c r="AH623"/>
  <c r="AI623"/>
  <c r="AJ623"/>
  <c r="AK623"/>
  <c r="AL623"/>
  <c r="AM623"/>
  <c r="AN623"/>
  <c r="AO623"/>
  <c r="AP623"/>
  <c r="AQ623"/>
  <c r="AR623"/>
  <c r="AS623"/>
  <c r="AT623"/>
  <c r="AU623"/>
  <c r="AV623"/>
  <c r="AW623"/>
  <c r="AX623"/>
  <c r="AY623"/>
  <c r="AZ623"/>
  <c r="BA623"/>
  <c r="BB623"/>
  <c r="BC623"/>
  <c r="BD623"/>
  <c r="BE623"/>
  <c r="BF623"/>
  <c r="BG623"/>
  <c r="BH623"/>
  <c r="BI623"/>
  <c r="BJ623"/>
  <c r="BK623"/>
  <c r="BL623"/>
  <c r="BM623"/>
  <c r="BN623"/>
  <c r="BO623"/>
  <c r="BP623"/>
  <c r="BQ623"/>
  <c r="BR623"/>
  <c r="BS623"/>
  <c r="BT623"/>
  <c r="BU623"/>
  <c r="BV623"/>
  <c r="BW623"/>
  <c r="BX623"/>
  <c r="BY623"/>
  <c r="BZ623"/>
  <c r="CQ623"/>
  <c r="CR623"/>
  <c r="CS623"/>
  <c r="CT623"/>
  <c r="CU623"/>
  <c r="CV623"/>
  <c r="CW623"/>
  <c r="CX623"/>
  <c r="CY623"/>
  <c r="CZ623"/>
  <c r="DA623"/>
  <c r="DB623"/>
  <c r="DC623"/>
  <c r="DD623"/>
  <c r="DE623"/>
  <c r="DF623"/>
  <c r="DG623"/>
  <c r="DH623"/>
  <c r="DI623"/>
  <c r="DJ623"/>
  <c r="DK623"/>
  <c r="DL623"/>
  <c r="DM623"/>
  <c r="DN623"/>
  <c r="DO623"/>
  <c r="DP623"/>
  <c r="DQ623"/>
  <c r="DR623"/>
  <c r="DS623"/>
  <c r="DT623"/>
  <c r="DU623"/>
  <c r="DV623"/>
  <c r="DW623"/>
  <c r="DX623"/>
  <c r="DY623"/>
  <c r="DZ623"/>
  <c r="EA623"/>
  <c r="EB623"/>
  <c r="EC623"/>
  <c r="ED623"/>
  <c r="EE623"/>
  <c r="EF623"/>
  <c r="EG623"/>
  <c r="EH623"/>
  <c r="EI623"/>
  <c r="EJ623"/>
  <c r="EK623"/>
  <c r="EL623"/>
  <c r="EM623"/>
  <c r="EN623"/>
  <c r="EO623"/>
  <c r="EP623"/>
  <c r="EQ623"/>
  <c r="ER623"/>
  <c r="ES623"/>
  <c r="ET623"/>
  <c r="EU623"/>
  <c r="EV623"/>
  <c r="EW623"/>
  <c r="EX623"/>
  <c r="EY623"/>
  <c r="EZ623"/>
  <c r="FA623"/>
  <c r="FB623"/>
  <c r="FC623"/>
  <c r="FD623"/>
  <c r="FE623"/>
  <c r="FF623"/>
  <c r="FG623"/>
  <c r="FH623"/>
  <c r="FI623"/>
  <c r="FJ623"/>
  <c r="FK623"/>
  <c r="FL623"/>
  <c r="FM623"/>
  <c r="FN623"/>
  <c r="FO623"/>
  <c r="FP623"/>
  <c r="FQ623"/>
  <c r="FR623"/>
  <c r="FS623"/>
  <c r="FT623"/>
  <c r="FU623"/>
  <c r="FV623"/>
  <c r="FW623"/>
  <c r="FX623"/>
  <c r="FY623"/>
  <c r="FZ623"/>
  <c r="GA623"/>
  <c r="GB623"/>
  <c r="GC623"/>
  <c r="GD623"/>
  <c r="GE623"/>
  <c r="GF623"/>
  <c r="GG623"/>
  <c r="GH623"/>
  <c r="GI623"/>
  <c r="GJ623"/>
  <c r="GK623"/>
  <c r="GL623"/>
  <c r="GM623"/>
  <c r="GN623"/>
  <c r="GO623"/>
  <c r="GP623"/>
  <c r="GQ623"/>
  <c r="GR623"/>
  <c r="R624"/>
  <c r="S624"/>
  <c r="T624"/>
  <c r="U624"/>
  <c r="V624"/>
  <c r="W624"/>
  <c r="X624"/>
  <c r="Y624"/>
  <c r="Z624"/>
  <c r="I624"/>
  <c r="AA624"/>
  <c r="AB624"/>
  <c r="J624"/>
  <c r="AC624"/>
  <c r="AD624"/>
  <c r="AE624"/>
  <c r="AF624"/>
  <c r="AG624"/>
  <c r="AH624"/>
  <c r="AI624"/>
  <c r="AJ624"/>
  <c r="AK624"/>
  <c r="AL624"/>
  <c r="AM624"/>
  <c r="AN624"/>
  <c r="AO624"/>
  <c r="AP624"/>
  <c r="AQ624"/>
  <c r="AR624"/>
  <c r="AS624"/>
  <c r="AT624"/>
  <c r="AU624"/>
  <c r="AV624"/>
  <c r="AW624"/>
  <c r="AX624"/>
  <c r="AY624"/>
  <c r="AZ624"/>
  <c r="BA624"/>
  <c r="BB624"/>
  <c r="BC624"/>
  <c r="BD624"/>
  <c r="BE624"/>
  <c r="BF624"/>
  <c r="BG624"/>
  <c r="BH624"/>
  <c r="BI624"/>
  <c r="BJ624"/>
  <c r="BK624"/>
  <c r="BL624"/>
  <c r="BM624"/>
  <c r="BN624"/>
  <c r="BO624"/>
  <c r="BP624"/>
  <c r="BQ624"/>
  <c r="BR624"/>
  <c r="BS624"/>
  <c r="BT624"/>
  <c r="BU624"/>
  <c r="BV624"/>
  <c r="BW624"/>
  <c r="BX624"/>
  <c r="BY624"/>
  <c r="BZ624"/>
  <c r="CQ624"/>
  <c r="CR624"/>
  <c r="CS624"/>
  <c r="CT624"/>
  <c r="CU624"/>
  <c r="CV624"/>
  <c r="CW624"/>
  <c r="CX624"/>
  <c r="CY624"/>
  <c r="CZ624"/>
  <c r="DA624"/>
  <c r="DB624"/>
  <c r="DC624"/>
  <c r="DD624"/>
  <c r="DE624"/>
  <c r="DF624"/>
  <c r="DG624"/>
  <c r="DH624"/>
  <c r="DI624"/>
  <c r="DJ624"/>
  <c r="DK624"/>
  <c r="DL624"/>
  <c r="DM624"/>
  <c r="DN624"/>
  <c r="DO624"/>
  <c r="DP624"/>
  <c r="DQ624"/>
  <c r="DR624"/>
  <c r="DS624"/>
  <c r="DT624"/>
  <c r="DU624"/>
  <c r="DV624"/>
  <c r="DW624"/>
  <c r="DX624"/>
  <c r="DY624"/>
  <c r="DZ624"/>
  <c r="EA624"/>
  <c r="EB624"/>
  <c r="EC624"/>
  <c r="ED624"/>
  <c r="EE624"/>
  <c r="EF624"/>
  <c r="EG624"/>
  <c r="EH624"/>
  <c r="EI624"/>
  <c r="EJ624"/>
  <c r="EK624"/>
  <c r="EL624"/>
  <c r="EM624"/>
  <c r="EN624"/>
  <c r="EO624"/>
  <c r="EP624"/>
  <c r="EQ624"/>
  <c r="ER624"/>
  <c r="ES624"/>
  <c r="ET624"/>
  <c r="EU624"/>
  <c r="EV624"/>
  <c r="EW624"/>
  <c r="EX624"/>
  <c r="EY624"/>
  <c r="EZ624"/>
  <c r="FA624"/>
  <c r="FB624"/>
  <c r="FC624"/>
  <c r="FD624"/>
  <c r="FE624"/>
  <c r="FF624"/>
  <c r="FG624"/>
  <c r="FH624"/>
  <c r="FI624"/>
  <c r="FJ624"/>
  <c r="FK624"/>
  <c r="FL624"/>
  <c r="FM624"/>
  <c r="FN624"/>
  <c r="FO624"/>
  <c r="FP624"/>
  <c r="FQ624"/>
  <c r="FR624"/>
  <c r="FS624"/>
  <c r="FT624"/>
  <c r="FU624"/>
  <c r="FV624"/>
  <c r="FW624"/>
  <c r="FX624"/>
  <c r="FY624"/>
  <c r="FZ624"/>
  <c r="GA624"/>
  <c r="GB624"/>
  <c r="GC624"/>
  <c r="GD624"/>
  <c r="GE624"/>
  <c r="GF624"/>
  <c r="GG624"/>
  <c r="GH624"/>
  <c r="GI624"/>
  <c r="GJ624"/>
  <c r="GK624"/>
  <c r="GL624"/>
  <c r="GM624"/>
  <c r="GN624"/>
  <c r="GO624"/>
  <c r="GP624"/>
  <c r="GQ624"/>
  <c r="GR624"/>
  <c r="R625"/>
  <c r="S625"/>
  <c r="T625"/>
  <c r="U625"/>
  <c r="V625"/>
  <c r="W625"/>
  <c r="X625"/>
  <c r="Y625"/>
  <c r="Z625"/>
  <c r="I625"/>
  <c r="AA625"/>
  <c r="AB625"/>
  <c r="J625"/>
  <c r="AC625"/>
  <c r="AD625"/>
  <c r="AE625"/>
  <c r="AF625"/>
  <c r="AG625"/>
  <c r="AH625"/>
  <c r="AI625"/>
  <c r="AJ625"/>
  <c r="AK625"/>
  <c r="AL625"/>
  <c r="AM625"/>
  <c r="AN625"/>
  <c r="AO625"/>
  <c r="AP625"/>
  <c r="AQ625"/>
  <c r="AR625"/>
  <c r="AS625"/>
  <c r="AT625"/>
  <c r="AU625"/>
  <c r="AV625"/>
  <c r="AW625"/>
  <c r="AX625"/>
  <c r="AY625"/>
  <c r="AZ625"/>
  <c r="BA625"/>
  <c r="BB625"/>
  <c r="BC625"/>
  <c r="BD625"/>
  <c r="BE625"/>
  <c r="BF625"/>
  <c r="BG625"/>
  <c r="BH625"/>
  <c r="BI625"/>
  <c r="BJ625"/>
  <c r="BK625"/>
  <c r="BL625"/>
  <c r="BM625"/>
  <c r="BN625"/>
  <c r="BO625"/>
  <c r="BP625"/>
  <c r="BQ625"/>
  <c r="BR625"/>
  <c r="BS625"/>
  <c r="BT625"/>
  <c r="BU625"/>
  <c r="BV625"/>
  <c r="BW625"/>
  <c r="BX625"/>
  <c r="BY625"/>
  <c r="BZ625"/>
  <c r="CQ625"/>
  <c r="CR625"/>
  <c r="CS625"/>
  <c r="CT625"/>
  <c r="CU625"/>
  <c r="CV625"/>
  <c r="CW625"/>
  <c r="CX625"/>
  <c r="CY625"/>
  <c r="CZ625"/>
  <c r="DA625"/>
  <c r="DB625"/>
  <c r="DC625"/>
  <c r="DD625"/>
  <c r="DE625"/>
  <c r="DF625"/>
  <c r="DG625"/>
  <c r="DH625"/>
  <c r="DI625"/>
  <c r="DJ625"/>
  <c r="DK625"/>
  <c r="DL625"/>
  <c r="DM625"/>
  <c r="DN625"/>
  <c r="DO625"/>
  <c r="DP625"/>
  <c r="DQ625"/>
  <c r="DR625"/>
  <c r="DS625"/>
  <c r="DT625"/>
  <c r="DU625"/>
  <c r="DV625"/>
  <c r="DW625"/>
  <c r="DX625"/>
  <c r="DY625"/>
  <c r="DZ625"/>
  <c r="EA625"/>
  <c r="EB625"/>
  <c r="EC625"/>
  <c r="ED625"/>
  <c r="EE625"/>
  <c r="EF625"/>
  <c r="EG625"/>
  <c r="EH625"/>
  <c r="EI625"/>
  <c r="EJ625"/>
  <c r="EK625"/>
  <c r="EL625"/>
  <c r="EM625"/>
  <c r="EN625"/>
  <c r="EO625"/>
  <c r="EP625"/>
  <c r="EQ625"/>
  <c r="ER625"/>
  <c r="ES625"/>
  <c r="ET625"/>
  <c r="EU625"/>
  <c r="EV625"/>
  <c r="EW625"/>
  <c r="EX625"/>
  <c r="EY625"/>
  <c r="EZ625"/>
  <c r="FA625"/>
  <c r="FB625"/>
  <c r="FC625"/>
  <c r="FD625"/>
  <c r="FE625"/>
  <c r="FF625"/>
  <c r="FG625"/>
  <c r="FH625"/>
  <c r="FI625"/>
  <c r="FJ625"/>
  <c r="FK625"/>
  <c r="FL625"/>
  <c r="FM625"/>
  <c r="FN625"/>
  <c r="FO625"/>
  <c r="FP625"/>
  <c r="FQ625"/>
  <c r="FR625"/>
  <c r="FS625"/>
  <c r="FT625"/>
  <c r="FU625"/>
  <c r="FV625"/>
  <c r="FW625"/>
  <c r="FX625"/>
  <c r="FY625"/>
  <c r="FZ625"/>
  <c r="GA625"/>
  <c r="GB625"/>
  <c r="GC625"/>
  <c r="GD625"/>
  <c r="GE625"/>
  <c r="GF625"/>
  <c r="GG625"/>
  <c r="GH625"/>
  <c r="GI625"/>
  <c r="GJ625"/>
  <c r="GK625"/>
  <c r="GL625"/>
  <c r="GM625"/>
  <c r="GN625"/>
  <c r="GO625"/>
  <c r="GP625"/>
  <c r="GQ625"/>
  <c r="GR625"/>
  <c r="R626"/>
  <c r="S626"/>
  <c r="T626"/>
  <c r="U626"/>
  <c r="V626"/>
  <c r="W626"/>
  <c r="X626"/>
  <c r="Y626"/>
  <c r="Z626"/>
  <c r="I626"/>
  <c r="AA626"/>
  <c r="AB626"/>
  <c r="J626"/>
  <c r="AC626"/>
  <c r="AD626"/>
  <c r="AE626"/>
  <c r="AF626"/>
  <c r="AG626"/>
  <c r="AH626"/>
  <c r="AI626"/>
  <c r="AJ626"/>
  <c r="AK626"/>
  <c r="AL626"/>
  <c r="AM626"/>
  <c r="AN626"/>
  <c r="AO626"/>
  <c r="AP626"/>
  <c r="AQ626"/>
  <c r="AR626"/>
  <c r="AS626"/>
  <c r="AT626"/>
  <c r="AU626"/>
  <c r="AV626"/>
  <c r="AW626"/>
  <c r="AX626"/>
  <c r="AY626"/>
  <c r="AZ626"/>
  <c r="BA626"/>
  <c r="BB626"/>
  <c r="BC626"/>
  <c r="BD626"/>
  <c r="BE626"/>
  <c r="BF626"/>
  <c r="BG626"/>
  <c r="BH626"/>
  <c r="BI626"/>
  <c r="BJ626"/>
  <c r="BK626"/>
  <c r="BL626"/>
  <c r="BM626"/>
  <c r="BN626"/>
  <c r="BO626"/>
  <c r="BP626"/>
  <c r="BQ626"/>
  <c r="BR626"/>
  <c r="BS626"/>
  <c r="BT626"/>
  <c r="BU626"/>
  <c r="BV626"/>
  <c r="BW626"/>
  <c r="BX626"/>
  <c r="BY626"/>
  <c r="BZ626"/>
  <c r="CQ626"/>
  <c r="CR626"/>
  <c r="CS626"/>
  <c r="CT626"/>
  <c r="CU626"/>
  <c r="CV626"/>
  <c r="CW626"/>
  <c r="CX626"/>
  <c r="CY626"/>
  <c r="CZ626"/>
  <c r="DA626"/>
  <c r="DB626"/>
  <c r="DC626"/>
  <c r="DD626"/>
  <c r="DE626"/>
  <c r="DF626"/>
  <c r="DG626"/>
  <c r="DH626"/>
  <c r="DI626"/>
  <c r="DJ626"/>
  <c r="DK626"/>
  <c r="DL626"/>
  <c r="DM626"/>
  <c r="DN626"/>
  <c r="DO626"/>
  <c r="DP626"/>
  <c r="DQ626"/>
  <c r="DR626"/>
  <c r="DS626"/>
  <c r="DT626"/>
  <c r="DU626"/>
  <c r="DV626"/>
  <c r="DW626"/>
  <c r="DX626"/>
  <c r="EA626"/>
  <c r="EB626"/>
  <c r="EC626"/>
  <c r="ED626"/>
  <c r="EE626"/>
  <c r="EF626"/>
  <c r="EG626"/>
  <c r="EH626"/>
  <c r="EI626"/>
  <c r="EJ626"/>
  <c r="EK626"/>
  <c r="EL626"/>
  <c r="EM626"/>
  <c r="EN626"/>
  <c r="EO626"/>
  <c r="EP626"/>
  <c r="EQ626"/>
  <c r="ER626"/>
  <c r="ES626"/>
  <c r="ET626"/>
  <c r="EU626"/>
  <c r="EV626"/>
  <c r="EW626"/>
  <c r="EX626"/>
  <c r="EY626"/>
  <c r="EZ626"/>
  <c r="FA626"/>
  <c r="FB626"/>
  <c r="FC626"/>
  <c r="FD626"/>
  <c r="FE626"/>
  <c r="FF626"/>
  <c r="FG626"/>
  <c r="FH626"/>
  <c r="FI626"/>
  <c r="FJ626"/>
  <c r="FK626"/>
  <c r="FL626"/>
  <c r="FM626"/>
  <c r="FN626"/>
  <c r="FO626"/>
  <c r="FP626"/>
  <c r="FQ626"/>
  <c r="FR626"/>
  <c r="FS626"/>
  <c r="FT626"/>
  <c r="FU626"/>
  <c r="FV626"/>
  <c r="FW626"/>
  <c r="FX626"/>
  <c r="FY626"/>
  <c r="FZ626"/>
  <c r="GA626"/>
  <c r="GB626"/>
  <c r="GC626"/>
  <c r="GD626"/>
  <c r="GE626"/>
  <c r="GF626"/>
  <c r="GG626"/>
  <c r="GH626"/>
  <c r="GI626"/>
  <c r="GJ626"/>
  <c r="GK626"/>
  <c r="GL626"/>
  <c r="GM626"/>
  <c r="GN626"/>
  <c r="GO626"/>
  <c r="GP626"/>
  <c r="GQ626"/>
  <c r="GR626"/>
  <c r="R627"/>
  <c r="S627"/>
  <c r="T627"/>
  <c r="U627"/>
  <c r="V627"/>
  <c r="W627"/>
  <c r="X627"/>
  <c r="Y627"/>
  <c r="Z627"/>
  <c r="I627"/>
  <c r="AA627"/>
  <c r="AB627"/>
  <c r="J627"/>
  <c r="AC627"/>
  <c r="AD627"/>
  <c r="AE627"/>
  <c r="AF627"/>
  <c r="AG627"/>
  <c r="AH627"/>
  <c r="AI627"/>
  <c r="AJ627"/>
  <c r="AK627"/>
  <c r="AL627"/>
  <c r="AM627"/>
  <c r="AN627"/>
  <c r="AO627"/>
  <c r="AP627"/>
  <c r="AQ627"/>
  <c r="AR627"/>
  <c r="AS627"/>
  <c r="AT627"/>
  <c r="AU627"/>
  <c r="AV627"/>
  <c r="AW627"/>
  <c r="AX627"/>
  <c r="AY627"/>
  <c r="AZ627"/>
  <c r="BA627"/>
  <c r="BB627"/>
  <c r="BC627"/>
  <c r="BD627"/>
  <c r="BE627"/>
  <c r="BF627"/>
  <c r="BG627"/>
  <c r="BH627"/>
  <c r="BI627"/>
  <c r="BJ627"/>
  <c r="BK627"/>
  <c r="BL627"/>
  <c r="BM627"/>
  <c r="BN627"/>
  <c r="BO627"/>
  <c r="BP627"/>
  <c r="BQ627"/>
  <c r="BR627"/>
  <c r="BS627"/>
  <c r="BT627"/>
  <c r="BU627"/>
  <c r="BV627"/>
  <c r="BW627"/>
  <c r="BX627"/>
  <c r="BY627"/>
  <c r="BZ627"/>
  <c r="CQ627"/>
  <c r="CR627"/>
  <c r="CS627"/>
  <c r="CT627"/>
  <c r="CU627"/>
  <c r="CV627"/>
  <c r="CW627"/>
  <c r="CX627"/>
  <c r="CY627"/>
  <c r="CZ627"/>
  <c r="DA627"/>
  <c r="DB627"/>
  <c r="DC627"/>
  <c r="DD627"/>
  <c r="DE627"/>
  <c r="DF627"/>
  <c r="DG627"/>
  <c r="DH627"/>
  <c r="DI627"/>
  <c r="DJ627"/>
  <c r="DK627"/>
  <c r="DL627"/>
  <c r="DM627"/>
  <c r="DN627"/>
  <c r="DO627"/>
  <c r="DP627"/>
  <c r="DQ627"/>
  <c r="DR627"/>
  <c r="DS627"/>
  <c r="DT627"/>
  <c r="DU627"/>
  <c r="DV627"/>
  <c r="DW627"/>
  <c r="DX627"/>
  <c r="DY627"/>
  <c r="DZ627"/>
  <c r="EA627"/>
  <c r="EB627"/>
  <c r="EC627"/>
  <c r="ED627"/>
  <c r="EE627"/>
  <c r="EF627"/>
  <c r="EG627"/>
  <c r="EH627"/>
  <c r="EI627"/>
  <c r="EJ627"/>
  <c r="EK627"/>
  <c r="EL627"/>
  <c r="EM627"/>
  <c r="EN627"/>
  <c r="EO627"/>
  <c r="EP627"/>
  <c r="EQ627"/>
  <c r="ER627"/>
  <c r="ES627"/>
  <c r="ET627"/>
  <c r="EU627"/>
  <c r="EV627"/>
  <c r="EW627"/>
  <c r="EX627"/>
  <c r="EY627"/>
  <c r="EZ627"/>
  <c r="FA627"/>
  <c r="FB627"/>
  <c r="FC627"/>
  <c r="FD627"/>
  <c r="FE627"/>
  <c r="FF627"/>
  <c r="FG627"/>
  <c r="FH627"/>
  <c r="FI627"/>
  <c r="FJ627"/>
  <c r="FK627"/>
  <c r="FL627"/>
  <c r="FM627"/>
  <c r="FN627"/>
  <c r="FO627"/>
  <c r="FP627"/>
  <c r="FQ627"/>
  <c r="FR627"/>
  <c r="FS627"/>
  <c r="FT627"/>
  <c r="FU627"/>
  <c r="FV627"/>
  <c r="FW627"/>
  <c r="FX627"/>
  <c r="FY627"/>
  <c r="FZ627"/>
  <c r="GA627"/>
  <c r="GB627"/>
  <c r="GC627"/>
  <c r="GD627"/>
  <c r="GE627"/>
  <c r="GF627"/>
  <c r="GG627"/>
  <c r="GH627"/>
  <c r="GI627"/>
  <c r="GJ627"/>
  <c r="GK627"/>
  <c r="GL627"/>
  <c r="GM627"/>
  <c r="GN627"/>
  <c r="GO627"/>
  <c r="GP627"/>
  <c r="GQ627"/>
  <c r="GR627"/>
  <c r="R628"/>
  <c r="S628"/>
  <c r="T628"/>
  <c r="U628"/>
  <c r="V628"/>
  <c r="W628"/>
  <c r="X628"/>
  <c r="Y628"/>
  <c r="Z628"/>
  <c r="I628"/>
  <c r="AA628"/>
  <c r="AB628"/>
  <c r="J628"/>
  <c r="AC628"/>
  <c r="AD628"/>
  <c r="AE628"/>
  <c r="AF628"/>
  <c r="AG628"/>
  <c r="AH628"/>
  <c r="AI628"/>
  <c r="AJ628"/>
  <c r="AK628"/>
  <c r="AL628"/>
  <c r="AM628"/>
  <c r="AN628"/>
  <c r="AO628"/>
  <c r="AP628"/>
  <c r="AQ628"/>
  <c r="AR628"/>
  <c r="AS628"/>
  <c r="AT628"/>
  <c r="AU628"/>
  <c r="AV628"/>
  <c r="AW628"/>
  <c r="AX628"/>
  <c r="AY628"/>
  <c r="AZ628"/>
  <c r="BA628"/>
  <c r="BB628"/>
  <c r="BC628"/>
  <c r="BD628"/>
  <c r="BE628"/>
  <c r="BF628"/>
  <c r="BG628"/>
  <c r="BH628"/>
  <c r="BI628"/>
  <c r="BJ628"/>
  <c r="BK628"/>
  <c r="BL628"/>
  <c r="BM628"/>
  <c r="BN628"/>
  <c r="BO628"/>
  <c r="BP628"/>
  <c r="BQ628"/>
  <c r="BR628"/>
  <c r="BS628"/>
  <c r="BT628"/>
  <c r="BU628"/>
  <c r="BV628"/>
  <c r="BW628"/>
  <c r="BX628"/>
  <c r="BY628"/>
  <c r="BZ628"/>
  <c r="CQ628"/>
  <c r="CR628"/>
  <c r="CS628"/>
  <c r="CT628"/>
  <c r="CU628"/>
  <c r="CV628"/>
  <c r="CW628"/>
  <c r="CX628"/>
  <c r="CY628"/>
  <c r="CZ628"/>
  <c r="DA628"/>
  <c r="DB628"/>
  <c r="DC628"/>
  <c r="DD628"/>
  <c r="DE628"/>
  <c r="DF628"/>
  <c r="DG628"/>
  <c r="DH628"/>
  <c r="DI628"/>
  <c r="DJ628"/>
  <c r="DK628"/>
  <c r="DL628"/>
  <c r="DM628"/>
  <c r="DN628"/>
  <c r="DO628"/>
  <c r="DP628"/>
  <c r="DQ628"/>
  <c r="DR628"/>
  <c r="DS628"/>
  <c r="DT628"/>
  <c r="DU628"/>
  <c r="DV628"/>
  <c r="DW628"/>
  <c r="DX628"/>
  <c r="DY628"/>
  <c r="DZ628"/>
  <c r="EA628"/>
  <c r="EB628"/>
  <c r="EC628"/>
  <c r="ED628"/>
  <c r="EE628"/>
  <c r="EF628"/>
  <c r="EG628"/>
  <c r="EH628"/>
  <c r="EI628"/>
  <c r="EJ628"/>
  <c r="EK628"/>
  <c r="EL628"/>
  <c r="EM628"/>
  <c r="EN628"/>
  <c r="EO628"/>
  <c r="EP628"/>
  <c r="EQ628"/>
  <c r="ER628"/>
  <c r="ES628"/>
  <c r="ET628"/>
  <c r="EU628"/>
  <c r="EV628"/>
  <c r="EW628"/>
  <c r="EX628"/>
  <c r="EY628"/>
  <c r="EZ628"/>
  <c r="FA628"/>
  <c r="FB628"/>
  <c r="FC628"/>
  <c r="FD628"/>
  <c r="FE628"/>
  <c r="FF628"/>
  <c r="FG628"/>
  <c r="FH628"/>
  <c r="FI628"/>
  <c r="FJ628"/>
  <c r="FK628"/>
  <c r="FL628"/>
  <c r="FM628"/>
  <c r="FN628"/>
  <c r="FO628"/>
  <c r="FP628"/>
  <c r="FQ628"/>
  <c r="FR628"/>
  <c r="FS628"/>
  <c r="FT628"/>
  <c r="FU628"/>
  <c r="FV628"/>
  <c r="FW628"/>
  <c r="FX628"/>
  <c r="FY628"/>
  <c r="FZ628"/>
  <c r="GA628"/>
  <c r="GB628"/>
  <c r="GC628"/>
  <c r="GD628"/>
  <c r="GE628"/>
  <c r="GF628"/>
  <c r="GG628"/>
  <c r="GH628"/>
  <c r="GI628"/>
  <c r="GJ628"/>
  <c r="GK628"/>
  <c r="GL628"/>
  <c r="GM628"/>
  <c r="GN628"/>
  <c r="GO628"/>
  <c r="GP628"/>
  <c r="GQ628"/>
  <c r="GR628"/>
  <c r="R629"/>
  <c r="S629"/>
  <c r="T629"/>
  <c r="U629"/>
  <c r="V629"/>
  <c r="W629"/>
  <c r="X629"/>
  <c r="Y629"/>
  <c r="Z629"/>
  <c r="I629"/>
  <c r="AA629"/>
  <c r="AB629"/>
  <c r="J629"/>
  <c r="AC629"/>
  <c r="AD629"/>
  <c r="AE629"/>
  <c r="AF629"/>
  <c r="AG629"/>
  <c r="AH629"/>
  <c r="AI629"/>
  <c r="AJ629"/>
  <c r="AK629"/>
  <c r="AL629"/>
  <c r="AM629"/>
  <c r="AN629"/>
  <c r="AO629"/>
  <c r="AP629"/>
  <c r="AQ629"/>
  <c r="AR629"/>
  <c r="AS629"/>
  <c r="AT629"/>
  <c r="AU629"/>
  <c r="AV629"/>
  <c r="AW629"/>
  <c r="AX629"/>
  <c r="AY629"/>
  <c r="AZ629"/>
  <c r="BA629"/>
  <c r="BB629"/>
  <c r="BC629"/>
  <c r="BD629"/>
  <c r="BE629"/>
  <c r="BF629"/>
  <c r="BG629"/>
  <c r="BH629"/>
  <c r="BI629"/>
  <c r="BJ629"/>
  <c r="BK629"/>
  <c r="BL629"/>
  <c r="BM629"/>
  <c r="BN629"/>
  <c r="BO629"/>
  <c r="BP629"/>
  <c r="BQ629"/>
  <c r="BR629"/>
  <c r="BS629"/>
  <c r="BT629"/>
  <c r="BU629"/>
  <c r="BV629"/>
  <c r="BW629"/>
  <c r="BX629"/>
  <c r="BY629"/>
  <c r="BZ629"/>
  <c r="CQ629"/>
  <c r="CR629"/>
  <c r="CS629"/>
  <c r="CT629"/>
  <c r="CU629"/>
  <c r="CV629"/>
  <c r="CW629"/>
  <c r="CX629"/>
  <c r="CY629"/>
  <c r="CZ629"/>
  <c r="DA629"/>
  <c r="DB629"/>
  <c r="DC629"/>
  <c r="DD629"/>
  <c r="DE629"/>
  <c r="DF629"/>
  <c r="DG629"/>
  <c r="DH629"/>
  <c r="DI629"/>
  <c r="DJ629"/>
  <c r="DK629"/>
  <c r="DL629"/>
  <c r="DM629"/>
  <c r="DN629"/>
  <c r="DO629"/>
  <c r="DP629"/>
  <c r="DQ629"/>
  <c r="DR629"/>
  <c r="DS629"/>
  <c r="DT629"/>
  <c r="DU629"/>
  <c r="DV629"/>
  <c r="DW629"/>
  <c r="DX629"/>
  <c r="DY629"/>
  <c r="DZ629"/>
  <c r="EA629"/>
  <c r="EB629"/>
  <c r="EC629"/>
  <c r="ED629"/>
  <c r="EE629"/>
  <c r="EF629"/>
  <c r="EG629"/>
  <c r="EH629"/>
  <c r="EI629"/>
  <c r="EJ629"/>
  <c r="EK629"/>
  <c r="EL629"/>
  <c r="EM629"/>
  <c r="EN629"/>
  <c r="EO629"/>
  <c r="EP629"/>
  <c r="EQ629"/>
  <c r="ER629"/>
  <c r="ES629"/>
  <c r="ET629"/>
  <c r="EU629"/>
  <c r="EV629"/>
  <c r="EW629"/>
  <c r="EX629"/>
  <c r="EY629"/>
  <c r="EZ629"/>
  <c r="FA629"/>
  <c r="FB629"/>
  <c r="FC629"/>
  <c r="FD629"/>
  <c r="FE629"/>
  <c r="FF629"/>
  <c r="FG629"/>
  <c r="FH629"/>
  <c r="FI629"/>
  <c r="FJ629"/>
  <c r="FK629"/>
  <c r="FL629"/>
  <c r="FM629"/>
  <c r="FN629"/>
  <c r="FO629"/>
  <c r="FP629"/>
  <c r="FQ629"/>
  <c r="FR629"/>
  <c r="FS629"/>
  <c r="FT629"/>
  <c r="FU629"/>
  <c r="FV629"/>
  <c r="FW629"/>
  <c r="FX629"/>
  <c r="FY629"/>
  <c r="FZ629"/>
  <c r="GA629"/>
  <c r="GB629"/>
  <c r="GC629"/>
  <c r="GD629"/>
  <c r="GE629"/>
  <c r="GF629"/>
  <c r="GG629"/>
  <c r="GH629"/>
  <c r="GI629"/>
  <c r="GJ629"/>
  <c r="GK629"/>
  <c r="GL629"/>
  <c r="GM629"/>
  <c r="GN629"/>
  <c r="GO629"/>
  <c r="GP629"/>
  <c r="GQ629"/>
  <c r="GR629"/>
  <c r="R630"/>
  <c r="S630"/>
  <c r="T630"/>
  <c r="U630"/>
  <c r="V630"/>
  <c r="W630"/>
  <c r="X630"/>
  <c r="Y630"/>
  <c r="Z630"/>
  <c r="I630"/>
  <c r="AA630"/>
  <c r="AB630"/>
  <c r="J630"/>
  <c r="AC630"/>
  <c r="AD630"/>
  <c r="AE630"/>
  <c r="AF630"/>
  <c r="AG630"/>
  <c r="AH630"/>
  <c r="AI630"/>
  <c r="AJ630"/>
  <c r="AK630"/>
  <c r="AL630"/>
  <c r="AM630"/>
  <c r="AN630"/>
  <c r="AO630"/>
  <c r="AP630"/>
  <c r="AQ630"/>
  <c r="AR630"/>
  <c r="AS630"/>
  <c r="AT630"/>
  <c r="AU630"/>
  <c r="AV630"/>
  <c r="AW630"/>
  <c r="AX630"/>
  <c r="AY630"/>
  <c r="AZ630"/>
  <c r="BA630"/>
  <c r="BB630"/>
  <c r="BC630"/>
  <c r="BD630"/>
  <c r="BE630"/>
  <c r="BF630"/>
  <c r="BG630"/>
  <c r="BH630"/>
  <c r="BI630"/>
  <c r="BJ630"/>
  <c r="BK630"/>
  <c r="BL630"/>
  <c r="BM630"/>
  <c r="BN630"/>
  <c r="BO630"/>
  <c r="BP630"/>
  <c r="BQ630"/>
  <c r="BR630"/>
  <c r="BS630"/>
  <c r="BT630"/>
  <c r="BU630"/>
  <c r="BV630"/>
  <c r="BW630"/>
  <c r="BX630"/>
  <c r="BY630"/>
  <c r="BZ630"/>
  <c r="CQ630"/>
  <c r="CR630"/>
  <c r="CS630"/>
  <c r="CT630"/>
  <c r="CU630"/>
  <c r="CV630"/>
  <c r="CW630"/>
  <c r="CX630"/>
  <c r="CY630"/>
  <c r="CZ630"/>
  <c r="DA630"/>
  <c r="DB630"/>
  <c r="DC630"/>
  <c r="DD630"/>
  <c r="DE630"/>
  <c r="DF630"/>
  <c r="DG630"/>
  <c r="DH630"/>
  <c r="DI630"/>
  <c r="DJ630"/>
  <c r="DK630"/>
  <c r="DL630"/>
  <c r="DM630"/>
  <c r="DN630"/>
  <c r="DO630"/>
  <c r="DP630"/>
  <c r="DQ630"/>
  <c r="DR630"/>
  <c r="DS630"/>
  <c r="DT630"/>
  <c r="DU630"/>
  <c r="DV630"/>
  <c r="DW630"/>
  <c r="DX630"/>
  <c r="DY630"/>
  <c r="DZ630"/>
  <c r="EA630"/>
  <c r="EB630"/>
  <c r="EC630"/>
  <c r="ED630"/>
  <c r="EE630"/>
  <c r="EF630"/>
  <c r="EG630"/>
  <c r="EH630"/>
  <c r="EI630"/>
  <c r="EJ630"/>
  <c r="EK630"/>
  <c r="EL630"/>
  <c r="EM630"/>
  <c r="EN630"/>
  <c r="EO630"/>
  <c r="EP630"/>
  <c r="EQ630"/>
  <c r="ER630"/>
  <c r="ES630"/>
  <c r="ET630"/>
  <c r="EU630"/>
  <c r="EV630"/>
  <c r="EW630"/>
  <c r="EX630"/>
  <c r="EY630"/>
  <c r="EZ630"/>
  <c r="FA630"/>
  <c r="FB630"/>
  <c r="FC630"/>
  <c r="FD630"/>
  <c r="FE630"/>
  <c r="FF630"/>
  <c r="FG630"/>
  <c r="FH630"/>
  <c r="FI630"/>
  <c r="FJ630"/>
  <c r="FK630"/>
  <c r="FL630"/>
  <c r="FM630"/>
  <c r="FN630"/>
  <c r="FO630"/>
  <c r="FP630"/>
  <c r="FQ630"/>
  <c r="FR630"/>
  <c r="FS630"/>
  <c r="FT630"/>
  <c r="FU630"/>
  <c r="FV630"/>
  <c r="FW630"/>
  <c r="FX630"/>
  <c r="FY630"/>
  <c r="FZ630"/>
  <c r="GA630"/>
  <c r="GB630"/>
  <c r="GC630"/>
  <c r="GD630"/>
  <c r="GE630"/>
  <c r="GF630"/>
  <c r="GG630"/>
  <c r="GH630"/>
  <c r="GI630"/>
  <c r="GJ630"/>
  <c r="GK630"/>
  <c r="GL630"/>
  <c r="GM630"/>
  <c r="GN630"/>
  <c r="GO630"/>
  <c r="GP630"/>
  <c r="GQ630"/>
  <c r="GR630"/>
  <c r="R631"/>
  <c r="S631"/>
  <c r="T631"/>
  <c r="U631"/>
  <c r="V631"/>
  <c r="W631"/>
  <c r="X631"/>
  <c r="Y631"/>
  <c r="Z631"/>
  <c r="I631"/>
  <c r="AA631"/>
  <c r="AB631"/>
  <c r="J631"/>
  <c r="AC631"/>
  <c r="AD631"/>
  <c r="AE631"/>
  <c r="AF631"/>
  <c r="AG631"/>
  <c r="AH631"/>
  <c r="AI631"/>
  <c r="AJ631"/>
  <c r="AK631"/>
  <c r="AL631"/>
  <c r="AM631"/>
  <c r="AN631"/>
  <c r="AO631"/>
  <c r="AP631"/>
  <c r="AQ631"/>
  <c r="AR631"/>
  <c r="AS631"/>
  <c r="AT631"/>
  <c r="AU631"/>
  <c r="AV631"/>
  <c r="AW631"/>
  <c r="AX631"/>
  <c r="AY631"/>
  <c r="AZ631"/>
  <c r="BA631"/>
  <c r="BB631"/>
  <c r="BC631"/>
  <c r="BD631"/>
  <c r="BE631"/>
  <c r="BF631"/>
  <c r="BG631"/>
  <c r="BH631"/>
  <c r="BI631"/>
  <c r="BJ631"/>
  <c r="BK631"/>
  <c r="BL631"/>
  <c r="BM631"/>
  <c r="BN631"/>
  <c r="BO631"/>
  <c r="BP631"/>
  <c r="BQ631"/>
  <c r="BR631"/>
  <c r="BS631"/>
  <c r="BT631"/>
  <c r="BU631"/>
  <c r="BV631"/>
  <c r="BW631"/>
  <c r="BX631"/>
  <c r="BY631"/>
  <c r="BZ631"/>
  <c r="CQ631"/>
  <c r="CR631"/>
  <c r="CS631"/>
  <c r="CT631"/>
  <c r="CU631"/>
  <c r="CV631"/>
  <c r="CW631"/>
  <c r="CX631"/>
  <c r="CY631"/>
  <c r="CZ631"/>
  <c r="DA631"/>
  <c r="DB631"/>
  <c r="DC631"/>
  <c r="DD631"/>
  <c r="DE631"/>
  <c r="DF631"/>
  <c r="DG631"/>
  <c r="DH631"/>
  <c r="DI631"/>
  <c r="DJ631"/>
  <c r="DK631"/>
  <c r="DL631"/>
  <c r="DM631"/>
  <c r="DN631"/>
  <c r="DO631"/>
  <c r="DP631"/>
  <c r="DQ631"/>
  <c r="DR631"/>
  <c r="DS631"/>
  <c r="DT631"/>
  <c r="DU631"/>
  <c r="DV631"/>
  <c r="DW631"/>
  <c r="DX631"/>
  <c r="DY631"/>
  <c r="DZ631"/>
  <c r="EA631"/>
  <c r="EB631"/>
  <c r="EC631"/>
  <c r="ED631"/>
  <c r="EE631"/>
  <c r="EF631"/>
  <c r="EG631"/>
  <c r="EH631"/>
  <c r="EI631"/>
  <c r="EJ631"/>
  <c r="EK631"/>
  <c r="EL631"/>
  <c r="EM631"/>
  <c r="EN631"/>
  <c r="EO631"/>
  <c r="EP631"/>
  <c r="EQ631"/>
  <c r="ER631"/>
  <c r="ES631"/>
  <c r="ET631"/>
  <c r="EU631"/>
  <c r="EV631"/>
  <c r="EW631"/>
  <c r="EX631"/>
  <c r="EY631"/>
  <c r="EZ631"/>
  <c r="FA631"/>
  <c r="FB631"/>
  <c r="FC631"/>
  <c r="FD631"/>
  <c r="FE631"/>
  <c r="FF631"/>
  <c r="FG631"/>
  <c r="FH631"/>
  <c r="FI631"/>
  <c r="FJ631"/>
  <c r="FK631"/>
  <c r="FL631"/>
  <c r="FM631"/>
  <c r="FN631"/>
  <c r="FO631"/>
  <c r="FP631"/>
  <c r="FQ631"/>
  <c r="FR631"/>
  <c r="FS631"/>
  <c r="FT631"/>
  <c r="FU631"/>
  <c r="FV631"/>
  <c r="FW631"/>
  <c r="FX631"/>
  <c r="FY631"/>
  <c r="FZ631"/>
  <c r="GA631"/>
  <c r="GB631"/>
  <c r="GC631"/>
  <c r="GD631"/>
  <c r="GE631"/>
  <c r="GF631"/>
  <c r="GG631"/>
  <c r="GH631"/>
  <c r="GI631"/>
  <c r="GJ631"/>
  <c r="GK631"/>
  <c r="GL631"/>
  <c r="GM631"/>
  <c r="GN631"/>
  <c r="GO631"/>
  <c r="GP631"/>
  <c r="GQ631"/>
  <c r="GR631"/>
  <c r="R632"/>
  <c r="S632"/>
  <c r="T632"/>
  <c r="U632"/>
  <c r="V632"/>
  <c r="W632"/>
  <c r="X632"/>
  <c r="Y632"/>
  <c r="Z632"/>
  <c r="I632"/>
  <c r="AA632"/>
  <c r="AB632"/>
  <c r="J632"/>
  <c r="AC632"/>
  <c r="AD632"/>
  <c r="AE632"/>
  <c r="AF632"/>
  <c r="AG632"/>
  <c r="AH632"/>
  <c r="AI632"/>
  <c r="AJ632"/>
  <c r="AK632"/>
  <c r="AL632"/>
  <c r="AM632"/>
  <c r="AN632"/>
  <c r="AO632"/>
  <c r="AP632"/>
  <c r="AQ632"/>
  <c r="AR632"/>
  <c r="AS632"/>
  <c r="AT632"/>
  <c r="AU632"/>
  <c r="AV632"/>
  <c r="AW632"/>
  <c r="AX632"/>
  <c r="AY632"/>
  <c r="AZ632"/>
  <c r="BA632"/>
  <c r="BB632"/>
  <c r="BC632"/>
  <c r="BD632"/>
  <c r="BE632"/>
  <c r="BF632"/>
  <c r="BG632"/>
  <c r="BH632"/>
  <c r="BI632"/>
  <c r="BJ632"/>
  <c r="BK632"/>
  <c r="BL632"/>
  <c r="BM632"/>
  <c r="BN632"/>
  <c r="BO632"/>
  <c r="BP632"/>
  <c r="BQ632"/>
  <c r="BR632"/>
  <c r="BS632"/>
  <c r="BT632"/>
  <c r="BU632"/>
  <c r="BV632"/>
  <c r="BW632"/>
  <c r="BX632"/>
  <c r="BY632"/>
  <c r="BZ632"/>
  <c r="CQ632"/>
  <c r="CR632"/>
  <c r="CS632"/>
  <c r="CT632"/>
  <c r="CU632"/>
  <c r="CV632"/>
  <c r="CW632"/>
  <c r="CX632"/>
  <c r="CY632"/>
  <c r="CZ632"/>
  <c r="DA632"/>
  <c r="DB632"/>
  <c r="DC632"/>
  <c r="DD632"/>
  <c r="DE632"/>
  <c r="DF632"/>
  <c r="DG632"/>
  <c r="DH632"/>
  <c r="DI632"/>
  <c r="DJ632"/>
  <c r="DK632"/>
  <c r="DL632"/>
  <c r="DM632"/>
  <c r="DN632"/>
  <c r="DO632"/>
  <c r="DP632"/>
  <c r="DQ632"/>
  <c r="DR632"/>
  <c r="DS632"/>
  <c r="DT632"/>
  <c r="DU632"/>
  <c r="DV632"/>
  <c r="DW632"/>
  <c r="DX632"/>
  <c r="DY632"/>
  <c r="DZ632"/>
  <c r="EA632"/>
  <c r="EB632"/>
  <c r="EC632"/>
  <c r="ED632"/>
  <c r="EE632"/>
  <c r="EF632"/>
  <c r="EG632"/>
  <c r="EH632"/>
  <c r="EI632"/>
  <c r="EJ632"/>
  <c r="EK632"/>
  <c r="EL632"/>
  <c r="EM632"/>
  <c r="EN632"/>
  <c r="EO632"/>
  <c r="EP632"/>
  <c r="EQ632"/>
  <c r="ER632"/>
  <c r="ES632"/>
  <c r="ET632"/>
  <c r="EU632"/>
  <c r="EV632"/>
  <c r="EW632"/>
  <c r="EX632"/>
  <c r="EY632"/>
  <c r="EZ632"/>
  <c r="FA632"/>
  <c r="FB632"/>
  <c r="FC632"/>
  <c r="FD632"/>
  <c r="FE632"/>
  <c r="FF632"/>
  <c r="FG632"/>
  <c r="FH632"/>
  <c r="FI632"/>
  <c r="FJ632"/>
  <c r="FK632"/>
  <c r="FL632"/>
  <c r="FM632"/>
  <c r="FN632"/>
  <c r="FO632"/>
  <c r="FP632"/>
  <c r="FQ632"/>
  <c r="FR632"/>
  <c r="FS632"/>
  <c r="FT632"/>
  <c r="FU632"/>
  <c r="FV632"/>
  <c r="FW632"/>
  <c r="FX632"/>
  <c r="FY632"/>
  <c r="FZ632"/>
  <c r="GA632"/>
  <c r="GB632"/>
  <c r="GC632"/>
  <c r="GD632"/>
  <c r="GE632"/>
  <c r="GF632"/>
  <c r="GG632"/>
  <c r="GH632"/>
  <c r="GI632"/>
  <c r="GJ632"/>
  <c r="GK632"/>
  <c r="GL632"/>
  <c r="GM632"/>
  <c r="GN632"/>
  <c r="GO632"/>
  <c r="GP632"/>
  <c r="GQ632"/>
  <c r="GR632"/>
  <c r="R633"/>
  <c r="S633"/>
  <c r="T633"/>
  <c r="U633"/>
  <c r="V633"/>
  <c r="W633"/>
  <c r="X633"/>
  <c r="Y633"/>
  <c r="Z633"/>
  <c r="I633"/>
  <c r="AA633"/>
  <c r="AB633"/>
  <c r="J633"/>
  <c r="AC633"/>
  <c r="AD633"/>
  <c r="AE633"/>
  <c r="AF633"/>
  <c r="AG633"/>
  <c r="AH633"/>
  <c r="AI633"/>
  <c r="AJ633"/>
  <c r="AK633"/>
  <c r="AL633"/>
  <c r="AM633"/>
  <c r="AN633"/>
  <c r="AO633"/>
  <c r="AP633"/>
  <c r="AQ633"/>
  <c r="AR633"/>
  <c r="AS633"/>
  <c r="AT633"/>
  <c r="AU633"/>
  <c r="AV633"/>
  <c r="AW633"/>
  <c r="AX633"/>
  <c r="AY633"/>
  <c r="AZ633"/>
  <c r="BA633"/>
  <c r="BB633"/>
  <c r="BC633"/>
  <c r="BD633"/>
  <c r="BE633"/>
  <c r="BF633"/>
  <c r="BG633"/>
  <c r="BH633"/>
  <c r="BI633"/>
  <c r="BJ633"/>
  <c r="BK633"/>
  <c r="BL633"/>
  <c r="BM633"/>
  <c r="BN633"/>
  <c r="BO633"/>
  <c r="BP633"/>
  <c r="BQ633"/>
  <c r="BR633"/>
  <c r="BS633"/>
  <c r="BT633"/>
  <c r="BU633"/>
  <c r="BV633"/>
  <c r="BW633"/>
  <c r="BX633"/>
  <c r="BY633"/>
  <c r="BZ633"/>
  <c r="CQ633"/>
  <c r="CR633"/>
  <c r="CS633"/>
  <c r="CT633"/>
  <c r="CU633"/>
  <c r="CV633"/>
  <c r="CW633"/>
  <c r="CX633"/>
  <c r="CY633"/>
  <c r="CZ633"/>
  <c r="DA633"/>
  <c r="DB633"/>
  <c r="DC633"/>
  <c r="DD633"/>
  <c r="DE633"/>
  <c r="DF633"/>
  <c r="DG633"/>
  <c r="DH633"/>
  <c r="DI633"/>
  <c r="DJ633"/>
  <c r="DK633"/>
  <c r="DL633"/>
  <c r="DM633"/>
  <c r="DN633"/>
  <c r="DO633"/>
  <c r="DP633"/>
  <c r="DQ633"/>
  <c r="DR633"/>
  <c r="DS633"/>
  <c r="DT633"/>
  <c r="DU633"/>
  <c r="DV633"/>
  <c r="DW633"/>
  <c r="DX633"/>
  <c r="DY633"/>
  <c r="DZ633"/>
  <c r="EA633"/>
  <c r="EB633"/>
  <c r="EC633"/>
  <c r="ED633"/>
  <c r="EE633"/>
  <c r="EF633"/>
  <c r="EG633"/>
  <c r="EH633"/>
  <c r="EI633"/>
  <c r="EJ633"/>
  <c r="EK633"/>
  <c r="EL633"/>
  <c r="EM633"/>
  <c r="EN633"/>
  <c r="EO633"/>
  <c r="EP633"/>
  <c r="EQ633"/>
  <c r="ER633"/>
  <c r="ES633"/>
  <c r="ET633"/>
  <c r="EU633"/>
  <c r="EV633"/>
  <c r="EW633"/>
  <c r="EX633"/>
  <c r="EY633"/>
  <c r="EZ633"/>
  <c r="FA633"/>
  <c r="FB633"/>
  <c r="FC633"/>
  <c r="FD633"/>
  <c r="FE633"/>
  <c r="FF633"/>
  <c r="FG633"/>
  <c r="FH633"/>
  <c r="FI633"/>
  <c r="FJ633"/>
  <c r="FK633"/>
  <c r="FL633"/>
  <c r="FM633"/>
  <c r="FN633"/>
  <c r="FO633"/>
  <c r="FP633"/>
  <c r="FQ633"/>
  <c r="FR633"/>
  <c r="FS633"/>
  <c r="FT633"/>
  <c r="FU633"/>
  <c r="FV633"/>
  <c r="FW633"/>
  <c r="FX633"/>
  <c r="FY633"/>
  <c r="FZ633"/>
  <c r="GA633"/>
  <c r="GB633"/>
  <c r="GC633"/>
  <c r="GD633"/>
  <c r="GE633"/>
  <c r="GF633"/>
  <c r="GG633"/>
  <c r="GH633"/>
  <c r="GI633"/>
  <c r="GJ633"/>
  <c r="GK633"/>
  <c r="GL633"/>
  <c r="GM633"/>
  <c r="GN633"/>
  <c r="GO633"/>
  <c r="GP633"/>
  <c r="GQ633"/>
  <c r="GR633"/>
  <c r="R634"/>
  <c r="S634"/>
  <c r="T634"/>
  <c r="U634"/>
  <c r="V634"/>
  <c r="W634"/>
  <c r="X634"/>
  <c r="Y634"/>
  <c r="Z634"/>
  <c r="I634"/>
  <c r="AA634"/>
  <c r="AB634"/>
  <c r="J634"/>
  <c r="AC634"/>
  <c r="AD634"/>
  <c r="AE634"/>
  <c r="AF634"/>
  <c r="AG634"/>
  <c r="AH634"/>
  <c r="AI634"/>
  <c r="AJ634"/>
  <c r="AK634"/>
  <c r="AL634"/>
  <c r="AM634"/>
  <c r="AN634"/>
  <c r="AO634"/>
  <c r="AP634"/>
  <c r="AQ634"/>
  <c r="AR634"/>
  <c r="AS634"/>
  <c r="AT634"/>
  <c r="AU634"/>
  <c r="AV634"/>
  <c r="AW634"/>
  <c r="AX634"/>
  <c r="AY634"/>
  <c r="AZ634"/>
  <c r="BA634"/>
  <c r="BB634"/>
  <c r="BC634"/>
  <c r="BD634"/>
  <c r="BE634"/>
  <c r="BF634"/>
  <c r="BG634"/>
  <c r="BH634"/>
  <c r="BI634"/>
  <c r="BJ634"/>
  <c r="BK634"/>
  <c r="BL634"/>
  <c r="BM634"/>
  <c r="BN634"/>
  <c r="BO634"/>
  <c r="BP634"/>
  <c r="BQ634"/>
  <c r="BR634"/>
  <c r="BS634"/>
  <c r="BT634"/>
  <c r="BU634"/>
  <c r="BV634"/>
  <c r="BW634"/>
  <c r="BX634"/>
  <c r="BY634"/>
  <c r="BZ634"/>
  <c r="CQ634"/>
  <c r="CR634"/>
  <c r="CS634"/>
  <c r="CT634"/>
  <c r="CU634"/>
  <c r="CV634"/>
  <c r="CW634"/>
  <c r="CX634"/>
  <c r="CY634"/>
  <c r="CZ634"/>
  <c r="DA634"/>
  <c r="DB634"/>
  <c r="DC634"/>
  <c r="DD634"/>
  <c r="DE634"/>
  <c r="DF634"/>
  <c r="DG634"/>
  <c r="DH634"/>
  <c r="DI634"/>
  <c r="DJ634"/>
  <c r="DK634"/>
  <c r="DL634"/>
  <c r="DM634"/>
  <c r="DN634"/>
  <c r="DO634"/>
  <c r="DP634"/>
  <c r="DQ634"/>
  <c r="DR634"/>
  <c r="DS634"/>
  <c r="DT634"/>
  <c r="DU634"/>
  <c r="DV634"/>
  <c r="DW634"/>
  <c r="DX634"/>
  <c r="DY634"/>
  <c r="DZ634"/>
  <c r="EA634"/>
  <c r="EB634"/>
  <c r="EC634"/>
  <c r="ED634"/>
  <c r="EE634"/>
  <c r="EF634"/>
  <c r="EG634"/>
  <c r="EH634"/>
  <c r="EI634"/>
  <c r="EJ634"/>
  <c r="EK634"/>
  <c r="EL634"/>
  <c r="EM634"/>
  <c r="EN634"/>
  <c r="EO634"/>
  <c r="EP634"/>
  <c r="EQ634"/>
  <c r="ER634"/>
  <c r="ES634"/>
  <c r="ET634"/>
  <c r="EU634"/>
  <c r="EV634"/>
  <c r="EW634"/>
  <c r="EX634"/>
  <c r="EY634"/>
  <c r="EZ634"/>
  <c r="FA634"/>
  <c r="FB634"/>
  <c r="FC634"/>
  <c r="FD634"/>
  <c r="FE634"/>
  <c r="FF634"/>
  <c r="FG634"/>
  <c r="FH634"/>
  <c r="FI634"/>
  <c r="FJ634"/>
  <c r="FK634"/>
  <c r="FL634"/>
  <c r="FM634"/>
  <c r="FN634"/>
  <c r="FO634"/>
  <c r="FP634"/>
  <c r="FQ634"/>
  <c r="FR634"/>
  <c r="FS634"/>
  <c r="FT634"/>
  <c r="FU634"/>
  <c r="FV634"/>
  <c r="FW634"/>
  <c r="FX634"/>
  <c r="FY634"/>
  <c r="FZ634"/>
  <c r="GA634"/>
  <c r="GB634"/>
  <c r="GC634"/>
  <c r="GD634"/>
  <c r="GE634"/>
  <c r="GF634"/>
  <c r="GG634"/>
  <c r="GH634"/>
  <c r="GI634"/>
  <c r="GJ634"/>
  <c r="GK634"/>
  <c r="GL634"/>
  <c r="GM634"/>
  <c r="GN634"/>
  <c r="GO634"/>
  <c r="GP634"/>
  <c r="GQ634"/>
  <c r="GR634"/>
  <c r="R635"/>
  <c r="S635"/>
  <c r="T635"/>
  <c r="U635"/>
  <c r="V635"/>
  <c r="W635"/>
  <c r="X635"/>
  <c r="Y635"/>
  <c r="Z635"/>
  <c r="I635"/>
  <c r="AA635"/>
  <c r="AB635"/>
  <c r="J635"/>
  <c r="AC635"/>
  <c r="AD635"/>
  <c r="AE635"/>
  <c r="AF635"/>
  <c r="AG635"/>
  <c r="AH635"/>
  <c r="AI635"/>
  <c r="AJ635"/>
  <c r="AK635"/>
  <c r="AL635"/>
  <c r="AM635"/>
  <c r="AN635"/>
  <c r="AO635"/>
  <c r="AP635"/>
  <c r="AQ635"/>
  <c r="AR635"/>
  <c r="AS635"/>
  <c r="AT635"/>
  <c r="AU635"/>
  <c r="AV635"/>
  <c r="AW635"/>
  <c r="AX635"/>
  <c r="AY635"/>
  <c r="AZ635"/>
  <c r="BA635"/>
  <c r="BB635"/>
  <c r="BC635"/>
  <c r="BD635"/>
  <c r="BE635"/>
  <c r="BF635"/>
  <c r="BG635"/>
  <c r="BH635"/>
  <c r="BI635"/>
  <c r="BJ635"/>
  <c r="BK635"/>
  <c r="BL635"/>
  <c r="BM635"/>
  <c r="BN635"/>
  <c r="BO635"/>
  <c r="BP635"/>
  <c r="BQ635"/>
  <c r="BR635"/>
  <c r="BS635"/>
  <c r="BT635"/>
  <c r="BU635"/>
  <c r="BV635"/>
  <c r="BW635"/>
  <c r="BX635"/>
  <c r="BY635"/>
  <c r="BZ635"/>
  <c r="CQ635"/>
  <c r="CR635"/>
  <c r="CS635"/>
  <c r="CT635"/>
  <c r="CU635"/>
  <c r="CV635"/>
  <c r="CW635"/>
  <c r="CX635"/>
  <c r="CY635"/>
  <c r="CZ635"/>
  <c r="DA635"/>
  <c r="DB635"/>
  <c r="DC635"/>
  <c r="DD635"/>
  <c r="DE635"/>
  <c r="DF635"/>
  <c r="DG635"/>
  <c r="DH635"/>
  <c r="DI635"/>
  <c r="DJ635"/>
  <c r="DK635"/>
  <c r="DL635"/>
  <c r="DM635"/>
  <c r="DN635"/>
  <c r="DO635"/>
  <c r="DP635"/>
  <c r="DQ635"/>
  <c r="DR635"/>
  <c r="DS635"/>
  <c r="DT635"/>
  <c r="DU635"/>
  <c r="DV635"/>
  <c r="DW635"/>
  <c r="DX635"/>
  <c r="DY635"/>
  <c r="DZ635"/>
  <c r="EA635"/>
  <c r="EB635"/>
  <c r="EC635"/>
  <c r="ED635"/>
  <c r="EE635"/>
  <c r="EF635"/>
  <c r="EG635"/>
  <c r="EH635"/>
  <c r="EI635"/>
  <c r="EJ635"/>
  <c r="EK635"/>
  <c r="EL635"/>
  <c r="EM635"/>
  <c r="EN635"/>
  <c r="EO635"/>
  <c r="EP635"/>
  <c r="EQ635"/>
  <c r="ER635"/>
  <c r="ES635"/>
  <c r="ET635"/>
  <c r="EU635"/>
  <c r="EV635"/>
  <c r="EW635"/>
  <c r="EX635"/>
  <c r="EY635"/>
  <c r="EZ635"/>
  <c r="FA635"/>
  <c r="FB635"/>
  <c r="FC635"/>
  <c r="FD635"/>
  <c r="FE635"/>
  <c r="FF635"/>
  <c r="FG635"/>
  <c r="FH635"/>
  <c r="FI635"/>
  <c r="FJ635"/>
  <c r="FK635"/>
  <c r="FL635"/>
  <c r="FM635"/>
  <c r="FN635"/>
  <c r="FO635"/>
  <c r="FP635"/>
  <c r="FQ635"/>
  <c r="FR635"/>
  <c r="FS635"/>
  <c r="FT635"/>
  <c r="FU635"/>
  <c r="FV635"/>
  <c r="FW635"/>
  <c r="FX635"/>
  <c r="FY635"/>
  <c r="FZ635"/>
  <c r="GA635"/>
  <c r="GB635"/>
  <c r="GC635"/>
  <c r="GD635"/>
  <c r="GE635"/>
  <c r="GF635"/>
  <c r="GG635"/>
  <c r="GH635"/>
  <c r="GI635"/>
  <c r="GJ635"/>
  <c r="GK635"/>
  <c r="GL635"/>
  <c r="GM635"/>
  <c r="GN635"/>
  <c r="GO635"/>
  <c r="GP635"/>
  <c r="GQ635"/>
  <c r="GR635"/>
  <c r="R636"/>
  <c r="S636"/>
  <c r="T636"/>
  <c r="U636"/>
  <c r="V636"/>
  <c r="W636"/>
  <c r="X636"/>
  <c r="Y636"/>
  <c r="Z636"/>
  <c r="I636"/>
  <c r="AA636"/>
  <c r="AB636"/>
  <c r="J636"/>
  <c r="AC636"/>
  <c r="AD636"/>
  <c r="AE636"/>
  <c r="AF636"/>
  <c r="AG636"/>
  <c r="AH636"/>
  <c r="AI636"/>
  <c r="AJ636"/>
  <c r="AK636"/>
  <c r="AL636"/>
  <c r="AM636"/>
  <c r="AN636"/>
  <c r="AO636"/>
  <c r="AP636"/>
  <c r="AQ636"/>
  <c r="AR636"/>
  <c r="AS636"/>
  <c r="AT636"/>
  <c r="AU636"/>
  <c r="AV636"/>
  <c r="AW636"/>
  <c r="AX636"/>
  <c r="AY636"/>
  <c r="AZ636"/>
  <c r="BA636"/>
  <c r="BB636"/>
  <c r="BC636"/>
  <c r="BD636"/>
  <c r="BE636"/>
  <c r="BF636"/>
  <c r="BG636"/>
  <c r="BH636"/>
  <c r="BI636"/>
  <c r="BJ636"/>
  <c r="BK636"/>
  <c r="BL636"/>
  <c r="BM636"/>
  <c r="BN636"/>
  <c r="BO636"/>
  <c r="BP636"/>
  <c r="BQ636"/>
  <c r="BR636"/>
  <c r="BS636"/>
  <c r="BT636"/>
  <c r="BU636"/>
  <c r="BV636"/>
  <c r="BW636"/>
  <c r="BX636"/>
  <c r="BY636"/>
  <c r="BZ636"/>
  <c r="CQ636"/>
  <c r="CR636"/>
  <c r="CS636"/>
  <c r="CT636"/>
  <c r="CU636"/>
  <c r="CV636"/>
  <c r="CW636"/>
  <c r="CX636"/>
  <c r="CY636"/>
  <c r="CZ636"/>
  <c r="DA636"/>
  <c r="DB636"/>
  <c r="DC636"/>
  <c r="DD636"/>
  <c r="DE636"/>
  <c r="DF636"/>
  <c r="DG636"/>
  <c r="DH636"/>
  <c r="DI636"/>
  <c r="DJ636"/>
  <c r="DK636"/>
  <c r="DL636"/>
  <c r="DM636"/>
  <c r="DN636"/>
  <c r="DO636"/>
  <c r="DP636"/>
  <c r="DQ636"/>
  <c r="DR636"/>
  <c r="DS636"/>
  <c r="DT636"/>
  <c r="DU636"/>
  <c r="DV636"/>
  <c r="DW636"/>
  <c r="DX636"/>
  <c r="DY636"/>
  <c r="DZ636"/>
  <c r="EA636"/>
  <c r="EB636"/>
  <c r="EC636"/>
  <c r="ED636"/>
  <c r="EE636"/>
  <c r="EF636"/>
  <c r="EG636"/>
  <c r="EH636"/>
  <c r="EI636"/>
  <c r="EJ636"/>
  <c r="EK636"/>
  <c r="EL636"/>
  <c r="EM636"/>
  <c r="EN636"/>
  <c r="EO636"/>
  <c r="EP636"/>
  <c r="EQ636"/>
  <c r="ER636"/>
  <c r="ES636"/>
  <c r="ET636"/>
  <c r="EU636"/>
  <c r="EV636"/>
  <c r="EW636"/>
  <c r="EX636"/>
  <c r="EY636"/>
  <c r="EZ636"/>
  <c r="FA636"/>
  <c r="FB636"/>
  <c r="FC636"/>
  <c r="FD636"/>
  <c r="FE636"/>
  <c r="FF636"/>
  <c r="FG636"/>
  <c r="FH636"/>
  <c r="FI636"/>
  <c r="FJ636"/>
  <c r="FK636"/>
  <c r="FL636"/>
  <c r="FM636"/>
  <c r="FN636"/>
  <c r="FO636"/>
  <c r="FP636"/>
  <c r="FQ636"/>
  <c r="FR636"/>
  <c r="FS636"/>
  <c r="FT636"/>
  <c r="FU636"/>
  <c r="FV636"/>
  <c r="FW636"/>
  <c r="FX636"/>
  <c r="FY636"/>
  <c r="FZ636"/>
  <c r="GA636"/>
  <c r="GB636"/>
  <c r="GC636"/>
  <c r="GD636"/>
  <c r="GE636"/>
  <c r="GF636"/>
  <c r="GG636"/>
  <c r="GH636"/>
  <c r="GI636"/>
  <c r="GJ636"/>
  <c r="GK636"/>
  <c r="GL636"/>
  <c r="GM636"/>
  <c r="GN636"/>
  <c r="GO636"/>
  <c r="GP636"/>
  <c r="GQ636"/>
  <c r="GR636"/>
  <c r="R637"/>
  <c r="S637"/>
  <c r="T637"/>
  <c r="U637"/>
  <c r="V637"/>
  <c r="W637"/>
  <c r="X637"/>
  <c r="Y637"/>
  <c r="Z637"/>
  <c r="I637"/>
  <c r="AA637"/>
  <c r="AB637"/>
  <c r="J637"/>
  <c r="AC637"/>
  <c r="AD637"/>
  <c r="AE637"/>
  <c r="AF637"/>
  <c r="AG637"/>
  <c r="AH637"/>
  <c r="AI637"/>
  <c r="AJ637"/>
  <c r="AK637"/>
  <c r="AL637"/>
  <c r="AM637"/>
  <c r="AN637"/>
  <c r="AO637"/>
  <c r="AP637"/>
  <c r="AQ637"/>
  <c r="AR637"/>
  <c r="AS637"/>
  <c r="AT637"/>
  <c r="AU637"/>
  <c r="AV637"/>
  <c r="AW637"/>
  <c r="AX637"/>
  <c r="AY637"/>
  <c r="AZ637"/>
  <c r="BA637"/>
  <c r="BB637"/>
  <c r="BC637"/>
  <c r="BD637"/>
  <c r="BE637"/>
  <c r="BF637"/>
  <c r="BG637"/>
  <c r="BH637"/>
  <c r="BI637"/>
  <c r="BJ637"/>
  <c r="BK637"/>
  <c r="BL637"/>
  <c r="BM637"/>
  <c r="BN637"/>
  <c r="BO637"/>
  <c r="BP637"/>
  <c r="BQ637"/>
  <c r="BR637"/>
  <c r="BS637"/>
  <c r="BT637"/>
  <c r="BU637"/>
  <c r="BV637"/>
  <c r="BW637"/>
  <c r="BX637"/>
  <c r="BY637"/>
  <c r="BZ637"/>
  <c r="CQ637"/>
  <c r="CR637"/>
  <c r="CS637"/>
  <c r="CT637"/>
  <c r="CU637"/>
  <c r="CV637"/>
  <c r="CW637"/>
  <c r="CX637"/>
  <c r="CY637"/>
  <c r="CZ637"/>
  <c r="DA637"/>
  <c r="DB637"/>
  <c r="DC637"/>
  <c r="DD637"/>
  <c r="DE637"/>
  <c r="DF637"/>
  <c r="DG637"/>
  <c r="DH637"/>
  <c r="DI637"/>
  <c r="DJ637"/>
  <c r="DK637"/>
  <c r="DL637"/>
  <c r="DM637"/>
  <c r="DN637"/>
  <c r="DO637"/>
  <c r="DP637"/>
  <c r="DQ637"/>
  <c r="DR637"/>
  <c r="DS637"/>
  <c r="DT637"/>
  <c r="DU637"/>
  <c r="DV637"/>
  <c r="DW637"/>
  <c r="DX637"/>
  <c r="DY637"/>
  <c r="DZ637"/>
  <c r="EA637"/>
  <c r="EB637"/>
  <c r="EC637"/>
  <c r="ED637"/>
  <c r="EE637"/>
  <c r="EF637"/>
  <c r="EG637"/>
  <c r="EH637"/>
  <c r="EI637"/>
  <c r="EJ637"/>
  <c r="EK637"/>
  <c r="EL637"/>
  <c r="EM637"/>
  <c r="EN637"/>
  <c r="EO637"/>
  <c r="EP637"/>
  <c r="EQ637"/>
  <c r="ER637"/>
  <c r="ES637"/>
  <c r="ET637"/>
  <c r="EU637"/>
  <c r="EV637"/>
  <c r="EW637"/>
  <c r="EX637"/>
  <c r="EY637"/>
  <c r="EZ637"/>
  <c r="FA637"/>
  <c r="FB637"/>
  <c r="FC637"/>
  <c r="FD637"/>
  <c r="FE637"/>
  <c r="FF637"/>
  <c r="FG637"/>
  <c r="FH637"/>
  <c r="FI637"/>
  <c r="FJ637"/>
  <c r="FK637"/>
  <c r="FL637"/>
  <c r="FM637"/>
  <c r="FN637"/>
  <c r="FO637"/>
  <c r="FP637"/>
  <c r="FQ637"/>
  <c r="FR637"/>
  <c r="FS637"/>
  <c r="FT637"/>
  <c r="FU637"/>
  <c r="FV637"/>
  <c r="FW637"/>
  <c r="FX637"/>
  <c r="FY637"/>
  <c r="FZ637"/>
  <c r="GA637"/>
  <c r="GB637"/>
  <c r="GC637"/>
  <c r="GD637"/>
  <c r="GE637"/>
  <c r="GF637"/>
  <c r="GG637"/>
  <c r="GH637"/>
  <c r="GI637"/>
  <c r="GJ637"/>
  <c r="GK637"/>
  <c r="GL637"/>
  <c r="GM637"/>
  <c r="GN637"/>
  <c r="GO637"/>
  <c r="GP637"/>
  <c r="GQ637"/>
  <c r="GR637"/>
  <c r="R638"/>
  <c r="S638"/>
  <c r="T638"/>
  <c r="U638"/>
  <c r="V638"/>
  <c r="W638"/>
  <c r="X638"/>
  <c r="Y638"/>
  <c r="Z638"/>
  <c r="I638"/>
  <c r="AA638"/>
  <c r="AB638"/>
  <c r="J638"/>
  <c r="AC638"/>
  <c r="AD638"/>
  <c r="AE638"/>
  <c r="AF638"/>
  <c r="AG638"/>
  <c r="AH638"/>
  <c r="AI638"/>
  <c r="AJ638"/>
  <c r="AK638"/>
  <c r="AL638"/>
  <c r="AM638"/>
  <c r="AN638"/>
  <c r="AO638"/>
  <c r="AP638"/>
  <c r="AQ638"/>
  <c r="AR638"/>
  <c r="AS638"/>
  <c r="AT638"/>
  <c r="AU638"/>
  <c r="AV638"/>
  <c r="AW638"/>
  <c r="AX638"/>
  <c r="AY638"/>
  <c r="AZ638"/>
  <c r="BA638"/>
  <c r="BB638"/>
  <c r="BC638"/>
  <c r="BD638"/>
  <c r="BE638"/>
  <c r="BF638"/>
  <c r="BG638"/>
  <c r="BH638"/>
  <c r="BI638"/>
  <c r="BJ638"/>
  <c r="BK638"/>
  <c r="BL638"/>
  <c r="BM638"/>
  <c r="BN638"/>
  <c r="BO638"/>
  <c r="BP638"/>
  <c r="BQ638"/>
  <c r="BR638"/>
  <c r="BS638"/>
  <c r="BT638"/>
  <c r="BU638"/>
  <c r="BV638"/>
  <c r="BW638"/>
  <c r="BX638"/>
  <c r="BY638"/>
  <c r="BZ638"/>
  <c r="CQ638"/>
  <c r="CR638"/>
  <c r="CS638"/>
  <c r="CT638"/>
  <c r="CU638"/>
  <c r="CV638"/>
  <c r="CW638"/>
  <c r="CX638"/>
  <c r="CY638"/>
  <c r="CZ638"/>
  <c r="DA638"/>
  <c r="DB638"/>
  <c r="DC638"/>
  <c r="DD638"/>
  <c r="DE638"/>
  <c r="DF638"/>
  <c r="DG638"/>
  <c r="DH638"/>
  <c r="DI638"/>
  <c r="DJ638"/>
  <c r="DK638"/>
  <c r="DL638"/>
  <c r="DM638"/>
  <c r="DN638"/>
  <c r="DO638"/>
  <c r="DP638"/>
  <c r="DQ638"/>
  <c r="DR638"/>
  <c r="DS638"/>
  <c r="DT638"/>
  <c r="DU638"/>
  <c r="DV638"/>
  <c r="DW638"/>
  <c r="DX638"/>
  <c r="DY638"/>
  <c r="DZ638"/>
  <c r="EA638"/>
  <c r="EB638"/>
  <c r="EC638"/>
  <c r="ED638"/>
  <c r="EE638"/>
  <c r="EF638"/>
  <c r="EG638"/>
  <c r="EH638"/>
  <c r="EI638"/>
  <c r="EJ638"/>
  <c r="EK638"/>
  <c r="EL638"/>
  <c r="EM638"/>
  <c r="EN638"/>
  <c r="EO638"/>
  <c r="EP638"/>
  <c r="EQ638"/>
  <c r="ER638"/>
  <c r="ES638"/>
  <c r="ET638"/>
  <c r="EU638"/>
  <c r="EV638"/>
  <c r="EW638"/>
  <c r="EX638"/>
  <c r="EY638"/>
  <c r="EZ638"/>
  <c r="FA638"/>
  <c r="FB638"/>
  <c r="FC638"/>
  <c r="FD638"/>
  <c r="FE638"/>
  <c r="FF638"/>
  <c r="FG638"/>
  <c r="FH638"/>
  <c r="FI638"/>
  <c r="FJ638"/>
  <c r="FK638"/>
  <c r="FL638"/>
  <c r="FM638"/>
  <c r="FN638"/>
  <c r="FO638"/>
  <c r="FP638"/>
  <c r="FQ638"/>
  <c r="FR638"/>
  <c r="FS638"/>
  <c r="FT638"/>
  <c r="FU638"/>
  <c r="FV638"/>
  <c r="FW638"/>
  <c r="FX638"/>
  <c r="FY638"/>
  <c r="FZ638"/>
  <c r="GA638"/>
  <c r="GB638"/>
  <c r="GC638"/>
  <c r="GD638"/>
  <c r="GE638"/>
  <c r="GF638"/>
  <c r="GG638"/>
  <c r="GH638"/>
  <c r="GI638"/>
  <c r="GJ638"/>
  <c r="GK638"/>
  <c r="GL638"/>
  <c r="GM638"/>
  <c r="GN638"/>
  <c r="GO638"/>
  <c r="GP638"/>
  <c r="GQ638"/>
  <c r="GR638"/>
  <c r="R639"/>
  <c r="S639"/>
  <c r="T639"/>
  <c r="U639"/>
  <c r="V639"/>
  <c r="W639"/>
  <c r="X639"/>
  <c r="Y639"/>
  <c r="Z639"/>
  <c r="I639"/>
  <c r="AA639"/>
  <c r="AB639"/>
  <c r="J639"/>
  <c r="AC639"/>
  <c r="AD639"/>
  <c r="AE639"/>
  <c r="AF639"/>
  <c r="AG639"/>
  <c r="AH639"/>
  <c r="AI639"/>
  <c r="AJ639"/>
  <c r="AK639"/>
  <c r="AL639"/>
  <c r="AM639"/>
  <c r="AN639"/>
  <c r="AO639"/>
  <c r="AP639"/>
  <c r="AQ639"/>
  <c r="AR639"/>
  <c r="AS639"/>
  <c r="AT639"/>
  <c r="AU639"/>
  <c r="AV639"/>
  <c r="AW639"/>
  <c r="AX639"/>
  <c r="AY639"/>
  <c r="AZ639"/>
  <c r="BA639"/>
  <c r="BB639"/>
  <c r="BC639"/>
  <c r="BD639"/>
  <c r="BE639"/>
  <c r="BF639"/>
  <c r="BG639"/>
  <c r="BH639"/>
  <c r="BI639"/>
  <c r="BJ639"/>
  <c r="BK639"/>
  <c r="BL639"/>
  <c r="BM639"/>
  <c r="BN639"/>
  <c r="BO639"/>
  <c r="BP639"/>
  <c r="BQ639"/>
  <c r="BR639"/>
  <c r="BS639"/>
  <c r="BT639"/>
  <c r="BU639"/>
  <c r="BV639"/>
  <c r="BW639"/>
  <c r="BX639"/>
  <c r="BY639"/>
  <c r="BZ639"/>
  <c r="CQ639"/>
  <c r="CR639"/>
  <c r="CS639"/>
  <c r="CT639"/>
  <c r="CU639"/>
  <c r="CV639"/>
  <c r="CW639"/>
  <c r="CX639"/>
  <c r="CY639"/>
  <c r="CZ639"/>
  <c r="DA639"/>
  <c r="DB639"/>
  <c r="DC639"/>
  <c r="DD639"/>
  <c r="DE639"/>
  <c r="DF639"/>
  <c r="DG639"/>
  <c r="DH639"/>
  <c r="DI639"/>
  <c r="DJ639"/>
  <c r="DK639"/>
  <c r="DL639"/>
  <c r="DM639"/>
  <c r="DN639"/>
  <c r="DO639"/>
  <c r="DP639"/>
  <c r="DQ639"/>
  <c r="DR639"/>
  <c r="DS639"/>
  <c r="DT639"/>
  <c r="DU639"/>
  <c r="DV639"/>
  <c r="DW639"/>
  <c r="DX639"/>
  <c r="DY639"/>
  <c r="DZ639"/>
  <c r="EA639"/>
  <c r="EB639"/>
  <c r="EC639"/>
  <c r="ED639"/>
  <c r="EE639"/>
  <c r="EF639"/>
  <c r="EG639"/>
  <c r="EH639"/>
  <c r="EI639"/>
  <c r="EJ639"/>
  <c r="EK639"/>
  <c r="EL639"/>
  <c r="EM639"/>
  <c r="EN639"/>
  <c r="EO639"/>
  <c r="EP639"/>
  <c r="EQ639"/>
  <c r="ER639"/>
  <c r="ES639"/>
  <c r="ET639"/>
  <c r="EU639"/>
  <c r="EV639"/>
  <c r="EW639"/>
  <c r="EX639"/>
  <c r="EY639"/>
  <c r="EZ639"/>
  <c r="FA639"/>
  <c r="FB639"/>
  <c r="FC639"/>
  <c r="FD639"/>
  <c r="FE639"/>
  <c r="FF639"/>
  <c r="FG639"/>
  <c r="FH639"/>
  <c r="FI639"/>
  <c r="FJ639"/>
  <c r="FK639"/>
  <c r="FL639"/>
  <c r="FM639"/>
  <c r="FN639"/>
  <c r="FO639"/>
  <c r="FP639"/>
  <c r="FQ639"/>
  <c r="FR639"/>
  <c r="FS639"/>
  <c r="FT639"/>
  <c r="FU639"/>
  <c r="FV639"/>
  <c r="FW639"/>
  <c r="FX639"/>
  <c r="FY639"/>
  <c r="FZ639"/>
  <c r="GA639"/>
  <c r="GB639"/>
  <c r="GC639"/>
  <c r="GD639"/>
  <c r="GE639"/>
  <c r="GF639"/>
  <c r="GG639"/>
  <c r="GH639"/>
  <c r="GI639"/>
  <c r="GJ639"/>
  <c r="GK639"/>
  <c r="GL639"/>
  <c r="GM639"/>
  <c r="GN639"/>
  <c r="GO639"/>
  <c r="GP639"/>
  <c r="GQ639"/>
  <c r="GR639"/>
  <c r="R640"/>
  <c r="S640"/>
  <c r="T640"/>
  <c r="U640"/>
  <c r="V640"/>
  <c r="W640"/>
  <c r="X640"/>
  <c r="Y640"/>
  <c r="Z640"/>
  <c r="I640"/>
  <c r="AA640"/>
  <c r="AB640"/>
  <c r="J640"/>
  <c r="AC640"/>
  <c r="AD640"/>
  <c r="AE640"/>
  <c r="AF640"/>
  <c r="AG640"/>
  <c r="AH640"/>
  <c r="AI640"/>
  <c r="AJ640"/>
  <c r="AK640"/>
  <c r="AL640"/>
  <c r="AM640"/>
  <c r="AN640"/>
  <c r="AO640"/>
  <c r="AP640"/>
  <c r="AQ640"/>
  <c r="AR640"/>
  <c r="AS640"/>
  <c r="AT640"/>
  <c r="AU640"/>
  <c r="AV640"/>
  <c r="AW640"/>
  <c r="AX640"/>
  <c r="AY640"/>
  <c r="AZ640"/>
  <c r="BA640"/>
  <c r="BB640"/>
  <c r="BC640"/>
  <c r="BD640"/>
  <c r="BE640"/>
  <c r="BF640"/>
  <c r="BG640"/>
  <c r="BH640"/>
  <c r="BI640"/>
  <c r="BJ640"/>
  <c r="BK640"/>
  <c r="BL640"/>
  <c r="BM640"/>
  <c r="BN640"/>
  <c r="BO640"/>
  <c r="BP640"/>
  <c r="BQ640"/>
  <c r="BR640"/>
  <c r="BS640"/>
  <c r="BT640"/>
  <c r="BU640"/>
  <c r="BV640"/>
  <c r="BW640"/>
  <c r="BX640"/>
  <c r="BY640"/>
  <c r="BZ640"/>
  <c r="CQ640"/>
  <c r="CR640"/>
  <c r="CS640"/>
  <c r="CT640"/>
  <c r="CU640"/>
  <c r="CV640"/>
  <c r="CW640"/>
  <c r="CX640"/>
  <c r="CY640"/>
  <c r="CZ640"/>
  <c r="DA640"/>
  <c r="DB640"/>
  <c r="DC640"/>
  <c r="DD640"/>
  <c r="DE640"/>
  <c r="DF640"/>
  <c r="DG640"/>
  <c r="DH640"/>
  <c r="DI640"/>
  <c r="DJ640"/>
  <c r="DK640"/>
  <c r="DL640"/>
  <c r="DM640"/>
  <c r="DN640"/>
  <c r="DO640"/>
  <c r="DP640"/>
  <c r="DQ640"/>
  <c r="DR640"/>
  <c r="DS640"/>
  <c r="DT640"/>
  <c r="DU640"/>
  <c r="DV640"/>
  <c r="DW640"/>
  <c r="DX640"/>
  <c r="EA640"/>
  <c r="EB640"/>
  <c r="EC640"/>
  <c r="ED640"/>
  <c r="EE640"/>
  <c r="EF640"/>
  <c r="EG640"/>
  <c r="EH640"/>
  <c r="EI640"/>
  <c r="EJ640"/>
  <c r="EK640"/>
  <c r="EL640"/>
  <c r="EM640"/>
  <c r="EN640"/>
  <c r="EO640"/>
  <c r="EP640"/>
  <c r="EQ640"/>
  <c r="ER640"/>
  <c r="ES640"/>
  <c r="ET640"/>
  <c r="EU640"/>
  <c r="EV640"/>
  <c r="EW640"/>
  <c r="EX640"/>
  <c r="EY640"/>
  <c r="EZ640"/>
  <c r="FA640"/>
  <c r="FB640"/>
  <c r="FC640"/>
  <c r="FD640"/>
  <c r="FE640"/>
  <c r="FF640"/>
  <c r="FG640"/>
  <c r="FH640"/>
  <c r="FI640"/>
  <c r="FJ640"/>
  <c r="FK640"/>
  <c r="FL640"/>
  <c r="FM640"/>
  <c r="FN640"/>
  <c r="FO640"/>
  <c r="FP640"/>
  <c r="FQ640"/>
  <c r="FR640"/>
  <c r="FS640"/>
  <c r="FT640"/>
  <c r="FU640"/>
  <c r="FV640"/>
  <c r="FW640"/>
  <c r="FX640"/>
  <c r="FY640"/>
  <c r="FZ640"/>
  <c r="GA640"/>
  <c r="GB640"/>
  <c r="GC640"/>
  <c r="GD640"/>
  <c r="GE640"/>
  <c r="GF640"/>
  <c r="GG640"/>
  <c r="GH640"/>
  <c r="GI640"/>
  <c r="GJ640"/>
  <c r="GK640"/>
  <c r="GL640"/>
  <c r="GM640"/>
  <c r="GN640"/>
  <c r="GO640"/>
  <c r="GP640"/>
  <c r="GQ640"/>
  <c r="GR640"/>
  <c r="R641"/>
  <c r="S641"/>
  <c r="T641"/>
  <c r="U641"/>
  <c r="V641"/>
  <c r="W641"/>
  <c r="X641"/>
  <c r="Y641"/>
  <c r="Z641"/>
  <c r="I641"/>
  <c r="AA641"/>
  <c r="AB641"/>
  <c r="J641"/>
  <c r="AC641"/>
  <c r="AD641"/>
  <c r="AE641"/>
  <c r="AF641"/>
  <c r="AG641"/>
  <c r="AH641"/>
  <c r="AI641"/>
  <c r="AJ641"/>
  <c r="AK641"/>
  <c r="AL641"/>
  <c r="AM641"/>
  <c r="AN641"/>
  <c r="AO641"/>
  <c r="AP641"/>
  <c r="AQ641"/>
  <c r="AR641"/>
  <c r="AS641"/>
  <c r="AT641"/>
  <c r="AU641"/>
  <c r="AV641"/>
  <c r="AW641"/>
  <c r="AX641"/>
  <c r="AY641"/>
  <c r="AZ641"/>
  <c r="BA641"/>
  <c r="BB641"/>
  <c r="BC641"/>
  <c r="BD641"/>
  <c r="BE641"/>
  <c r="BF641"/>
  <c r="BG641"/>
  <c r="BH641"/>
  <c r="BI641"/>
  <c r="BJ641"/>
  <c r="BK641"/>
  <c r="BL641"/>
  <c r="BM641"/>
  <c r="BN641"/>
  <c r="BO641"/>
  <c r="BP641"/>
  <c r="BQ641"/>
  <c r="BR641"/>
  <c r="BS641"/>
  <c r="BT641"/>
  <c r="BU641"/>
  <c r="BV641"/>
  <c r="BW641"/>
  <c r="BX641"/>
  <c r="BY641"/>
  <c r="BZ641"/>
  <c r="CQ641"/>
  <c r="CR641"/>
  <c r="CS641"/>
  <c r="CT641"/>
  <c r="CU641"/>
  <c r="CV641"/>
  <c r="CW641"/>
  <c r="CX641"/>
  <c r="CY641"/>
  <c r="CZ641"/>
  <c r="DA641"/>
  <c r="DB641"/>
  <c r="DC641"/>
  <c r="DD641"/>
  <c r="DE641"/>
  <c r="DF641"/>
  <c r="DG641"/>
  <c r="DH641"/>
  <c r="DI641"/>
  <c r="DJ641"/>
  <c r="DK641"/>
  <c r="DL641"/>
  <c r="DM641"/>
  <c r="DN641"/>
  <c r="DO641"/>
  <c r="DP641"/>
  <c r="DQ641"/>
  <c r="DR641"/>
  <c r="DS641"/>
  <c r="DT641"/>
  <c r="DU641"/>
  <c r="DV641"/>
  <c r="DW641"/>
  <c r="DX641"/>
  <c r="EA641"/>
  <c r="EB641"/>
  <c r="EC641"/>
  <c r="ED641"/>
  <c r="EE641"/>
  <c r="EF641"/>
  <c r="EG641"/>
  <c r="EH641"/>
  <c r="EI641"/>
  <c r="EJ641"/>
  <c r="EK641"/>
  <c r="EL641"/>
  <c r="EM641"/>
  <c r="EN641"/>
  <c r="EO641"/>
  <c r="EP641"/>
  <c r="EQ641"/>
  <c r="ER641"/>
  <c r="ES641"/>
  <c r="ET641"/>
  <c r="EU641"/>
  <c r="EV641"/>
  <c r="EW641"/>
  <c r="EX641"/>
  <c r="EY641"/>
  <c r="EZ641"/>
  <c r="FA641"/>
  <c r="FB641"/>
  <c r="FC641"/>
  <c r="FD641"/>
  <c r="FE641"/>
  <c r="FF641"/>
  <c r="FG641"/>
  <c r="FH641"/>
  <c r="FI641"/>
  <c r="FJ641"/>
  <c r="FK641"/>
  <c r="FL641"/>
  <c r="FM641"/>
  <c r="FN641"/>
  <c r="FO641"/>
  <c r="FP641"/>
  <c r="FQ641"/>
  <c r="FR641"/>
  <c r="FS641"/>
  <c r="FT641"/>
  <c r="FU641"/>
  <c r="FV641"/>
  <c r="FW641"/>
  <c r="FX641"/>
  <c r="FY641"/>
  <c r="FZ641"/>
  <c r="GA641"/>
  <c r="GB641"/>
  <c r="GC641"/>
  <c r="GD641"/>
  <c r="GE641"/>
  <c r="GF641"/>
  <c r="GG641"/>
  <c r="GH641"/>
  <c r="GI641"/>
  <c r="GJ641"/>
  <c r="GK641"/>
  <c r="GL641"/>
  <c r="GM641"/>
  <c r="GN641"/>
  <c r="GO641"/>
  <c r="GP641"/>
  <c r="GQ641"/>
  <c r="GR641"/>
  <c r="R642"/>
  <c r="S642"/>
  <c r="T642"/>
  <c r="U642"/>
  <c r="V642"/>
  <c r="W642"/>
  <c r="X642"/>
  <c r="Y642"/>
  <c r="Z642"/>
  <c r="I642"/>
  <c r="AA642"/>
  <c r="AB642"/>
  <c r="J642"/>
  <c r="AC642"/>
  <c r="AD642"/>
  <c r="AE642"/>
  <c r="AF642"/>
  <c r="AG642"/>
  <c r="AH642"/>
  <c r="AI642"/>
  <c r="AJ642"/>
  <c r="AK642"/>
  <c r="AL642"/>
  <c r="AM642"/>
  <c r="AN642"/>
  <c r="AO642"/>
  <c r="AP642"/>
  <c r="AQ642"/>
  <c r="AR642"/>
  <c r="AS642"/>
  <c r="AT642"/>
  <c r="AU642"/>
  <c r="AV642"/>
  <c r="AW642"/>
  <c r="AX642"/>
  <c r="AY642"/>
  <c r="AZ642"/>
  <c r="BA642"/>
  <c r="BB642"/>
  <c r="BC642"/>
  <c r="BD642"/>
  <c r="BE642"/>
  <c r="BF642"/>
  <c r="BG642"/>
  <c r="BH642"/>
  <c r="BI642"/>
  <c r="BJ642"/>
  <c r="BK642"/>
  <c r="BL642"/>
  <c r="BM642"/>
  <c r="BN642"/>
  <c r="BO642"/>
  <c r="BP642"/>
  <c r="BQ642"/>
  <c r="BR642"/>
  <c r="BS642"/>
  <c r="BT642"/>
  <c r="BU642"/>
  <c r="BV642"/>
  <c r="BW642"/>
  <c r="BX642"/>
  <c r="BY642"/>
  <c r="BZ642"/>
  <c r="CQ642"/>
  <c r="CR642"/>
  <c r="CS642"/>
  <c r="CT642"/>
  <c r="CU642"/>
  <c r="CV642"/>
  <c r="CW642"/>
  <c r="CX642"/>
  <c r="CY642"/>
  <c r="CZ642"/>
  <c r="DA642"/>
  <c r="DB642"/>
  <c r="DC642"/>
  <c r="DD642"/>
  <c r="DE642"/>
  <c r="DF642"/>
  <c r="DG642"/>
  <c r="DH642"/>
  <c r="DI642"/>
  <c r="DJ642"/>
  <c r="DK642"/>
  <c r="DL642"/>
  <c r="DM642"/>
  <c r="DN642"/>
  <c r="DO642"/>
  <c r="DP642"/>
  <c r="DQ642"/>
  <c r="DR642"/>
  <c r="DS642"/>
  <c r="DT642"/>
  <c r="DU642"/>
  <c r="DV642"/>
  <c r="DW642"/>
  <c r="DX642"/>
  <c r="EA642"/>
  <c r="EB642"/>
  <c r="EC642"/>
  <c r="ED642"/>
  <c r="EE642"/>
  <c r="EF642"/>
  <c r="EG642"/>
  <c r="EH642"/>
  <c r="EI642"/>
  <c r="EJ642"/>
  <c r="EK642"/>
  <c r="EL642"/>
  <c r="EM642"/>
  <c r="EN642"/>
  <c r="EO642"/>
  <c r="EP642"/>
  <c r="EQ642"/>
  <c r="ER642"/>
  <c r="ES642"/>
  <c r="ET642"/>
  <c r="EU642"/>
  <c r="EV642"/>
  <c r="EW642"/>
  <c r="EX642"/>
  <c r="EY642"/>
  <c r="EZ642"/>
  <c r="FA642"/>
  <c r="FB642"/>
  <c r="FC642"/>
  <c r="FD642"/>
  <c r="FE642"/>
  <c r="FF642"/>
  <c r="FG642"/>
  <c r="FH642"/>
  <c r="FI642"/>
  <c r="FJ642"/>
  <c r="FK642"/>
  <c r="FL642"/>
  <c r="FM642"/>
  <c r="FN642"/>
  <c r="FO642"/>
  <c r="FP642"/>
  <c r="FQ642"/>
  <c r="FR642"/>
  <c r="FS642"/>
  <c r="FT642"/>
  <c r="FU642"/>
  <c r="FV642"/>
  <c r="FW642"/>
  <c r="FX642"/>
  <c r="FY642"/>
  <c r="FZ642"/>
  <c r="GA642"/>
  <c r="GB642"/>
  <c r="GC642"/>
  <c r="GD642"/>
  <c r="GE642"/>
  <c r="GF642"/>
  <c r="GG642"/>
  <c r="GH642"/>
  <c r="GI642"/>
  <c r="GJ642"/>
  <c r="GK642"/>
  <c r="GL642"/>
  <c r="GM642"/>
  <c r="GN642"/>
  <c r="GO642"/>
  <c r="GP642"/>
  <c r="GQ642"/>
  <c r="GR642"/>
  <c r="R643"/>
  <c r="S643"/>
  <c r="T643"/>
  <c r="U643"/>
  <c r="V643"/>
  <c r="W643"/>
  <c r="X643"/>
  <c r="Y643"/>
  <c r="Z643"/>
  <c r="I643"/>
  <c r="AA643"/>
  <c r="AB643"/>
  <c r="J643"/>
  <c r="AC643"/>
  <c r="AD643"/>
  <c r="AE643"/>
  <c r="AF643"/>
  <c r="AG643"/>
  <c r="AH643"/>
  <c r="AI643"/>
  <c r="AJ643"/>
  <c r="AK643"/>
  <c r="AL643"/>
  <c r="AM643"/>
  <c r="AN643"/>
  <c r="AO643"/>
  <c r="AP643"/>
  <c r="AQ643"/>
  <c r="AR643"/>
  <c r="AS643"/>
  <c r="AT643"/>
  <c r="AU643"/>
  <c r="AV643"/>
  <c r="AW643"/>
  <c r="AX643"/>
  <c r="AY643"/>
  <c r="AZ643"/>
  <c r="BA643"/>
  <c r="BB643"/>
  <c r="BC643"/>
  <c r="BD643"/>
  <c r="BE643"/>
  <c r="BF643"/>
  <c r="BG643"/>
  <c r="BH643"/>
  <c r="BI643"/>
  <c r="BJ643"/>
  <c r="BK643"/>
  <c r="BL643"/>
  <c r="BM643"/>
  <c r="BN643"/>
  <c r="BO643"/>
  <c r="BP643"/>
  <c r="BQ643"/>
  <c r="BR643"/>
  <c r="BS643"/>
  <c r="BT643"/>
  <c r="BU643"/>
  <c r="BV643"/>
  <c r="BW643"/>
  <c r="BX643"/>
  <c r="BY643"/>
  <c r="BZ643"/>
  <c r="CQ643"/>
  <c r="CR643"/>
  <c r="CS643"/>
  <c r="CT643"/>
  <c r="CU643"/>
  <c r="CV643"/>
  <c r="CW643"/>
  <c r="CX643"/>
  <c r="CY643"/>
  <c r="CZ643"/>
  <c r="DA643"/>
  <c r="DB643"/>
  <c r="DC643"/>
  <c r="DD643"/>
  <c r="DE643"/>
  <c r="DF643"/>
  <c r="DG643"/>
  <c r="DH643"/>
  <c r="DI643"/>
  <c r="DJ643"/>
  <c r="DK643"/>
  <c r="DL643"/>
  <c r="DM643"/>
  <c r="DN643"/>
  <c r="DO643"/>
  <c r="DP643"/>
  <c r="DQ643"/>
  <c r="DR643"/>
  <c r="DS643"/>
  <c r="DT643"/>
  <c r="DU643"/>
  <c r="DV643"/>
  <c r="DW643"/>
  <c r="DX643"/>
  <c r="EA643"/>
  <c r="EB643"/>
  <c r="EC643"/>
  <c r="ED643"/>
  <c r="EE643"/>
  <c r="EF643"/>
  <c r="EG643"/>
  <c r="EH643"/>
  <c r="EI643"/>
  <c r="EJ643"/>
  <c r="EK643"/>
  <c r="EL643"/>
  <c r="EM643"/>
  <c r="EN643"/>
  <c r="EO643"/>
  <c r="EP643"/>
  <c r="EQ643"/>
  <c r="ER643"/>
  <c r="ES643"/>
  <c r="ET643"/>
  <c r="EU643"/>
  <c r="EV643"/>
  <c r="EW643"/>
  <c r="EX643"/>
  <c r="EY643"/>
  <c r="EZ643"/>
  <c r="FA643"/>
  <c r="FB643"/>
  <c r="FC643"/>
  <c r="FD643"/>
  <c r="FE643"/>
  <c r="FF643"/>
  <c r="FG643"/>
  <c r="FH643"/>
  <c r="FI643"/>
  <c r="FJ643"/>
  <c r="FK643"/>
  <c r="FL643"/>
  <c r="FM643"/>
  <c r="FN643"/>
  <c r="FO643"/>
  <c r="FP643"/>
  <c r="FQ643"/>
  <c r="FR643"/>
  <c r="FS643"/>
  <c r="FT643"/>
  <c r="FU643"/>
  <c r="FV643"/>
  <c r="FW643"/>
  <c r="FX643"/>
  <c r="FY643"/>
  <c r="FZ643"/>
  <c r="GA643"/>
  <c r="GB643"/>
  <c r="GC643"/>
  <c r="GD643"/>
  <c r="GE643"/>
  <c r="GF643"/>
  <c r="GG643"/>
  <c r="GH643"/>
  <c r="GI643"/>
  <c r="GJ643"/>
  <c r="GK643"/>
  <c r="GL643"/>
  <c r="GM643"/>
  <c r="GN643"/>
  <c r="GO643"/>
  <c r="GP643"/>
  <c r="GQ643"/>
  <c r="GR643"/>
  <c r="R644"/>
  <c r="S644"/>
  <c r="T644"/>
  <c r="U644"/>
  <c r="V644"/>
  <c r="W644"/>
  <c r="X644"/>
  <c r="Y644"/>
  <c r="Z644"/>
  <c r="I644"/>
  <c r="AA644"/>
  <c r="AB644"/>
  <c r="J644"/>
  <c r="AC644"/>
  <c r="AD644"/>
  <c r="AE644"/>
  <c r="AF644"/>
  <c r="AG644"/>
  <c r="AH644"/>
  <c r="AI644"/>
  <c r="AJ644"/>
  <c r="AK644"/>
  <c r="AL644"/>
  <c r="AM644"/>
  <c r="AN644"/>
  <c r="AO644"/>
  <c r="AP644"/>
  <c r="AQ644"/>
  <c r="AR644"/>
  <c r="AS644"/>
  <c r="AT644"/>
  <c r="AU644"/>
  <c r="AV644"/>
  <c r="AW644"/>
  <c r="AX644"/>
  <c r="AY644"/>
  <c r="AZ644"/>
  <c r="BA644"/>
  <c r="BB644"/>
  <c r="BC644"/>
  <c r="BD644"/>
  <c r="BE644"/>
  <c r="BF644"/>
  <c r="BG644"/>
  <c r="BH644"/>
  <c r="BI644"/>
  <c r="BJ644"/>
  <c r="BK644"/>
  <c r="BL644"/>
  <c r="BM644"/>
  <c r="BN644"/>
  <c r="BO644"/>
  <c r="BP644"/>
  <c r="BQ644"/>
  <c r="BR644"/>
  <c r="BS644"/>
  <c r="BT644"/>
  <c r="BU644"/>
  <c r="BV644"/>
  <c r="BW644"/>
  <c r="BX644"/>
  <c r="BY644"/>
  <c r="BZ644"/>
  <c r="CQ644"/>
  <c r="CR644"/>
  <c r="CS644"/>
  <c r="CT644"/>
  <c r="CU644"/>
  <c r="CV644"/>
  <c r="CW644"/>
  <c r="CX644"/>
  <c r="CY644"/>
  <c r="CZ644"/>
  <c r="DA644"/>
  <c r="DB644"/>
  <c r="DC644"/>
  <c r="DD644"/>
  <c r="DE644"/>
  <c r="DF644"/>
  <c r="DG644"/>
  <c r="DH644"/>
  <c r="DI644"/>
  <c r="DJ644"/>
  <c r="DK644"/>
  <c r="DL644"/>
  <c r="DM644"/>
  <c r="DN644"/>
  <c r="DO644"/>
  <c r="DP644"/>
  <c r="DQ644"/>
  <c r="DR644"/>
  <c r="DS644"/>
  <c r="DT644"/>
  <c r="DU644"/>
  <c r="DV644"/>
  <c r="DW644"/>
  <c r="DX644"/>
  <c r="EA644"/>
  <c r="EB644"/>
  <c r="EC644"/>
  <c r="ED644"/>
  <c r="EE644"/>
  <c r="EF644"/>
  <c r="EG644"/>
  <c r="EH644"/>
  <c r="EI644"/>
  <c r="EJ644"/>
  <c r="EK644"/>
  <c r="EL644"/>
  <c r="EM644"/>
  <c r="EN644"/>
  <c r="EO644"/>
  <c r="EP644"/>
  <c r="EQ644"/>
  <c r="ER644"/>
  <c r="ES644"/>
  <c r="ET644"/>
  <c r="EU644"/>
  <c r="EV644"/>
  <c r="EW644"/>
  <c r="EX644"/>
  <c r="EY644"/>
  <c r="EZ644"/>
  <c r="FA644"/>
  <c r="FB644"/>
  <c r="FC644"/>
  <c r="FD644"/>
  <c r="FE644"/>
  <c r="FF644"/>
  <c r="FG644"/>
  <c r="FH644"/>
  <c r="FI644"/>
  <c r="FJ644"/>
  <c r="FK644"/>
  <c r="FL644"/>
  <c r="FM644"/>
  <c r="FN644"/>
  <c r="FO644"/>
  <c r="FP644"/>
  <c r="FQ644"/>
  <c r="FR644"/>
  <c r="FS644"/>
  <c r="FT644"/>
  <c r="FU644"/>
  <c r="FV644"/>
  <c r="FW644"/>
  <c r="FX644"/>
  <c r="FY644"/>
  <c r="FZ644"/>
  <c r="GA644"/>
  <c r="GB644"/>
  <c r="GC644"/>
  <c r="GD644"/>
  <c r="GE644"/>
  <c r="GF644"/>
  <c r="GG644"/>
  <c r="GH644"/>
  <c r="GI644"/>
  <c r="GJ644"/>
  <c r="GK644"/>
  <c r="GL644"/>
  <c r="GM644"/>
  <c r="GN644"/>
  <c r="GO644"/>
  <c r="GP644"/>
  <c r="GQ644"/>
  <c r="GR644"/>
  <c r="R645"/>
  <c r="S645"/>
  <c r="T645"/>
  <c r="U645"/>
  <c r="V645"/>
  <c r="W645"/>
  <c r="X645"/>
  <c r="Y645"/>
  <c r="Z645"/>
  <c r="I645"/>
  <c r="AA645"/>
  <c r="AB645"/>
  <c r="J645"/>
  <c r="AC645"/>
  <c r="AD645"/>
  <c r="AE645"/>
  <c r="AF645"/>
  <c r="AG645"/>
  <c r="AH645"/>
  <c r="AI645"/>
  <c r="AJ645"/>
  <c r="AK645"/>
  <c r="AL645"/>
  <c r="AM645"/>
  <c r="AN645"/>
  <c r="AO645"/>
  <c r="AP645"/>
  <c r="AQ645"/>
  <c r="AR645"/>
  <c r="AS645"/>
  <c r="AT645"/>
  <c r="AU645"/>
  <c r="AV645"/>
  <c r="AW645"/>
  <c r="AX645"/>
  <c r="AY645"/>
  <c r="AZ645"/>
  <c r="BA645"/>
  <c r="BB645"/>
  <c r="BC645"/>
  <c r="BD645"/>
  <c r="BE645"/>
  <c r="BF645"/>
  <c r="BG645"/>
  <c r="BH645"/>
  <c r="BI645"/>
  <c r="BJ645"/>
  <c r="BK645"/>
  <c r="BL645"/>
  <c r="BM645"/>
  <c r="BN645"/>
  <c r="BO645"/>
  <c r="BP645"/>
  <c r="BQ645"/>
  <c r="BR645"/>
  <c r="BS645"/>
  <c r="BT645"/>
  <c r="BU645"/>
  <c r="BV645"/>
  <c r="BW645"/>
  <c r="BX645"/>
  <c r="BY645"/>
  <c r="BZ645"/>
  <c r="CQ645"/>
  <c r="CR645"/>
  <c r="CS645"/>
  <c r="CT645"/>
  <c r="CU645"/>
  <c r="CV645"/>
  <c r="CW645"/>
  <c r="CX645"/>
  <c r="CY645"/>
  <c r="CZ645"/>
  <c r="DA645"/>
  <c r="DB645"/>
  <c r="DC645"/>
  <c r="DD645"/>
  <c r="DE645"/>
  <c r="DF645"/>
  <c r="DG645"/>
  <c r="DH645"/>
  <c r="DI645"/>
  <c r="DJ645"/>
  <c r="DK645"/>
  <c r="DL645"/>
  <c r="DM645"/>
  <c r="DN645"/>
  <c r="DO645"/>
  <c r="DP645"/>
  <c r="DQ645"/>
  <c r="DR645"/>
  <c r="DS645"/>
  <c r="DT645"/>
  <c r="DU645"/>
  <c r="DV645"/>
  <c r="DW645"/>
  <c r="DX645"/>
  <c r="EA645"/>
  <c r="EB645"/>
  <c r="EC645"/>
  <c r="ED645"/>
  <c r="EE645"/>
  <c r="EF645"/>
  <c r="EG645"/>
  <c r="EH645"/>
  <c r="EI645"/>
  <c r="EJ645"/>
  <c r="EK645"/>
  <c r="EL645"/>
  <c r="EM645"/>
  <c r="EN645"/>
  <c r="EO645"/>
  <c r="EP645"/>
  <c r="EQ645"/>
  <c r="ER645"/>
  <c r="ES645"/>
  <c r="ET645"/>
  <c r="EU645"/>
  <c r="EV645"/>
  <c r="EW645"/>
  <c r="EX645"/>
  <c r="EY645"/>
  <c r="EZ645"/>
  <c r="FA645"/>
  <c r="FB645"/>
  <c r="FC645"/>
  <c r="FD645"/>
  <c r="FE645"/>
  <c r="FF645"/>
  <c r="FG645"/>
  <c r="FH645"/>
  <c r="FI645"/>
  <c r="FJ645"/>
  <c r="FK645"/>
  <c r="FL645"/>
  <c r="FM645"/>
  <c r="FN645"/>
  <c r="FO645"/>
  <c r="FP645"/>
  <c r="FQ645"/>
  <c r="FR645"/>
  <c r="FS645"/>
  <c r="FT645"/>
  <c r="FU645"/>
  <c r="FV645"/>
  <c r="FW645"/>
  <c r="FX645"/>
  <c r="FY645"/>
  <c r="FZ645"/>
  <c r="GA645"/>
  <c r="GB645"/>
  <c r="GC645"/>
  <c r="GD645"/>
  <c r="GE645"/>
  <c r="GF645"/>
  <c r="GG645"/>
  <c r="GH645"/>
  <c r="GI645"/>
  <c r="GJ645"/>
  <c r="GK645"/>
  <c r="GL645"/>
  <c r="GM645"/>
  <c r="GN645"/>
  <c r="GO645"/>
  <c r="GP645"/>
  <c r="GQ645"/>
  <c r="GR645"/>
  <c r="R646"/>
  <c r="S646"/>
  <c r="T646"/>
  <c r="U646"/>
  <c r="V646"/>
  <c r="W646"/>
  <c r="X646"/>
  <c r="Y646"/>
  <c r="Z646"/>
  <c r="I646"/>
  <c r="AA646"/>
  <c r="AB646"/>
  <c r="J646"/>
  <c r="AC646"/>
  <c r="AD646"/>
  <c r="AE646"/>
  <c r="AF646"/>
  <c r="AG646"/>
  <c r="AH646"/>
  <c r="AI646"/>
  <c r="AJ646"/>
  <c r="AK646"/>
  <c r="AL646"/>
  <c r="AM646"/>
  <c r="AN646"/>
  <c r="AO646"/>
  <c r="AP646"/>
  <c r="AQ646"/>
  <c r="AR646"/>
  <c r="AS646"/>
  <c r="AT646"/>
  <c r="AU646"/>
  <c r="AV646"/>
  <c r="AW646"/>
  <c r="AX646"/>
  <c r="AY646"/>
  <c r="AZ646"/>
  <c r="BA646"/>
  <c r="BB646"/>
  <c r="BC646"/>
  <c r="BD646"/>
  <c r="BE646"/>
  <c r="BF646"/>
  <c r="BG646"/>
  <c r="BH646"/>
  <c r="BI646"/>
  <c r="BJ646"/>
  <c r="BK646"/>
  <c r="BL646"/>
  <c r="BM646"/>
  <c r="BN646"/>
  <c r="BO646"/>
  <c r="BP646"/>
  <c r="BQ646"/>
  <c r="BR646"/>
  <c r="BS646"/>
  <c r="BT646"/>
  <c r="BU646"/>
  <c r="BV646"/>
  <c r="BW646"/>
  <c r="BX646"/>
  <c r="BY646"/>
  <c r="BZ646"/>
  <c r="CQ646"/>
  <c r="CR646"/>
  <c r="CS646"/>
  <c r="CT646"/>
  <c r="CU646"/>
  <c r="CV646"/>
  <c r="CW646"/>
  <c r="CX646"/>
  <c r="CY646"/>
  <c r="CZ646"/>
  <c r="DA646"/>
  <c r="DB646"/>
  <c r="DC646"/>
  <c r="DD646"/>
  <c r="DE646"/>
  <c r="DF646"/>
  <c r="DG646"/>
  <c r="DH646"/>
  <c r="DI646"/>
  <c r="DJ646"/>
  <c r="DK646"/>
  <c r="DL646"/>
  <c r="DM646"/>
  <c r="DN646"/>
  <c r="DO646"/>
  <c r="DP646"/>
  <c r="DQ646"/>
  <c r="DR646"/>
  <c r="DS646"/>
  <c r="DT646"/>
  <c r="DU646"/>
  <c r="DV646"/>
  <c r="DW646"/>
  <c r="DX646"/>
  <c r="EA646"/>
  <c r="EB646"/>
  <c r="EC646"/>
  <c r="ED646"/>
  <c r="EE646"/>
  <c r="EF646"/>
  <c r="EG646"/>
  <c r="EH646"/>
  <c r="EI646"/>
  <c r="EJ646"/>
  <c r="EK646"/>
  <c r="EL646"/>
  <c r="EM646"/>
  <c r="EN646"/>
  <c r="EO646"/>
  <c r="EP646"/>
  <c r="EQ646"/>
  <c r="ER646"/>
  <c r="ES646"/>
  <c r="ET646"/>
  <c r="EU646"/>
  <c r="EV646"/>
  <c r="EW646"/>
  <c r="EX646"/>
  <c r="EY646"/>
  <c r="EZ646"/>
  <c r="FA646"/>
  <c r="FB646"/>
  <c r="FC646"/>
  <c r="FD646"/>
  <c r="FE646"/>
  <c r="FF646"/>
  <c r="FG646"/>
  <c r="FH646"/>
  <c r="FI646"/>
  <c r="FJ646"/>
  <c r="FK646"/>
  <c r="FL646"/>
  <c r="FM646"/>
  <c r="FN646"/>
  <c r="FO646"/>
  <c r="FP646"/>
  <c r="FQ646"/>
  <c r="FR646"/>
  <c r="FS646"/>
  <c r="FT646"/>
  <c r="FU646"/>
  <c r="FV646"/>
  <c r="FW646"/>
  <c r="FX646"/>
  <c r="FY646"/>
  <c r="FZ646"/>
  <c r="GA646"/>
  <c r="GB646"/>
  <c r="GC646"/>
  <c r="GD646"/>
  <c r="GE646"/>
  <c r="GF646"/>
  <c r="GG646"/>
  <c r="GH646"/>
  <c r="GI646"/>
  <c r="GJ646"/>
  <c r="GK646"/>
  <c r="GL646"/>
  <c r="GM646"/>
  <c r="GN646"/>
  <c r="GO646"/>
  <c r="GP646"/>
  <c r="GQ646"/>
  <c r="GR646"/>
  <c r="R647"/>
  <c r="S647"/>
  <c r="T647"/>
  <c r="U647"/>
  <c r="V647"/>
  <c r="W647"/>
  <c r="X647"/>
  <c r="Y647"/>
  <c r="Z647"/>
  <c r="I647"/>
  <c r="AA647"/>
  <c r="AB647"/>
  <c r="J647"/>
  <c r="AC647"/>
  <c r="AD647"/>
  <c r="AE647"/>
  <c r="AF647"/>
  <c r="AG647"/>
  <c r="AH647"/>
  <c r="AI647"/>
  <c r="AJ647"/>
  <c r="AK647"/>
  <c r="AL647"/>
  <c r="AM647"/>
  <c r="AN647"/>
  <c r="AO647"/>
  <c r="AP647"/>
  <c r="AQ647"/>
  <c r="AR647"/>
  <c r="AS647"/>
  <c r="AT647"/>
  <c r="AU647"/>
  <c r="AV647"/>
  <c r="AW647"/>
  <c r="AX647"/>
  <c r="AY647"/>
  <c r="AZ647"/>
  <c r="BA647"/>
  <c r="BB647"/>
  <c r="BC647"/>
  <c r="BD647"/>
  <c r="BE647"/>
  <c r="BF647"/>
  <c r="BG647"/>
  <c r="BH647"/>
  <c r="BI647"/>
  <c r="BJ647"/>
  <c r="BK647"/>
  <c r="BL647"/>
  <c r="BM647"/>
  <c r="BN647"/>
  <c r="BO647"/>
  <c r="BP647"/>
  <c r="BQ647"/>
  <c r="BR647"/>
  <c r="BS647"/>
  <c r="BT647"/>
  <c r="BU647"/>
  <c r="BV647"/>
  <c r="BW647"/>
  <c r="BX647"/>
  <c r="BY647"/>
  <c r="BZ647"/>
  <c r="CQ647"/>
  <c r="CR647"/>
  <c r="CS647"/>
  <c r="CT647"/>
  <c r="CU647"/>
  <c r="CV647"/>
  <c r="CW647"/>
  <c r="CX647"/>
  <c r="CY647"/>
  <c r="CZ647"/>
  <c r="DA647"/>
  <c r="DB647"/>
  <c r="DC647"/>
  <c r="DD647"/>
  <c r="DE647"/>
  <c r="DF647"/>
  <c r="DG647"/>
  <c r="DH647"/>
  <c r="DI647"/>
  <c r="DJ647"/>
  <c r="DK647"/>
  <c r="DL647"/>
  <c r="DM647"/>
  <c r="DN647"/>
  <c r="DO647"/>
  <c r="DP647"/>
  <c r="DQ647"/>
  <c r="DR647"/>
  <c r="DS647"/>
  <c r="DT647"/>
  <c r="DU647"/>
  <c r="DV647"/>
  <c r="DW647"/>
  <c r="DX647"/>
  <c r="EA647"/>
  <c r="EB647"/>
  <c r="EC647"/>
  <c r="ED647"/>
  <c r="EE647"/>
  <c r="EF647"/>
  <c r="EG647"/>
  <c r="EH647"/>
  <c r="EI647"/>
  <c r="EJ647"/>
  <c r="EK647"/>
  <c r="EL647"/>
  <c r="EM647"/>
  <c r="EN647"/>
  <c r="EO647"/>
  <c r="EP647"/>
  <c r="EQ647"/>
  <c r="ER647"/>
  <c r="ES647"/>
  <c r="ET647"/>
  <c r="EU647"/>
  <c r="EV647"/>
  <c r="EW647"/>
  <c r="EX647"/>
  <c r="EY647"/>
  <c r="EZ647"/>
  <c r="FA647"/>
  <c r="FB647"/>
  <c r="FC647"/>
  <c r="FD647"/>
  <c r="FE647"/>
  <c r="FF647"/>
  <c r="FG647"/>
  <c r="FH647"/>
  <c r="FI647"/>
  <c r="FJ647"/>
  <c r="FK647"/>
  <c r="FL647"/>
  <c r="FM647"/>
  <c r="FN647"/>
  <c r="FO647"/>
  <c r="FP647"/>
  <c r="FQ647"/>
  <c r="FR647"/>
  <c r="FS647"/>
  <c r="FT647"/>
  <c r="FU647"/>
  <c r="FV647"/>
  <c r="FW647"/>
  <c r="FX647"/>
  <c r="FY647"/>
  <c r="FZ647"/>
  <c r="GA647"/>
  <c r="GB647"/>
  <c r="GC647"/>
  <c r="GD647"/>
  <c r="GE647"/>
  <c r="GF647"/>
  <c r="GG647"/>
  <c r="GH647"/>
  <c r="GI647"/>
  <c r="GJ647"/>
  <c r="GK647"/>
  <c r="GL647"/>
  <c r="GM647"/>
  <c r="GN647"/>
  <c r="GO647"/>
  <c r="GP647"/>
  <c r="GQ647"/>
  <c r="GR647"/>
  <c r="R648"/>
  <c r="S648"/>
  <c r="T648"/>
  <c r="U648"/>
  <c r="V648"/>
  <c r="W648"/>
  <c r="X648"/>
  <c r="Y648"/>
  <c r="Z648"/>
  <c r="I648"/>
  <c r="AA648"/>
  <c r="AB648"/>
  <c r="J648"/>
  <c r="AC648"/>
  <c r="AD648"/>
  <c r="AE648"/>
  <c r="AF648"/>
  <c r="AG648"/>
  <c r="AH648"/>
  <c r="AI648"/>
  <c r="AJ648"/>
  <c r="AK648"/>
  <c r="AL648"/>
  <c r="AM648"/>
  <c r="AN648"/>
  <c r="AO648"/>
  <c r="AP648"/>
  <c r="AQ648"/>
  <c r="AR648"/>
  <c r="AS648"/>
  <c r="AT648"/>
  <c r="AU648"/>
  <c r="AV648"/>
  <c r="AW648"/>
  <c r="AX648"/>
  <c r="AY648"/>
  <c r="AZ648"/>
  <c r="BA648"/>
  <c r="BB648"/>
  <c r="BC648"/>
  <c r="BD648"/>
  <c r="BE648"/>
  <c r="BF648"/>
  <c r="BG648"/>
  <c r="BH648"/>
  <c r="BI648"/>
  <c r="BJ648"/>
  <c r="BK648"/>
  <c r="BL648"/>
  <c r="BM648"/>
  <c r="BN648"/>
  <c r="BO648"/>
  <c r="BP648"/>
  <c r="BQ648"/>
  <c r="BR648"/>
  <c r="BS648"/>
  <c r="BT648"/>
  <c r="BU648"/>
  <c r="BV648"/>
  <c r="BW648"/>
  <c r="BX648"/>
  <c r="BY648"/>
  <c r="BZ648"/>
  <c r="CQ648"/>
  <c r="CR648"/>
  <c r="CS648"/>
  <c r="CT648"/>
  <c r="CU648"/>
  <c r="CV648"/>
  <c r="CW648"/>
  <c r="CX648"/>
  <c r="CY648"/>
  <c r="CZ648"/>
  <c r="DA648"/>
  <c r="DB648"/>
  <c r="DC648"/>
  <c r="DD648"/>
  <c r="DE648"/>
  <c r="DF648"/>
  <c r="DG648"/>
  <c r="DH648"/>
  <c r="DI648"/>
  <c r="DJ648"/>
  <c r="DK648"/>
  <c r="DL648"/>
  <c r="DM648"/>
  <c r="DN648"/>
  <c r="DO648"/>
  <c r="DP648"/>
  <c r="DQ648"/>
  <c r="DR648"/>
  <c r="DS648"/>
  <c r="DT648"/>
  <c r="DU648"/>
  <c r="DV648"/>
  <c r="DW648"/>
  <c r="DX648"/>
  <c r="EA648"/>
  <c r="EB648"/>
  <c r="EC648"/>
  <c r="ED648"/>
  <c r="EE648"/>
  <c r="EF648"/>
  <c r="EG648"/>
  <c r="EH648"/>
  <c r="EI648"/>
  <c r="EJ648"/>
  <c r="EK648"/>
  <c r="EL648"/>
  <c r="EM648"/>
  <c r="EN648"/>
  <c r="EO648"/>
  <c r="EP648"/>
  <c r="EQ648"/>
  <c r="ER648"/>
  <c r="ES648"/>
  <c r="ET648"/>
  <c r="EU648"/>
  <c r="EV648"/>
  <c r="EW648"/>
  <c r="EX648"/>
  <c r="EY648"/>
  <c r="EZ648"/>
  <c r="FA648"/>
  <c r="FB648"/>
  <c r="FC648"/>
  <c r="FD648"/>
  <c r="FE648"/>
  <c r="FF648"/>
  <c r="FG648"/>
  <c r="FH648"/>
  <c r="FI648"/>
  <c r="FJ648"/>
  <c r="FK648"/>
  <c r="FL648"/>
  <c r="FM648"/>
  <c r="FN648"/>
  <c r="FO648"/>
  <c r="FP648"/>
  <c r="FQ648"/>
  <c r="FR648"/>
  <c r="FS648"/>
  <c r="FT648"/>
  <c r="FU648"/>
  <c r="FV648"/>
  <c r="FW648"/>
  <c r="FX648"/>
  <c r="FY648"/>
  <c r="FZ648"/>
  <c r="GA648"/>
  <c r="GB648"/>
  <c r="GC648"/>
  <c r="GD648"/>
  <c r="GE648"/>
  <c r="GF648"/>
  <c r="GG648"/>
  <c r="GH648"/>
  <c r="GI648"/>
  <c r="GJ648"/>
  <c r="GK648"/>
  <c r="GL648"/>
  <c r="GM648"/>
  <c r="GN648"/>
  <c r="GO648"/>
  <c r="GP648"/>
  <c r="GQ648"/>
  <c r="GR648"/>
  <c r="R649"/>
  <c r="S649"/>
  <c r="T649"/>
  <c r="U649"/>
  <c r="V649"/>
  <c r="W649"/>
  <c r="X649"/>
  <c r="Y649"/>
  <c r="Z649"/>
  <c r="I649"/>
  <c r="AA649"/>
  <c r="AB649"/>
  <c r="J649"/>
  <c r="AC649"/>
  <c r="AD649"/>
  <c r="AE649"/>
  <c r="AF649"/>
  <c r="AG649"/>
  <c r="AH649"/>
  <c r="AI649"/>
  <c r="AJ649"/>
  <c r="AK649"/>
  <c r="AL649"/>
  <c r="AM649"/>
  <c r="AN649"/>
  <c r="AO649"/>
  <c r="AP649"/>
  <c r="AQ649"/>
  <c r="AR649"/>
  <c r="AS649"/>
  <c r="AT649"/>
  <c r="AU649"/>
  <c r="AV649"/>
  <c r="AW649"/>
  <c r="AX649"/>
  <c r="AY649"/>
  <c r="AZ649"/>
  <c r="BA649"/>
  <c r="BB649"/>
  <c r="BC649"/>
  <c r="BD649"/>
  <c r="BE649"/>
  <c r="BF649"/>
  <c r="BG649"/>
  <c r="BH649"/>
  <c r="BI649"/>
  <c r="BJ649"/>
  <c r="BK649"/>
  <c r="BL649"/>
  <c r="BM649"/>
  <c r="BN649"/>
  <c r="BO649"/>
  <c r="BP649"/>
  <c r="BQ649"/>
  <c r="BR649"/>
  <c r="BS649"/>
  <c r="BT649"/>
  <c r="BU649"/>
  <c r="BV649"/>
  <c r="BW649"/>
  <c r="BX649"/>
  <c r="BY649"/>
  <c r="BZ649"/>
  <c r="CQ649"/>
  <c r="CR649"/>
  <c r="CS649"/>
  <c r="CT649"/>
  <c r="CU649"/>
  <c r="CV649"/>
  <c r="CW649"/>
  <c r="CX649"/>
  <c r="CY649"/>
  <c r="CZ649"/>
  <c r="DA649"/>
  <c r="DB649"/>
  <c r="DC649"/>
  <c r="DD649"/>
  <c r="DE649"/>
  <c r="DF649"/>
  <c r="DG649"/>
  <c r="DH649"/>
  <c r="DI649"/>
  <c r="DJ649"/>
  <c r="DK649"/>
  <c r="DL649"/>
  <c r="DM649"/>
  <c r="DN649"/>
  <c r="DO649"/>
  <c r="DP649"/>
  <c r="DQ649"/>
  <c r="DR649"/>
  <c r="DS649"/>
  <c r="DT649"/>
  <c r="DU649"/>
  <c r="DV649"/>
  <c r="DW649"/>
  <c r="DX649"/>
  <c r="EA649"/>
  <c r="EB649"/>
  <c r="EC649"/>
  <c r="ED649"/>
  <c r="EE649"/>
  <c r="EF649"/>
  <c r="EG649"/>
  <c r="EH649"/>
  <c r="EI649"/>
  <c r="EJ649"/>
  <c r="EK649"/>
  <c r="EL649"/>
  <c r="EM649"/>
  <c r="EN649"/>
  <c r="EO649"/>
  <c r="EP649"/>
  <c r="EQ649"/>
  <c r="ER649"/>
  <c r="ES649"/>
  <c r="ET649"/>
  <c r="EU649"/>
  <c r="EV649"/>
  <c r="EW649"/>
  <c r="EX649"/>
  <c r="EY649"/>
  <c r="EZ649"/>
  <c r="FA649"/>
  <c r="FB649"/>
  <c r="FC649"/>
  <c r="FD649"/>
  <c r="FE649"/>
  <c r="FF649"/>
  <c r="FG649"/>
  <c r="FH649"/>
  <c r="FI649"/>
  <c r="FJ649"/>
  <c r="FK649"/>
  <c r="FL649"/>
  <c r="FM649"/>
  <c r="FN649"/>
  <c r="FO649"/>
  <c r="FP649"/>
  <c r="FQ649"/>
  <c r="FR649"/>
  <c r="FS649"/>
  <c r="FT649"/>
  <c r="FU649"/>
  <c r="FV649"/>
  <c r="FW649"/>
  <c r="FX649"/>
  <c r="FY649"/>
  <c r="FZ649"/>
  <c r="GA649"/>
  <c r="GB649"/>
  <c r="GC649"/>
  <c r="GD649"/>
  <c r="GE649"/>
  <c r="GF649"/>
  <c r="GG649"/>
  <c r="GH649"/>
  <c r="GI649"/>
  <c r="GJ649"/>
  <c r="GK649"/>
  <c r="GL649"/>
  <c r="GM649"/>
  <c r="GN649"/>
  <c r="GO649"/>
  <c r="GP649"/>
  <c r="GQ649"/>
  <c r="GR649"/>
  <c r="R650"/>
  <c r="S650"/>
  <c r="T650"/>
  <c r="U650"/>
  <c r="V650"/>
  <c r="W650"/>
  <c r="X650"/>
  <c r="Y650"/>
  <c r="Z650"/>
  <c r="I650"/>
  <c r="AA650"/>
  <c r="AB650"/>
  <c r="J650"/>
  <c r="AC650"/>
  <c r="AD650"/>
  <c r="AE650"/>
  <c r="AF650"/>
  <c r="AG650"/>
  <c r="AH650"/>
  <c r="AI650"/>
  <c r="AJ650"/>
  <c r="AK650"/>
  <c r="AL650"/>
  <c r="AM650"/>
  <c r="AN650"/>
  <c r="AO650"/>
  <c r="AP650"/>
  <c r="AQ650"/>
  <c r="AR650"/>
  <c r="AS650"/>
  <c r="AT650"/>
  <c r="AU650"/>
  <c r="AV650"/>
  <c r="AW650"/>
  <c r="AX650"/>
  <c r="AY650"/>
  <c r="AZ650"/>
  <c r="BA650"/>
  <c r="BB650"/>
  <c r="BC650"/>
  <c r="BD650"/>
  <c r="BE650"/>
  <c r="BF650"/>
  <c r="BG650"/>
  <c r="BH650"/>
  <c r="BI650"/>
  <c r="BJ650"/>
  <c r="BK650"/>
  <c r="BL650"/>
  <c r="BM650"/>
  <c r="BN650"/>
  <c r="BO650"/>
  <c r="BP650"/>
  <c r="BQ650"/>
  <c r="BR650"/>
  <c r="BS650"/>
  <c r="BT650"/>
  <c r="BU650"/>
  <c r="BV650"/>
  <c r="BW650"/>
  <c r="BX650"/>
  <c r="BY650"/>
  <c r="BZ650"/>
  <c r="CQ650"/>
  <c r="CR650"/>
  <c r="CS650"/>
  <c r="CT650"/>
  <c r="CU650"/>
  <c r="CV650"/>
  <c r="CW650"/>
  <c r="CX650"/>
  <c r="CY650"/>
  <c r="CZ650"/>
  <c r="DA650"/>
  <c r="DB650"/>
  <c r="DC650"/>
  <c r="DD650"/>
  <c r="DE650"/>
  <c r="DF650"/>
  <c r="DG650"/>
  <c r="DH650"/>
  <c r="DI650"/>
  <c r="DJ650"/>
  <c r="DK650"/>
  <c r="DL650"/>
  <c r="DM650"/>
  <c r="DN650"/>
  <c r="DO650"/>
  <c r="DP650"/>
  <c r="DQ650"/>
  <c r="DR650"/>
  <c r="DS650"/>
  <c r="DT650"/>
  <c r="DU650"/>
  <c r="DV650"/>
  <c r="DW650"/>
  <c r="DX650"/>
  <c r="EA650"/>
  <c r="EB650"/>
  <c r="EC650"/>
  <c r="ED650"/>
  <c r="EE650"/>
  <c r="EF650"/>
  <c r="EG650"/>
  <c r="EH650"/>
  <c r="EI650"/>
  <c r="EJ650"/>
  <c r="EK650"/>
  <c r="EL650"/>
  <c r="EM650"/>
  <c r="EN650"/>
  <c r="EO650"/>
  <c r="EP650"/>
  <c r="EQ650"/>
  <c r="ER650"/>
  <c r="ES650"/>
  <c r="ET650"/>
  <c r="EU650"/>
  <c r="EV650"/>
  <c r="EW650"/>
  <c r="EX650"/>
  <c r="EY650"/>
  <c r="EZ650"/>
  <c r="FA650"/>
  <c r="FB650"/>
  <c r="FC650"/>
  <c r="FD650"/>
  <c r="FE650"/>
  <c r="FF650"/>
  <c r="FG650"/>
  <c r="FH650"/>
  <c r="FI650"/>
  <c r="FJ650"/>
  <c r="FK650"/>
  <c r="FL650"/>
  <c r="FM650"/>
  <c r="FN650"/>
  <c r="FO650"/>
  <c r="FP650"/>
  <c r="FQ650"/>
  <c r="FR650"/>
  <c r="FS650"/>
  <c r="FT650"/>
  <c r="FU650"/>
  <c r="FV650"/>
  <c r="FW650"/>
  <c r="FX650"/>
  <c r="FY650"/>
  <c r="FZ650"/>
  <c r="GA650"/>
  <c r="GB650"/>
  <c r="GC650"/>
  <c r="GD650"/>
  <c r="GE650"/>
  <c r="GF650"/>
  <c r="GG650"/>
  <c r="GH650"/>
  <c r="GI650"/>
  <c r="GJ650"/>
  <c r="GK650"/>
  <c r="GL650"/>
  <c r="GM650"/>
  <c r="GN650"/>
  <c r="GO650"/>
  <c r="GP650"/>
  <c r="GQ650"/>
  <c r="GR650"/>
  <c r="R651"/>
  <c r="S651"/>
  <c r="T651"/>
  <c r="U651"/>
  <c r="V651"/>
  <c r="W651"/>
  <c r="X651"/>
  <c r="Y651"/>
  <c r="Z651"/>
  <c r="I651"/>
  <c r="AA651"/>
  <c r="AB651"/>
  <c r="J651"/>
  <c r="AC651"/>
  <c r="AD651"/>
  <c r="AE651"/>
  <c r="AF651"/>
  <c r="AG651"/>
  <c r="AH651"/>
  <c r="AI651"/>
  <c r="AJ651"/>
  <c r="AK651"/>
  <c r="AL651"/>
  <c r="AM651"/>
  <c r="AN651"/>
  <c r="AO651"/>
  <c r="AP651"/>
  <c r="AQ651"/>
  <c r="AR651"/>
  <c r="AS651"/>
  <c r="AT651"/>
  <c r="AU651"/>
  <c r="AV651"/>
  <c r="AW651"/>
  <c r="AX651"/>
  <c r="AY651"/>
  <c r="AZ651"/>
  <c r="BA651"/>
  <c r="BB651"/>
  <c r="BC651"/>
  <c r="BD651"/>
  <c r="BE651"/>
  <c r="BF651"/>
  <c r="BG651"/>
  <c r="BH651"/>
  <c r="BI651"/>
  <c r="BJ651"/>
  <c r="BK651"/>
  <c r="BL651"/>
  <c r="BM651"/>
  <c r="BN651"/>
  <c r="BO651"/>
  <c r="BP651"/>
  <c r="BQ651"/>
  <c r="BR651"/>
  <c r="BS651"/>
  <c r="BT651"/>
  <c r="BU651"/>
  <c r="BV651"/>
  <c r="BW651"/>
  <c r="BX651"/>
  <c r="BY651"/>
  <c r="BZ651"/>
  <c r="CQ651"/>
  <c r="CR651"/>
  <c r="CS651"/>
  <c r="CT651"/>
  <c r="CU651"/>
  <c r="CV651"/>
  <c r="CW651"/>
  <c r="CX651"/>
  <c r="CY651"/>
  <c r="CZ651"/>
  <c r="DA651"/>
  <c r="DB651"/>
  <c r="DC651"/>
  <c r="DD651"/>
  <c r="DE651"/>
  <c r="DF651"/>
  <c r="DG651"/>
  <c r="DH651"/>
  <c r="DI651"/>
  <c r="DJ651"/>
  <c r="DK651"/>
  <c r="DL651"/>
  <c r="DM651"/>
  <c r="DN651"/>
  <c r="DO651"/>
  <c r="DP651"/>
  <c r="DQ651"/>
  <c r="DR651"/>
  <c r="DS651"/>
  <c r="DT651"/>
  <c r="DU651"/>
  <c r="DV651"/>
  <c r="DW651"/>
  <c r="DX651"/>
  <c r="EA651"/>
  <c r="EB651"/>
  <c r="EC651"/>
  <c r="ED651"/>
  <c r="EE651"/>
  <c r="EF651"/>
  <c r="EG651"/>
  <c r="EH651"/>
  <c r="EI651"/>
  <c r="EJ651"/>
  <c r="EK651"/>
  <c r="EL651"/>
  <c r="EM651"/>
  <c r="EN651"/>
  <c r="EO651"/>
  <c r="EP651"/>
  <c r="EQ651"/>
  <c r="ER651"/>
  <c r="ES651"/>
  <c r="ET651"/>
  <c r="EU651"/>
  <c r="EV651"/>
  <c r="EW651"/>
  <c r="EX651"/>
  <c r="EY651"/>
  <c r="EZ651"/>
  <c r="FA651"/>
  <c r="FB651"/>
  <c r="FC651"/>
  <c r="FD651"/>
  <c r="FE651"/>
  <c r="FF651"/>
  <c r="FG651"/>
  <c r="FH651"/>
  <c r="FI651"/>
  <c r="FJ651"/>
  <c r="FK651"/>
  <c r="FL651"/>
  <c r="FM651"/>
  <c r="FN651"/>
  <c r="FO651"/>
  <c r="FP651"/>
  <c r="FQ651"/>
  <c r="FR651"/>
  <c r="FS651"/>
  <c r="FT651"/>
  <c r="FU651"/>
  <c r="FV651"/>
  <c r="FW651"/>
  <c r="FX651"/>
  <c r="FY651"/>
  <c r="FZ651"/>
  <c r="GA651"/>
  <c r="GB651"/>
  <c r="GC651"/>
  <c r="GD651"/>
  <c r="GE651"/>
  <c r="GF651"/>
  <c r="GG651"/>
  <c r="GH651"/>
  <c r="GI651"/>
  <c r="GJ651"/>
  <c r="GK651"/>
  <c r="GL651"/>
  <c r="GM651"/>
  <c r="GN651"/>
  <c r="GO651"/>
  <c r="GP651"/>
  <c r="GQ651"/>
  <c r="GR651"/>
  <c r="R652"/>
  <c r="S652"/>
  <c r="T652"/>
  <c r="U652"/>
  <c r="V652"/>
  <c r="W652"/>
  <c r="X652"/>
  <c r="Y652"/>
  <c r="Z652"/>
  <c r="I652"/>
  <c r="AA652"/>
  <c r="AB652"/>
  <c r="J652"/>
  <c r="AC652"/>
  <c r="AD652"/>
  <c r="AE652"/>
  <c r="AF652"/>
  <c r="AG652"/>
  <c r="AH652"/>
  <c r="AI652"/>
  <c r="AJ652"/>
  <c r="AK652"/>
  <c r="AL652"/>
  <c r="AM652"/>
  <c r="AN652"/>
  <c r="AO652"/>
  <c r="AP652"/>
  <c r="AQ652"/>
  <c r="AR652"/>
  <c r="AS652"/>
  <c r="AT652"/>
  <c r="AU652"/>
  <c r="AV652"/>
  <c r="AW652"/>
  <c r="AX652"/>
  <c r="AY652"/>
  <c r="AZ652"/>
  <c r="BA652"/>
  <c r="BB652"/>
  <c r="BC652"/>
  <c r="BD652"/>
  <c r="BE652"/>
  <c r="BF652"/>
  <c r="BG652"/>
  <c r="BH652"/>
  <c r="BI652"/>
  <c r="BJ652"/>
  <c r="BK652"/>
  <c r="BL652"/>
  <c r="BM652"/>
  <c r="BN652"/>
  <c r="BO652"/>
  <c r="BP652"/>
  <c r="BQ652"/>
  <c r="BR652"/>
  <c r="BS652"/>
  <c r="BT652"/>
  <c r="BU652"/>
  <c r="BV652"/>
  <c r="BW652"/>
  <c r="BX652"/>
  <c r="BY652"/>
  <c r="BZ652"/>
  <c r="CQ652"/>
  <c r="CR652"/>
  <c r="CS652"/>
  <c r="CT652"/>
  <c r="CU652"/>
  <c r="CV652"/>
  <c r="CW652"/>
  <c r="CX652"/>
  <c r="CY652"/>
  <c r="CZ652"/>
  <c r="DA652"/>
  <c r="DB652"/>
  <c r="DC652"/>
  <c r="DD652"/>
  <c r="DE652"/>
  <c r="DF652"/>
  <c r="DG652"/>
  <c r="DH652"/>
  <c r="DI652"/>
  <c r="DJ652"/>
  <c r="DK652"/>
  <c r="DL652"/>
  <c r="DM652"/>
  <c r="DN652"/>
  <c r="DO652"/>
  <c r="DP652"/>
  <c r="DQ652"/>
  <c r="DR652"/>
  <c r="DS652"/>
  <c r="DT652"/>
  <c r="DU652"/>
  <c r="DV652"/>
  <c r="DW652"/>
  <c r="DX652"/>
  <c r="EA652"/>
  <c r="EB652"/>
  <c r="EC652"/>
  <c r="ED652"/>
  <c r="EE652"/>
  <c r="EF652"/>
  <c r="EG652"/>
  <c r="EH652"/>
  <c r="EI652"/>
  <c r="EJ652"/>
  <c r="EK652"/>
  <c r="EL652"/>
  <c r="EM652"/>
  <c r="EN652"/>
  <c r="EO652"/>
  <c r="EP652"/>
  <c r="EQ652"/>
  <c r="ER652"/>
  <c r="ES652"/>
  <c r="ET652"/>
  <c r="EU652"/>
  <c r="EV652"/>
  <c r="EW652"/>
  <c r="EX652"/>
  <c r="EY652"/>
  <c r="EZ652"/>
  <c r="FA652"/>
  <c r="FB652"/>
  <c r="FC652"/>
  <c r="FD652"/>
  <c r="FE652"/>
  <c r="FF652"/>
  <c r="FG652"/>
  <c r="FH652"/>
  <c r="FI652"/>
  <c r="FJ652"/>
  <c r="FK652"/>
  <c r="FL652"/>
  <c r="FM652"/>
  <c r="FN652"/>
  <c r="FO652"/>
  <c r="FP652"/>
  <c r="FQ652"/>
  <c r="FR652"/>
  <c r="FS652"/>
  <c r="FT652"/>
  <c r="FU652"/>
  <c r="FV652"/>
  <c r="FW652"/>
  <c r="FX652"/>
  <c r="FY652"/>
  <c r="FZ652"/>
  <c r="GA652"/>
  <c r="GB652"/>
  <c r="GC652"/>
  <c r="GD652"/>
  <c r="GE652"/>
  <c r="GF652"/>
  <c r="GG652"/>
  <c r="GH652"/>
  <c r="GI652"/>
  <c r="GJ652"/>
  <c r="GK652"/>
  <c r="GL652"/>
  <c r="GM652"/>
  <c r="GN652"/>
  <c r="GO652"/>
  <c r="GP652"/>
  <c r="GQ652"/>
  <c r="GR652"/>
  <c r="R653"/>
  <c r="S653"/>
  <c r="T653"/>
  <c r="U653"/>
  <c r="V653"/>
  <c r="W653"/>
  <c r="X653"/>
  <c r="Y653"/>
  <c r="Z653"/>
  <c r="I653"/>
  <c r="AA653"/>
  <c r="AB653"/>
  <c r="J653"/>
  <c r="AC653"/>
  <c r="AD653"/>
  <c r="AE653"/>
  <c r="AF653"/>
  <c r="AG653"/>
  <c r="AH653"/>
  <c r="AI653"/>
  <c r="AJ653"/>
  <c r="AK653"/>
  <c r="AL653"/>
  <c r="AM653"/>
  <c r="AN653"/>
  <c r="AO653"/>
  <c r="AP653"/>
  <c r="AQ653"/>
  <c r="AR653"/>
  <c r="AS653"/>
  <c r="AT653"/>
  <c r="AU653"/>
  <c r="AV653"/>
  <c r="AW653"/>
  <c r="AX653"/>
  <c r="AY653"/>
  <c r="AZ653"/>
  <c r="BA653"/>
  <c r="BB653"/>
  <c r="BC653"/>
  <c r="BD653"/>
  <c r="BE653"/>
  <c r="BF653"/>
  <c r="BG653"/>
  <c r="BH653"/>
  <c r="BI653"/>
  <c r="BJ653"/>
  <c r="BK653"/>
  <c r="BL653"/>
  <c r="BM653"/>
  <c r="BN653"/>
  <c r="BO653"/>
  <c r="BP653"/>
  <c r="BQ653"/>
  <c r="BR653"/>
  <c r="BS653"/>
  <c r="BT653"/>
  <c r="BU653"/>
  <c r="BV653"/>
  <c r="BW653"/>
  <c r="BX653"/>
  <c r="BY653"/>
  <c r="BZ653"/>
  <c r="CQ653"/>
  <c r="CR653"/>
  <c r="CS653"/>
  <c r="CT653"/>
  <c r="CU653"/>
  <c r="CV653"/>
  <c r="CW653"/>
  <c r="CX653"/>
  <c r="CY653"/>
  <c r="CZ653"/>
  <c r="DA653"/>
  <c r="DB653"/>
  <c r="DC653"/>
  <c r="DD653"/>
  <c r="DE653"/>
  <c r="DF653"/>
  <c r="DG653"/>
  <c r="DH653"/>
  <c r="DI653"/>
  <c r="DJ653"/>
  <c r="DK653"/>
  <c r="DL653"/>
  <c r="DM653"/>
  <c r="DN653"/>
  <c r="DO653"/>
  <c r="DP653"/>
  <c r="DQ653"/>
  <c r="DR653"/>
  <c r="DS653"/>
  <c r="DT653"/>
  <c r="DU653"/>
  <c r="DV653"/>
  <c r="DW653"/>
  <c r="DX653"/>
  <c r="EA653"/>
  <c r="EB653"/>
  <c r="EC653"/>
  <c r="ED653"/>
  <c r="EE653"/>
  <c r="EF653"/>
  <c r="EG653"/>
  <c r="EH653"/>
  <c r="EI653"/>
  <c r="EJ653"/>
  <c r="EK653"/>
  <c r="EL653"/>
  <c r="EM653"/>
  <c r="EN653"/>
  <c r="EO653"/>
  <c r="EP653"/>
  <c r="EQ653"/>
  <c r="ER653"/>
  <c r="ES653"/>
  <c r="ET653"/>
  <c r="EU653"/>
  <c r="EV653"/>
  <c r="EW653"/>
  <c r="EX653"/>
  <c r="EY653"/>
  <c r="EZ653"/>
  <c r="FA653"/>
  <c r="FB653"/>
  <c r="FC653"/>
  <c r="FD653"/>
  <c r="FE653"/>
  <c r="FF653"/>
  <c r="FG653"/>
  <c r="FH653"/>
  <c r="FI653"/>
  <c r="FJ653"/>
  <c r="FK653"/>
  <c r="FL653"/>
  <c r="FM653"/>
  <c r="FN653"/>
  <c r="FO653"/>
  <c r="FP653"/>
  <c r="FQ653"/>
  <c r="FR653"/>
  <c r="FS653"/>
  <c r="FT653"/>
  <c r="FU653"/>
  <c r="FV653"/>
  <c r="FW653"/>
  <c r="FX653"/>
  <c r="FY653"/>
  <c r="FZ653"/>
  <c r="GA653"/>
  <c r="GB653"/>
  <c r="GC653"/>
  <c r="GD653"/>
  <c r="GE653"/>
  <c r="GF653"/>
  <c r="GG653"/>
  <c r="GH653"/>
  <c r="GI653"/>
  <c r="GJ653"/>
  <c r="GK653"/>
  <c r="GL653"/>
  <c r="GM653"/>
  <c r="GN653"/>
  <c r="GO653"/>
  <c r="GP653"/>
  <c r="GQ653"/>
  <c r="GR653"/>
  <c r="R654"/>
  <c r="S654"/>
  <c r="T654"/>
  <c r="U654"/>
  <c r="V654"/>
  <c r="W654"/>
  <c r="X654"/>
  <c r="Y654"/>
  <c r="Z654"/>
  <c r="I654"/>
  <c r="AA654"/>
  <c r="AB654"/>
  <c r="J654"/>
  <c r="AC654"/>
  <c r="AD654"/>
  <c r="AE654"/>
  <c r="AF654"/>
  <c r="AG654"/>
  <c r="AH654"/>
  <c r="AI654"/>
  <c r="AJ654"/>
  <c r="AK654"/>
  <c r="AL654"/>
  <c r="AM654"/>
  <c r="AN654"/>
  <c r="AO654"/>
  <c r="AP654"/>
  <c r="AQ654"/>
  <c r="AR654"/>
  <c r="AS654"/>
  <c r="AT654"/>
  <c r="AU654"/>
  <c r="AV654"/>
  <c r="AW654"/>
  <c r="AX654"/>
  <c r="AY654"/>
  <c r="AZ654"/>
  <c r="BA654"/>
  <c r="BB654"/>
  <c r="BC654"/>
  <c r="BD654"/>
  <c r="BE654"/>
  <c r="BF654"/>
  <c r="BG654"/>
  <c r="BH654"/>
  <c r="BI654"/>
  <c r="BJ654"/>
  <c r="BK654"/>
  <c r="BL654"/>
  <c r="BM654"/>
  <c r="BN654"/>
  <c r="BO654"/>
  <c r="BP654"/>
  <c r="BQ654"/>
  <c r="BR654"/>
  <c r="BS654"/>
  <c r="BT654"/>
  <c r="BU654"/>
  <c r="BV654"/>
  <c r="BW654"/>
  <c r="BX654"/>
  <c r="BY654"/>
  <c r="BZ654"/>
  <c r="CQ654"/>
  <c r="CR654"/>
  <c r="CS654"/>
  <c r="CT654"/>
  <c r="CU654"/>
  <c r="CV654"/>
  <c r="CW654"/>
  <c r="CX654"/>
  <c r="CY654"/>
  <c r="CZ654"/>
  <c r="DA654"/>
  <c r="DB654"/>
  <c r="DC654"/>
  <c r="DD654"/>
  <c r="DE654"/>
  <c r="DF654"/>
  <c r="DG654"/>
  <c r="DH654"/>
  <c r="DI654"/>
  <c r="DJ654"/>
  <c r="DK654"/>
  <c r="DL654"/>
  <c r="DM654"/>
  <c r="DN654"/>
  <c r="DO654"/>
  <c r="DP654"/>
  <c r="DQ654"/>
  <c r="DR654"/>
  <c r="DS654"/>
  <c r="DT654"/>
  <c r="DU654"/>
  <c r="DV654"/>
  <c r="DW654"/>
  <c r="DX654"/>
  <c r="EA654"/>
  <c r="EB654"/>
  <c r="EC654"/>
  <c r="ED654"/>
  <c r="EE654"/>
  <c r="EF654"/>
  <c r="EG654"/>
  <c r="EH654"/>
  <c r="EI654"/>
  <c r="EJ654"/>
  <c r="EK654"/>
  <c r="EL654"/>
  <c r="EM654"/>
  <c r="EN654"/>
  <c r="EO654"/>
  <c r="EP654"/>
  <c r="EQ654"/>
  <c r="ER654"/>
  <c r="ES654"/>
  <c r="ET654"/>
  <c r="EU654"/>
  <c r="EV654"/>
  <c r="EW654"/>
  <c r="EX654"/>
  <c r="EY654"/>
  <c r="EZ654"/>
  <c r="FA654"/>
  <c r="FB654"/>
  <c r="FC654"/>
  <c r="FD654"/>
  <c r="FE654"/>
  <c r="FF654"/>
  <c r="FG654"/>
  <c r="FH654"/>
  <c r="FI654"/>
  <c r="FJ654"/>
  <c r="FK654"/>
  <c r="FL654"/>
  <c r="FM654"/>
  <c r="FN654"/>
  <c r="FO654"/>
  <c r="FP654"/>
  <c r="FQ654"/>
  <c r="FR654"/>
  <c r="FS654"/>
  <c r="FT654"/>
  <c r="FU654"/>
  <c r="FV654"/>
  <c r="FW654"/>
  <c r="FX654"/>
  <c r="FY654"/>
  <c r="FZ654"/>
  <c r="GA654"/>
  <c r="GB654"/>
  <c r="GC654"/>
  <c r="GD654"/>
  <c r="GE654"/>
  <c r="GF654"/>
  <c r="GG654"/>
  <c r="GH654"/>
  <c r="GI654"/>
  <c r="GJ654"/>
  <c r="GK654"/>
  <c r="GL654"/>
  <c r="GM654"/>
  <c r="GN654"/>
  <c r="GO654"/>
  <c r="GP654"/>
  <c r="GQ654"/>
  <c r="GR654"/>
  <c r="R655"/>
  <c r="S655"/>
  <c r="T655"/>
  <c r="U655"/>
  <c r="V655"/>
  <c r="W655"/>
  <c r="X655"/>
  <c r="Y655"/>
  <c r="Z655"/>
  <c r="I655"/>
  <c r="AA655"/>
  <c r="AB655"/>
  <c r="J655"/>
  <c r="AC655"/>
  <c r="AD655"/>
  <c r="AE655"/>
  <c r="AF655"/>
  <c r="AG655"/>
  <c r="AH655"/>
  <c r="AI655"/>
  <c r="AJ655"/>
  <c r="AK655"/>
  <c r="AL655"/>
  <c r="AM655"/>
  <c r="AN655"/>
  <c r="AO655"/>
  <c r="AP655"/>
  <c r="AQ655"/>
  <c r="AR655"/>
  <c r="AS655"/>
  <c r="AT655"/>
  <c r="AU655"/>
  <c r="AV655"/>
  <c r="AW655"/>
  <c r="AX655"/>
  <c r="AY655"/>
  <c r="AZ655"/>
  <c r="BA655"/>
  <c r="BB655"/>
  <c r="BC655"/>
  <c r="BD655"/>
  <c r="BE655"/>
  <c r="BF655"/>
  <c r="BG655"/>
  <c r="BH655"/>
  <c r="BI655"/>
  <c r="BJ655"/>
  <c r="BK655"/>
  <c r="BL655"/>
  <c r="BM655"/>
  <c r="BN655"/>
  <c r="BO655"/>
  <c r="BP655"/>
  <c r="BQ655"/>
  <c r="BR655"/>
  <c r="BS655"/>
  <c r="BT655"/>
  <c r="BU655"/>
  <c r="BV655"/>
  <c r="BW655"/>
  <c r="BX655"/>
  <c r="BY655"/>
  <c r="BZ655"/>
  <c r="CQ655"/>
  <c r="CR655"/>
  <c r="CS655"/>
  <c r="CT655"/>
  <c r="CU655"/>
  <c r="CV655"/>
  <c r="CW655"/>
  <c r="CX655"/>
  <c r="CY655"/>
  <c r="CZ655"/>
  <c r="DA655"/>
  <c r="DB655"/>
  <c r="DC655"/>
  <c r="DD655"/>
  <c r="DE655"/>
  <c r="DF655"/>
  <c r="DG655"/>
  <c r="DH655"/>
  <c r="DI655"/>
  <c r="DJ655"/>
  <c r="DK655"/>
  <c r="DL655"/>
  <c r="DM655"/>
  <c r="DN655"/>
  <c r="DO655"/>
  <c r="DP655"/>
  <c r="DQ655"/>
  <c r="DR655"/>
  <c r="DS655"/>
  <c r="DT655"/>
  <c r="DU655"/>
  <c r="DV655"/>
  <c r="DW655"/>
  <c r="DX655"/>
  <c r="EA655"/>
  <c r="EB655"/>
  <c r="EC655"/>
  <c r="ED655"/>
  <c r="EE655"/>
  <c r="EF655"/>
  <c r="EG655"/>
  <c r="EH655"/>
  <c r="EI655"/>
  <c r="EJ655"/>
  <c r="EK655"/>
  <c r="EL655"/>
  <c r="EM655"/>
  <c r="EN655"/>
  <c r="EO655"/>
  <c r="EP655"/>
  <c r="EQ655"/>
  <c r="ER655"/>
  <c r="ES655"/>
  <c r="ET655"/>
  <c r="EU655"/>
  <c r="EV655"/>
  <c r="EW655"/>
  <c r="EX655"/>
  <c r="EY655"/>
  <c r="EZ655"/>
  <c r="FA655"/>
  <c r="FB655"/>
  <c r="FC655"/>
  <c r="FD655"/>
  <c r="FE655"/>
  <c r="FF655"/>
  <c r="FG655"/>
  <c r="FH655"/>
  <c r="FI655"/>
  <c r="FJ655"/>
  <c r="FK655"/>
  <c r="FL655"/>
  <c r="FM655"/>
  <c r="FN655"/>
  <c r="FO655"/>
  <c r="FP655"/>
  <c r="FQ655"/>
  <c r="FR655"/>
  <c r="FS655"/>
  <c r="FT655"/>
  <c r="FU655"/>
  <c r="FV655"/>
  <c r="FW655"/>
  <c r="FX655"/>
  <c r="FY655"/>
  <c r="FZ655"/>
  <c r="GA655"/>
  <c r="GB655"/>
  <c r="GC655"/>
  <c r="GD655"/>
  <c r="GE655"/>
  <c r="GF655"/>
  <c r="GG655"/>
  <c r="GH655"/>
  <c r="GI655"/>
  <c r="GJ655"/>
  <c r="GK655"/>
  <c r="GL655"/>
  <c r="GM655"/>
  <c r="GN655"/>
  <c r="GO655"/>
  <c r="GP655"/>
  <c r="GQ655"/>
  <c r="GR655"/>
  <c r="R656"/>
  <c r="S656"/>
  <c r="T656"/>
  <c r="U656"/>
  <c r="V656"/>
  <c r="W656"/>
  <c r="X656"/>
  <c r="Y656"/>
  <c r="Z656"/>
  <c r="I656"/>
  <c r="AA656"/>
  <c r="AB656"/>
  <c r="J656"/>
  <c r="AC656"/>
  <c r="AD656"/>
  <c r="AE656"/>
  <c r="AF656"/>
  <c r="AG656"/>
  <c r="AH656"/>
  <c r="AI656"/>
  <c r="AJ656"/>
  <c r="AK656"/>
  <c r="AL656"/>
  <c r="AM656"/>
  <c r="AN656"/>
  <c r="AO656"/>
  <c r="AP656"/>
  <c r="AQ656"/>
  <c r="AR656"/>
  <c r="AS656"/>
  <c r="AT656"/>
  <c r="AU656"/>
  <c r="AV656"/>
  <c r="AW656"/>
  <c r="AX656"/>
  <c r="AY656"/>
  <c r="AZ656"/>
  <c r="BA656"/>
  <c r="BB656"/>
  <c r="BC656"/>
  <c r="BD656"/>
  <c r="BE656"/>
  <c r="BF656"/>
  <c r="BG656"/>
  <c r="BH656"/>
  <c r="BI656"/>
  <c r="BJ656"/>
  <c r="BK656"/>
  <c r="BL656"/>
  <c r="BM656"/>
  <c r="BN656"/>
  <c r="BO656"/>
  <c r="BP656"/>
  <c r="BQ656"/>
  <c r="BR656"/>
  <c r="BS656"/>
  <c r="BT656"/>
  <c r="BU656"/>
  <c r="BV656"/>
  <c r="BW656"/>
  <c r="BX656"/>
  <c r="BY656"/>
  <c r="BZ656"/>
  <c r="CQ656"/>
  <c r="CR656"/>
  <c r="CS656"/>
  <c r="CT656"/>
  <c r="CU656"/>
  <c r="CV656"/>
  <c r="CW656"/>
  <c r="CX656"/>
  <c r="CY656"/>
  <c r="CZ656"/>
  <c r="DA656"/>
  <c r="DB656"/>
  <c r="DC656"/>
  <c r="DD656"/>
  <c r="DE656"/>
  <c r="DF656"/>
  <c r="DG656"/>
  <c r="DH656"/>
  <c r="DI656"/>
  <c r="DJ656"/>
  <c r="DK656"/>
  <c r="DL656"/>
  <c r="DM656"/>
  <c r="DN656"/>
  <c r="DO656"/>
  <c r="DP656"/>
  <c r="DQ656"/>
  <c r="DR656"/>
  <c r="DS656"/>
  <c r="DT656"/>
  <c r="DU656"/>
  <c r="DV656"/>
  <c r="DW656"/>
  <c r="DX656"/>
  <c r="EA656"/>
  <c r="EB656"/>
  <c r="EC656"/>
  <c r="ED656"/>
  <c r="EE656"/>
  <c r="EF656"/>
  <c r="EG656"/>
  <c r="EH656"/>
  <c r="EI656"/>
  <c r="EJ656"/>
  <c r="EK656"/>
  <c r="EL656"/>
  <c r="EM656"/>
  <c r="EN656"/>
  <c r="EO656"/>
  <c r="EP656"/>
  <c r="EQ656"/>
  <c r="ER656"/>
  <c r="ES656"/>
  <c r="ET656"/>
  <c r="EU656"/>
  <c r="EV656"/>
  <c r="EW656"/>
  <c r="EX656"/>
  <c r="EY656"/>
  <c r="EZ656"/>
  <c r="FA656"/>
  <c r="FB656"/>
  <c r="FC656"/>
  <c r="FD656"/>
  <c r="FE656"/>
  <c r="FF656"/>
  <c r="FG656"/>
  <c r="FH656"/>
  <c r="FI656"/>
  <c r="FJ656"/>
  <c r="FK656"/>
  <c r="FL656"/>
  <c r="FM656"/>
  <c r="FN656"/>
  <c r="FO656"/>
  <c r="FP656"/>
  <c r="FQ656"/>
  <c r="FR656"/>
  <c r="FS656"/>
  <c r="FT656"/>
  <c r="FU656"/>
  <c r="FV656"/>
  <c r="FW656"/>
  <c r="FX656"/>
  <c r="FY656"/>
  <c r="FZ656"/>
  <c r="GA656"/>
  <c r="GB656"/>
  <c r="GC656"/>
  <c r="GD656"/>
  <c r="GE656"/>
  <c r="GF656"/>
  <c r="GG656"/>
  <c r="GH656"/>
  <c r="GI656"/>
  <c r="GJ656"/>
  <c r="GK656"/>
  <c r="GL656"/>
  <c r="GM656"/>
  <c r="GN656"/>
  <c r="GO656"/>
  <c r="GP656"/>
  <c r="GQ656"/>
  <c r="GR656"/>
  <c r="R657"/>
  <c r="S657"/>
  <c r="T657"/>
  <c r="U657"/>
  <c r="V657"/>
  <c r="W657"/>
  <c r="X657"/>
  <c r="Y657"/>
  <c r="Z657"/>
  <c r="I657"/>
  <c r="AA657"/>
  <c r="AB657"/>
  <c r="J657"/>
  <c r="AC657"/>
  <c r="AD657"/>
  <c r="AE657"/>
  <c r="AF657"/>
  <c r="AG657"/>
  <c r="AH657"/>
  <c r="AI657"/>
  <c r="AJ657"/>
  <c r="AK657"/>
  <c r="AL657"/>
  <c r="AM657"/>
  <c r="AN657"/>
  <c r="AO657"/>
  <c r="AP657"/>
  <c r="AQ657"/>
  <c r="AR657"/>
  <c r="AS657"/>
  <c r="AT657"/>
  <c r="AU657"/>
  <c r="AV657"/>
  <c r="AW657"/>
  <c r="AX657"/>
  <c r="AY657"/>
  <c r="AZ657"/>
  <c r="BA657"/>
  <c r="BB657"/>
  <c r="BC657"/>
  <c r="BD657"/>
  <c r="BE657"/>
  <c r="BF657"/>
  <c r="BG657"/>
  <c r="BH657"/>
  <c r="BI657"/>
  <c r="BJ657"/>
  <c r="BK657"/>
  <c r="BL657"/>
  <c r="BM657"/>
  <c r="BN657"/>
  <c r="BO657"/>
  <c r="BP657"/>
  <c r="BQ657"/>
  <c r="BR657"/>
  <c r="BS657"/>
  <c r="BT657"/>
  <c r="BU657"/>
  <c r="BV657"/>
  <c r="BW657"/>
  <c r="BX657"/>
  <c r="BY657"/>
  <c r="BZ657"/>
  <c r="CQ657"/>
  <c r="CR657"/>
  <c r="CS657"/>
  <c r="CT657"/>
  <c r="CU657"/>
  <c r="CV657"/>
  <c r="CW657"/>
  <c r="CX657"/>
  <c r="CY657"/>
  <c r="CZ657"/>
  <c r="DA657"/>
  <c r="DB657"/>
  <c r="DC657"/>
  <c r="DD657"/>
  <c r="DE657"/>
  <c r="DF657"/>
  <c r="DG657"/>
  <c r="DH657"/>
  <c r="DI657"/>
  <c r="DJ657"/>
  <c r="DK657"/>
  <c r="DL657"/>
  <c r="DM657"/>
  <c r="DN657"/>
  <c r="DO657"/>
  <c r="DP657"/>
  <c r="DQ657"/>
  <c r="DR657"/>
  <c r="DS657"/>
  <c r="DT657"/>
  <c r="DU657"/>
  <c r="DV657"/>
  <c r="DW657"/>
  <c r="DX657"/>
  <c r="EA657"/>
  <c r="EB657"/>
  <c r="EC657"/>
  <c r="ED657"/>
  <c r="EE657"/>
  <c r="EF657"/>
  <c r="EG657"/>
  <c r="EH657"/>
  <c r="EI657"/>
  <c r="EJ657"/>
  <c r="EK657"/>
  <c r="EL657"/>
  <c r="EM657"/>
  <c r="EN657"/>
  <c r="EO657"/>
  <c r="EP657"/>
  <c r="EQ657"/>
  <c r="ER657"/>
  <c r="ES657"/>
  <c r="ET657"/>
  <c r="EU657"/>
  <c r="EV657"/>
  <c r="EW657"/>
  <c r="EX657"/>
  <c r="EY657"/>
  <c r="EZ657"/>
  <c r="FA657"/>
  <c r="FB657"/>
  <c r="FC657"/>
  <c r="FD657"/>
  <c r="FE657"/>
  <c r="FF657"/>
  <c r="FG657"/>
  <c r="FH657"/>
  <c r="FI657"/>
  <c r="FJ657"/>
  <c r="FK657"/>
  <c r="FL657"/>
  <c r="FM657"/>
  <c r="FN657"/>
  <c r="FO657"/>
  <c r="FP657"/>
  <c r="FQ657"/>
  <c r="FR657"/>
  <c r="FS657"/>
  <c r="FT657"/>
  <c r="FU657"/>
  <c r="FV657"/>
  <c r="FW657"/>
  <c r="FX657"/>
  <c r="FY657"/>
  <c r="FZ657"/>
  <c r="GA657"/>
  <c r="GB657"/>
  <c r="GC657"/>
  <c r="GD657"/>
  <c r="GE657"/>
  <c r="GF657"/>
  <c r="GG657"/>
  <c r="GH657"/>
  <c r="GI657"/>
  <c r="GJ657"/>
  <c r="GK657"/>
  <c r="GL657"/>
  <c r="GM657"/>
  <c r="GN657"/>
  <c r="GO657"/>
  <c r="GP657"/>
  <c r="GQ657"/>
  <c r="GR657"/>
  <c r="R658"/>
  <c r="S658"/>
  <c r="T658"/>
  <c r="U658"/>
  <c r="V658"/>
  <c r="W658"/>
  <c r="X658"/>
  <c r="Y658"/>
  <c r="Z658"/>
  <c r="I658"/>
  <c r="AA658"/>
  <c r="AB658"/>
  <c r="J658"/>
  <c r="AC658"/>
  <c r="AD658"/>
  <c r="AE658"/>
  <c r="AF658"/>
  <c r="AG658"/>
  <c r="AH658"/>
  <c r="AI658"/>
  <c r="AJ658"/>
  <c r="AK658"/>
  <c r="AL658"/>
  <c r="AM658"/>
  <c r="AN658"/>
  <c r="AO658"/>
  <c r="AP658"/>
  <c r="AQ658"/>
  <c r="AR658"/>
  <c r="AS658"/>
  <c r="AT658"/>
  <c r="AU658"/>
  <c r="AV658"/>
  <c r="AW658"/>
  <c r="AX658"/>
  <c r="AY658"/>
  <c r="AZ658"/>
  <c r="BA658"/>
  <c r="BB658"/>
  <c r="BC658"/>
  <c r="BD658"/>
  <c r="BE658"/>
  <c r="BF658"/>
  <c r="BG658"/>
  <c r="BH658"/>
  <c r="BI658"/>
  <c r="BJ658"/>
  <c r="BK658"/>
  <c r="BL658"/>
  <c r="BM658"/>
  <c r="BN658"/>
  <c r="BO658"/>
  <c r="BP658"/>
  <c r="BQ658"/>
  <c r="BR658"/>
  <c r="BS658"/>
  <c r="BT658"/>
  <c r="BU658"/>
  <c r="BV658"/>
  <c r="BW658"/>
  <c r="BX658"/>
  <c r="BY658"/>
  <c r="BZ658"/>
  <c r="CQ658"/>
  <c r="CR658"/>
  <c r="CS658"/>
  <c r="CT658"/>
  <c r="CU658"/>
  <c r="CV658"/>
  <c r="CW658"/>
  <c r="CX658"/>
  <c r="CY658"/>
  <c r="CZ658"/>
  <c r="DA658"/>
  <c r="DB658"/>
  <c r="DC658"/>
  <c r="DD658"/>
  <c r="DE658"/>
  <c r="DF658"/>
  <c r="DG658"/>
  <c r="DH658"/>
  <c r="DI658"/>
  <c r="DJ658"/>
  <c r="DK658"/>
  <c r="DL658"/>
  <c r="DM658"/>
  <c r="DN658"/>
  <c r="DO658"/>
  <c r="DP658"/>
  <c r="DQ658"/>
  <c r="DR658"/>
  <c r="DS658"/>
  <c r="DT658"/>
  <c r="DU658"/>
  <c r="DV658"/>
  <c r="DW658"/>
  <c r="DX658"/>
  <c r="EA658"/>
  <c r="EB658"/>
  <c r="EC658"/>
  <c r="ED658"/>
  <c r="EE658"/>
  <c r="EF658"/>
  <c r="EG658"/>
  <c r="EH658"/>
  <c r="EI658"/>
  <c r="EJ658"/>
  <c r="EK658"/>
  <c r="EL658"/>
  <c r="EM658"/>
  <c r="EN658"/>
  <c r="EO658"/>
  <c r="EP658"/>
  <c r="EQ658"/>
  <c r="ER658"/>
  <c r="ES658"/>
  <c r="ET658"/>
  <c r="EU658"/>
  <c r="EV658"/>
  <c r="EW658"/>
  <c r="EX658"/>
  <c r="EY658"/>
  <c r="EZ658"/>
  <c r="FA658"/>
  <c r="FB658"/>
  <c r="FC658"/>
  <c r="FD658"/>
  <c r="FE658"/>
  <c r="FF658"/>
  <c r="FG658"/>
  <c r="FH658"/>
  <c r="FI658"/>
  <c r="FJ658"/>
  <c r="FK658"/>
  <c r="FL658"/>
  <c r="FM658"/>
  <c r="FN658"/>
  <c r="FO658"/>
  <c r="FP658"/>
  <c r="FQ658"/>
  <c r="FR658"/>
  <c r="FS658"/>
  <c r="FT658"/>
  <c r="FU658"/>
  <c r="FV658"/>
  <c r="FW658"/>
  <c r="FX658"/>
  <c r="FY658"/>
  <c r="FZ658"/>
  <c r="GA658"/>
  <c r="GB658"/>
  <c r="GC658"/>
  <c r="GD658"/>
  <c r="GE658"/>
  <c r="GF658"/>
  <c r="GG658"/>
  <c r="GH658"/>
  <c r="GI658"/>
  <c r="GJ658"/>
  <c r="GK658"/>
  <c r="GL658"/>
  <c r="GM658"/>
  <c r="GN658"/>
  <c r="GO658"/>
  <c r="GP658"/>
  <c r="GQ658"/>
  <c r="GR658"/>
  <c r="R659"/>
  <c r="S659"/>
  <c r="T659"/>
  <c r="U659"/>
  <c r="V659"/>
  <c r="W659"/>
  <c r="X659"/>
  <c r="Y659"/>
  <c r="Z659"/>
  <c r="I659"/>
  <c r="AA659"/>
  <c r="AB659"/>
  <c r="J659"/>
  <c r="AC659"/>
  <c r="AD659"/>
  <c r="AE659"/>
  <c r="AF659"/>
  <c r="AG659"/>
  <c r="AH659"/>
  <c r="AI659"/>
  <c r="AJ659"/>
  <c r="AK659"/>
  <c r="AL659"/>
  <c r="AM659"/>
  <c r="AN659"/>
  <c r="AO659"/>
  <c r="AP659"/>
  <c r="AQ659"/>
  <c r="AR659"/>
  <c r="AS659"/>
  <c r="AT659"/>
  <c r="AU659"/>
  <c r="AV659"/>
  <c r="AW659"/>
  <c r="AX659"/>
  <c r="AY659"/>
  <c r="AZ659"/>
  <c r="BA659"/>
  <c r="BB659"/>
  <c r="BC659"/>
  <c r="BD659"/>
  <c r="BE659"/>
  <c r="BF659"/>
  <c r="BG659"/>
  <c r="BH659"/>
  <c r="BI659"/>
  <c r="BJ659"/>
  <c r="BK659"/>
  <c r="BL659"/>
  <c r="BM659"/>
  <c r="BN659"/>
  <c r="BO659"/>
  <c r="BP659"/>
  <c r="BQ659"/>
  <c r="BR659"/>
  <c r="BS659"/>
  <c r="BT659"/>
  <c r="BU659"/>
  <c r="BV659"/>
  <c r="BW659"/>
  <c r="BX659"/>
  <c r="BY659"/>
  <c r="BZ659"/>
  <c r="CQ659"/>
  <c r="CR659"/>
  <c r="CS659"/>
  <c r="CT659"/>
  <c r="CU659"/>
  <c r="CV659"/>
  <c r="CW659"/>
  <c r="CX659"/>
  <c r="CY659"/>
  <c r="CZ659"/>
  <c r="DA659"/>
  <c r="DB659"/>
  <c r="DC659"/>
  <c r="DD659"/>
  <c r="DE659"/>
  <c r="DF659"/>
  <c r="DG659"/>
  <c r="DH659"/>
  <c r="DI659"/>
  <c r="DJ659"/>
  <c r="DK659"/>
  <c r="DL659"/>
  <c r="DM659"/>
  <c r="DN659"/>
  <c r="DO659"/>
  <c r="DP659"/>
  <c r="DQ659"/>
  <c r="DR659"/>
  <c r="DS659"/>
  <c r="DT659"/>
  <c r="DU659"/>
  <c r="DV659"/>
  <c r="DW659"/>
  <c r="DX659"/>
  <c r="EA659"/>
  <c r="EB659"/>
  <c r="EC659"/>
  <c r="ED659"/>
  <c r="EE659"/>
  <c r="EF659"/>
  <c r="EG659"/>
  <c r="EH659"/>
  <c r="EI659"/>
  <c r="EJ659"/>
  <c r="EK659"/>
  <c r="EL659"/>
  <c r="EM659"/>
  <c r="EN659"/>
  <c r="EO659"/>
  <c r="EP659"/>
  <c r="EQ659"/>
  <c r="ER659"/>
  <c r="ES659"/>
  <c r="ET659"/>
  <c r="EU659"/>
  <c r="EV659"/>
  <c r="EW659"/>
  <c r="EX659"/>
  <c r="EY659"/>
  <c r="EZ659"/>
  <c r="FA659"/>
  <c r="FB659"/>
  <c r="FC659"/>
  <c r="FD659"/>
  <c r="FE659"/>
  <c r="FF659"/>
  <c r="FG659"/>
  <c r="FH659"/>
  <c r="FI659"/>
  <c r="FJ659"/>
  <c r="FK659"/>
  <c r="FL659"/>
  <c r="FM659"/>
  <c r="FN659"/>
  <c r="FO659"/>
  <c r="FP659"/>
  <c r="FQ659"/>
  <c r="FR659"/>
  <c r="FS659"/>
  <c r="FT659"/>
  <c r="FU659"/>
  <c r="FV659"/>
  <c r="FW659"/>
  <c r="FX659"/>
  <c r="FY659"/>
  <c r="FZ659"/>
  <c r="GA659"/>
  <c r="GB659"/>
  <c r="GC659"/>
  <c r="GD659"/>
  <c r="GE659"/>
  <c r="GF659"/>
  <c r="GG659"/>
  <c r="GH659"/>
  <c r="GI659"/>
  <c r="GJ659"/>
  <c r="GK659"/>
  <c r="GL659"/>
  <c r="GM659"/>
  <c r="GN659"/>
  <c r="GO659"/>
  <c r="GP659"/>
  <c r="GQ659"/>
  <c r="GR659"/>
  <c r="R660"/>
  <c r="S660"/>
  <c r="T660"/>
  <c r="U660"/>
  <c r="V660"/>
  <c r="W660"/>
  <c r="X660"/>
  <c r="Y660"/>
  <c r="Z660"/>
  <c r="I660"/>
  <c r="AA660"/>
  <c r="AB660"/>
  <c r="J660"/>
  <c r="AC660"/>
  <c r="AD660"/>
  <c r="AE660"/>
  <c r="AF660"/>
  <c r="AG660"/>
  <c r="AH660"/>
  <c r="AI660"/>
  <c r="AJ660"/>
  <c r="AK660"/>
  <c r="AL660"/>
  <c r="AM660"/>
  <c r="AN660"/>
  <c r="AO660"/>
  <c r="AP660"/>
  <c r="AQ660"/>
  <c r="AR660"/>
  <c r="AS660"/>
  <c r="AT660"/>
  <c r="AU660"/>
  <c r="AV660"/>
  <c r="AW660"/>
  <c r="AX660"/>
  <c r="AY660"/>
  <c r="AZ660"/>
  <c r="BA660"/>
  <c r="BB660"/>
  <c r="BC660"/>
  <c r="BD660"/>
  <c r="BE660"/>
  <c r="BF660"/>
  <c r="BG660"/>
  <c r="BH660"/>
  <c r="BI660"/>
  <c r="BJ660"/>
  <c r="BK660"/>
  <c r="BL660"/>
  <c r="BM660"/>
  <c r="BN660"/>
  <c r="BO660"/>
  <c r="BP660"/>
  <c r="BQ660"/>
  <c r="BR660"/>
  <c r="BS660"/>
  <c r="BT660"/>
  <c r="BU660"/>
  <c r="BV660"/>
  <c r="BW660"/>
  <c r="BX660"/>
  <c r="BY660"/>
  <c r="BZ660"/>
  <c r="CQ660"/>
  <c r="CR660"/>
  <c r="CS660"/>
  <c r="CT660"/>
  <c r="CU660"/>
  <c r="CV660"/>
  <c r="CW660"/>
  <c r="CX660"/>
  <c r="CY660"/>
  <c r="CZ660"/>
  <c r="DA660"/>
  <c r="DB660"/>
  <c r="DC660"/>
  <c r="DD660"/>
  <c r="DE660"/>
  <c r="DF660"/>
  <c r="DG660"/>
  <c r="DH660"/>
  <c r="DI660"/>
  <c r="DJ660"/>
  <c r="DK660"/>
  <c r="DL660"/>
  <c r="DM660"/>
  <c r="DN660"/>
  <c r="DO660"/>
  <c r="DP660"/>
  <c r="DQ660"/>
  <c r="DR660"/>
  <c r="DS660"/>
  <c r="DT660"/>
  <c r="DU660"/>
  <c r="DV660"/>
  <c r="DW660"/>
  <c r="DX660"/>
  <c r="EA660"/>
  <c r="EB660"/>
  <c r="EC660"/>
  <c r="ED660"/>
  <c r="EE660"/>
  <c r="EF660"/>
  <c r="EG660"/>
  <c r="EH660"/>
  <c r="EI660"/>
  <c r="EJ660"/>
  <c r="EK660"/>
  <c r="EL660"/>
  <c r="EM660"/>
  <c r="EN660"/>
  <c r="EO660"/>
  <c r="EP660"/>
  <c r="EQ660"/>
  <c r="ER660"/>
  <c r="ES660"/>
  <c r="ET660"/>
  <c r="EU660"/>
  <c r="EV660"/>
  <c r="EW660"/>
  <c r="EX660"/>
  <c r="EY660"/>
  <c r="EZ660"/>
  <c r="FA660"/>
  <c r="FB660"/>
  <c r="FC660"/>
  <c r="FD660"/>
  <c r="FE660"/>
  <c r="FF660"/>
  <c r="FG660"/>
  <c r="FH660"/>
  <c r="FI660"/>
  <c r="FJ660"/>
  <c r="FK660"/>
  <c r="FL660"/>
  <c r="FM660"/>
  <c r="FN660"/>
  <c r="FO660"/>
  <c r="FP660"/>
  <c r="FQ660"/>
  <c r="FR660"/>
  <c r="FS660"/>
  <c r="FT660"/>
  <c r="FU660"/>
  <c r="FV660"/>
  <c r="FW660"/>
  <c r="FX660"/>
  <c r="FY660"/>
  <c r="FZ660"/>
  <c r="GA660"/>
  <c r="GB660"/>
  <c r="GC660"/>
  <c r="GD660"/>
  <c r="GE660"/>
  <c r="GF660"/>
  <c r="GG660"/>
  <c r="GH660"/>
  <c r="GI660"/>
  <c r="GJ660"/>
  <c r="GK660"/>
  <c r="GL660"/>
  <c r="GM660"/>
  <c r="GN660"/>
  <c r="GO660"/>
  <c r="GP660"/>
  <c r="GQ660"/>
  <c r="GR660"/>
  <c r="R661"/>
  <c r="S661"/>
  <c r="T661"/>
  <c r="U661"/>
  <c r="V661"/>
  <c r="W661"/>
  <c r="X661"/>
  <c r="Y661"/>
  <c r="Z661"/>
  <c r="I661"/>
  <c r="AA661"/>
  <c r="AB661"/>
  <c r="J661"/>
  <c r="AC661"/>
  <c r="AD661"/>
  <c r="AE661"/>
  <c r="AF661"/>
  <c r="AG661"/>
  <c r="AH661"/>
  <c r="AI661"/>
  <c r="AJ661"/>
  <c r="AK661"/>
  <c r="AL661"/>
  <c r="AM661"/>
  <c r="AN661"/>
  <c r="AO661"/>
  <c r="AP661"/>
  <c r="AQ661"/>
  <c r="AR661"/>
  <c r="AS661"/>
  <c r="AT661"/>
  <c r="AU661"/>
  <c r="AV661"/>
  <c r="AW661"/>
  <c r="AX661"/>
  <c r="AY661"/>
  <c r="AZ661"/>
  <c r="BA661"/>
  <c r="BB661"/>
  <c r="BC661"/>
  <c r="BD661"/>
  <c r="BE661"/>
  <c r="BF661"/>
  <c r="BG661"/>
  <c r="BH661"/>
  <c r="BI661"/>
  <c r="BJ661"/>
  <c r="BK661"/>
  <c r="BL661"/>
  <c r="BM661"/>
  <c r="BN661"/>
  <c r="BO661"/>
  <c r="BP661"/>
  <c r="BQ661"/>
  <c r="BR661"/>
  <c r="BS661"/>
  <c r="BT661"/>
  <c r="BU661"/>
  <c r="BV661"/>
  <c r="BW661"/>
  <c r="BX661"/>
  <c r="BY661"/>
  <c r="BZ661"/>
  <c r="CQ661"/>
  <c r="CR661"/>
  <c r="CS661"/>
  <c r="CT661"/>
  <c r="CU661"/>
  <c r="CV661"/>
  <c r="CW661"/>
  <c r="CX661"/>
  <c r="CY661"/>
  <c r="CZ661"/>
  <c r="DA661"/>
  <c r="DB661"/>
  <c r="DC661"/>
  <c r="DD661"/>
  <c r="DE661"/>
  <c r="DF661"/>
  <c r="DG661"/>
  <c r="DH661"/>
  <c r="DI661"/>
  <c r="DJ661"/>
  <c r="DK661"/>
  <c r="DL661"/>
  <c r="DM661"/>
  <c r="DN661"/>
  <c r="DO661"/>
  <c r="DP661"/>
  <c r="DQ661"/>
  <c r="DR661"/>
  <c r="DS661"/>
  <c r="DT661"/>
  <c r="DU661"/>
  <c r="DV661"/>
  <c r="DW661"/>
  <c r="DX661"/>
  <c r="EA661"/>
  <c r="EB661"/>
  <c r="EC661"/>
  <c r="ED661"/>
  <c r="EE661"/>
  <c r="EF661"/>
  <c r="EG661"/>
  <c r="EH661"/>
  <c r="EI661"/>
  <c r="EJ661"/>
  <c r="EK661"/>
  <c r="EL661"/>
  <c r="EM661"/>
  <c r="EN661"/>
  <c r="EO661"/>
  <c r="EP661"/>
  <c r="EQ661"/>
  <c r="ER661"/>
  <c r="ES661"/>
  <c r="ET661"/>
  <c r="EU661"/>
  <c r="EV661"/>
  <c r="EW661"/>
  <c r="EX661"/>
  <c r="EY661"/>
  <c r="EZ661"/>
  <c r="FA661"/>
  <c r="FB661"/>
  <c r="FC661"/>
  <c r="FD661"/>
  <c r="FE661"/>
  <c r="FF661"/>
  <c r="FG661"/>
  <c r="FH661"/>
  <c r="FI661"/>
  <c r="FJ661"/>
  <c r="FK661"/>
  <c r="FL661"/>
  <c r="FM661"/>
  <c r="FN661"/>
  <c r="FO661"/>
  <c r="FP661"/>
  <c r="FQ661"/>
  <c r="FR661"/>
  <c r="FS661"/>
  <c r="FT661"/>
  <c r="FU661"/>
  <c r="FV661"/>
  <c r="FW661"/>
  <c r="FX661"/>
  <c r="FY661"/>
  <c r="FZ661"/>
  <c r="GA661"/>
  <c r="GB661"/>
  <c r="GC661"/>
  <c r="GD661"/>
  <c r="GE661"/>
  <c r="GF661"/>
  <c r="GG661"/>
  <c r="GH661"/>
  <c r="GI661"/>
  <c r="GJ661"/>
  <c r="GK661"/>
  <c r="GL661"/>
  <c r="GM661"/>
  <c r="GN661"/>
  <c r="GO661"/>
  <c r="GP661"/>
  <c r="GQ661"/>
  <c r="GR661"/>
  <c r="R662"/>
  <c r="S662"/>
  <c r="T662"/>
  <c r="U662"/>
  <c r="V662"/>
  <c r="W662"/>
  <c r="X662"/>
  <c r="Y662"/>
  <c r="Z662"/>
  <c r="I662"/>
  <c r="AA662"/>
  <c r="AB662"/>
  <c r="J662"/>
  <c r="AC662"/>
  <c r="AD662"/>
  <c r="AE662"/>
  <c r="AF662"/>
  <c r="AG662"/>
  <c r="AH662"/>
  <c r="AI662"/>
  <c r="AJ662"/>
  <c r="AK662"/>
  <c r="AL662"/>
  <c r="AM662"/>
  <c r="AN662"/>
  <c r="AO662"/>
  <c r="AP662"/>
  <c r="AQ662"/>
  <c r="AR662"/>
  <c r="AS662"/>
  <c r="AT662"/>
  <c r="AU662"/>
  <c r="AV662"/>
  <c r="AW662"/>
  <c r="AX662"/>
  <c r="AY662"/>
  <c r="AZ662"/>
  <c r="BA662"/>
  <c r="BB662"/>
  <c r="BC662"/>
  <c r="BD662"/>
  <c r="BE662"/>
  <c r="BF662"/>
  <c r="BG662"/>
  <c r="BH662"/>
  <c r="BI662"/>
  <c r="BJ662"/>
  <c r="BK662"/>
  <c r="BL662"/>
  <c r="BM662"/>
  <c r="BN662"/>
  <c r="BO662"/>
  <c r="BP662"/>
  <c r="BQ662"/>
  <c r="BR662"/>
  <c r="BS662"/>
  <c r="BT662"/>
  <c r="BU662"/>
  <c r="BV662"/>
  <c r="BW662"/>
  <c r="BX662"/>
  <c r="BY662"/>
  <c r="BZ662"/>
  <c r="CQ662"/>
  <c r="CR662"/>
  <c r="CS662"/>
  <c r="CT662"/>
  <c r="CU662"/>
  <c r="CV662"/>
  <c r="CW662"/>
  <c r="CX662"/>
  <c r="CY662"/>
  <c r="CZ662"/>
  <c r="DA662"/>
  <c r="DB662"/>
  <c r="DC662"/>
  <c r="DD662"/>
  <c r="DE662"/>
  <c r="DF662"/>
  <c r="DG662"/>
  <c r="DH662"/>
  <c r="DI662"/>
  <c r="DJ662"/>
  <c r="DK662"/>
  <c r="DL662"/>
  <c r="DM662"/>
  <c r="DN662"/>
  <c r="DO662"/>
  <c r="DP662"/>
  <c r="DQ662"/>
  <c r="DR662"/>
  <c r="DS662"/>
  <c r="DT662"/>
  <c r="DU662"/>
  <c r="DV662"/>
  <c r="DW662"/>
  <c r="DX662"/>
  <c r="EA662"/>
  <c r="EB662"/>
  <c r="EC662"/>
  <c r="ED662"/>
  <c r="EE662"/>
  <c r="EF662"/>
  <c r="EG662"/>
  <c r="EH662"/>
  <c r="EI662"/>
  <c r="EJ662"/>
  <c r="EK662"/>
  <c r="EL662"/>
  <c r="EM662"/>
  <c r="EN662"/>
  <c r="EO662"/>
  <c r="EP662"/>
  <c r="EQ662"/>
  <c r="ER662"/>
  <c r="ES662"/>
  <c r="ET662"/>
  <c r="EU662"/>
  <c r="EV662"/>
  <c r="EW662"/>
  <c r="EX662"/>
  <c r="EY662"/>
  <c r="EZ662"/>
  <c r="FA662"/>
  <c r="FB662"/>
  <c r="FC662"/>
  <c r="FD662"/>
  <c r="FE662"/>
  <c r="FF662"/>
  <c r="FG662"/>
  <c r="FH662"/>
  <c r="FI662"/>
  <c r="FJ662"/>
  <c r="FK662"/>
  <c r="FL662"/>
  <c r="FM662"/>
  <c r="FN662"/>
  <c r="FO662"/>
  <c r="FP662"/>
  <c r="FQ662"/>
  <c r="FR662"/>
  <c r="FS662"/>
  <c r="FT662"/>
  <c r="FU662"/>
  <c r="FV662"/>
  <c r="FW662"/>
  <c r="FX662"/>
  <c r="FY662"/>
  <c r="FZ662"/>
  <c r="GA662"/>
  <c r="GB662"/>
  <c r="GC662"/>
  <c r="GD662"/>
  <c r="GE662"/>
  <c r="GF662"/>
  <c r="GG662"/>
  <c r="GH662"/>
  <c r="GI662"/>
  <c r="GJ662"/>
  <c r="GK662"/>
  <c r="GL662"/>
  <c r="GM662"/>
  <c r="GN662"/>
  <c r="GO662"/>
  <c r="GP662"/>
  <c r="GQ662"/>
  <c r="GR662"/>
  <c r="R663"/>
  <c r="S663"/>
  <c r="T663"/>
  <c r="U663"/>
  <c r="V663"/>
  <c r="W663"/>
  <c r="X663"/>
  <c r="Y663"/>
  <c r="Z663"/>
  <c r="I663"/>
  <c r="AA663"/>
  <c r="AB663"/>
  <c r="J663"/>
  <c r="AC663"/>
  <c r="AD663"/>
  <c r="AE663"/>
  <c r="AF663"/>
  <c r="AG663"/>
  <c r="AH663"/>
  <c r="AI663"/>
  <c r="AJ663"/>
  <c r="AK663"/>
  <c r="AL663"/>
  <c r="AM663"/>
  <c r="AN663"/>
  <c r="AO663"/>
  <c r="AP663"/>
  <c r="AQ663"/>
  <c r="AR663"/>
  <c r="AS663"/>
  <c r="AT663"/>
  <c r="AU663"/>
  <c r="AV663"/>
  <c r="AW663"/>
  <c r="AX663"/>
  <c r="AY663"/>
  <c r="AZ663"/>
  <c r="BA663"/>
  <c r="BB663"/>
  <c r="BC663"/>
  <c r="BD663"/>
  <c r="BE663"/>
  <c r="BF663"/>
  <c r="BG663"/>
  <c r="BH663"/>
  <c r="BI663"/>
  <c r="BJ663"/>
  <c r="BK663"/>
  <c r="BL663"/>
  <c r="BM663"/>
  <c r="BN663"/>
  <c r="BO663"/>
  <c r="BP663"/>
  <c r="BQ663"/>
  <c r="BR663"/>
  <c r="BS663"/>
  <c r="BT663"/>
  <c r="BU663"/>
  <c r="BV663"/>
  <c r="BW663"/>
  <c r="BX663"/>
  <c r="BY663"/>
  <c r="BZ663"/>
  <c r="CQ663"/>
  <c r="CR663"/>
  <c r="CS663"/>
  <c r="CT663"/>
  <c r="CU663"/>
  <c r="CV663"/>
  <c r="CW663"/>
  <c r="CX663"/>
  <c r="CY663"/>
  <c r="CZ663"/>
  <c r="DA663"/>
  <c r="DB663"/>
  <c r="DC663"/>
  <c r="DD663"/>
  <c r="DE663"/>
  <c r="DF663"/>
  <c r="DG663"/>
  <c r="DH663"/>
  <c r="DI663"/>
  <c r="DJ663"/>
  <c r="DK663"/>
  <c r="DL663"/>
  <c r="DM663"/>
  <c r="DN663"/>
  <c r="DO663"/>
  <c r="DP663"/>
  <c r="DQ663"/>
  <c r="DR663"/>
  <c r="DS663"/>
  <c r="DT663"/>
  <c r="DU663"/>
  <c r="DV663"/>
  <c r="DW663"/>
  <c r="DX663"/>
  <c r="EA663"/>
  <c r="EB663"/>
  <c r="EC663"/>
  <c r="ED663"/>
  <c r="EE663"/>
  <c r="EF663"/>
  <c r="EG663"/>
  <c r="EH663"/>
  <c r="EI663"/>
  <c r="EJ663"/>
  <c r="EK663"/>
  <c r="EL663"/>
  <c r="EM663"/>
  <c r="EN663"/>
  <c r="EO663"/>
  <c r="EP663"/>
  <c r="EQ663"/>
  <c r="ER663"/>
  <c r="ES663"/>
  <c r="ET663"/>
  <c r="EU663"/>
  <c r="EV663"/>
  <c r="EW663"/>
  <c r="EX663"/>
  <c r="EY663"/>
  <c r="EZ663"/>
  <c r="FA663"/>
  <c r="FB663"/>
  <c r="FC663"/>
  <c r="FD663"/>
  <c r="FE663"/>
  <c r="FF663"/>
  <c r="FG663"/>
  <c r="FH663"/>
  <c r="FI663"/>
  <c r="FJ663"/>
  <c r="FK663"/>
  <c r="FL663"/>
  <c r="FM663"/>
  <c r="FN663"/>
  <c r="FO663"/>
  <c r="FP663"/>
  <c r="FQ663"/>
  <c r="FR663"/>
  <c r="FS663"/>
  <c r="FT663"/>
  <c r="FU663"/>
  <c r="FV663"/>
  <c r="FW663"/>
  <c r="FX663"/>
  <c r="FY663"/>
  <c r="FZ663"/>
  <c r="GA663"/>
  <c r="GB663"/>
  <c r="GC663"/>
  <c r="GD663"/>
  <c r="GE663"/>
  <c r="GF663"/>
  <c r="GG663"/>
  <c r="GH663"/>
  <c r="GI663"/>
  <c r="GJ663"/>
  <c r="GK663"/>
  <c r="GL663"/>
  <c r="GM663"/>
  <c r="GN663"/>
  <c r="GO663"/>
  <c r="GP663"/>
  <c r="GQ663"/>
  <c r="GR663"/>
  <c r="R664"/>
  <c r="S664"/>
  <c r="T664"/>
  <c r="U664"/>
  <c r="V664"/>
  <c r="W664"/>
  <c r="X664"/>
  <c r="Y664"/>
  <c r="Z664"/>
  <c r="I664"/>
  <c r="AA664"/>
  <c r="AB664"/>
  <c r="J664"/>
  <c r="AC664"/>
  <c r="AD664"/>
  <c r="AE664"/>
  <c r="AF664"/>
  <c r="AG664"/>
  <c r="AH664"/>
  <c r="AI664"/>
  <c r="AJ664"/>
  <c r="AK664"/>
  <c r="AL664"/>
  <c r="AM664"/>
  <c r="AN664"/>
  <c r="AO664"/>
  <c r="AP664"/>
  <c r="AQ664"/>
  <c r="AR664"/>
  <c r="AS664"/>
  <c r="AT664"/>
  <c r="AU664"/>
  <c r="AV664"/>
  <c r="AW664"/>
  <c r="AX664"/>
  <c r="AY664"/>
  <c r="AZ664"/>
  <c r="BA664"/>
  <c r="BB664"/>
  <c r="BC664"/>
  <c r="BD664"/>
  <c r="BE664"/>
  <c r="BF664"/>
  <c r="BG664"/>
  <c r="BH664"/>
  <c r="BI664"/>
  <c r="BJ664"/>
  <c r="BK664"/>
  <c r="BL664"/>
  <c r="BM664"/>
  <c r="BN664"/>
  <c r="BO664"/>
  <c r="BP664"/>
  <c r="BQ664"/>
  <c r="BR664"/>
  <c r="BS664"/>
  <c r="BT664"/>
  <c r="BU664"/>
  <c r="BV664"/>
  <c r="BW664"/>
  <c r="BX664"/>
  <c r="BY664"/>
  <c r="BZ664"/>
  <c r="CQ664"/>
  <c r="CR664"/>
  <c r="CS664"/>
  <c r="CT664"/>
  <c r="CU664"/>
  <c r="CV664"/>
  <c r="CW664"/>
  <c r="CX664"/>
  <c r="CY664"/>
  <c r="CZ664"/>
  <c r="DA664"/>
  <c r="DB664"/>
  <c r="DC664"/>
  <c r="DD664"/>
  <c r="DE664"/>
  <c r="DF664"/>
  <c r="DG664"/>
  <c r="DH664"/>
  <c r="DI664"/>
  <c r="DJ664"/>
  <c r="DK664"/>
  <c r="DL664"/>
  <c r="DM664"/>
  <c r="DN664"/>
  <c r="DO664"/>
  <c r="DP664"/>
  <c r="DQ664"/>
  <c r="DR664"/>
  <c r="DS664"/>
  <c r="DT664"/>
  <c r="DU664"/>
  <c r="DV664"/>
  <c r="DW664"/>
  <c r="DX664"/>
  <c r="DY664"/>
  <c r="DZ664"/>
  <c r="EA664"/>
  <c r="EB664"/>
  <c r="EC664"/>
  <c r="ED664"/>
  <c r="EE664"/>
  <c r="EF664"/>
  <c r="EG664"/>
  <c r="EH664"/>
  <c r="EI664"/>
  <c r="EJ664"/>
  <c r="EK664"/>
  <c r="EL664"/>
  <c r="EM664"/>
  <c r="EN664"/>
  <c r="EO664"/>
  <c r="EP664"/>
  <c r="EQ664"/>
  <c r="ER664"/>
  <c r="ES664"/>
  <c r="ET664"/>
  <c r="EU664"/>
  <c r="EV664"/>
  <c r="EW664"/>
  <c r="EX664"/>
  <c r="EY664"/>
  <c r="EZ664"/>
  <c r="FA664"/>
  <c r="FB664"/>
  <c r="FC664"/>
  <c r="FD664"/>
  <c r="FE664"/>
  <c r="FF664"/>
  <c r="FG664"/>
  <c r="FH664"/>
  <c r="FI664"/>
  <c r="FJ664"/>
  <c r="FK664"/>
  <c r="FL664"/>
  <c r="FM664"/>
  <c r="FN664"/>
  <c r="FO664"/>
  <c r="FP664"/>
  <c r="FQ664"/>
  <c r="FR664"/>
  <c r="FS664"/>
  <c r="FT664"/>
  <c r="FU664"/>
  <c r="FV664"/>
  <c r="FW664"/>
  <c r="FX664"/>
  <c r="FY664"/>
  <c r="FZ664"/>
  <c r="GA664"/>
  <c r="GB664"/>
  <c r="GC664"/>
  <c r="GD664"/>
  <c r="GE664"/>
  <c r="GF664"/>
  <c r="GG664"/>
  <c r="GH664"/>
  <c r="GI664"/>
  <c r="GJ664"/>
  <c r="GK664"/>
  <c r="GL664"/>
  <c r="GM664"/>
  <c r="GN664"/>
  <c r="GO664"/>
  <c r="GP664"/>
  <c r="GQ664"/>
  <c r="GR664"/>
  <c r="R665"/>
  <c r="S665"/>
  <c r="T665"/>
  <c r="U665"/>
  <c r="V665"/>
  <c r="W665"/>
  <c r="X665"/>
  <c r="Y665"/>
  <c r="Z665"/>
  <c r="I665"/>
  <c r="AA665"/>
  <c r="AB665"/>
  <c r="J665"/>
  <c r="AC665"/>
  <c r="AD665"/>
  <c r="AE665"/>
  <c r="AF665"/>
  <c r="AG665"/>
  <c r="AH665"/>
  <c r="AI665"/>
  <c r="AJ665"/>
  <c r="AK665"/>
  <c r="AL665"/>
  <c r="AM665"/>
  <c r="AN665"/>
  <c r="AO665"/>
  <c r="AP665"/>
  <c r="AQ665"/>
  <c r="AR665"/>
  <c r="AS665"/>
  <c r="AT665"/>
  <c r="AU665"/>
  <c r="AV665"/>
  <c r="AW665"/>
  <c r="AX665"/>
  <c r="AY665"/>
  <c r="AZ665"/>
  <c r="BA665"/>
  <c r="BB665"/>
  <c r="BC665"/>
  <c r="BD665"/>
  <c r="BE665"/>
  <c r="BF665"/>
  <c r="BG665"/>
  <c r="BH665"/>
  <c r="BI665"/>
  <c r="BJ665"/>
  <c r="BK665"/>
  <c r="BL665"/>
  <c r="BM665"/>
  <c r="BN665"/>
  <c r="BO665"/>
  <c r="BP665"/>
  <c r="BQ665"/>
  <c r="BR665"/>
  <c r="BS665"/>
  <c r="BT665"/>
  <c r="BU665"/>
  <c r="BV665"/>
  <c r="BW665"/>
  <c r="BX665"/>
  <c r="BY665"/>
  <c r="BZ665"/>
  <c r="CQ665"/>
  <c r="CR665"/>
  <c r="CS665"/>
  <c r="CT665"/>
  <c r="CU665"/>
  <c r="CV665"/>
  <c r="CW665"/>
  <c r="CX665"/>
  <c r="CY665"/>
  <c r="CZ665"/>
  <c r="DA665"/>
  <c r="DB665"/>
  <c r="DC665"/>
  <c r="DD665"/>
  <c r="DE665"/>
  <c r="DF665"/>
  <c r="DG665"/>
  <c r="DH665"/>
  <c r="DI665"/>
  <c r="DJ665"/>
  <c r="DK665"/>
  <c r="DL665"/>
  <c r="DM665"/>
  <c r="DN665"/>
  <c r="DO665"/>
  <c r="DP665"/>
  <c r="DQ665"/>
  <c r="DR665"/>
  <c r="DS665"/>
  <c r="DT665"/>
  <c r="DU665"/>
  <c r="DV665"/>
  <c r="DW665"/>
  <c r="DX665"/>
  <c r="DY665"/>
  <c r="DZ665"/>
  <c r="EA665"/>
  <c r="EB665"/>
  <c r="EC665"/>
  <c r="ED665"/>
  <c r="EE665"/>
  <c r="EF665"/>
  <c r="EG665"/>
  <c r="EH665"/>
  <c r="EI665"/>
  <c r="EJ665"/>
  <c r="EK665"/>
  <c r="EL665"/>
  <c r="EM665"/>
  <c r="EN665"/>
  <c r="EO665"/>
  <c r="EP665"/>
  <c r="EQ665"/>
  <c r="ER665"/>
  <c r="ES665"/>
  <c r="ET665"/>
  <c r="EU665"/>
  <c r="EV665"/>
  <c r="EW665"/>
  <c r="EX665"/>
  <c r="EY665"/>
  <c r="EZ665"/>
  <c r="FA665"/>
  <c r="FB665"/>
  <c r="FC665"/>
  <c r="FD665"/>
  <c r="FE665"/>
  <c r="FF665"/>
  <c r="FG665"/>
  <c r="FH665"/>
  <c r="FI665"/>
  <c r="FJ665"/>
  <c r="FK665"/>
  <c r="FL665"/>
  <c r="FM665"/>
  <c r="FN665"/>
  <c r="FO665"/>
  <c r="FP665"/>
  <c r="FQ665"/>
  <c r="FR665"/>
  <c r="FS665"/>
  <c r="FT665"/>
  <c r="FU665"/>
  <c r="FV665"/>
  <c r="FW665"/>
  <c r="FX665"/>
  <c r="FY665"/>
  <c r="FZ665"/>
  <c r="GA665"/>
  <c r="GB665"/>
  <c r="GC665"/>
  <c r="GD665"/>
  <c r="GE665"/>
  <c r="GF665"/>
  <c r="GG665"/>
  <c r="GH665"/>
  <c r="GI665"/>
  <c r="GJ665"/>
  <c r="GK665"/>
  <c r="GL665"/>
  <c r="GM665"/>
  <c r="GN665"/>
  <c r="GO665"/>
  <c r="GP665"/>
  <c r="GQ665"/>
  <c r="GR665"/>
  <c r="R666"/>
  <c r="S666"/>
  <c r="T666"/>
  <c r="U666"/>
  <c r="V666"/>
  <c r="W666"/>
  <c r="X666"/>
  <c r="Y666"/>
  <c r="Z666"/>
  <c r="I666"/>
  <c r="AA666"/>
  <c r="AB666"/>
  <c r="J666"/>
  <c r="AC666"/>
  <c r="AD666"/>
  <c r="AE666"/>
  <c r="AF666"/>
  <c r="AG666"/>
  <c r="AH666"/>
  <c r="AI666"/>
  <c r="AJ666"/>
  <c r="AK666"/>
  <c r="AL666"/>
  <c r="AM666"/>
  <c r="AN666"/>
  <c r="AO666"/>
  <c r="AP666"/>
  <c r="AQ666"/>
  <c r="AR666"/>
  <c r="AS666"/>
  <c r="AT666"/>
  <c r="AU666"/>
  <c r="AV666"/>
  <c r="AW666"/>
  <c r="AX666"/>
  <c r="AY666"/>
  <c r="AZ666"/>
  <c r="BA666"/>
  <c r="BB666"/>
  <c r="BC666"/>
  <c r="BD666"/>
  <c r="BE666"/>
  <c r="BF666"/>
  <c r="BG666"/>
  <c r="BH666"/>
  <c r="BI666"/>
  <c r="BJ666"/>
  <c r="BK666"/>
  <c r="BL666"/>
  <c r="BM666"/>
  <c r="BN666"/>
  <c r="BO666"/>
  <c r="BP666"/>
  <c r="BQ666"/>
  <c r="BR666"/>
  <c r="BS666"/>
  <c r="BT666"/>
  <c r="BU666"/>
  <c r="BV666"/>
  <c r="BW666"/>
  <c r="BX666"/>
  <c r="BY666"/>
  <c r="BZ666"/>
  <c r="CQ666"/>
  <c r="CR666"/>
  <c r="CS666"/>
  <c r="CT666"/>
  <c r="CU666"/>
  <c r="CV666"/>
  <c r="CW666"/>
  <c r="CX666"/>
  <c r="CY666"/>
  <c r="CZ666"/>
  <c r="DA666"/>
  <c r="DB666"/>
  <c r="DC666"/>
  <c r="DD666"/>
  <c r="DE666"/>
  <c r="DF666"/>
  <c r="DG666"/>
  <c r="DH666"/>
  <c r="DI666"/>
  <c r="DJ666"/>
  <c r="DK666"/>
  <c r="DL666"/>
  <c r="DM666"/>
  <c r="DN666"/>
  <c r="DO666"/>
  <c r="DP666"/>
  <c r="DQ666"/>
  <c r="DR666"/>
  <c r="DS666"/>
  <c r="DT666"/>
  <c r="DU666"/>
  <c r="DV666"/>
  <c r="DW666"/>
  <c r="DX666"/>
  <c r="DY666"/>
  <c r="DZ666"/>
  <c r="EA666"/>
  <c r="EB666"/>
  <c r="EC666"/>
  <c r="ED666"/>
  <c r="EE666"/>
  <c r="EF666"/>
  <c r="EG666"/>
  <c r="EH666"/>
  <c r="EI666"/>
  <c r="EJ666"/>
  <c r="EK666"/>
  <c r="EL666"/>
  <c r="EM666"/>
  <c r="EN666"/>
  <c r="EO666"/>
  <c r="EP666"/>
  <c r="EQ666"/>
  <c r="ER666"/>
  <c r="ES666"/>
  <c r="ET666"/>
  <c r="EU666"/>
  <c r="EV666"/>
  <c r="EW666"/>
  <c r="EX666"/>
  <c r="EY666"/>
  <c r="EZ666"/>
  <c r="FA666"/>
  <c r="FB666"/>
  <c r="FC666"/>
  <c r="FD666"/>
  <c r="FE666"/>
  <c r="FF666"/>
  <c r="FG666"/>
  <c r="FH666"/>
  <c r="FI666"/>
  <c r="FJ666"/>
  <c r="FK666"/>
  <c r="FL666"/>
  <c r="FM666"/>
  <c r="FN666"/>
  <c r="FO666"/>
  <c r="FP666"/>
  <c r="FQ666"/>
  <c r="FR666"/>
  <c r="FS666"/>
  <c r="FT666"/>
  <c r="FU666"/>
  <c r="FV666"/>
  <c r="FW666"/>
  <c r="FX666"/>
  <c r="FY666"/>
  <c r="FZ666"/>
  <c r="GA666"/>
  <c r="GB666"/>
  <c r="GC666"/>
  <c r="GD666"/>
  <c r="GE666"/>
  <c r="GF666"/>
  <c r="GG666"/>
  <c r="GH666"/>
  <c r="GI666"/>
  <c r="GJ666"/>
  <c r="GK666"/>
  <c r="GL666"/>
  <c r="GM666"/>
  <c r="GN666"/>
  <c r="GO666"/>
  <c r="GP666"/>
  <c r="GQ666"/>
  <c r="GR666"/>
  <c r="R667"/>
  <c r="S667"/>
  <c r="T667"/>
  <c r="U667"/>
  <c r="V667"/>
  <c r="W667"/>
  <c r="X667"/>
  <c r="Y667"/>
  <c r="Z667"/>
  <c r="I667"/>
  <c r="AA667"/>
  <c r="AB667"/>
  <c r="J667"/>
  <c r="AC667"/>
  <c r="AD667"/>
  <c r="AE667"/>
  <c r="AF667"/>
  <c r="AG667"/>
  <c r="AH667"/>
  <c r="AI667"/>
  <c r="AJ667"/>
  <c r="AK667"/>
  <c r="AL667"/>
  <c r="AM667"/>
  <c r="AN667"/>
  <c r="AO667"/>
  <c r="AP667"/>
  <c r="AQ667"/>
  <c r="AR667"/>
  <c r="AS667"/>
  <c r="AT667"/>
  <c r="AU667"/>
  <c r="AV667"/>
  <c r="AW667"/>
  <c r="AX667"/>
  <c r="AY667"/>
  <c r="AZ667"/>
  <c r="BA667"/>
  <c r="BC667"/>
  <c r="BD667"/>
  <c r="BE667"/>
  <c r="BF667"/>
  <c r="BG667"/>
  <c r="BH667"/>
  <c r="BI667"/>
  <c r="BJ667"/>
  <c r="BK667"/>
  <c r="BL667"/>
  <c r="BM667"/>
  <c r="BN667"/>
  <c r="BO667"/>
  <c r="BP667"/>
  <c r="BQ667"/>
  <c r="BR667"/>
  <c r="BS667"/>
  <c r="BT667"/>
  <c r="BU667"/>
  <c r="BV667"/>
  <c r="BW667"/>
  <c r="BX667"/>
  <c r="BY667"/>
  <c r="BZ667"/>
  <c r="CQ667"/>
  <c r="CR667"/>
  <c r="CS667"/>
  <c r="CT667"/>
  <c r="CU667"/>
  <c r="CV667"/>
  <c r="CW667"/>
  <c r="CX667"/>
  <c r="CY667"/>
  <c r="CZ667"/>
  <c r="DA667"/>
  <c r="DB667"/>
  <c r="DC667"/>
  <c r="DD667"/>
  <c r="DE667"/>
  <c r="DF667"/>
  <c r="DG667"/>
  <c r="DH667"/>
  <c r="DI667"/>
  <c r="DJ667"/>
  <c r="DK667"/>
  <c r="DL667"/>
  <c r="DM667"/>
  <c r="DN667"/>
  <c r="DO667"/>
  <c r="DP667"/>
  <c r="DQ667"/>
  <c r="DR667"/>
  <c r="DS667"/>
  <c r="DT667"/>
  <c r="DU667"/>
  <c r="DV667"/>
  <c r="DW667"/>
  <c r="DX667"/>
  <c r="DY667"/>
  <c r="DZ667"/>
  <c r="EA667"/>
  <c r="EB667"/>
  <c r="EC667"/>
  <c r="ED667"/>
  <c r="EE667"/>
  <c r="EF667"/>
  <c r="EG667"/>
  <c r="EH667"/>
  <c r="EI667"/>
  <c r="EJ667"/>
  <c r="EK667"/>
  <c r="EL667"/>
  <c r="EM667"/>
  <c r="EN667"/>
  <c r="EO667"/>
  <c r="EP667"/>
  <c r="EQ667"/>
  <c r="ER667"/>
  <c r="ES667"/>
  <c r="ET667"/>
  <c r="EU667"/>
  <c r="EV667"/>
  <c r="EW667"/>
  <c r="EX667"/>
  <c r="EY667"/>
  <c r="EZ667"/>
  <c r="FA667"/>
  <c r="FB667"/>
  <c r="FC667"/>
  <c r="FD667"/>
  <c r="FE667"/>
  <c r="FF667"/>
  <c r="FG667"/>
  <c r="FH667"/>
  <c r="FI667"/>
  <c r="FJ667"/>
  <c r="FK667"/>
  <c r="FL667"/>
  <c r="FM667"/>
  <c r="FN667"/>
  <c r="FO667"/>
  <c r="FP667"/>
  <c r="FQ667"/>
  <c r="FR667"/>
  <c r="FS667"/>
  <c r="FT667"/>
  <c r="FU667"/>
  <c r="FV667"/>
  <c r="FW667"/>
  <c r="FX667"/>
  <c r="FY667"/>
  <c r="FZ667"/>
  <c r="GA667"/>
  <c r="GB667"/>
  <c r="GC667"/>
  <c r="GD667"/>
  <c r="GE667"/>
  <c r="GF667"/>
  <c r="GG667"/>
  <c r="GH667"/>
  <c r="GI667"/>
  <c r="GJ667"/>
  <c r="GK667"/>
  <c r="GL667"/>
  <c r="GM667"/>
  <c r="GN667"/>
  <c r="GO667"/>
  <c r="GP667"/>
  <c r="GQ667"/>
  <c r="GR667"/>
  <c r="R668"/>
  <c r="S668"/>
  <c r="T668"/>
  <c r="U668"/>
  <c r="V668"/>
  <c r="W668"/>
  <c r="X668"/>
  <c r="Y668"/>
  <c r="Z668"/>
  <c r="I668"/>
  <c r="AA668"/>
  <c r="AB668"/>
  <c r="J668"/>
  <c r="AC668"/>
  <c r="AD668"/>
  <c r="AE668"/>
  <c r="AF668"/>
  <c r="AG668"/>
  <c r="AH668"/>
  <c r="AI668"/>
  <c r="AJ668"/>
  <c r="AK668"/>
  <c r="AL668"/>
  <c r="AM668"/>
  <c r="AN668"/>
  <c r="AO668"/>
  <c r="AP668"/>
  <c r="AQ668"/>
  <c r="AR668"/>
  <c r="AS668"/>
  <c r="AT668"/>
  <c r="AU668"/>
  <c r="AV668"/>
  <c r="AW668"/>
  <c r="AX668"/>
  <c r="AY668"/>
  <c r="AZ668"/>
  <c r="BA668"/>
  <c r="BB668"/>
  <c r="BC668"/>
  <c r="BD668"/>
  <c r="BE668"/>
  <c r="BF668"/>
  <c r="BG668"/>
  <c r="BH668"/>
  <c r="BI668"/>
  <c r="BJ668"/>
  <c r="BK668"/>
  <c r="BL668"/>
  <c r="BM668"/>
  <c r="BN668"/>
  <c r="BO668"/>
  <c r="BP668"/>
  <c r="BQ668"/>
  <c r="BR668"/>
  <c r="BS668"/>
  <c r="BT668"/>
  <c r="BU668"/>
  <c r="BV668"/>
  <c r="BW668"/>
  <c r="BX668"/>
  <c r="BY668"/>
  <c r="BZ668"/>
  <c r="CQ668"/>
  <c r="CR668"/>
  <c r="CS668"/>
  <c r="CT668"/>
  <c r="CU668"/>
  <c r="CV668"/>
  <c r="CW668"/>
  <c r="CX668"/>
  <c r="CY668"/>
  <c r="CZ668"/>
  <c r="DA668"/>
  <c r="DB668"/>
  <c r="DC668"/>
  <c r="DD668"/>
  <c r="DE668"/>
  <c r="DF668"/>
  <c r="DG668"/>
  <c r="DH668"/>
  <c r="DI668"/>
  <c r="DJ668"/>
  <c r="DK668"/>
  <c r="DL668"/>
  <c r="DM668"/>
  <c r="DN668"/>
  <c r="DO668"/>
  <c r="DP668"/>
  <c r="DQ668"/>
  <c r="DR668"/>
  <c r="DS668"/>
  <c r="DT668"/>
  <c r="DU668"/>
  <c r="DV668"/>
  <c r="DW668"/>
  <c r="DX668"/>
  <c r="DY668"/>
  <c r="DZ668"/>
  <c r="EA668"/>
  <c r="EB668"/>
  <c r="EC668"/>
  <c r="ED668"/>
  <c r="EE668"/>
  <c r="EF668"/>
  <c r="EG668"/>
  <c r="EH668"/>
  <c r="EI668"/>
  <c r="EJ668"/>
  <c r="EK668"/>
  <c r="EL668"/>
  <c r="EM668"/>
  <c r="EN668"/>
  <c r="EO668"/>
  <c r="EP668"/>
  <c r="EQ668"/>
  <c r="ER668"/>
  <c r="ES668"/>
  <c r="ET668"/>
  <c r="EU668"/>
  <c r="EV668"/>
  <c r="EW668"/>
  <c r="EX668"/>
  <c r="EY668"/>
  <c r="EZ668"/>
  <c r="FA668"/>
  <c r="FB668"/>
  <c r="FC668"/>
  <c r="FD668"/>
  <c r="FE668"/>
  <c r="FF668"/>
  <c r="FG668"/>
  <c r="FH668"/>
  <c r="FI668"/>
  <c r="FJ668"/>
  <c r="FK668"/>
  <c r="FL668"/>
  <c r="FM668"/>
  <c r="FN668"/>
  <c r="FO668"/>
  <c r="FP668"/>
  <c r="FQ668"/>
  <c r="FR668"/>
  <c r="FS668"/>
  <c r="FT668"/>
  <c r="FU668"/>
  <c r="FV668"/>
  <c r="FW668"/>
  <c r="FX668"/>
  <c r="FY668"/>
  <c r="FZ668"/>
  <c r="GA668"/>
  <c r="GB668"/>
  <c r="GC668"/>
  <c r="GD668"/>
  <c r="GE668"/>
  <c r="GF668"/>
  <c r="GG668"/>
  <c r="GH668"/>
  <c r="GI668"/>
  <c r="GJ668"/>
  <c r="GK668"/>
  <c r="GL668"/>
  <c r="GM668"/>
  <c r="GN668"/>
  <c r="GO668"/>
  <c r="GP668"/>
  <c r="GQ668"/>
  <c r="GR668"/>
  <c r="R669"/>
  <c r="S669"/>
  <c r="T669"/>
  <c r="U669"/>
  <c r="V669"/>
  <c r="W669"/>
  <c r="X669"/>
  <c r="Y669"/>
  <c r="Z669"/>
  <c r="I669"/>
  <c r="AA669"/>
  <c r="AB669"/>
  <c r="J669"/>
  <c r="AC669"/>
  <c r="AD669"/>
  <c r="AE669"/>
  <c r="AF669"/>
  <c r="AG669"/>
  <c r="AH669"/>
  <c r="AI669"/>
  <c r="AJ669"/>
  <c r="AK669"/>
  <c r="AL669"/>
  <c r="AM669"/>
  <c r="AN669"/>
  <c r="AO669"/>
  <c r="AP669"/>
  <c r="AQ669"/>
  <c r="AR669"/>
  <c r="AS669"/>
  <c r="AT669"/>
  <c r="AU669"/>
  <c r="AV669"/>
  <c r="AW669"/>
  <c r="AX669"/>
  <c r="AY669"/>
  <c r="AZ669"/>
  <c r="BA669"/>
  <c r="BB669"/>
  <c r="BC669"/>
  <c r="BD669"/>
  <c r="BE669"/>
  <c r="BF669"/>
  <c r="BG669"/>
  <c r="BH669"/>
  <c r="BI669"/>
  <c r="BJ669"/>
  <c r="BK669"/>
  <c r="BL669"/>
  <c r="BM669"/>
  <c r="BN669"/>
  <c r="BO669"/>
  <c r="BP669"/>
  <c r="BQ669"/>
  <c r="BR669"/>
  <c r="BS669"/>
  <c r="BT669"/>
  <c r="BU669"/>
  <c r="BV669"/>
  <c r="BW669"/>
  <c r="BX669"/>
  <c r="BY669"/>
  <c r="BZ669"/>
  <c r="CQ669"/>
  <c r="CR669"/>
  <c r="CS669"/>
  <c r="CT669"/>
  <c r="CU669"/>
  <c r="CV669"/>
  <c r="CW669"/>
  <c r="CX669"/>
  <c r="CY669"/>
  <c r="CZ669"/>
  <c r="DA669"/>
  <c r="DB669"/>
  <c r="DC669"/>
  <c r="DD669"/>
  <c r="DE669"/>
  <c r="DF669"/>
  <c r="DG669"/>
  <c r="DH669"/>
  <c r="DI669"/>
  <c r="DJ669"/>
  <c r="DK669"/>
  <c r="DL669"/>
  <c r="DM669"/>
  <c r="DN669"/>
  <c r="DO669"/>
  <c r="DP669"/>
  <c r="DQ669"/>
  <c r="DR669"/>
  <c r="DS669"/>
  <c r="DT669"/>
  <c r="DU669"/>
  <c r="DV669"/>
  <c r="DW669"/>
  <c r="DX669"/>
  <c r="DY669"/>
  <c r="DZ669"/>
  <c r="EA669"/>
  <c r="EB669"/>
  <c r="EC669"/>
  <c r="ED669"/>
  <c r="EE669"/>
  <c r="EF669"/>
  <c r="EG669"/>
  <c r="EH669"/>
  <c r="EI669"/>
  <c r="EJ669"/>
  <c r="EK669"/>
  <c r="EL669"/>
  <c r="EM669"/>
  <c r="EN669"/>
  <c r="EO669"/>
  <c r="EP669"/>
  <c r="EQ669"/>
  <c r="ER669"/>
  <c r="ES669"/>
  <c r="ET669"/>
  <c r="EU669"/>
  <c r="EV669"/>
  <c r="EW669"/>
  <c r="EX669"/>
  <c r="EY669"/>
  <c r="EZ669"/>
  <c r="FA669"/>
  <c r="FB669"/>
  <c r="FC669"/>
  <c r="FD669"/>
  <c r="FE669"/>
  <c r="FF669"/>
  <c r="FG669"/>
  <c r="FH669"/>
  <c r="FI669"/>
  <c r="FJ669"/>
  <c r="FK669"/>
  <c r="FL669"/>
  <c r="FM669"/>
  <c r="FN669"/>
  <c r="FO669"/>
  <c r="FP669"/>
  <c r="FQ669"/>
  <c r="FR669"/>
  <c r="FS669"/>
  <c r="FT669"/>
  <c r="FU669"/>
  <c r="FV669"/>
  <c r="FW669"/>
  <c r="FX669"/>
  <c r="FY669"/>
  <c r="FZ669"/>
  <c r="GA669"/>
  <c r="GB669"/>
  <c r="GC669"/>
  <c r="GD669"/>
  <c r="GE669"/>
  <c r="GF669"/>
  <c r="GG669"/>
  <c r="GH669"/>
  <c r="GI669"/>
  <c r="GJ669"/>
  <c r="GK669"/>
  <c r="GL669"/>
  <c r="GM669"/>
  <c r="GN669"/>
  <c r="GO669"/>
  <c r="GP669"/>
  <c r="GQ669"/>
  <c r="GR669"/>
  <c r="R670"/>
  <c r="S670"/>
  <c r="T670"/>
  <c r="U670"/>
  <c r="V670"/>
  <c r="W670"/>
  <c r="X670"/>
  <c r="Y670"/>
  <c r="Z670"/>
  <c r="I670"/>
  <c r="AA670"/>
  <c r="AB670"/>
  <c r="J670"/>
  <c r="AC670"/>
  <c r="AD670"/>
  <c r="AE670"/>
  <c r="AF670"/>
  <c r="AG670"/>
  <c r="AH670"/>
  <c r="AI670"/>
  <c r="AJ670"/>
  <c r="AK670"/>
  <c r="AL670"/>
  <c r="AM670"/>
  <c r="AN670"/>
  <c r="AO670"/>
  <c r="AP670"/>
  <c r="AQ670"/>
  <c r="AR670"/>
  <c r="AS670"/>
  <c r="AT670"/>
  <c r="AU670"/>
  <c r="AV670"/>
  <c r="AW670"/>
  <c r="AX670"/>
  <c r="AY670"/>
  <c r="AZ670"/>
  <c r="BA670"/>
  <c r="BB670"/>
  <c r="BC670"/>
  <c r="BD670"/>
  <c r="BE670"/>
  <c r="BF670"/>
  <c r="BG670"/>
  <c r="BH670"/>
  <c r="BI670"/>
  <c r="BJ670"/>
  <c r="BK670"/>
  <c r="BL670"/>
  <c r="BM670"/>
  <c r="BN670"/>
  <c r="BO670"/>
  <c r="BP670"/>
  <c r="BQ670"/>
  <c r="BR670"/>
  <c r="BS670"/>
  <c r="BT670"/>
  <c r="BU670"/>
  <c r="BV670"/>
  <c r="BW670"/>
  <c r="BX670"/>
  <c r="BY670"/>
  <c r="BZ670"/>
  <c r="CQ670"/>
  <c r="CR670"/>
  <c r="CS670"/>
  <c r="CT670"/>
  <c r="CU670"/>
  <c r="CV670"/>
  <c r="CW670"/>
  <c r="CX670"/>
  <c r="CY670"/>
  <c r="CZ670"/>
  <c r="DA670"/>
  <c r="DB670"/>
  <c r="DC670"/>
  <c r="DD670"/>
  <c r="DE670"/>
  <c r="DF670"/>
  <c r="DG670"/>
  <c r="DH670"/>
  <c r="DI670"/>
  <c r="DJ670"/>
  <c r="DK670"/>
  <c r="DL670"/>
  <c r="DM670"/>
  <c r="DN670"/>
  <c r="DO670"/>
  <c r="DP670"/>
  <c r="DQ670"/>
  <c r="DR670"/>
  <c r="DS670"/>
  <c r="DT670"/>
  <c r="DU670"/>
  <c r="DV670"/>
  <c r="DW670"/>
  <c r="DX670"/>
  <c r="DY670"/>
  <c r="DZ670"/>
  <c r="EA670"/>
  <c r="EB670"/>
  <c r="EC670"/>
  <c r="ED670"/>
  <c r="EE670"/>
  <c r="EF670"/>
  <c r="EG670"/>
  <c r="EH670"/>
  <c r="EI670"/>
  <c r="EJ670"/>
  <c r="EK670"/>
  <c r="EL670"/>
  <c r="EM670"/>
  <c r="EN670"/>
  <c r="EO670"/>
  <c r="EP670"/>
  <c r="EQ670"/>
  <c r="ER670"/>
  <c r="ES670"/>
  <c r="ET670"/>
  <c r="EU670"/>
  <c r="EV670"/>
  <c r="EW670"/>
  <c r="EX670"/>
  <c r="EY670"/>
  <c r="EZ670"/>
  <c r="FA670"/>
  <c r="FB670"/>
  <c r="FC670"/>
  <c r="FD670"/>
  <c r="FE670"/>
  <c r="FF670"/>
  <c r="FG670"/>
  <c r="FH670"/>
  <c r="FI670"/>
  <c r="FJ670"/>
  <c r="FK670"/>
  <c r="FL670"/>
  <c r="FM670"/>
  <c r="FN670"/>
  <c r="FO670"/>
  <c r="FP670"/>
  <c r="FQ670"/>
  <c r="FR670"/>
  <c r="FS670"/>
  <c r="FT670"/>
  <c r="FU670"/>
  <c r="FV670"/>
  <c r="FW670"/>
  <c r="FX670"/>
  <c r="FY670"/>
  <c r="FZ670"/>
  <c r="GA670"/>
  <c r="GB670"/>
  <c r="GC670"/>
  <c r="GD670"/>
  <c r="GE670"/>
  <c r="GF670"/>
  <c r="GG670"/>
  <c r="GH670"/>
  <c r="GI670"/>
  <c r="GJ670"/>
  <c r="GK670"/>
  <c r="GL670"/>
  <c r="GM670"/>
  <c r="GN670"/>
  <c r="GO670"/>
  <c r="GP670"/>
  <c r="GQ670"/>
  <c r="GR670"/>
  <c r="R671"/>
  <c r="S671"/>
  <c r="T671"/>
  <c r="U671"/>
  <c r="V671"/>
  <c r="W671"/>
  <c r="X671"/>
  <c r="Y671"/>
  <c r="Z671"/>
  <c r="I671"/>
  <c r="AA671"/>
  <c r="AB671"/>
  <c r="J671"/>
  <c r="AC671"/>
  <c r="AD671"/>
  <c r="AE671"/>
  <c r="AF671"/>
  <c r="AG671"/>
  <c r="AH671"/>
  <c r="AI671"/>
  <c r="AJ671"/>
  <c r="AK671"/>
  <c r="AL671"/>
  <c r="AM671"/>
  <c r="AN671"/>
  <c r="AO671"/>
  <c r="AP671"/>
  <c r="AQ671"/>
  <c r="AR671"/>
  <c r="AS671"/>
  <c r="AT671"/>
  <c r="AU671"/>
  <c r="AV671"/>
  <c r="AW671"/>
  <c r="AX671"/>
  <c r="AY671"/>
  <c r="AZ671"/>
  <c r="BA671"/>
  <c r="BB671"/>
  <c r="BC671"/>
  <c r="BD671"/>
  <c r="BE671"/>
  <c r="BF671"/>
  <c r="BG671"/>
  <c r="BH671"/>
  <c r="BI671"/>
  <c r="BJ671"/>
  <c r="BK671"/>
  <c r="BL671"/>
  <c r="BM671"/>
  <c r="BN671"/>
  <c r="BO671"/>
  <c r="BP671"/>
  <c r="BQ671"/>
  <c r="BR671"/>
  <c r="BS671"/>
  <c r="BT671"/>
  <c r="BU671"/>
  <c r="BV671"/>
  <c r="BW671"/>
  <c r="BX671"/>
  <c r="BY671"/>
  <c r="BZ671"/>
  <c r="CQ671"/>
  <c r="CR671"/>
  <c r="CS671"/>
  <c r="CT671"/>
  <c r="CU671"/>
  <c r="CV671"/>
  <c r="CW671"/>
  <c r="CX671"/>
  <c r="CY671"/>
  <c r="CZ671"/>
  <c r="DA671"/>
  <c r="DB671"/>
  <c r="DC671"/>
  <c r="DD671"/>
  <c r="DE671"/>
  <c r="DF671"/>
  <c r="DG671"/>
  <c r="DH671"/>
  <c r="DI671"/>
  <c r="DJ671"/>
  <c r="DK671"/>
  <c r="DL671"/>
  <c r="DM671"/>
  <c r="DN671"/>
  <c r="DO671"/>
  <c r="DP671"/>
  <c r="DQ671"/>
  <c r="DR671"/>
  <c r="DS671"/>
  <c r="DT671"/>
  <c r="DU671"/>
  <c r="DV671"/>
  <c r="DW671"/>
  <c r="DX671"/>
  <c r="DY671"/>
  <c r="DZ671"/>
  <c r="EA671"/>
  <c r="EB671"/>
  <c r="EC671"/>
  <c r="ED671"/>
  <c r="EE671"/>
  <c r="EF671"/>
  <c r="EG671"/>
  <c r="EH671"/>
  <c r="EI671"/>
  <c r="EJ671"/>
  <c r="EK671"/>
  <c r="EL671"/>
  <c r="EM671"/>
  <c r="EN671"/>
  <c r="EO671"/>
  <c r="EP671"/>
  <c r="EQ671"/>
  <c r="ER671"/>
  <c r="ES671"/>
  <c r="ET671"/>
  <c r="EU671"/>
  <c r="EV671"/>
  <c r="EW671"/>
  <c r="EX671"/>
  <c r="EY671"/>
  <c r="EZ671"/>
  <c r="FA671"/>
  <c r="FB671"/>
  <c r="FC671"/>
  <c r="FD671"/>
  <c r="FE671"/>
  <c r="FF671"/>
  <c r="FG671"/>
  <c r="FH671"/>
  <c r="FI671"/>
  <c r="FJ671"/>
  <c r="FK671"/>
  <c r="FL671"/>
  <c r="FM671"/>
  <c r="FN671"/>
  <c r="FO671"/>
  <c r="FP671"/>
  <c r="FQ671"/>
  <c r="FR671"/>
  <c r="FS671"/>
  <c r="FT671"/>
  <c r="FU671"/>
  <c r="FV671"/>
  <c r="FW671"/>
  <c r="FX671"/>
  <c r="FY671"/>
  <c r="FZ671"/>
  <c r="GA671"/>
  <c r="GB671"/>
  <c r="GC671"/>
  <c r="GD671"/>
  <c r="GE671"/>
  <c r="GF671"/>
  <c r="GG671"/>
  <c r="GH671"/>
  <c r="GI671"/>
  <c r="GJ671"/>
  <c r="GK671"/>
  <c r="GL671"/>
  <c r="GM671"/>
  <c r="GN671"/>
  <c r="GO671"/>
  <c r="GP671"/>
  <c r="GQ671"/>
  <c r="GR671"/>
  <c r="R672"/>
  <c r="S672"/>
  <c r="T672"/>
  <c r="U672"/>
  <c r="V672"/>
  <c r="W672"/>
  <c r="X672"/>
  <c r="Y672"/>
  <c r="Z672"/>
  <c r="I672"/>
  <c r="AA672"/>
  <c r="AB672"/>
  <c r="J672"/>
  <c r="AC672"/>
  <c r="AD672"/>
  <c r="AE672"/>
  <c r="AF672"/>
  <c r="AG672"/>
  <c r="AH672"/>
  <c r="AI672"/>
  <c r="AJ672"/>
  <c r="AK672"/>
  <c r="AL672"/>
  <c r="AM672"/>
  <c r="AN672"/>
  <c r="AO672"/>
  <c r="AP672"/>
  <c r="AQ672"/>
  <c r="AR672"/>
  <c r="AS672"/>
  <c r="AT672"/>
  <c r="AU672"/>
  <c r="AV672"/>
  <c r="AW672"/>
  <c r="AX672"/>
  <c r="AY672"/>
  <c r="AZ672"/>
  <c r="BA672"/>
  <c r="BB672"/>
  <c r="BC672"/>
  <c r="BD672"/>
  <c r="BE672"/>
  <c r="BF672"/>
  <c r="BG672"/>
  <c r="BH672"/>
  <c r="BI672"/>
  <c r="BJ672"/>
  <c r="BK672"/>
  <c r="BL672"/>
  <c r="BM672"/>
  <c r="BN672"/>
  <c r="BO672"/>
  <c r="BP672"/>
  <c r="BQ672"/>
  <c r="BR672"/>
  <c r="BS672"/>
  <c r="BT672"/>
  <c r="BU672"/>
  <c r="BV672"/>
  <c r="BW672"/>
  <c r="BX672"/>
  <c r="BY672"/>
  <c r="BZ672"/>
  <c r="CQ672"/>
  <c r="CR672"/>
  <c r="CS672"/>
  <c r="CT672"/>
  <c r="CU672"/>
  <c r="CV672"/>
  <c r="CW672"/>
  <c r="CX672"/>
  <c r="CY672"/>
  <c r="CZ672"/>
  <c r="DA672"/>
  <c r="DB672"/>
  <c r="DC672"/>
  <c r="DD672"/>
  <c r="DE672"/>
  <c r="DF672"/>
  <c r="DG672"/>
  <c r="DH672"/>
  <c r="DI672"/>
  <c r="DJ672"/>
  <c r="DK672"/>
  <c r="DL672"/>
  <c r="DM672"/>
  <c r="DN672"/>
  <c r="DO672"/>
  <c r="DP672"/>
  <c r="DQ672"/>
  <c r="DR672"/>
  <c r="DS672"/>
  <c r="DT672"/>
  <c r="DU672"/>
  <c r="DV672"/>
  <c r="DW672"/>
  <c r="DX672"/>
  <c r="DY672"/>
  <c r="DZ672"/>
  <c r="EA672"/>
  <c r="EB672"/>
  <c r="EC672"/>
  <c r="ED672"/>
  <c r="EE672"/>
  <c r="EF672"/>
  <c r="EG672"/>
  <c r="EH672"/>
  <c r="EI672"/>
  <c r="EJ672"/>
  <c r="EK672"/>
  <c r="EL672"/>
  <c r="EM672"/>
  <c r="EN672"/>
  <c r="EO672"/>
  <c r="EP672"/>
  <c r="EQ672"/>
  <c r="ER672"/>
  <c r="ES672"/>
  <c r="ET672"/>
  <c r="EU672"/>
  <c r="EV672"/>
  <c r="EW672"/>
  <c r="EX672"/>
  <c r="EY672"/>
  <c r="EZ672"/>
  <c r="FA672"/>
  <c r="FB672"/>
  <c r="FC672"/>
  <c r="FD672"/>
  <c r="FE672"/>
  <c r="FF672"/>
  <c r="FG672"/>
  <c r="FH672"/>
  <c r="FI672"/>
  <c r="FJ672"/>
  <c r="FK672"/>
  <c r="FL672"/>
  <c r="FM672"/>
  <c r="FN672"/>
  <c r="FO672"/>
  <c r="FP672"/>
  <c r="FQ672"/>
  <c r="FR672"/>
  <c r="FS672"/>
  <c r="FT672"/>
  <c r="FU672"/>
  <c r="FV672"/>
  <c r="FW672"/>
  <c r="FX672"/>
  <c r="FY672"/>
  <c r="FZ672"/>
  <c r="GA672"/>
  <c r="GB672"/>
  <c r="GC672"/>
  <c r="GD672"/>
  <c r="GE672"/>
  <c r="GF672"/>
  <c r="GG672"/>
  <c r="GH672"/>
  <c r="GI672"/>
  <c r="GJ672"/>
  <c r="GK672"/>
  <c r="GL672"/>
  <c r="GM672"/>
  <c r="GN672"/>
  <c r="GO672"/>
  <c r="GP672"/>
  <c r="GQ672"/>
  <c r="GR672"/>
  <c r="R673"/>
  <c r="S673"/>
  <c r="T673"/>
  <c r="U673"/>
  <c r="V673"/>
  <c r="W673"/>
  <c r="X673"/>
  <c r="Y673"/>
  <c r="Z673"/>
  <c r="I673"/>
  <c r="AA673"/>
  <c r="AB673"/>
  <c r="J673"/>
  <c r="AC673"/>
  <c r="AD673"/>
  <c r="AE673"/>
  <c r="AF673"/>
  <c r="AG673"/>
  <c r="AH673"/>
  <c r="AI673"/>
  <c r="AJ673"/>
  <c r="AK673"/>
  <c r="AL673"/>
  <c r="AM673"/>
  <c r="AN673"/>
  <c r="AO673"/>
  <c r="AP673"/>
  <c r="AQ673"/>
  <c r="AR673"/>
  <c r="AS673"/>
  <c r="AT673"/>
  <c r="AU673"/>
  <c r="AV673"/>
  <c r="AW673"/>
  <c r="AX673"/>
  <c r="AY673"/>
  <c r="AZ673"/>
  <c r="BA673"/>
  <c r="BB673"/>
  <c r="BC673"/>
  <c r="BD673"/>
  <c r="BE673"/>
  <c r="BF673"/>
  <c r="BG673"/>
  <c r="BH673"/>
  <c r="BI673"/>
  <c r="BJ673"/>
  <c r="BK673"/>
  <c r="BL673"/>
  <c r="BM673"/>
  <c r="BN673"/>
  <c r="BO673"/>
  <c r="BP673"/>
  <c r="BQ673"/>
  <c r="BR673"/>
  <c r="BS673"/>
  <c r="BT673"/>
  <c r="BU673"/>
  <c r="BV673"/>
  <c r="BW673"/>
  <c r="BX673"/>
  <c r="BY673"/>
  <c r="BZ673"/>
  <c r="CQ673"/>
  <c r="CR673"/>
  <c r="CS673"/>
  <c r="CT673"/>
  <c r="CU673"/>
  <c r="CV673"/>
  <c r="CW673"/>
  <c r="CX673"/>
  <c r="CY673"/>
  <c r="CZ673"/>
  <c r="DA673"/>
  <c r="DB673"/>
  <c r="DC673"/>
  <c r="DD673"/>
  <c r="DE673"/>
  <c r="DF673"/>
  <c r="DG673"/>
  <c r="DH673"/>
  <c r="DI673"/>
  <c r="DJ673"/>
  <c r="DK673"/>
  <c r="DL673"/>
  <c r="DM673"/>
  <c r="DN673"/>
  <c r="DO673"/>
  <c r="DP673"/>
  <c r="DQ673"/>
  <c r="DR673"/>
  <c r="DS673"/>
  <c r="DT673"/>
  <c r="DU673"/>
  <c r="DV673"/>
  <c r="DW673"/>
  <c r="DX673"/>
  <c r="DY673"/>
  <c r="DZ673"/>
  <c r="EA673"/>
  <c r="EB673"/>
  <c r="EC673"/>
  <c r="ED673"/>
  <c r="EE673"/>
  <c r="EF673"/>
  <c r="EG673"/>
  <c r="EH673"/>
  <c r="EI673"/>
  <c r="EJ673"/>
  <c r="EK673"/>
  <c r="EL673"/>
  <c r="EM673"/>
  <c r="EN673"/>
  <c r="EO673"/>
  <c r="EP673"/>
  <c r="EQ673"/>
  <c r="ER673"/>
  <c r="ES673"/>
  <c r="ET673"/>
  <c r="EU673"/>
  <c r="EV673"/>
  <c r="EW673"/>
  <c r="EX673"/>
  <c r="EY673"/>
  <c r="EZ673"/>
  <c r="FA673"/>
  <c r="FB673"/>
  <c r="FC673"/>
  <c r="FD673"/>
  <c r="FE673"/>
  <c r="FF673"/>
  <c r="FG673"/>
  <c r="FH673"/>
  <c r="FI673"/>
  <c r="FJ673"/>
  <c r="FK673"/>
  <c r="FL673"/>
  <c r="FM673"/>
  <c r="FN673"/>
  <c r="FO673"/>
  <c r="FP673"/>
  <c r="FQ673"/>
  <c r="FR673"/>
  <c r="FS673"/>
  <c r="FT673"/>
  <c r="FU673"/>
  <c r="FV673"/>
  <c r="FW673"/>
  <c r="FX673"/>
  <c r="FY673"/>
  <c r="FZ673"/>
  <c r="GA673"/>
  <c r="GB673"/>
  <c r="GC673"/>
  <c r="GD673"/>
  <c r="GE673"/>
  <c r="GF673"/>
  <c r="GG673"/>
  <c r="GH673"/>
  <c r="GI673"/>
  <c r="GJ673"/>
  <c r="GK673"/>
  <c r="GL673"/>
  <c r="GM673"/>
  <c r="GN673"/>
  <c r="GO673"/>
  <c r="GP673"/>
  <c r="GQ673"/>
  <c r="GR673"/>
  <c r="R674"/>
  <c r="S674"/>
  <c r="T674"/>
  <c r="U674"/>
  <c r="V674"/>
  <c r="W674"/>
  <c r="X674"/>
  <c r="Y674"/>
  <c r="Z674"/>
  <c r="I674"/>
  <c r="AA674"/>
  <c r="AB674"/>
  <c r="J674"/>
  <c r="AC674"/>
  <c r="AD674"/>
  <c r="AE674"/>
  <c r="AF674"/>
  <c r="AG674"/>
  <c r="AH674"/>
  <c r="AI674"/>
  <c r="AJ674"/>
  <c r="AK674"/>
  <c r="AL674"/>
  <c r="AM674"/>
  <c r="AN674"/>
  <c r="AO674"/>
  <c r="AP674"/>
  <c r="AQ674"/>
  <c r="AR674"/>
  <c r="AS674"/>
  <c r="AT674"/>
  <c r="AU674"/>
  <c r="AV674"/>
  <c r="AW674"/>
  <c r="AX674"/>
  <c r="AY674"/>
  <c r="AZ674"/>
  <c r="BA674"/>
  <c r="BB674"/>
  <c r="BC674"/>
  <c r="BD674"/>
  <c r="BE674"/>
  <c r="BF674"/>
  <c r="BG674"/>
  <c r="BH674"/>
  <c r="BI674"/>
  <c r="BJ674"/>
  <c r="BK674"/>
  <c r="BL674"/>
  <c r="BM674"/>
  <c r="BN674"/>
  <c r="BO674"/>
  <c r="BP674"/>
  <c r="BQ674"/>
  <c r="BR674"/>
  <c r="BS674"/>
  <c r="BT674"/>
  <c r="BU674"/>
  <c r="BV674"/>
  <c r="BW674"/>
  <c r="BX674"/>
  <c r="BY674"/>
  <c r="BZ674"/>
  <c r="CQ674"/>
  <c r="CR674"/>
  <c r="CS674"/>
  <c r="CT674"/>
  <c r="CU674"/>
  <c r="CV674"/>
  <c r="CW674"/>
  <c r="CX674"/>
  <c r="CY674"/>
  <c r="CZ674"/>
  <c r="DA674"/>
  <c r="DB674"/>
  <c r="DC674"/>
  <c r="DD674"/>
  <c r="DE674"/>
  <c r="DF674"/>
  <c r="DG674"/>
  <c r="DH674"/>
  <c r="DI674"/>
  <c r="DJ674"/>
  <c r="DK674"/>
  <c r="DL674"/>
  <c r="DM674"/>
  <c r="DN674"/>
  <c r="DO674"/>
  <c r="DP674"/>
  <c r="DQ674"/>
  <c r="DR674"/>
  <c r="DS674"/>
  <c r="DT674"/>
  <c r="DU674"/>
  <c r="DV674"/>
  <c r="DW674"/>
  <c r="DX674"/>
  <c r="DY674"/>
  <c r="DZ674"/>
  <c r="EA674"/>
  <c r="EB674"/>
  <c r="EC674"/>
  <c r="ED674"/>
  <c r="EE674"/>
  <c r="EF674"/>
  <c r="EG674"/>
  <c r="EH674"/>
  <c r="EI674"/>
  <c r="EJ674"/>
  <c r="EK674"/>
  <c r="EL674"/>
  <c r="EM674"/>
  <c r="EN674"/>
  <c r="EO674"/>
  <c r="EP674"/>
  <c r="EQ674"/>
  <c r="ER674"/>
  <c r="ES674"/>
  <c r="ET674"/>
  <c r="EU674"/>
  <c r="EV674"/>
  <c r="EW674"/>
  <c r="EX674"/>
  <c r="EY674"/>
  <c r="EZ674"/>
  <c r="FA674"/>
  <c r="FB674"/>
  <c r="FC674"/>
  <c r="FD674"/>
  <c r="FE674"/>
  <c r="FF674"/>
  <c r="FG674"/>
  <c r="FH674"/>
  <c r="FI674"/>
  <c r="FJ674"/>
  <c r="FK674"/>
  <c r="FL674"/>
  <c r="FM674"/>
  <c r="FN674"/>
  <c r="FO674"/>
  <c r="FP674"/>
  <c r="FQ674"/>
  <c r="FR674"/>
  <c r="FS674"/>
  <c r="FT674"/>
  <c r="FU674"/>
  <c r="FV674"/>
  <c r="FW674"/>
  <c r="FX674"/>
  <c r="FY674"/>
  <c r="FZ674"/>
  <c r="GA674"/>
  <c r="GB674"/>
  <c r="GC674"/>
  <c r="GD674"/>
  <c r="GE674"/>
  <c r="GF674"/>
  <c r="GG674"/>
  <c r="GH674"/>
  <c r="GI674"/>
  <c r="GJ674"/>
  <c r="GK674"/>
  <c r="GL674"/>
  <c r="GM674"/>
  <c r="GN674"/>
  <c r="GO674"/>
  <c r="GP674"/>
  <c r="GQ674"/>
  <c r="GR674"/>
  <c r="R675"/>
  <c r="S675"/>
  <c r="T675"/>
  <c r="U675"/>
  <c r="V675"/>
  <c r="W675"/>
  <c r="X675"/>
  <c r="Y675"/>
  <c r="Z675"/>
  <c r="I675"/>
  <c r="AA675"/>
  <c r="AB675"/>
  <c r="J675"/>
  <c r="AC675"/>
  <c r="AD675"/>
  <c r="AE675"/>
  <c r="AF675"/>
  <c r="AG675"/>
  <c r="AH675"/>
  <c r="AI675"/>
  <c r="AJ675"/>
  <c r="AK675"/>
  <c r="AL675"/>
  <c r="AM675"/>
  <c r="AN675"/>
  <c r="AO675"/>
  <c r="AP675"/>
  <c r="AQ675"/>
  <c r="AR675"/>
  <c r="AS675"/>
  <c r="AT675"/>
  <c r="AU675"/>
  <c r="AV675"/>
  <c r="AW675"/>
  <c r="AX675"/>
  <c r="AY675"/>
  <c r="AZ675"/>
  <c r="BA675"/>
  <c r="BB675"/>
  <c r="BC675"/>
  <c r="BD675"/>
  <c r="BE675"/>
  <c r="BF675"/>
  <c r="BG675"/>
  <c r="BH675"/>
  <c r="BI675"/>
  <c r="BJ675"/>
  <c r="BK675"/>
  <c r="BL675"/>
  <c r="BM675"/>
  <c r="BN675"/>
  <c r="BO675"/>
  <c r="BP675"/>
  <c r="BQ675"/>
  <c r="BR675"/>
  <c r="BS675"/>
  <c r="BT675"/>
  <c r="BU675"/>
  <c r="BV675"/>
  <c r="BW675"/>
  <c r="BX675"/>
  <c r="BY675"/>
  <c r="BZ675"/>
  <c r="CQ675"/>
  <c r="CR675"/>
  <c r="CS675"/>
  <c r="CT675"/>
  <c r="CU675"/>
  <c r="CV675"/>
  <c r="CW675"/>
  <c r="CX675"/>
  <c r="CY675"/>
  <c r="CZ675"/>
  <c r="DA675"/>
  <c r="DB675"/>
  <c r="DC675"/>
  <c r="DD675"/>
  <c r="DE675"/>
  <c r="DF675"/>
  <c r="DG675"/>
  <c r="DH675"/>
  <c r="DI675"/>
  <c r="DJ675"/>
  <c r="DK675"/>
  <c r="DL675"/>
  <c r="DM675"/>
  <c r="DN675"/>
  <c r="DO675"/>
  <c r="DP675"/>
  <c r="DQ675"/>
  <c r="DR675"/>
  <c r="DS675"/>
  <c r="DT675"/>
  <c r="DU675"/>
  <c r="DV675"/>
  <c r="DW675"/>
  <c r="DX675"/>
  <c r="DY675"/>
  <c r="DZ675"/>
  <c r="EA675"/>
  <c r="EB675"/>
  <c r="EC675"/>
  <c r="ED675"/>
  <c r="EE675"/>
  <c r="EF675"/>
  <c r="EG675"/>
  <c r="EH675"/>
  <c r="EI675"/>
  <c r="EJ675"/>
  <c r="EK675"/>
  <c r="EL675"/>
  <c r="EM675"/>
  <c r="EN675"/>
  <c r="EO675"/>
  <c r="EP675"/>
  <c r="EQ675"/>
  <c r="ER675"/>
  <c r="ES675"/>
  <c r="ET675"/>
  <c r="EU675"/>
  <c r="EV675"/>
  <c r="EW675"/>
  <c r="EX675"/>
  <c r="EY675"/>
  <c r="EZ675"/>
  <c r="FA675"/>
  <c r="FB675"/>
  <c r="FC675"/>
  <c r="FD675"/>
  <c r="FE675"/>
  <c r="FF675"/>
  <c r="FG675"/>
  <c r="FH675"/>
  <c r="FI675"/>
  <c r="FJ675"/>
  <c r="FK675"/>
  <c r="FL675"/>
  <c r="FM675"/>
  <c r="FN675"/>
  <c r="FO675"/>
  <c r="FP675"/>
  <c r="FQ675"/>
  <c r="FR675"/>
  <c r="FS675"/>
  <c r="FT675"/>
  <c r="FU675"/>
  <c r="FV675"/>
  <c r="FW675"/>
  <c r="FX675"/>
  <c r="FY675"/>
  <c r="FZ675"/>
  <c r="GA675"/>
  <c r="GB675"/>
  <c r="GC675"/>
  <c r="GD675"/>
  <c r="GE675"/>
  <c r="GF675"/>
  <c r="GG675"/>
  <c r="GH675"/>
  <c r="GI675"/>
  <c r="GJ675"/>
  <c r="GK675"/>
  <c r="GL675"/>
  <c r="GM675"/>
  <c r="GN675"/>
  <c r="GO675"/>
  <c r="GP675"/>
  <c r="GQ675"/>
  <c r="GR675"/>
  <c r="R676"/>
  <c r="S676"/>
  <c r="T676"/>
  <c r="U676"/>
  <c r="V676"/>
  <c r="W676"/>
  <c r="X676"/>
  <c r="Y676"/>
  <c r="Z676"/>
  <c r="I676"/>
  <c r="AA676"/>
  <c r="AB676"/>
  <c r="J676"/>
  <c r="AC676"/>
  <c r="AD676"/>
  <c r="AE676"/>
  <c r="AF676"/>
  <c r="AG676"/>
  <c r="AH676"/>
  <c r="AI676"/>
  <c r="AJ676"/>
  <c r="AK676"/>
  <c r="AL676"/>
  <c r="AM676"/>
  <c r="AN676"/>
  <c r="AO676"/>
  <c r="AP676"/>
  <c r="AQ676"/>
  <c r="AR676"/>
  <c r="AS676"/>
  <c r="AT676"/>
  <c r="AU676"/>
  <c r="AV676"/>
  <c r="AW676"/>
  <c r="AX676"/>
  <c r="AY676"/>
  <c r="AZ676"/>
  <c r="BA676"/>
  <c r="BB676"/>
  <c r="BC676"/>
  <c r="BD676"/>
  <c r="BE676"/>
  <c r="BF676"/>
  <c r="BG676"/>
  <c r="BH676"/>
  <c r="BI676"/>
  <c r="BJ676"/>
  <c r="BK676"/>
  <c r="BL676"/>
  <c r="BM676"/>
  <c r="BN676"/>
  <c r="BO676"/>
  <c r="BP676"/>
  <c r="BQ676"/>
  <c r="BR676"/>
  <c r="BS676"/>
  <c r="BT676"/>
  <c r="BU676"/>
  <c r="BV676"/>
  <c r="BW676"/>
  <c r="BX676"/>
  <c r="BY676"/>
  <c r="BZ676"/>
  <c r="CQ676"/>
  <c r="CR676"/>
  <c r="CS676"/>
  <c r="CT676"/>
  <c r="CU676"/>
  <c r="CV676"/>
  <c r="CW676"/>
  <c r="CX676"/>
  <c r="CY676"/>
  <c r="CZ676"/>
  <c r="DA676"/>
  <c r="DB676"/>
  <c r="DC676"/>
  <c r="DD676"/>
  <c r="DE676"/>
  <c r="DF676"/>
  <c r="DG676"/>
  <c r="DH676"/>
  <c r="DI676"/>
  <c r="DJ676"/>
  <c r="DK676"/>
  <c r="DL676"/>
  <c r="DM676"/>
  <c r="DN676"/>
  <c r="DO676"/>
  <c r="DP676"/>
  <c r="DQ676"/>
  <c r="DR676"/>
  <c r="DS676"/>
  <c r="DT676"/>
  <c r="DU676"/>
  <c r="DV676"/>
  <c r="DW676"/>
  <c r="DX676"/>
  <c r="DY676"/>
  <c r="DZ676"/>
  <c r="EA676"/>
  <c r="EB676"/>
  <c r="EC676"/>
  <c r="ED676"/>
  <c r="EE676"/>
  <c r="EF676"/>
  <c r="EG676"/>
  <c r="EH676"/>
  <c r="EI676"/>
  <c r="EJ676"/>
  <c r="EK676"/>
  <c r="EL676"/>
  <c r="EM676"/>
  <c r="EN676"/>
  <c r="EO676"/>
  <c r="EP676"/>
  <c r="EQ676"/>
  <c r="ER676"/>
  <c r="ES676"/>
  <c r="ET676"/>
  <c r="EU676"/>
  <c r="EV676"/>
  <c r="EW676"/>
  <c r="EX676"/>
  <c r="EY676"/>
  <c r="EZ676"/>
  <c r="FA676"/>
  <c r="FB676"/>
  <c r="FC676"/>
  <c r="FD676"/>
  <c r="FE676"/>
  <c r="FF676"/>
  <c r="FG676"/>
  <c r="FH676"/>
  <c r="FI676"/>
  <c r="FJ676"/>
  <c r="FK676"/>
  <c r="FL676"/>
  <c r="FM676"/>
  <c r="FN676"/>
  <c r="FO676"/>
  <c r="FP676"/>
  <c r="FQ676"/>
  <c r="FR676"/>
  <c r="FS676"/>
  <c r="FT676"/>
  <c r="FU676"/>
  <c r="FV676"/>
  <c r="FW676"/>
  <c r="FX676"/>
  <c r="FY676"/>
  <c r="FZ676"/>
  <c r="GA676"/>
  <c r="GB676"/>
  <c r="GC676"/>
  <c r="GD676"/>
  <c r="GE676"/>
  <c r="GF676"/>
  <c r="GG676"/>
  <c r="GH676"/>
  <c r="GI676"/>
  <c r="GJ676"/>
  <c r="GK676"/>
  <c r="GL676"/>
  <c r="GM676"/>
  <c r="GN676"/>
  <c r="GO676"/>
  <c r="GP676"/>
  <c r="GQ676"/>
  <c r="GR676"/>
  <c r="R677"/>
  <c r="S677"/>
  <c r="T677"/>
  <c r="U677"/>
  <c r="V677"/>
  <c r="W677"/>
  <c r="X677"/>
  <c r="Y677"/>
  <c r="Z677"/>
  <c r="I677"/>
  <c r="AA677"/>
  <c r="AB677"/>
  <c r="J677"/>
  <c r="AC677"/>
  <c r="AD677"/>
  <c r="AE677"/>
  <c r="AF677"/>
  <c r="AG677"/>
  <c r="AH677"/>
  <c r="AI677"/>
  <c r="AJ677"/>
  <c r="AK677"/>
  <c r="AL677"/>
  <c r="AM677"/>
  <c r="AN677"/>
  <c r="AO677"/>
  <c r="AP677"/>
  <c r="AQ677"/>
  <c r="AR677"/>
  <c r="AS677"/>
  <c r="AT677"/>
  <c r="AU677"/>
  <c r="AV677"/>
  <c r="AW677"/>
  <c r="AX677"/>
  <c r="AY677"/>
  <c r="AZ677"/>
  <c r="BA677"/>
  <c r="BB677"/>
  <c r="BC677"/>
  <c r="BD677"/>
  <c r="BE677"/>
  <c r="BF677"/>
  <c r="BG677"/>
  <c r="BH677"/>
  <c r="BI677"/>
  <c r="BJ677"/>
  <c r="BK677"/>
  <c r="BL677"/>
  <c r="BM677"/>
  <c r="BN677"/>
  <c r="BO677"/>
  <c r="BP677"/>
  <c r="BQ677"/>
  <c r="BR677"/>
  <c r="BS677"/>
  <c r="BT677"/>
  <c r="BU677"/>
  <c r="BV677"/>
  <c r="BW677"/>
  <c r="BX677"/>
  <c r="BY677"/>
  <c r="BZ677"/>
  <c r="CQ677"/>
  <c r="CR677"/>
  <c r="CS677"/>
  <c r="CT677"/>
  <c r="CU677"/>
  <c r="CV677"/>
  <c r="CW677"/>
  <c r="CX677"/>
  <c r="CY677"/>
  <c r="CZ677"/>
  <c r="DA677"/>
  <c r="DB677"/>
  <c r="DC677"/>
  <c r="DD677"/>
  <c r="DE677"/>
  <c r="DF677"/>
  <c r="DG677"/>
  <c r="DH677"/>
  <c r="DI677"/>
  <c r="DJ677"/>
  <c r="DK677"/>
  <c r="DL677"/>
  <c r="DM677"/>
  <c r="DN677"/>
  <c r="DO677"/>
  <c r="DP677"/>
  <c r="DQ677"/>
  <c r="DR677"/>
  <c r="DS677"/>
  <c r="DT677"/>
  <c r="DU677"/>
  <c r="DV677"/>
  <c r="DW677"/>
  <c r="DX677"/>
  <c r="DY677"/>
  <c r="DZ677"/>
  <c r="EA677"/>
  <c r="EB677"/>
  <c r="EC677"/>
  <c r="ED677"/>
  <c r="EE677"/>
  <c r="EF677"/>
  <c r="EG677"/>
  <c r="EH677"/>
  <c r="EI677"/>
  <c r="EJ677"/>
  <c r="EK677"/>
  <c r="EL677"/>
  <c r="EM677"/>
  <c r="EN677"/>
  <c r="EO677"/>
  <c r="EP677"/>
  <c r="EQ677"/>
  <c r="ER677"/>
  <c r="ES677"/>
  <c r="ET677"/>
  <c r="EU677"/>
  <c r="EV677"/>
  <c r="EW677"/>
  <c r="EX677"/>
  <c r="EY677"/>
  <c r="EZ677"/>
  <c r="FA677"/>
  <c r="FB677"/>
  <c r="FC677"/>
  <c r="FD677"/>
  <c r="FE677"/>
  <c r="FF677"/>
  <c r="FG677"/>
  <c r="FH677"/>
  <c r="FI677"/>
  <c r="FJ677"/>
  <c r="FK677"/>
  <c r="FL677"/>
  <c r="FM677"/>
  <c r="FN677"/>
  <c r="FO677"/>
  <c r="FP677"/>
  <c r="FQ677"/>
  <c r="FR677"/>
  <c r="FS677"/>
  <c r="FT677"/>
  <c r="FU677"/>
  <c r="FV677"/>
  <c r="FW677"/>
  <c r="FX677"/>
  <c r="FY677"/>
  <c r="FZ677"/>
  <c r="GA677"/>
  <c r="GB677"/>
  <c r="GC677"/>
  <c r="GD677"/>
  <c r="GE677"/>
  <c r="GF677"/>
  <c r="GG677"/>
  <c r="GH677"/>
  <c r="GI677"/>
  <c r="GJ677"/>
  <c r="GK677"/>
  <c r="GL677"/>
  <c r="GM677"/>
  <c r="GN677"/>
  <c r="GO677"/>
  <c r="GP677"/>
  <c r="GQ677"/>
  <c r="GR677"/>
  <c r="R678"/>
  <c r="S678"/>
  <c r="T678"/>
  <c r="U678"/>
  <c r="V678"/>
  <c r="W678"/>
  <c r="X678"/>
  <c r="Y678"/>
  <c r="Z678"/>
  <c r="I678"/>
  <c r="AA678"/>
  <c r="AB678"/>
  <c r="J678"/>
  <c r="AC678"/>
  <c r="AD678"/>
  <c r="AE678"/>
  <c r="AF678"/>
  <c r="AG678"/>
  <c r="AH678"/>
  <c r="AI678"/>
  <c r="AJ678"/>
  <c r="AK678"/>
  <c r="AL678"/>
  <c r="AM678"/>
  <c r="AN678"/>
  <c r="AO678"/>
  <c r="AP678"/>
  <c r="AQ678"/>
  <c r="AR678"/>
  <c r="AS678"/>
  <c r="AT678"/>
  <c r="AU678"/>
  <c r="AV678"/>
  <c r="AW678"/>
  <c r="AX678"/>
  <c r="AY678"/>
  <c r="AZ678"/>
  <c r="BA678"/>
  <c r="BB678"/>
  <c r="BC678"/>
  <c r="BD678"/>
  <c r="BE678"/>
  <c r="BF678"/>
  <c r="BG678"/>
  <c r="BH678"/>
  <c r="BI678"/>
  <c r="BJ678"/>
  <c r="BK678"/>
  <c r="BL678"/>
  <c r="BM678"/>
  <c r="BN678"/>
  <c r="BO678"/>
  <c r="BP678"/>
  <c r="BQ678"/>
  <c r="BR678"/>
  <c r="BS678"/>
  <c r="BT678"/>
  <c r="BU678"/>
  <c r="BV678"/>
  <c r="BW678"/>
  <c r="BX678"/>
  <c r="BY678"/>
  <c r="BZ678"/>
  <c r="CQ678"/>
  <c r="CR678"/>
  <c r="CS678"/>
  <c r="CT678"/>
  <c r="CU678"/>
  <c r="CV678"/>
  <c r="CW678"/>
  <c r="CX678"/>
  <c r="CY678"/>
  <c r="CZ678"/>
  <c r="DA678"/>
  <c r="DB678"/>
  <c r="DC678"/>
  <c r="DD678"/>
  <c r="DE678"/>
  <c r="DF678"/>
  <c r="DG678"/>
  <c r="DH678"/>
  <c r="DI678"/>
  <c r="DJ678"/>
  <c r="DK678"/>
  <c r="DL678"/>
  <c r="DM678"/>
  <c r="DN678"/>
  <c r="DO678"/>
  <c r="DP678"/>
  <c r="DQ678"/>
  <c r="DR678"/>
  <c r="DS678"/>
  <c r="DT678"/>
  <c r="DU678"/>
  <c r="DV678"/>
  <c r="DW678"/>
  <c r="DX678"/>
  <c r="DY678"/>
  <c r="DZ678"/>
  <c r="EA678"/>
  <c r="EB678"/>
  <c r="EC678"/>
  <c r="ED678"/>
  <c r="EE678"/>
  <c r="EF678"/>
  <c r="EG678"/>
  <c r="EH678"/>
  <c r="EI678"/>
  <c r="EJ678"/>
  <c r="EK678"/>
  <c r="EL678"/>
  <c r="EM678"/>
  <c r="EN678"/>
  <c r="EO678"/>
  <c r="EP678"/>
  <c r="EQ678"/>
  <c r="ER678"/>
  <c r="ES678"/>
  <c r="ET678"/>
  <c r="EU678"/>
  <c r="EV678"/>
  <c r="EW678"/>
  <c r="EX678"/>
  <c r="EY678"/>
  <c r="EZ678"/>
  <c r="FA678"/>
  <c r="FB678"/>
  <c r="FC678"/>
  <c r="FD678"/>
  <c r="FE678"/>
  <c r="FF678"/>
  <c r="FG678"/>
  <c r="FH678"/>
  <c r="FI678"/>
  <c r="FJ678"/>
  <c r="FK678"/>
  <c r="FL678"/>
  <c r="FM678"/>
  <c r="FN678"/>
  <c r="FO678"/>
  <c r="FP678"/>
  <c r="FQ678"/>
  <c r="FR678"/>
  <c r="FS678"/>
  <c r="FT678"/>
  <c r="FU678"/>
  <c r="FV678"/>
  <c r="FW678"/>
  <c r="FX678"/>
  <c r="FY678"/>
  <c r="FZ678"/>
  <c r="GA678"/>
  <c r="GB678"/>
  <c r="GC678"/>
  <c r="GD678"/>
  <c r="GE678"/>
  <c r="GF678"/>
  <c r="GG678"/>
  <c r="GH678"/>
  <c r="GI678"/>
  <c r="GJ678"/>
  <c r="GK678"/>
  <c r="GL678"/>
  <c r="GM678"/>
  <c r="GN678"/>
  <c r="GO678"/>
  <c r="GP678"/>
  <c r="GQ678"/>
  <c r="GR678"/>
  <c r="R679"/>
  <c r="S679"/>
  <c r="T679"/>
  <c r="U679"/>
  <c r="V679"/>
  <c r="W679"/>
  <c r="X679"/>
  <c r="Y679"/>
  <c r="Z679"/>
  <c r="I679"/>
  <c r="AA679"/>
  <c r="AB679"/>
  <c r="J679"/>
  <c r="AC679"/>
  <c r="AD679"/>
  <c r="AE679"/>
  <c r="AF679"/>
  <c r="AG679"/>
  <c r="AH679"/>
  <c r="AI679"/>
  <c r="AJ679"/>
  <c r="AK679"/>
  <c r="AL679"/>
  <c r="AM679"/>
  <c r="AN679"/>
  <c r="AO679"/>
  <c r="AP679"/>
  <c r="AQ679"/>
  <c r="AR679"/>
  <c r="AS679"/>
  <c r="AT679"/>
  <c r="AU679"/>
  <c r="AV679"/>
  <c r="AW679"/>
  <c r="AX679"/>
  <c r="AY679"/>
  <c r="AZ679"/>
  <c r="BA679"/>
  <c r="BB679"/>
  <c r="BC679"/>
  <c r="BD679"/>
  <c r="BE679"/>
  <c r="BF679"/>
  <c r="BG679"/>
  <c r="BH679"/>
  <c r="BI679"/>
  <c r="BJ679"/>
  <c r="BK679"/>
  <c r="BL679"/>
  <c r="BM679"/>
  <c r="BN679"/>
  <c r="BO679"/>
  <c r="BP679"/>
  <c r="BQ679"/>
  <c r="BR679"/>
  <c r="BS679"/>
  <c r="BT679"/>
  <c r="BU679"/>
  <c r="BV679"/>
  <c r="BW679"/>
  <c r="BX679"/>
  <c r="BY679"/>
  <c r="BZ679"/>
  <c r="CQ679"/>
  <c r="CR679"/>
  <c r="CS679"/>
  <c r="CT679"/>
  <c r="CU679"/>
  <c r="CV679"/>
  <c r="CW679"/>
  <c r="CX679"/>
  <c r="CY679"/>
  <c r="CZ679"/>
  <c r="DA679"/>
  <c r="DB679"/>
  <c r="DC679"/>
  <c r="DD679"/>
  <c r="DE679"/>
  <c r="DF679"/>
  <c r="DG679"/>
  <c r="DH679"/>
  <c r="DI679"/>
  <c r="DJ679"/>
  <c r="DK679"/>
  <c r="DL679"/>
  <c r="DM679"/>
  <c r="DN679"/>
  <c r="DO679"/>
  <c r="DP679"/>
  <c r="DQ679"/>
  <c r="DR679"/>
  <c r="DS679"/>
  <c r="DT679"/>
  <c r="DU679"/>
  <c r="DV679"/>
  <c r="DW679"/>
  <c r="DX679"/>
  <c r="DY679"/>
  <c r="DZ679"/>
  <c r="EA679"/>
  <c r="EB679"/>
  <c r="EC679"/>
  <c r="ED679"/>
  <c r="EE679"/>
  <c r="EF679"/>
  <c r="EG679"/>
  <c r="EH679"/>
  <c r="EI679"/>
  <c r="EJ679"/>
  <c r="EK679"/>
  <c r="EL679"/>
  <c r="EM679"/>
  <c r="EN679"/>
  <c r="EO679"/>
  <c r="EP679"/>
  <c r="EQ679"/>
  <c r="ER679"/>
  <c r="ES679"/>
  <c r="ET679"/>
  <c r="EU679"/>
  <c r="EV679"/>
  <c r="EW679"/>
  <c r="EX679"/>
  <c r="EY679"/>
  <c r="EZ679"/>
  <c r="FA679"/>
  <c r="FB679"/>
  <c r="FC679"/>
  <c r="FD679"/>
  <c r="FE679"/>
  <c r="FF679"/>
  <c r="FG679"/>
  <c r="FH679"/>
  <c r="FI679"/>
  <c r="FJ679"/>
  <c r="FK679"/>
  <c r="FL679"/>
  <c r="FM679"/>
  <c r="FN679"/>
  <c r="FO679"/>
  <c r="FP679"/>
  <c r="FQ679"/>
  <c r="FR679"/>
  <c r="FS679"/>
  <c r="FT679"/>
  <c r="FU679"/>
  <c r="FV679"/>
  <c r="FW679"/>
  <c r="FX679"/>
  <c r="FY679"/>
  <c r="FZ679"/>
  <c r="GA679"/>
  <c r="GB679"/>
  <c r="GC679"/>
  <c r="GD679"/>
  <c r="GE679"/>
  <c r="GF679"/>
  <c r="GG679"/>
  <c r="GH679"/>
  <c r="GI679"/>
  <c r="GJ679"/>
  <c r="GK679"/>
  <c r="GL679"/>
  <c r="GM679"/>
  <c r="GN679"/>
  <c r="GO679"/>
  <c r="GP679"/>
  <c r="GQ679"/>
  <c r="GR679"/>
  <c r="R680"/>
  <c r="S680"/>
  <c r="T680"/>
  <c r="U680"/>
  <c r="V680"/>
  <c r="W680"/>
  <c r="X680"/>
  <c r="Y680"/>
  <c r="Z680"/>
  <c r="I680"/>
  <c r="AA680"/>
  <c r="AB680"/>
  <c r="J680"/>
  <c r="AC680"/>
  <c r="AD680"/>
  <c r="AE680"/>
  <c r="AF680"/>
  <c r="AG680"/>
  <c r="AH680"/>
  <c r="AI680"/>
  <c r="AJ680"/>
  <c r="AK680"/>
  <c r="AL680"/>
  <c r="AM680"/>
  <c r="AN680"/>
  <c r="AO680"/>
  <c r="AP680"/>
  <c r="AQ680"/>
  <c r="AR680"/>
  <c r="AS680"/>
  <c r="AT680"/>
  <c r="AU680"/>
  <c r="AV680"/>
  <c r="AW680"/>
  <c r="AX680"/>
  <c r="AY680"/>
  <c r="AZ680"/>
  <c r="BA680"/>
  <c r="BB680"/>
  <c r="BC680"/>
  <c r="BD680"/>
  <c r="BE680"/>
  <c r="BF680"/>
  <c r="BG680"/>
  <c r="BH680"/>
  <c r="BI680"/>
  <c r="BJ680"/>
  <c r="BK680"/>
  <c r="BL680"/>
  <c r="BM680"/>
  <c r="BN680"/>
  <c r="BO680"/>
  <c r="BP680"/>
  <c r="BQ680"/>
  <c r="BR680"/>
  <c r="BS680"/>
  <c r="BT680"/>
  <c r="BU680"/>
  <c r="BV680"/>
  <c r="BW680"/>
  <c r="BX680"/>
  <c r="BY680"/>
  <c r="BZ680"/>
  <c r="CQ680"/>
  <c r="CR680"/>
  <c r="CS680"/>
  <c r="CT680"/>
  <c r="CU680"/>
  <c r="CV680"/>
  <c r="CW680"/>
  <c r="CX680"/>
  <c r="CY680"/>
  <c r="CZ680"/>
  <c r="DA680"/>
  <c r="DB680"/>
  <c r="DC680"/>
  <c r="DD680"/>
  <c r="DE680"/>
  <c r="DF680"/>
  <c r="DG680"/>
  <c r="DH680"/>
  <c r="DI680"/>
  <c r="DJ680"/>
  <c r="DK680"/>
  <c r="DL680"/>
  <c r="DM680"/>
  <c r="DN680"/>
  <c r="DO680"/>
  <c r="DP680"/>
  <c r="DQ680"/>
  <c r="DR680"/>
  <c r="DS680"/>
  <c r="DT680"/>
  <c r="DU680"/>
  <c r="DV680"/>
  <c r="DW680"/>
  <c r="DX680"/>
  <c r="DY680"/>
  <c r="DZ680"/>
  <c r="EA680"/>
  <c r="EB680"/>
  <c r="EC680"/>
  <c r="ED680"/>
  <c r="EE680"/>
  <c r="EF680"/>
  <c r="EG680"/>
  <c r="EH680"/>
  <c r="EI680"/>
  <c r="EJ680"/>
  <c r="EK680"/>
  <c r="EL680"/>
  <c r="EM680"/>
  <c r="EN680"/>
  <c r="EO680"/>
  <c r="EP680"/>
  <c r="EQ680"/>
  <c r="ER680"/>
  <c r="ES680"/>
  <c r="ET680"/>
  <c r="EU680"/>
  <c r="EV680"/>
  <c r="EW680"/>
  <c r="EX680"/>
  <c r="EY680"/>
  <c r="EZ680"/>
  <c r="FA680"/>
  <c r="FB680"/>
  <c r="FC680"/>
  <c r="FD680"/>
  <c r="FE680"/>
  <c r="FF680"/>
  <c r="FG680"/>
  <c r="FH680"/>
  <c r="FI680"/>
  <c r="FJ680"/>
  <c r="FK680"/>
  <c r="FL680"/>
  <c r="FM680"/>
  <c r="FN680"/>
  <c r="FO680"/>
  <c r="FP680"/>
  <c r="FQ680"/>
  <c r="FR680"/>
  <c r="FS680"/>
  <c r="FT680"/>
  <c r="FU680"/>
  <c r="FV680"/>
  <c r="FW680"/>
  <c r="FX680"/>
  <c r="FY680"/>
  <c r="FZ680"/>
  <c r="GA680"/>
  <c r="GB680"/>
  <c r="GC680"/>
  <c r="GD680"/>
  <c r="GE680"/>
  <c r="GF680"/>
  <c r="GG680"/>
  <c r="GH680"/>
  <c r="GI680"/>
  <c r="GJ680"/>
  <c r="GK680"/>
  <c r="GL680"/>
  <c r="GM680"/>
  <c r="GN680"/>
  <c r="GO680"/>
  <c r="GP680"/>
  <c r="GQ680"/>
  <c r="GR680"/>
  <c r="R681"/>
  <c r="S681"/>
  <c r="T681"/>
  <c r="U681"/>
  <c r="V681"/>
  <c r="W681"/>
  <c r="X681"/>
  <c r="Y681"/>
  <c r="Z681"/>
  <c r="I681"/>
  <c r="AA681"/>
  <c r="AB681"/>
  <c r="J681"/>
  <c r="AC681"/>
  <c r="AD681"/>
  <c r="AE681"/>
  <c r="AF681"/>
  <c r="AG681"/>
  <c r="AH681"/>
  <c r="AI681"/>
  <c r="AJ681"/>
  <c r="AK681"/>
  <c r="AL681"/>
  <c r="AM681"/>
  <c r="AN681"/>
  <c r="AO681"/>
  <c r="AP681"/>
  <c r="AQ681"/>
  <c r="AR681"/>
  <c r="AS681"/>
  <c r="AT681"/>
  <c r="AU681"/>
  <c r="AV681"/>
  <c r="AW681"/>
  <c r="AX681"/>
  <c r="AY681"/>
  <c r="AZ681"/>
  <c r="BA681"/>
  <c r="BB681"/>
  <c r="BC681"/>
  <c r="BD681"/>
  <c r="BE681"/>
  <c r="BF681"/>
  <c r="BG681"/>
  <c r="BH681"/>
  <c r="BI681"/>
  <c r="BJ681"/>
  <c r="BK681"/>
  <c r="BL681"/>
  <c r="BM681"/>
  <c r="BN681"/>
  <c r="BO681"/>
  <c r="BP681"/>
  <c r="BQ681"/>
  <c r="BR681"/>
  <c r="BS681"/>
  <c r="BT681"/>
  <c r="BU681"/>
  <c r="BV681"/>
  <c r="BW681"/>
  <c r="BX681"/>
  <c r="BY681"/>
  <c r="BZ681"/>
  <c r="CQ681"/>
  <c r="CR681"/>
  <c r="CS681"/>
  <c r="CT681"/>
  <c r="CU681"/>
  <c r="CV681"/>
  <c r="CW681"/>
  <c r="CX681"/>
  <c r="CY681"/>
  <c r="CZ681"/>
  <c r="DA681"/>
  <c r="DB681"/>
  <c r="DC681"/>
  <c r="DD681"/>
  <c r="DE681"/>
  <c r="DF681"/>
  <c r="DG681"/>
  <c r="DH681"/>
  <c r="DI681"/>
  <c r="DJ681"/>
  <c r="DK681"/>
  <c r="DL681"/>
  <c r="DM681"/>
  <c r="DN681"/>
  <c r="DO681"/>
  <c r="DP681"/>
  <c r="DQ681"/>
  <c r="DR681"/>
  <c r="DS681"/>
  <c r="DT681"/>
  <c r="DU681"/>
  <c r="DV681"/>
  <c r="DW681"/>
  <c r="DX681"/>
  <c r="DY681"/>
  <c r="DZ681"/>
  <c r="EA681"/>
  <c r="EB681"/>
  <c r="EC681"/>
  <c r="ED681"/>
  <c r="EE681"/>
  <c r="EF681"/>
  <c r="EG681"/>
  <c r="EH681"/>
  <c r="EI681"/>
  <c r="EJ681"/>
  <c r="EK681"/>
  <c r="EL681"/>
  <c r="EM681"/>
  <c r="EN681"/>
  <c r="EO681"/>
  <c r="EP681"/>
  <c r="EQ681"/>
  <c r="ER681"/>
  <c r="ES681"/>
  <c r="ET681"/>
  <c r="EU681"/>
  <c r="EV681"/>
  <c r="EW681"/>
  <c r="EX681"/>
  <c r="EY681"/>
  <c r="EZ681"/>
  <c r="FA681"/>
  <c r="FB681"/>
  <c r="FC681"/>
  <c r="FD681"/>
  <c r="FE681"/>
  <c r="FF681"/>
  <c r="FG681"/>
  <c r="FH681"/>
  <c r="FI681"/>
  <c r="FJ681"/>
  <c r="FK681"/>
  <c r="FL681"/>
  <c r="FM681"/>
  <c r="FN681"/>
  <c r="FO681"/>
  <c r="FP681"/>
  <c r="FQ681"/>
  <c r="FR681"/>
  <c r="FS681"/>
  <c r="FT681"/>
  <c r="FU681"/>
  <c r="FV681"/>
  <c r="FW681"/>
  <c r="FX681"/>
  <c r="FY681"/>
  <c r="FZ681"/>
  <c r="GA681"/>
  <c r="GB681"/>
  <c r="GC681"/>
  <c r="GD681"/>
  <c r="GE681"/>
  <c r="GF681"/>
  <c r="GG681"/>
  <c r="GH681"/>
  <c r="GI681"/>
  <c r="GJ681"/>
  <c r="GK681"/>
  <c r="GL681"/>
  <c r="GM681"/>
  <c r="GN681"/>
  <c r="GO681"/>
  <c r="GP681"/>
  <c r="GQ681"/>
  <c r="GR681"/>
  <c r="R682"/>
  <c r="S682"/>
  <c r="T682"/>
  <c r="U682"/>
  <c r="V682"/>
  <c r="W682"/>
  <c r="X682"/>
  <c r="Y682"/>
  <c r="Z682"/>
  <c r="I682"/>
  <c r="AA682"/>
  <c r="AB682"/>
  <c r="J682"/>
  <c r="AC682"/>
  <c r="AD682"/>
  <c r="AE682"/>
  <c r="AF682"/>
  <c r="AG682"/>
  <c r="AH682"/>
  <c r="AI682"/>
  <c r="AJ682"/>
  <c r="AK682"/>
  <c r="AL682"/>
  <c r="AM682"/>
  <c r="AN682"/>
  <c r="AO682"/>
  <c r="AP682"/>
  <c r="AQ682"/>
  <c r="AR682"/>
  <c r="AS682"/>
  <c r="AT682"/>
  <c r="AU682"/>
  <c r="AV682"/>
  <c r="AW682"/>
  <c r="AX682"/>
  <c r="AY682"/>
  <c r="AZ682"/>
  <c r="BA682"/>
  <c r="BB682"/>
  <c r="BC682"/>
  <c r="BD682"/>
  <c r="BE682"/>
  <c r="BF682"/>
  <c r="BG682"/>
  <c r="BH682"/>
  <c r="BI682"/>
  <c r="BJ682"/>
  <c r="BK682"/>
  <c r="BL682"/>
  <c r="BM682"/>
  <c r="BN682"/>
  <c r="BO682"/>
  <c r="BP682"/>
  <c r="BQ682"/>
  <c r="BR682"/>
  <c r="BS682"/>
  <c r="BT682"/>
  <c r="BU682"/>
  <c r="BV682"/>
  <c r="BW682"/>
  <c r="BX682"/>
  <c r="BY682"/>
  <c r="BZ682"/>
  <c r="CQ682"/>
  <c r="CR682"/>
  <c r="CS682"/>
  <c r="CT682"/>
  <c r="CU682"/>
  <c r="CV682"/>
  <c r="CW682"/>
  <c r="CX682"/>
  <c r="CY682"/>
  <c r="CZ682"/>
  <c r="DA682"/>
  <c r="DB682"/>
  <c r="DC682"/>
  <c r="DD682"/>
  <c r="DE682"/>
  <c r="DF682"/>
  <c r="DG682"/>
  <c r="DH682"/>
  <c r="DI682"/>
  <c r="DJ682"/>
  <c r="DK682"/>
  <c r="DL682"/>
  <c r="DM682"/>
  <c r="DN682"/>
  <c r="DO682"/>
  <c r="DP682"/>
  <c r="DQ682"/>
  <c r="DR682"/>
  <c r="DS682"/>
  <c r="DT682"/>
  <c r="DU682"/>
  <c r="DV682"/>
  <c r="DW682"/>
  <c r="DX682"/>
  <c r="DY682"/>
  <c r="DZ682"/>
  <c r="EA682"/>
  <c r="EB682"/>
  <c r="EC682"/>
  <c r="ED682"/>
  <c r="EE682"/>
  <c r="EF682"/>
  <c r="EG682"/>
  <c r="EH682"/>
  <c r="EI682"/>
  <c r="EJ682"/>
  <c r="EK682"/>
  <c r="EL682"/>
  <c r="EM682"/>
  <c r="EN682"/>
  <c r="EO682"/>
  <c r="EP682"/>
  <c r="EQ682"/>
  <c r="ER682"/>
  <c r="ES682"/>
  <c r="ET682"/>
  <c r="EU682"/>
  <c r="EV682"/>
  <c r="EW682"/>
  <c r="EX682"/>
  <c r="EY682"/>
  <c r="EZ682"/>
  <c r="FA682"/>
  <c r="FB682"/>
  <c r="FC682"/>
  <c r="FD682"/>
  <c r="FE682"/>
  <c r="FF682"/>
  <c r="FG682"/>
  <c r="FH682"/>
  <c r="FI682"/>
  <c r="FJ682"/>
  <c r="FK682"/>
  <c r="FL682"/>
  <c r="FM682"/>
  <c r="FN682"/>
  <c r="FO682"/>
  <c r="FP682"/>
  <c r="FQ682"/>
  <c r="FR682"/>
  <c r="FS682"/>
  <c r="FT682"/>
  <c r="FU682"/>
  <c r="FV682"/>
  <c r="FW682"/>
  <c r="FX682"/>
  <c r="FY682"/>
  <c r="FZ682"/>
  <c r="GA682"/>
  <c r="GB682"/>
  <c r="GC682"/>
  <c r="GD682"/>
  <c r="GE682"/>
  <c r="GF682"/>
  <c r="GG682"/>
  <c r="GH682"/>
  <c r="GI682"/>
  <c r="GJ682"/>
  <c r="GK682"/>
  <c r="GL682"/>
  <c r="GM682"/>
  <c r="GN682"/>
  <c r="GO682"/>
  <c r="GP682"/>
  <c r="GQ682"/>
  <c r="GR682"/>
  <c r="R560"/>
  <c r="R562" s="1"/>
  <c r="S560"/>
  <c r="S562" s="1"/>
  <c r="T560"/>
  <c r="T562" s="1"/>
  <c r="U560"/>
  <c r="U562" s="1"/>
  <c r="V560"/>
  <c r="V562" s="1"/>
  <c r="W560"/>
  <c r="X560"/>
  <c r="Y560"/>
  <c r="Z560"/>
  <c r="Z562" s="1"/>
  <c r="I560"/>
  <c r="I562" s="1"/>
  <c r="AA560"/>
  <c r="AB560"/>
  <c r="J560"/>
  <c r="J562" s="1"/>
  <c r="AC560"/>
  <c r="AD560"/>
  <c r="AE560"/>
  <c r="AF560"/>
  <c r="AF562" s="1"/>
  <c r="AG560"/>
  <c r="AH560"/>
  <c r="AI560"/>
  <c r="AJ560"/>
  <c r="AJ562" s="1"/>
  <c r="AK560"/>
  <c r="AK562" s="1"/>
  <c r="AL560"/>
  <c r="AM560"/>
  <c r="AN560"/>
  <c r="AN562" s="1"/>
  <c r="AO560"/>
  <c r="AO562" s="1"/>
  <c r="AP560"/>
  <c r="AP562" s="1"/>
  <c r="AQ560"/>
  <c r="AR560"/>
  <c r="AS560"/>
  <c r="AT560"/>
  <c r="AU560"/>
  <c r="AU562" s="1"/>
  <c r="AV560"/>
  <c r="AV562" s="1"/>
  <c r="AW560"/>
  <c r="AW562" s="1"/>
  <c r="AX560"/>
  <c r="AY560"/>
  <c r="AY562" s="1"/>
  <c r="AZ560"/>
  <c r="AZ562" s="1"/>
  <c r="BA560"/>
  <c r="BB560"/>
  <c r="BC560"/>
  <c r="BC562" s="1"/>
  <c r="BD560"/>
  <c r="BD562" s="1"/>
  <c r="BE560"/>
  <c r="BE562" s="1"/>
  <c r="BF560"/>
  <c r="BG560"/>
  <c r="BG562" s="1"/>
  <c r="BH560"/>
  <c r="BH562" s="1"/>
  <c r="BI560"/>
  <c r="BI562" s="1"/>
  <c r="BJ560"/>
  <c r="BK560"/>
  <c r="BK562" s="1"/>
  <c r="BL560"/>
  <c r="BL562" s="1"/>
  <c r="BM560"/>
  <c r="BN560"/>
  <c r="BO560"/>
  <c r="BO562" s="1"/>
  <c r="BP560"/>
  <c r="BP562" s="1"/>
  <c r="BQ560"/>
  <c r="BQ562" s="1"/>
  <c r="BR560"/>
  <c r="BS560"/>
  <c r="BS562" s="1"/>
  <c r="BT560"/>
  <c r="BT562" s="1"/>
  <c r="BU560"/>
  <c r="BU562" s="1"/>
  <c r="BV560"/>
  <c r="BW560"/>
  <c r="BW562" s="1"/>
  <c r="BX560"/>
  <c r="BX562" s="1"/>
  <c r="BY560"/>
  <c r="BY562" s="1"/>
  <c r="BZ560"/>
  <c r="BZ562" s="1"/>
  <c r="CG560"/>
  <c r="CQ560"/>
  <c r="CQ562" s="1"/>
  <c r="CR560"/>
  <c r="CR562" s="1"/>
  <c r="CS560"/>
  <c r="CT560"/>
  <c r="CU560"/>
  <c r="CU562" s="1"/>
  <c r="CV560"/>
  <c r="CV562" s="1"/>
  <c r="CW560"/>
  <c r="CX560"/>
  <c r="CY560"/>
  <c r="CY562" s="1"/>
  <c r="CZ560"/>
  <c r="CZ562" s="1"/>
  <c r="DA560"/>
  <c r="DB560"/>
  <c r="DC560"/>
  <c r="DC562" s="1"/>
  <c r="DD560"/>
  <c r="DD562" s="1"/>
  <c r="DE560"/>
  <c r="DF560"/>
  <c r="DG560"/>
  <c r="DG562" s="1"/>
  <c r="DH560"/>
  <c r="DH562" s="1"/>
  <c r="DI560"/>
  <c r="DJ560"/>
  <c r="DK560"/>
  <c r="DK562" s="1"/>
  <c r="DL560"/>
  <c r="DL562" s="1"/>
  <c r="DM560"/>
  <c r="DN560"/>
  <c r="DO560"/>
  <c r="DO562" s="1"/>
  <c r="DP560"/>
  <c r="DP562" s="1"/>
  <c r="DQ560"/>
  <c r="DR560"/>
  <c r="DS560"/>
  <c r="DS562" s="1"/>
  <c r="DT560"/>
  <c r="DT562" s="1"/>
  <c r="DU560"/>
  <c r="DV560"/>
  <c r="DW560"/>
  <c r="DW562" s="1"/>
  <c r="DX560"/>
  <c r="DX562" s="1"/>
  <c r="DY560"/>
  <c r="DZ560"/>
  <c r="EA560"/>
  <c r="EA562" s="1"/>
  <c r="EB560"/>
  <c r="EB562" s="1"/>
  <c r="EC560"/>
  <c r="ED560"/>
  <c r="EE560"/>
  <c r="EE562" s="1"/>
  <c r="EF560"/>
  <c r="EF562" s="1"/>
  <c r="EG560"/>
  <c r="EH560"/>
  <c r="EI560"/>
  <c r="EI562" s="1"/>
  <c r="EJ560"/>
  <c r="EJ562" s="1"/>
  <c r="EK560"/>
  <c r="EL560"/>
  <c r="EM560"/>
  <c r="EM562" s="1"/>
  <c r="EN560"/>
  <c r="EN562" s="1"/>
  <c r="EO560"/>
  <c r="EP560"/>
  <c r="EQ560"/>
  <c r="EQ562" s="1"/>
  <c r="ER560"/>
  <c r="ER562" s="1"/>
  <c r="ES560"/>
  <c r="ET560"/>
  <c r="EU560"/>
  <c r="EU562" s="1"/>
  <c r="EV560"/>
  <c r="EV562" s="1"/>
  <c r="EW560"/>
  <c r="EX560"/>
  <c r="EY560"/>
  <c r="EY562" s="1"/>
  <c r="EZ560"/>
  <c r="EZ562" s="1"/>
  <c r="FA560"/>
  <c r="FA562" s="1"/>
  <c r="FB560"/>
  <c r="FC560"/>
  <c r="FC562" s="1"/>
  <c r="FD560"/>
  <c r="FD562" s="1"/>
  <c r="FE560"/>
  <c r="FF560"/>
  <c r="FF562" s="1"/>
  <c r="FG560"/>
  <c r="FG562" s="1"/>
  <c r="FH560"/>
  <c r="FI560"/>
  <c r="FJ560"/>
  <c r="FJ562" s="1"/>
  <c r="FK560"/>
  <c r="FK562" s="1"/>
  <c r="FL560"/>
  <c r="FL562" s="1"/>
  <c r="FM560"/>
  <c r="FN560"/>
  <c r="FO560"/>
  <c r="FO562" s="1"/>
  <c r="FP560"/>
  <c r="FP562" s="1"/>
  <c r="FQ560"/>
  <c r="FR560"/>
  <c r="FS560"/>
  <c r="FS562" s="1"/>
  <c r="FT560"/>
  <c r="FT562" s="1"/>
  <c r="FU560"/>
  <c r="FV560"/>
  <c r="FW560"/>
  <c r="FW562" s="1"/>
  <c r="FX560"/>
  <c r="FX562" s="1"/>
  <c r="FY560"/>
  <c r="FZ560"/>
  <c r="GA560"/>
  <c r="GA562" s="1"/>
  <c r="GB560"/>
  <c r="GB562" s="1"/>
  <c r="GC560"/>
  <c r="GD560"/>
  <c r="GE560"/>
  <c r="GE562" s="1"/>
  <c r="GF560"/>
  <c r="GF562" s="1"/>
  <c r="GG560"/>
  <c r="GH560"/>
  <c r="GI560"/>
  <c r="GI562" s="1"/>
  <c r="GJ560"/>
  <c r="GJ562" s="1"/>
  <c r="GK560"/>
  <c r="GL560"/>
  <c r="GM560"/>
  <c r="GM562" s="1"/>
  <c r="GN560"/>
  <c r="GN562" s="1"/>
  <c r="GO560"/>
  <c r="GP560"/>
  <c r="GQ560"/>
  <c r="GQ562" s="1"/>
  <c r="GR560"/>
  <c r="GR562" s="1"/>
  <c r="W562"/>
  <c r="X562"/>
  <c r="Y562"/>
  <c r="AA562"/>
  <c r="AB562"/>
  <c r="AC562"/>
  <c r="AD562"/>
  <c r="AE562"/>
  <c r="AG562"/>
  <c r="AH562"/>
  <c r="AI562"/>
  <c r="AL562"/>
  <c r="AM562"/>
  <c r="AQ562"/>
  <c r="AR562"/>
  <c r="AS562"/>
  <c r="AT562"/>
  <c r="AX562"/>
  <c r="BA562"/>
  <c r="BB562"/>
  <c r="BF562"/>
  <c r="BJ562"/>
  <c r="BM562"/>
  <c r="BN562"/>
  <c r="BR562"/>
  <c r="BV562"/>
  <c r="CA562"/>
  <c r="CB562"/>
  <c r="CC562"/>
  <c r="CD562"/>
  <c r="CE562"/>
  <c r="CF562"/>
  <c r="CG562"/>
  <c r="CH562"/>
  <c r="CI562"/>
  <c r="CJ562"/>
  <c r="CK562"/>
  <c r="CL562"/>
  <c r="CM562"/>
  <c r="CN562"/>
  <c r="CO562"/>
  <c r="CP562"/>
  <c r="CS562"/>
  <c r="CT562"/>
  <c r="CW562"/>
  <c r="CX562"/>
  <c r="DA562"/>
  <c r="DB562"/>
  <c r="DE562"/>
  <c r="DF562"/>
  <c r="DI562"/>
  <c r="DJ562"/>
  <c r="DM562"/>
  <c r="DN562"/>
  <c r="DQ562"/>
  <c r="DR562"/>
  <c r="DU562"/>
  <c r="DV562"/>
  <c r="DY562"/>
  <c r="DZ562"/>
  <c r="EC562"/>
  <c r="ED562"/>
  <c r="EG562"/>
  <c r="EH562"/>
  <c r="EK562"/>
  <c r="EL562"/>
  <c r="EO562"/>
  <c r="EP562"/>
  <c r="ES562"/>
  <c r="ET562"/>
  <c r="EW562"/>
  <c r="EX562"/>
  <c r="FB562"/>
  <c r="FE562"/>
  <c r="FH562"/>
  <c r="FI562"/>
  <c r="FM562"/>
  <c r="FN562"/>
  <c r="FQ562"/>
  <c r="FR562"/>
  <c r="FU562"/>
  <c r="FV562"/>
  <c r="FY562"/>
  <c r="FZ562"/>
  <c r="GC562"/>
  <c r="GD562"/>
  <c r="GG562"/>
  <c r="GH562"/>
  <c r="GK562"/>
  <c r="GL562"/>
  <c r="GO562"/>
  <c r="GP562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L564"/>
  <c r="M564"/>
  <c r="F564"/>
  <c r="G564"/>
  <c r="N564"/>
  <c r="O564"/>
  <c r="P564"/>
  <c r="Q564"/>
  <c r="H564"/>
  <c r="L565"/>
  <c r="M565"/>
  <c r="F565"/>
  <c r="G565"/>
  <c r="N565"/>
  <c r="O565"/>
  <c r="P565"/>
  <c r="Q565"/>
  <c r="H565"/>
  <c r="L566"/>
  <c r="M566"/>
  <c r="F566"/>
  <c r="G566"/>
  <c r="N566"/>
  <c r="O566"/>
  <c r="P566"/>
  <c r="Q566"/>
  <c r="H566"/>
  <c r="L567"/>
  <c r="M567"/>
  <c r="F567"/>
  <c r="G567"/>
  <c r="N567"/>
  <c r="O567"/>
  <c r="P567"/>
  <c r="Q567"/>
  <c r="H567"/>
  <c r="L568"/>
  <c r="M568"/>
  <c r="F568"/>
  <c r="G568"/>
  <c r="N568"/>
  <c r="O568"/>
  <c r="P568"/>
  <c r="Q568"/>
  <c r="H568"/>
  <c r="L569"/>
  <c r="M569"/>
  <c r="F569"/>
  <c r="G569"/>
  <c r="N569"/>
  <c r="O569"/>
  <c r="P569"/>
  <c r="Q569"/>
  <c r="H569"/>
  <c r="L570"/>
  <c r="M570"/>
  <c r="F570"/>
  <c r="G570"/>
  <c r="N570"/>
  <c r="O570"/>
  <c r="P570"/>
  <c r="Q570"/>
  <c r="H570"/>
  <c r="L571"/>
  <c r="M571"/>
  <c r="F571"/>
  <c r="G571"/>
  <c r="N571"/>
  <c r="O571"/>
  <c r="P571"/>
  <c r="Q571"/>
  <c r="H571"/>
  <c r="L572"/>
  <c r="M572"/>
  <c r="F572"/>
  <c r="G572"/>
  <c r="N572"/>
  <c r="O572"/>
  <c r="P572"/>
  <c r="Q572"/>
  <c r="H572"/>
  <c r="L573"/>
  <c r="M573"/>
  <c r="F573"/>
  <c r="G573"/>
  <c r="N573"/>
  <c r="O573"/>
  <c r="P573"/>
  <c r="Q573"/>
  <c r="H573"/>
  <c r="L574"/>
  <c r="M574"/>
  <c r="F574"/>
  <c r="G574"/>
  <c r="N574"/>
  <c r="O574"/>
  <c r="P574"/>
  <c r="Q574"/>
  <c r="H574"/>
  <c r="L575"/>
  <c r="M575"/>
  <c r="F575"/>
  <c r="G575"/>
  <c r="N575"/>
  <c r="O575"/>
  <c r="P575"/>
  <c r="Q575"/>
  <c r="H575"/>
  <c r="L576"/>
  <c r="M576"/>
  <c r="F576"/>
  <c r="G576"/>
  <c r="N576"/>
  <c r="O576"/>
  <c r="P576"/>
  <c r="Q576"/>
  <c r="H576"/>
  <c r="L577"/>
  <c r="M577"/>
  <c r="F577"/>
  <c r="G577"/>
  <c r="N577"/>
  <c r="O577"/>
  <c r="P577"/>
  <c r="Q577"/>
  <c r="H577"/>
  <c r="L578"/>
  <c r="M578"/>
  <c r="F578"/>
  <c r="G578"/>
  <c r="N578"/>
  <c r="O578"/>
  <c r="P578"/>
  <c r="Q578"/>
  <c r="H578"/>
  <c r="L579"/>
  <c r="M579"/>
  <c r="F579"/>
  <c r="G579"/>
  <c r="N579"/>
  <c r="O579"/>
  <c r="P579"/>
  <c r="Q579"/>
  <c r="H579"/>
  <c r="L580"/>
  <c r="M580"/>
  <c r="F580"/>
  <c r="G580"/>
  <c r="N580"/>
  <c r="O580"/>
  <c r="P580"/>
  <c r="Q580"/>
  <c r="H580"/>
  <c r="L581"/>
  <c r="M581"/>
  <c r="F581"/>
  <c r="G581"/>
  <c r="N581"/>
  <c r="O581"/>
  <c r="P581"/>
  <c r="Q581"/>
  <c r="H581"/>
  <c r="L582"/>
  <c r="M582"/>
  <c r="F582"/>
  <c r="G582"/>
  <c r="N582"/>
  <c r="O582"/>
  <c r="P582"/>
  <c r="Q582"/>
  <c r="H582"/>
  <c r="L583"/>
  <c r="M583"/>
  <c r="F583"/>
  <c r="G583"/>
  <c r="N583"/>
  <c r="O583"/>
  <c r="P583"/>
  <c r="Q583"/>
  <c r="H583"/>
  <c r="L584"/>
  <c r="M584"/>
  <c r="F584"/>
  <c r="G584"/>
  <c r="N584"/>
  <c r="O584"/>
  <c r="P584"/>
  <c r="Q584"/>
  <c r="H584"/>
  <c r="L585"/>
  <c r="M585"/>
  <c r="F585"/>
  <c r="G585"/>
  <c r="N585"/>
  <c r="O585"/>
  <c r="P585"/>
  <c r="Q585"/>
  <c r="H585"/>
  <c r="L586"/>
  <c r="M586"/>
  <c r="F586"/>
  <c r="G586"/>
  <c r="N586"/>
  <c r="O586"/>
  <c r="P586"/>
  <c r="Q586"/>
  <c r="H586"/>
  <c r="L587"/>
  <c r="M587"/>
  <c r="F587"/>
  <c r="G587"/>
  <c r="N587"/>
  <c r="O587"/>
  <c r="P587"/>
  <c r="Q587"/>
  <c r="H587"/>
  <c r="L588"/>
  <c r="M588"/>
  <c r="F588"/>
  <c r="G588"/>
  <c r="N588"/>
  <c r="O588"/>
  <c r="P588"/>
  <c r="Q588"/>
  <c r="H588"/>
  <c r="L589"/>
  <c r="M589"/>
  <c r="F589"/>
  <c r="G589"/>
  <c r="N589"/>
  <c r="O589"/>
  <c r="P589"/>
  <c r="Q589"/>
  <c r="H589"/>
  <c r="L590"/>
  <c r="M590"/>
  <c r="F590"/>
  <c r="G590"/>
  <c r="N590"/>
  <c r="O590"/>
  <c r="P590"/>
  <c r="Q590"/>
  <c r="H590"/>
  <c r="L591"/>
  <c r="M591"/>
  <c r="F591"/>
  <c r="G591"/>
  <c r="N591"/>
  <c r="O591"/>
  <c r="P591"/>
  <c r="Q591"/>
  <c r="H591"/>
  <c r="L592"/>
  <c r="M592"/>
  <c r="F592"/>
  <c r="G592"/>
  <c r="N592"/>
  <c r="O592"/>
  <c r="P592"/>
  <c r="Q592"/>
  <c r="H592"/>
  <c r="L593"/>
  <c r="M593"/>
  <c r="F593"/>
  <c r="G593"/>
  <c r="N593"/>
  <c r="O593"/>
  <c r="P593"/>
  <c r="Q593"/>
  <c r="H593"/>
  <c r="L594"/>
  <c r="M594"/>
  <c r="F594"/>
  <c r="G594"/>
  <c r="N594"/>
  <c r="O594"/>
  <c r="P594"/>
  <c r="Q594"/>
  <c r="H594"/>
  <c r="L595"/>
  <c r="M595"/>
  <c r="F595"/>
  <c r="G595"/>
  <c r="N595"/>
  <c r="O595"/>
  <c r="P595"/>
  <c r="Q595"/>
  <c r="H595"/>
  <c r="L596"/>
  <c r="M596"/>
  <c r="F596"/>
  <c r="G596"/>
  <c r="N596"/>
  <c r="O596"/>
  <c r="P596"/>
  <c r="Q596"/>
  <c r="H596"/>
  <c r="L597"/>
  <c r="M597"/>
  <c r="F597"/>
  <c r="G597"/>
  <c r="N597"/>
  <c r="O597"/>
  <c r="P597"/>
  <c r="Q597"/>
  <c r="H597"/>
  <c r="L598"/>
  <c r="M598"/>
  <c r="F598"/>
  <c r="G598"/>
  <c r="N598"/>
  <c r="O598"/>
  <c r="P598"/>
  <c r="Q598"/>
  <c r="H598"/>
  <c r="L599"/>
  <c r="M599"/>
  <c r="F599"/>
  <c r="G599"/>
  <c r="N599"/>
  <c r="O599"/>
  <c r="P599"/>
  <c r="Q599"/>
  <c r="H599"/>
  <c r="L600"/>
  <c r="M600"/>
  <c r="F600"/>
  <c r="G600"/>
  <c r="N600"/>
  <c r="O600"/>
  <c r="P600"/>
  <c r="Q600"/>
  <c r="H600"/>
  <c r="L601"/>
  <c r="M601"/>
  <c r="F601"/>
  <c r="G601"/>
  <c r="N601"/>
  <c r="O601"/>
  <c r="P601"/>
  <c r="Q601"/>
  <c r="H601"/>
  <c r="L602"/>
  <c r="M602"/>
  <c r="F602"/>
  <c r="G602"/>
  <c r="N602"/>
  <c r="O602"/>
  <c r="P602"/>
  <c r="Q602"/>
  <c r="H602"/>
  <c r="L603"/>
  <c r="M603"/>
  <c r="F603"/>
  <c r="G603"/>
  <c r="N603"/>
  <c r="O603"/>
  <c r="P603"/>
  <c r="Q603"/>
  <c r="H603"/>
  <c r="L604"/>
  <c r="M604"/>
  <c r="F604"/>
  <c r="G604"/>
  <c r="N604"/>
  <c r="O604"/>
  <c r="P604"/>
  <c r="Q604"/>
  <c r="H604"/>
  <c r="L605"/>
  <c r="M605"/>
  <c r="F605"/>
  <c r="G605"/>
  <c r="N605"/>
  <c r="O605"/>
  <c r="P605"/>
  <c r="Q605"/>
  <c r="H605"/>
  <c r="L606"/>
  <c r="M606"/>
  <c r="F606"/>
  <c r="G606"/>
  <c r="N606"/>
  <c r="O606"/>
  <c r="P606"/>
  <c r="Q606"/>
  <c r="H606"/>
  <c r="L607"/>
  <c r="M607"/>
  <c r="F607"/>
  <c r="G607"/>
  <c r="N607"/>
  <c r="O607"/>
  <c r="P607"/>
  <c r="Q607"/>
  <c r="H607"/>
  <c r="L608"/>
  <c r="M608"/>
  <c r="F608"/>
  <c r="G608"/>
  <c r="N608"/>
  <c r="O608"/>
  <c r="P608"/>
  <c r="Q608"/>
  <c r="H608"/>
  <c r="L609"/>
  <c r="M609"/>
  <c r="F609"/>
  <c r="G609"/>
  <c r="N609"/>
  <c r="O609"/>
  <c r="P609"/>
  <c r="Q609"/>
  <c r="H609"/>
  <c r="L610"/>
  <c r="M610"/>
  <c r="F610"/>
  <c r="G610"/>
  <c r="N610"/>
  <c r="O610"/>
  <c r="P610"/>
  <c r="Q610"/>
  <c r="H610"/>
  <c r="L611"/>
  <c r="M611"/>
  <c r="F611"/>
  <c r="G611"/>
  <c r="N611"/>
  <c r="O611"/>
  <c r="P611"/>
  <c r="Q611"/>
  <c r="H611"/>
  <c r="L612"/>
  <c r="M612"/>
  <c r="F612"/>
  <c r="G612"/>
  <c r="N612"/>
  <c r="O612"/>
  <c r="P612"/>
  <c r="Q612"/>
  <c r="H612"/>
  <c r="L613"/>
  <c r="M613"/>
  <c r="F613"/>
  <c r="G613"/>
  <c r="N613"/>
  <c r="O613"/>
  <c r="P613"/>
  <c r="Q613"/>
  <c r="H613"/>
  <c r="L614"/>
  <c r="M614"/>
  <c r="F614"/>
  <c r="G614"/>
  <c r="N614"/>
  <c r="O614"/>
  <c r="P614"/>
  <c r="Q614"/>
  <c r="H614"/>
  <c r="L615"/>
  <c r="M615"/>
  <c r="F615"/>
  <c r="G615"/>
  <c r="N615"/>
  <c r="O615"/>
  <c r="P615"/>
  <c r="Q615"/>
  <c r="H615"/>
  <c r="L616"/>
  <c r="M616"/>
  <c r="F616"/>
  <c r="G616"/>
  <c r="N616"/>
  <c r="O616"/>
  <c r="P616"/>
  <c r="Q616"/>
  <c r="H616"/>
  <c r="L617"/>
  <c r="M617"/>
  <c r="F617"/>
  <c r="G617"/>
  <c r="N617"/>
  <c r="O617"/>
  <c r="P617"/>
  <c r="Q617"/>
  <c r="H617"/>
  <c r="L618"/>
  <c r="M618"/>
  <c r="F618"/>
  <c r="G618"/>
  <c r="N618"/>
  <c r="O618"/>
  <c r="P618"/>
  <c r="Q618"/>
  <c r="H618"/>
  <c r="L619"/>
  <c r="M619"/>
  <c r="F619"/>
  <c r="G619"/>
  <c r="N619"/>
  <c r="O619"/>
  <c r="P619"/>
  <c r="Q619"/>
  <c r="H619"/>
  <c r="L620"/>
  <c r="M620"/>
  <c r="F620"/>
  <c r="G620"/>
  <c r="N620"/>
  <c r="O620"/>
  <c r="P620"/>
  <c r="Q620"/>
  <c r="H620"/>
  <c r="L621"/>
  <c r="M621"/>
  <c r="F621"/>
  <c r="G621"/>
  <c r="N621"/>
  <c r="O621"/>
  <c r="P621"/>
  <c r="Q621"/>
  <c r="H621"/>
  <c r="L622"/>
  <c r="M622"/>
  <c r="F622"/>
  <c r="G622"/>
  <c r="N622"/>
  <c r="O622"/>
  <c r="P622"/>
  <c r="Q622"/>
  <c r="H622"/>
  <c r="L623"/>
  <c r="M623"/>
  <c r="F623"/>
  <c r="G623"/>
  <c r="N623"/>
  <c r="O623"/>
  <c r="P623"/>
  <c r="Q623"/>
  <c r="H623"/>
  <c r="L624"/>
  <c r="M624"/>
  <c r="F624"/>
  <c r="G624"/>
  <c r="N624"/>
  <c r="O624"/>
  <c r="P624"/>
  <c r="Q624"/>
  <c r="H624"/>
  <c r="L625"/>
  <c r="M625"/>
  <c r="F625"/>
  <c r="G625"/>
  <c r="N625"/>
  <c r="O625"/>
  <c r="P625"/>
  <c r="Q625"/>
  <c r="H625"/>
  <c r="L626"/>
  <c r="M626"/>
  <c r="F626"/>
  <c r="G626"/>
  <c r="N626"/>
  <c r="O626"/>
  <c r="P626"/>
  <c r="Q626"/>
  <c r="H626"/>
  <c r="L627"/>
  <c r="M627"/>
  <c r="F627"/>
  <c r="G627"/>
  <c r="N627"/>
  <c r="O627"/>
  <c r="P627"/>
  <c r="Q627"/>
  <c r="H627"/>
  <c r="L628"/>
  <c r="M628"/>
  <c r="F628"/>
  <c r="G628"/>
  <c r="N628"/>
  <c r="O628"/>
  <c r="P628"/>
  <c r="Q628"/>
  <c r="H628"/>
  <c r="L629"/>
  <c r="M629"/>
  <c r="F629"/>
  <c r="G629"/>
  <c r="N629"/>
  <c r="O629"/>
  <c r="P629"/>
  <c r="Q629"/>
  <c r="H629"/>
  <c r="L630"/>
  <c r="M630"/>
  <c r="F630"/>
  <c r="G630"/>
  <c r="N630"/>
  <c r="O630"/>
  <c r="P630"/>
  <c r="Q630"/>
  <c r="H630"/>
  <c r="L631"/>
  <c r="M631"/>
  <c r="F631"/>
  <c r="G631"/>
  <c r="N631"/>
  <c r="O631"/>
  <c r="P631"/>
  <c r="Q631"/>
  <c r="H631"/>
  <c r="L632"/>
  <c r="M632"/>
  <c r="F632"/>
  <c r="G632"/>
  <c r="N632"/>
  <c r="O632"/>
  <c r="P632"/>
  <c r="Q632"/>
  <c r="H632"/>
  <c r="L633"/>
  <c r="M633"/>
  <c r="F633"/>
  <c r="G633"/>
  <c r="N633"/>
  <c r="O633"/>
  <c r="P633"/>
  <c r="Q633"/>
  <c r="H633"/>
  <c r="L634"/>
  <c r="M634"/>
  <c r="F634"/>
  <c r="G634"/>
  <c r="N634"/>
  <c r="O634"/>
  <c r="P634"/>
  <c r="Q634"/>
  <c r="H634"/>
  <c r="L635"/>
  <c r="M635"/>
  <c r="F635"/>
  <c r="G635"/>
  <c r="N635"/>
  <c r="O635"/>
  <c r="P635"/>
  <c r="Q635"/>
  <c r="H635"/>
  <c r="L636"/>
  <c r="M636"/>
  <c r="F636"/>
  <c r="G636"/>
  <c r="N636"/>
  <c r="O636"/>
  <c r="P636"/>
  <c r="Q636"/>
  <c r="H636"/>
  <c r="L637"/>
  <c r="M637"/>
  <c r="F637"/>
  <c r="G637"/>
  <c r="N637"/>
  <c r="O637"/>
  <c r="P637"/>
  <c r="Q637"/>
  <c r="H637"/>
  <c r="L638"/>
  <c r="M638"/>
  <c r="F638"/>
  <c r="G638"/>
  <c r="N638"/>
  <c r="O638"/>
  <c r="P638"/>
  <c r="Q638"/>
  <c r="H638"/>
  <c r="L639"/>
  <c r="M639"/>
  <c r="F639"/>
  <c r="G639"/>
  <c r="N639"/>
  <c r="O639"/>
  <c r="P639"/>
  <c r="Q639"/>
  <c r="H639"/>
  <c r="L640"/>
  <c r="M640"/>
  <c r="F640"/>
  <c r="G640"/>
  <c r="N640"/>
  <c r="O640"/>
  <c r="P640"/>
  <c r="Q640"/>
  <c r="H640"/>
  <c r="L641"/>
  <c r="M641"/>
  <c r="F641"/>
  <c r="G641"/>
  <c r="N641"/>
  <c r="O641"/>
  <c r="P641"/>
  <c r="Q641"/>
  <c r="H641"/>
  <c r="L642"/>
  <c r="M642"/>
  <c r="F642"/>
  <c r="G642"/>
  <c r="N642"/>
  <c r="O642"/>
  <c r="P642"/>
  <c r="Q642"/>
  <c r="H642"/>
  <c r="L643"/>
  <c r="M643"/>
  <c r="F643"/>
  <c r="G643"/>
  <c r="N643"/>
  <c r="O643"/>
  <c r="P643"/>
  <c r="Q643"/>
  <c r="H643"/>
  <c r="L644"/>
  <c r="M644"/>
  <c r="F644"/>
  <c r="G644"/>
  <c r="N644"/>
  <c r="O644"/>
  <c r="P644"/>
  <c r="Q644"/>
  <c r="H644"/>
  <c r="L645"/>
  <c r="M645"/>
  <c r="F645"/>
  <c r="G645"/>
  <c r="N645"/>
  <c r="O645"/>
  <c r="P645"/>
  <c r="Q645"/>
  <c r="H645"/>
  <c r="L646"/>
  <c r="M646"/>
  <c r="F646"/>
  <c r="G646"/>
  <c r="N646"/>
  <c r="O646"/>
  <c r="P646"/>
  <c r="Q646"/>
  <c r="H646"/>
  <c r="L647"/>
  <c r="M647"/>
  <c r="F647"/>
  <c r="G647"/>
  <c r="N647"/>
  <c r="O647"/>
  <c r="P647"/>
  <c r="Q647"/>
  <c r="H647"/>
  <c r="L648"/>
  <c r="M648"/>
  <c r="F648"/>
  <c r="G648"/>
  <c r="N648"/>
  <c r="O648"/>
  <c r="P648"/>
  <c r="Q648"/>
  <c r="H648"/>
  <c r="L649"/>
  <c r="M649"/>
  <c r="F649"/>
  <c r="G649"/>
  <c r="N649"/>
  <c r="O649"/>
  <c r="P649"/>
  <c r="Q649"/>
  <c r="H649"/>
  <c r="L650"/>
  <c r="M650"/>
  <c r="F650"/>
  <c r="G650"/>
  <c r="N650"/>
  <c r="O650"/>
  <c r="P650"/>
  <c r="Q650"/>
  <c r="H650"/>
  <c r="L651"/>
  <c r="M651"/>
  <c r="F651"/>
  <c r="G651"/>
  <c r="N651"/>
  <c r="O651"/>
  <c r="P651"/>
  <c r="Q651"/>
  <c r="H651"/>
  <c r="L652"/>
  <c r="M652"/>
  <c r="F652"/>
  <c r="G652"/>
  <c r="N652"/>
  <c r="O652"/>
  <c r="P652"/>
  <c r="Q652"/>
  <c r="H652"/>
  <c r="L653"/>
  <c r="M653"/>
  <c r="F653"/>
  <c r="G653"/>
  <c r="N653"/>
  <c r="O653"/>
  <c r="P653"/>
  <c r="Q653"/>
  <c r="H653"/>
  <c r="L654"/>
  <c r="M654"/>
  <c r="F654"/>
  <c r="G654"/>
  <c r="N654"/>
  <c r="O654"/>
  <c r="P654"/>
  <c r="Q654"/>
  <c r="H654"/>
  <c r="L655"/>
  <c r="M655"/>
  <c r="F655"/>
  <c r="G655"/>
  <c r="N655"/>
  <c r="O655"/>
  <c r="P655"/>
  <c r="Q655"/>
  <c r="H655"/>
  <c r="L656"/>
  <c r="M656"/>
  <c r="F656"/>
  <c r="G656"/>
  <c r="N656"/>
  <c r="O656"/>
  <c r="P656"/>
  <c r="Q656"/>
  <c r="H656"/>
  <c r="L657"/>
  <c r="M657"/>
  <c r="F657"/>
  <c r="G657"/>
  <c r="N657"/>
  <c r="O657"/>
  <c r="P657"/>
  <c r="Q657"/>
  <c r="H657"/>
  <c r="L658"/>
  <c r="M658"/>
  <c r="F658"/>
  <c r="G658"/>
  <c r="N658"/>
  <c r="O658"/>
  <c r="P658"/>
  <c r="Q658"/>
  <c r="H658"/>
  <c r="L659"/>
  <c r="M659"/>
  <c r="F659"/>
  <c r="G659"/>
  <c r="N659"/>
  <c r="O659"/>
  <c r="P659"/>
  <c r="Q659"/>
  <c r="H659"/>
  <c r="L660"/>
  <c r="M660"/>
  <c r="F660"/>
  <c r="G660"/>
  <c r="N660"/>
  <c r="O660"/>
  <c r="P660"/>
  <c r="Q660"/>
  <c r="H660"/>
  <c r="L661"/>
  <c r="M661"/>
  <c r="F661"/>
  <c r="G661"/>
  <c r="N661"/>
  <c r="O661"/>
  <c r="P661"/>
  <c r="Q661"/>
  <c r="H661"/>
  <c r="L662"/>
  <c r="M662"/>
  <c r="F662"/>
  <c r="G662"/>
  <c r="N662"/>
  <c r="O662"/>
  <c r="P662"/>
  <c r="Q662"/>
  <c r="H662"/>
  <c r="L663"/>
  <c r="M663"/>
  <c r="F663"/>
  <c r="G663"/>
  <c r="N663"/>
  <c r="O663"/>
  <c r="P663"/>
  <c r="Q663"/>
  <c r="H663"/>
  <c r="L664"/>
  <c r="M664"/>
  <c r="F664"/>
  <c r="G664"/>
  <c r="N664"/>
  <c r="O664"/>
  <c r="P664"/>
  <c r="Q664"/>
  <c r="H664"/>
  <c r="L665"/>
  <c r="M665"/>
  <c r="F665"/>
  <c r="G665"/>
  <c r="N665"/>
  <c r="O665"/>
  <c r="P665"/>
  <c r="Q665"/>
  <c r="H665"/>
  <c r="L666"/>
  <c r="M666"/>
  <c r="F666"/>
  <c r="G666"/>
  <c r="N666"/>
  <c r="O666"/>
  <c r="P666"/>
  <c r="Q666"/>
  <c r="H666"/>
  <c r="L667"/>
  <c r="M667"/>
  <c r="F667"/>
  <c r="G667"/>
  <c r="N667"/>
  <c r="O667"/>
  <c r="P667"/>
  <c r="Q667"/>
  <c r="H667"/>
  <c r="L668"/>
  <c r="M668"/>
  <c r="F668"/>
  <c r="G668"/>
  <c r="N668"/>
  <c r="O668"/>
  <c r="P668"/>
  <c r="Q668"/>
  <c r="H668"/>
  <c r="L669"/>
  <c r="M669"/>
  <c r="F669"/>
  <c r="G669"/>
  <c r="N669"/>
  <c r="O669"/>
  <c r="P669"/>
  <c r="Q669"/>
  <c r="H669"/>
  <c r="L670"/>
  <c r="M670"/>
  <c r="F670"/>
  <c r="G670"/>
  <c r="N670"/>
  <c r="O670"/>
  <c r="P670"/>
  <c r="Q670"/>
  <c r="H670"/>
  <c r="L671"/>
  <c r="M671"/>
  <c r="F671"/>
  <c r="G671"/>
  <c r="N671"/>
  <c r="O671"/>
  <c r="P671"/>
  <c r="Q671"/>
  <c r="H671"/>
  <c r="L672"/>
  <c r="M672"/>
  <c r="F672"/>
  <c r="G672"/>
  <c r="N672"/>
  <c r="O672"/>
  <c r="P672"/>
  <c r="Q672"/>
  <c r="H672"/>
  <c r="L673"/>
  <c r="M673"/>
  <c r="F673"/>
  <c r="G673"/>
  <c r="N673"/>
  <c r="O673"/>
  <c r="P673"/>
  <c r="Q673"/>
  <c r="H673"/>
  <c r="L674"/>
  <c r="M674"/>
  <c r="F674"/>
  <c r="G674"/>
  <c r="N674"/>
  <c r="O674"/>
  <c r="P674"/>
  <c r="Q674"/>
  <c r="H674"/>
  <c r="L675"/>
  <c r="M675"/>
  <c r="F675"/>
  <c r="G675"/>
  <c r="N675"/>
  <c r="O675"/>
  <c r="P675"/>
  <c r="Q675"/>
  <c r="H675"/>
  <c r="L676"/>
  <c r="M676"/>
  <c r="F676"/>
  <c r="G676"/>
  <c r="N676"/>
  <c r="O676"/>
  <c r="P676"/>
  <c r="Q676"/>
  <c r="H676"/>
  <c r="L677"/>
  <c r="M677"/>
  <c r="F677"/>
  <c r="G677"/>
  <c r="N677"/>
  <c r="O677"/>
  <c r="P677"/>
  <c r="Q677"/>
  <c r="H677"/>
  <c r="L678"/>
  <c r="M678"/>
  <c r="F678"/>
  <c r="G678"/>
  <c r="N678"/>
  <c r="O678"/>
  <c r="P678"/>
  <c r="Q678"/>
  <c r="H678"/>
  <c r="L679"/>
  <c r="M679"/>
  <c r="F679"/>
  <c r="G679"/>
  <c r="N679"/>
  <c r="O679"/>
  <c r="P679"/>
  <c r="Q679"/>
  <c r="H679"/>
  <c r="L680"/>
  <c r="M680"/>
  <c r="F680"/>
  <c r="G680"/>
  <c r="N680"/>
  <c r="O680"/>
  <c r="P680"/>
  <c r="Q680"/>
  <c r="H680"/>
  <c r="L681"/>
  <c r="M681"/>
  <c r="F681"/>
  <c r="G681"/>
  <c r="N681"/>
  <c r="O681"/>
  <c r="P681"/>
  <c r="Q681"/>
  <c r="H681"/>
  <c r="L682"/>
  <c r="M682"/>
  <c r="F682"/>
  <c r="G682"/>
  <c r="N682"/>
  <c r="O682"/>
  <c r="P682"/>
  <c r="Q682"/>
  <c r="H682"/>
  <c r="K66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2"/>
  <c r="K661"/>
  <c r="K660"/>
  <c r="K659"/>
  <c r="K658"/>
  <c r="C647"/>
  <c r="C646"/>
  <c r="K595"/>
  <c r="C595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4"/>
  <c r="K593"/>
  <c r="K592"/>
  <c r="K591"/>
  <c r="K590"/>
  <c r="K589"/>
  <c r="K585"/>
  <c r="K584"/>
  <c r="K577"/>
  <c r="K574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76"/>
  <c r="D680"/>
  <c r="D681"/>
  <c r="D682"/>
  <c r="K573"/>
  <c r="K571"/>
  <c r="C560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2"/>
  <c r="C593"/>
  <c r="C594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K588"/>
  <c r="K587"/>
  <c r="K586"/>
  <c r="K583"/>
  <c r="K582"/>
  <c r="K581"/>
  <c r="K580"/>
  <c r="K579"/>
  <c r="K578"/>
  <c r="K576"/>
  <c r="K575"/>
  <c r="K572"/>
  <c r="K570"/>
  <c r="K569"/>
  <c r="K568"/>
  <c r="K567"/>
  <c r="K566"/>
  <c r="K565"/>
  <c r="K564"/>
  <c r="C682"/>
  <c r="C681"/>
  <c r="C680"/>
  <c r="C676"/>
  <c r="C675"/>
  <c r="C664"/>
  <c r="C657"/>
  <c r="C656"/>
  <c r="C655"/>
  <c r="C654"/>
  <c r="C653"/>
  <c r="C652"/>
  <c r="C651"/>
  <c r="C650"/>
  <c r="C649"/>
  <c r="C648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P560" l="1"/>
  <c r="P562" s="1"/>
  <c r="E4"/>
  <c r="D560"/>
  <c r="L560"/>
  <c r="L562" s="1"/>
  <c r="M560"/>
  <c r="M562" s="1"/>
  <c r="F560"/>
  <c r="F562" s="1"/>
  <c r="G560"/>
  <c r="G562" s="1"/>
  <c r="N560"/>
  <c r="N562" s="1"/>
  <c r="O560"/>
  <c r="O562" s="1"/>
  <c r="Q560"/>
  <c r="Q562" s="1"/>
  <c r="H560"/>
  <c r="H562" s="1"/>
  <c r="K560"/>
  <c r="K562" s="1"/>
  <c r="E658" l="1"/>
  <c r="E676"/>
  <c r="E670"/>
  <c r="E679"/>
  <c r="E560"/>
  <c r="E609"/>
  <c r="E607"/>
  <c r="E603"/>
  <c r="E602"/>
  <c r="E600"/>
  <c r="E599"/>
  <c r="E598"/>
  <c r="E596"/>
  <c r="E595"/>
  <c r="E594"/>
  <c r="E592"/>
  <c r="E591"/>
  <c r="E590"/>
  <c r="E588"/>
  <c r="E587"/>
  <c r="E586"/>
  <c r="E584"/>
  <c r="E582"/>
  <c r="E580"/>
  <c r="E579"/>
  <c r="E578"/>
  <c r="E576"/>
  <c r="E574"/>
  <c r="E572"/>
  <c r="E571"/>
  <c r="E570"/>
  <c r="E568"/>
  <c r="E566"/>
  <c r="E682"/>
  <c r="E681"/>
  <c r="E678"/>
  <c r="E677"/>
  <c r="E674"/>
  <c r="E673"/>
  <c r="E672"/>
  <c r="E671"/>
  <c r="E669"/>
  <c r="E668"/>
  <c r="E666"/>
  <c r="E665"/>
  <c r="E664"/>
  <c r="E663"/>
  <c r="E662"/>
  <c r="E661"/>
  <c r="E660"/>
  <c r="E659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8"/>
  <c r="E606"/>
  <c r="E605"/>
  <c r="E604"/>
  <c r="E601"/>
  <c r="E597"/>
  <c r="E593"/>
  <c r="E589"/>
  <c r="E585"/>
  <c r="E583"/>
  <c r="E581"/>
  <c r="E577"/>
  <c r="E575"/>
  <c r="E573"/>
  <c r="E569"/>
  <c r="E567"/>
  <c r="E565"/>
  <c r="E564"/>
  <c r="E561" l="1"/>
  <c r="E562"/>
  <c r="E656"/>
  <c r="E642"/>
  <c r="E644"/>
  <c r="E646"/>
  <c r="E648"/>
  <c r="E650"/>
  <c r="E652"/>
  <c r="E654"/>
  <c r="E667"/>
  <c r="E675"/>
  <c r="E680"/>
  <c r="E640"/>
  <c r="E641"/>
  <c r="E643"/>
  <c r="E645"/>
  <c r="E647"/>
  <c r="E649"/>
  <c r="E651"/>
  <c r="E653"/>
  <c r="E655"/>
  <c r="E657"/>
</calcChain>
</file>

<file path=xl/sharedStrings.xml><?xml version="1.0" encoding="utf-8"?>
<sst xmlns="http://schemas.openxmlformats.org/spreadsheetml/2006/main" count="8577" uniqueCount="871">
  <si>
    <t>President and Vice-President</t>
  </si>
  <si>
    <t>U.S. Senate</t>
  </si>
  <si>
    <t>U.S. House of Representatives - District 01</t>
  </si>
  <si>
    <t>U.S. House of Representatives - District 02</t>
  </si>
  <si>
    <t>State Senate - District 08</t>
  </si>
  <si>
    <t>State House of Representatives - District 27</t>
  </si>
  <si>
    <t>State House of Representatives - District 28</t>
  </si>
  <si>
    <t>State House of Representatives - District 29</t>
  </si>
  <si>
    <t>State House of Representatives - District 30</t>
  </si>
  <si>
    <t>State House of Representatives - District 31</t>
  </si>
  <si>
    <t>State House of Representatives - District 32</t>
  </si>
  <si>
    <t>State House of Representatives - District 33</t>
  </si>
  <si>
    <t>Steve Chabot</t>
  </si>
  <si>
    <t>William R. Smith</t>
  </si>
  <si>
    <t>Brad Wenstrup</t>
  </si>
  <si>
    <t>Peter Stautberg</t>
  </si>
  <si>
    <t>Louis W. Blessing III</t>
  </si>
  <si>
    <t>Lou Terhar</t>
  </si>
  <si>
    <t>Denise Driehaus</t>
  </si>
  <si>
    <t>Alicia Reece</t>
  </si>
  <si>
    <t>Pat Fischer</t>
  </si>
  <si>
    <t>Pat DeWine</t>
  </si>
  <si>
    <t>PRC #</t>
  </si>
  <si>
    <t>PRECINCT</t>
  </si>
  <si>
    <t>REGISTERED VOTERS TOTAL</t>
  </si>
  <si>
    <t>BALLOTS CAST TOTAL</t>
  </si>
  <si>
    <t>PERCENT</t>
  </si>
  <si>
    <t>REP</t>
  </si>
  <si>
    <t>DEM</t>
  </si>
  <si>
    <t>TOTAL</t>
  </si>
  <si>
    <t>REGULAR</t>
  </si>
  <si>
    <t>ABSENTEE</t>
  </si>
  <si>
    <t>WARD 16 -1-</t>
  </si>
  <si>
    <t>DEER PK CTY -4-</t>
  </si>
  <si>
    <t>MILFORD CTY -3-</t>
  </si>
  <si>
    <t>ADDYSTON VIL -1-</t>
  </si>
  <si>
    <t>AMBERLEY VIL -4-</t>
  </si>
  <si>
    <t>ARLINGTON HGTS VIL -1-</t>
  </si>
  <si>
    <t>CLEVES VIL -2-</t>
  </si>
  <si>
    <t>GLENDALE VIL -2-</t>
  </si>
  <si>
    <t>NORTH BEND VIL -1-</t>
  </si>
  <si>
    <t>MILFORD SCH -1-</t>
  </si>
  <si>
    <t>WARD 1 -13-</t>
  </si>
  <si>
    <t>WARD 2 -11-</t>
  </si>
  <si>
    <t>WARD 3 -5-</t>
  </si>
  <si>
    <t>WARD 4 -8-</t>
  </si>
  <si>
    <t>WARD 5 -9-</t>
  </si>
  <si>
    <t>WARD 6 -4-</t>
  </si>
  <si>
    <t>WARD 8 -4-</t>
  </si>
  <si>
    <t>WARD 12 -3-</t>
  </si>
  <si>
    <t>WARD 14 -9-</t>
  </si>
  <si>
    <t>WARD 15 -10-</t>
  </si>
  <si>
    <t>WARD 17 -3-</t>
  </si>
  <si>
    <t>WARD 18 -2-</t>
  </si>
  <si>
    <t>WARD 19 -4-</t>
  </si>
  <si>
    <t>WARD 22 -3-</t>
  </si>
  <si>
    <t>WARD 23 -18-</t>
  </si>
  <si>
    <t>WARD 24 -9-</t>
  </si>
  <si>
    <t>CHEVIOT CTY -4-</t>
  </si>
  <si>
    <t>FOR PK CTY -13-</t>
  </si>
  <si>
    <t>IND HILL CTY -6-</t>
  </si>
  <si>
    <t>LOVELAND CTY -7-</t>
  </si>
  <si>
    <t>MADEIRA CTY -8-</t>
  </si>
  <si>
    <t>MONTGOMERY CTY -9-</t>
  </si>
  <si>
    <t>MT HEALTHY CTY -4-</t>
  </si>
  <si>
    <t>NCH CTY -7-</t>
  </si>
  <si>
    <t>NORWOOD CTY -11-</t>
  </si>
  <si>
    <t>READING CTY -8-</t>
  </si>
  <si>
    <t>SHARONVILLE CTY -7-</t>
  </si>
  <si>
    <t>WYOMING CTY -5-</t>
  </si>
  <si>
    <t>ANDERSON TWP -32-</t>
  </si>
  <si>
    <t>COLERAIN TWP -38-</t>
  </si>
  <si>
    <t>COLUMBIA TWP -9-</t>
  </si>
  <si>
    <t>DELHI TWP -19-</t>
  </si>
  <si>
    <t>GREEN TWP -43-</t>
  </si>
  <si>
    <t>HARRISON TWP -8-</t>
  </si>
  <si>
    <t>MIAMI TWP -12-</t>
  </si>
  <si>
    <t>SPRINGFIELD TWP -28-</t>
  </si>
  <si>
    <t>SYCAMORE TWP -14-</t>
  </si>
  <si>
    <t>SYMMES TWP -12-</t>
  </si>
  <si>
    <t>WHITEWATER TWP -3-</t>
  </si>
  <si>
    <t>ELMWOOD VIL -1-</t>
  </si>
  <si>
    <t>EVENDALE VIL -3-</t>
  </si>
  <si>
    <t>FAIRFAX VIL -1-</t>
  </si>
  <si>
    <t>GOLF MANOR VIL -2-</t>
  </si>
  <si>
    <t>GREENHILLS VIL -3-</t>
  </si>
  <si>
    <t>LINCOLN HTS VIL -2-</t>
  </si>
  <si>
    <t>LOCKLAND VIL -2-</t>
  </si>
  <si>
    <t>MARIEMONT VIL -2-</t>
  </si>
  <si>
    <t>NEWTOWN VIL -2-</t>
  </si>
  <si>
    <t>ST BERNARD VIL -4-</t>
  </si>
  <si>
    <t>SILVERTON VIL -3-</t>
  </si>
  <si>
    <t>TERR PK VIL -2-</t>
  </si>
  <si>
    <t>WOODLAWN VIL -2-</t>
  </si>
  <si>
    <t>7TH SENATE -91-</t>
  </si>
  <si>
    <t>27TH HOUSE -91-</t>
  </si>
  <si>
    <t>30TH HOUSE -74-</t>
  </si>
  <si>
    <t>JUDICIAL DIST 2 -73-</t>
  </si>
  <si>
    <t>JUDICIAL DIST 6 -87-</t>
  </si>
  <si>
    <t>DR PK SCH -10-</t>
  </si>
  <si>
    <t>IND HILL SCH -17-</t>
  </si>
  <si>
    <t>LOVELAND SCH -13-</t>
  </si>
  <si>
    <t>MARIEMONT SCH -8-</t>
  </si>
  <si>
    <t>NCH SCH DIST -10-</t>
  </si>
  <si>
    <t>ST BER-ELM SCH -5-</t>
  </si>
  <si>
    <t>WINTON WDS SCH -22-</t>
  </si>
  <si>
    <t>WYOMING SCH -5-</t>
  </si>
  <si>
    <t>FINNEYTOWN SCH -10-</t>
  </si>
  <si>
    <t>FOR HILLS SCH -34-</t>
  </si>
  <si>
    <t>LOCKLAND SCH -3-</t>
  </si>
  <si>
    <t>NORTHWEST SCH -57-</t>
  </si>
  <si>
    <t>OAKHILLS SCH -50-</t>
  </si>
  <si>
    <t>SOUTHWEST SCH -13-</t>
  </si>
  <si>
    <t>THREE RIVERS SCH -12-</t>
  </si>
  <si>
    <t>HARRISON UNINCORP -3-</t>
  </si>
  <si>
    <t>MIAMI UNINCORP -8-</t>
  </si>
  <si>
    <t>BLUE ASH CTY -10-</t>
  </si>
  <si>
    <t>2ND CONG -223-</t>
  </si>
  <si>
    <t>MT HEALTHY SCH -21-</t>
  </si>
  <si>
    <t>Todd Portune</t>
  </si>
  <si>
    <t>Joseph T. Deters</t>
  </si>
  <si>
    <t>Tracy Winkler</t>
  </si>
  <si>
    <t>Wayne Coates</t>
  </si>
  <si>
    <t>Robert A. Goering</t>
  </si>
  <si>
    <t>Lakshmi Kode Sammarco</t>
  </si>
  <si>
    <t>Write-in</t>
  </si>
  <si>
    <t>NPC</t>
  </si>
  <si>
    <t>GREEN</t>
  </si>
  <si>
    <t>FOR</t>
  </si>
  <si>
    <t>AGAINST</t>
  </si>
  <si>
    <t>YES</t>
  </si>
  <si>
    <t>NO</t>
  </si>
  <si>
    <t>0101 CIN 1-A</t>
  </si>
  <si>
    <t>0102 CIN 1-B</t>
  </si>
  <si>
    <t>0103 CIN 1-C</t>
  </si>
  <si>
    <t>0104 CIN 1-D</t>
  </si>
  <si>
    <t>0105 CIN 1-E</t>
  </si>
  <si>
    <t>0106 CIN 1-F</t>
  </si>
  <si>
    <t>0107 CIN 1-G</t>
  </si>
  <si>
    <t>0108 CIN 1-H</t>
  </si>
  <si>
    <t>0109 CIN 1-I</t>
  </si>
  <si>
    <t>0110 CIN 1-J</t>
  </si>
  <si>
    <t>0111 CIN 1-K</t>
  </si>
  <si>
    <t>0112 CIN 1-L</t>
  </si>
  <si>
    <t>0113 CIN 1-M</t>
  </si>
  <si>
    <t>0201 CIN 2-A</t>
  </si>
  <si>
    <t>0202 CIN 2-B</t>
  </si>
  <si>
    <t>0203 CIN 2-C</t>
  </si>
  <si>
    <t>0204 CIN 2-D</t>
  </si>
  <si>
    <t>0205 CIN 2-E</t>
  </si>
  <si>
    <t>0206 CIN 2-F</t>
  </si>
  <si>
    <t>0207 CIN 2-G</t>
  </si>
  <si>
    <t>0208 CIN 2-H</t>
  </si>
  <si>
    <t>0209 CIN 2-I</t>
  </si>
  <si>
    <t>0210 CIN 2-J</t>
  </si>
  <si>
    <t>0211 CIN 2-K</t>
  </si>
  <si>
    <t>0301 CIN 3-A</t>
  </si>
  <si>
    <t>0302 CIN 3-B</t>
  </si>
  <si>
    <t>0303 CIN 3-C</t>
  </si>
  <si>
    <t>0304 CIN 3-D</t>
  </si>
  <si>
    <t>0305 CIN 3-E</t>
  </si>
  <si>
    <t>0401 CIN 4-A</t>
  </si>
  <si>
    <t>0402 CIN 4-B</t>
  </si>
  <si>
    <t>0403 CIN 4-C</t>
  </si>
  <si>
    <t>0404 CIN 4-D</t>
  </si>
  <si>
    <t>0405 CIN 4-E</t>
  </si>
  <si>
    <t>0406 CIN 4-F</t>
  </si>
  <si>
    <t>0407 CIN 4-G</t>
  </si>
  <si>
    <t>0408 CIN 4-H</t>
  </si>
  <si>
    <t>0501 CIN 5-A</t>
  </si>
  <si>
    <t>0502 CIN 5-B</t>
  </si>
  <si>
    <t>0503 CIN 5-C</t>
  </si>
  <si>
    <t>0504 CIN 5-D</t>
  </si>
  <si>
    <t>0505 CIN 5-E</t>
  </si>
  <si>
    <t>0506 CIN 5-F</t>
  </si>
  <si>
    <t>0507 CIN 5-G</t>
  </si>
  <si>
    <t>0508 CIN 5-H</t>
  </si>
  <si>
    <t>0509 CIN 5-I</t>
  </si>
  <si>
    <t>0601 CIN 6-A</t>
  </si>
  <si>
    <t>0602 CIN 6-B</t>
  </si>
  <si>
    <t>0603 CIN 6-C</t>
  </si>
  <si>
    <t>0604 CIN 6-D</t>
  </si>
  <si>
    <t>0701 CIN 7-A</t>
  </si>
  <si>
    <t>0702 CIN 7-B</t>
  </si>
  <si>
    <t>0703 CIN 7-C</t>
  </si>
  <si>
    <t>0704 CIN 7-D</t>
  </si>
  <si>
    <t>0705 CIN 7-E</t>
  </si>
  <si>
    <t>0706 CIN 7-F</t>
  </si>
  <si>
    <t>0707 CIN 7-G</t>
  </si>
  <si>
    <t>0708 CIN 7-H</t>
  </si>
  <si>
    <t>0709 CIN 7-I</t>
  </si>
  <si>
    <t>0710 CIN 7-J</t>
  </si>
  <si>
    <t>0711 CIN 7-K</t>
  </si>
  <si>
    <t>0801 CIN 8-A</t>
  </si>
  <si>
    <t>0802 CIN 8-B</t>
  </si>
  <si>
    <t>0803 CIN 8-C</t>
  </si>
  <si>
    <t>0804 CIN 8-D</t>
  </si>
  <si>
    <t>0901 CIN 9-A</t>
  </si>
  <si>
    <t>0902 CIN 9-B</t>
  </si>
  <si>
    <t>0903 CIN 9-C</t>
  </si>
  <si>
    <t>0904 CIN 9-D</t>
  </si>
  <si>
    <t>1001 CIN 10-A</t>
  </si>
  <si>
    <t>1002 CIN 10-B</t>
  </si>
  <si>
    <t>1003 CIN 10-C</t>
  </si>
  <si>
    <t>1101 CIN 11-A</t>
  </si>
  <si>
    <t>1102 CIN 11-B</t>
  </si>
  <si>
    <t>1103 CIN 11-C</t>
  </si>
  <si>
    <t>1201 CIN 12-A</t>
  </si>
  <si>
    <t>1202 CIN 12-B</t>
  </si>
  <si>
    <t>1203 CIN 12-C</t>
  </si>
  <si>
    <t>1301 CIN 13-A</t>
  </si>
  <si>
    <t>1302 CIN 13-B</t>
  </si>
  <si>
    <t>1303 CIN 13-C</t>
  </si>
  <si>
    <t>1304 CIN 13-D</t>
  </si>
  <si>
    <t>1305 CIN 13-E</t>
  </si>
  <si>
    <t>1306 CIN 13-F</t>
  </si>
  <si>
    <t>1307 CIN 13-G</t>
  </si>
  <si>
    <t>1401 CIN 14-A</t>
  </si>
  <si>
    <t>1402 CIN 14-B</t>
  </si>
  <si>
    <t>1403 CIN 14-C</t>
  </si>
  <si>
    <t>1404 CIN 14-D</t>
  </si>
  <si>
    <t>1405 CIN 14-E</t>
  </si>
  <si>
    <t>1406 CIN 14-F</t>
  </si>
  <si>
    <t>1407 CIN 14-G</t>
  </si>
  <si>
    <t>1408 CIN 14-H</t>
  </si>
  <si>
    <t>1409 CIN 14-I</t>
  </si>
  <si>
    <t>1501 CIN 15-A</t>
  </si>
  <si>
    <t>1502 CIN 15-B</t>
  </si>
  <si>
    <t>1503 CIN 15-C</t>
  </si>
  <si>
    <t>1504 CIN 15-D</t>
  </si>
  <si>
    <t>1505 CIN 15-E</t>
  </si>
  <si>
    <t>1506 CIN 15-F</t>
  </si>
  <si>
    <t>1507 CIN 15-G</t>
  </si>
  <si>
    <t>1508 CIN 15-H</t>
  </si>
  <si>
    <t>1509 CIN 15-I</t>
  </si>
  <si>
    <t>1510 CIN 15-J</t>
  </si>
  <si>
    <t>1601 CIN 16-A</t>
  </si>
  <si>
    <t>1701 CIN 17-A</t>
  </si>
  <si>
    <t>1702 CIN 17-B</t>
  </si>
  <si>
    <t>1703 CIN 17-C</t>
  </si>
  <si>
    <t>1801 CIN 18-A</t>
  </si>
  <si>
    <t>1802 CIN 18-B</t>
  </si>
  <si>
    <t>1901 CIN 19-A</t>
  </si>
  <si>
    <t>1902 CIN 19-B</t>
  </si>
  <si>
    <t>1903 CIN 19-C</t>
  </si>
  <si>
    <t>1904 CIN 19-D</t>
  </si>
  <si>
    <t>2001 CIN 20-A</t>
  </si>
  <si>
    <t>2002 CIN 20-B</t>
  </si>
  <si>
    <t>2003 CIN 20-C</t>
  </si>
  <si>
    <t>2004 CIN 20-D</t>
  </si>
  <si>
    <t>2005 CIN 20-E</t>
  </si>
  <si>
    <t>2101 CIN 21-A</t>
  </si>
  <si>
    <t>2102 CIN 21-B</t>
  </si>
  <si>
    <t>2103 CIN 21-C</t>
  </si>
  <si>
    <t>2104 CIN 21-D</t>
  </si>
  <si>
    <t>2105 CIN 21-E</t>
  </si>
  <si>
    <t>2201 CIN 22-A</t>
  </si>
  <si>
    <t>2202 CIN 22-B</t>
  </si>
  <si>
    <t>2203 CIN 22-C</t>
  </si>
  <si>
    <t>2301 CIN 23-A</t>
  </si>
  <si>
    <t>2302 CIN 23-B</t>
  </si>
  <si>
    <t>2303 CIN 23-C</t>
  </si>
  <si>
    <t>2304 CIN 23-D</t>
  </si>
  <si>
    <t>2305 CIN 23-E</t>
  </si>
  <si>
    <t>2306 CIN 23-F</t>
  </si>
  <si>
    <t>2307 CIN 23-G</t>
  </si>
  <si>
    <t>2308 CIN 23-H</t>
  </si>
  <si>
    <t>2309 CIN 23-I</t>
  </si>
  <si>
    <t>2310 CIN 23-J</t>
  </si>
  <si>
    <t>2311 CIN 23-K</t>
  </si>
  <si>
    <t>2312 CIN 23-L</t>
  </si>
  <si>
    <t>2313 CIN 23-M</t>
  </si>
  <si>
    <t>2314 CIN 23-N</t>
  </si>
  <si>
    <t>2315 CIN 23-O</t>
  </si>
  <si>
    <t>2316 CIN 23-P</t>
  </si>
  <si>
    <t>2317 CIN 23-Q</t>
  </si>
  <si>
    <t>2318 CIN 23-R</t>
  </si>
  <si>
    <t>2401 CIN 24-A</t>
  </si>
  <si>
    <t>2402 CIN 24-B</t>
  </si>
  <si>
    <t>2403 CIN 24-C</t>
  </si>
  <si>
    <t>2404 CIN 24-D</t>
  </si>
  <si>
    <t>2405 CIN 24-E</t>
  </si>
  <si>
    <t>2406 CIN 24-F</t>
  </si>
  <si>
    <t>2407 CIN 24-G</t>
  </si>
  <si>
    <t>2408 CIN 24-H</t>
  </si>
  <si>
    <t>2409 CIN 24-I</t>
  </si>
  <si>
    <t>2501 CIN 25-A</t>
  </si>
  <si>
    <t>2502 CIN 25-B</t>
  </si>
  <si>
    <t>2503 CIN 25-C</t>
  </si>
  <si>
    <t>2504 CIN 25-D</t>
  </si>
  <si>
    <t>2505 CIN 25-E</t>
  </si>
  <si>
    <t>2506 CIN 25-F</t>
  </si>
  <si>
    <t>2507 CIN 25-G</t>
  </si>
  <si>
    <t>2508 CIN 25-H</t>
  </si>
  <si>
    <t>2509 CIN 25-I</t>
  </si>
  <si>
    <t>2510 CIN 25-J</t>
  </si>
  <si>
    <t>2511 CIN 25-K</t>
  </si>
  <si>
    <t>2512 CIN 25-L</t>
  </si>
  <si>
    <t>2601 CIN 26-A</t>
  </si>
  <si>
    <t>2602 CIN 26-B</t>
  </si>
  <si>
    <t>2603 CIN 26-C</t>
  </si>
  <si>
    <t>2604 CIN 26-D</t>
  </si>
  <si>
    <t>2605 CIN 26-E</t>
  </si>
  <si>
    <t>2606 CIN 26-F</t>
  </si>
  <si>
    <t>2607 CIN 26-G</t>
  </si>
  <si>
    <t>2608 CIN 26-H</t>
  </si>
  <si>
    <t>2609 CIN 26-I</t>
  </si>
  <si>
    <t>2610 CIN 26-J</t>
  </si>
  <si>
    <t>2611 CIN 26-K</t>
  </si>
  <si>
    <t>2612 CIN 26-L</t>
  </si>
  <si>
    <t>2613 CIN 26-M</t>
  </si>
  <si>
    <t>2614 CIN 26-N</t>
  </si>
  <si>
    <t>2615 CIN 26-O</t>
  </si>
  <si>
    <t>2616 CIN 26-P</t>
  </si>
  <si>
    <t>2617 CIN 26-Q</t>
  </si>
  <si>
    <t>2618 CIN 26-R</t>
  </si>
  <si>
    <t>2619 CIN 26-S</t>
  </si>
  <si>
    <t>2811 BLUE 1-A</t>
  </si>
  <si>
    <t>2812 BLUE 1-B</t>
  </si>
  <si>
    <t>2821 BLUE 2-A</t>
  </si>
  <si>
    <t>2822 BLUE 2-B</t>
  </si>
  <si>
    <t>2823 BLUE 2-C</t>
  </si>
  <si>
    <t>2831 BLUE 3-A</t>
  </si>
  <si>
    <t>2832 BLUE 3-B</t>
  </si>
  <si>
    <t>2841 BLUE 4-A</t>
  </si>
  <si>
    <t>2851 BLUE 5-A</t>
  </si>
  <si>
    <t>2852 BLUE 5-B</t>
  </si>
  <si>
    <t>2911 CHEV 1-A</t>
  </si>
  <si>
    <t>2921 CHEV 2-A</t>
  </si>
  <si>
    <t>2931 CHEV 3-A</t>
  </si>
  <si>
    <t>2941 CHEV 4-A</t>
  </si>
  <si>
    <t>3111 DR PK 1-A</t>
  </si>
  <si>
    <t>3121 DR PK 2-A</t>
  </si>
  <si>
    <t>3131 DR PK 3-A</t>
  </si>
  <si>
    <t>3141 DR PK 4-A</t>
  </si>
  <si>
    <t>3201 FR PK A</t>
  </si>
  <si>
    <t>3202 FR PK B</t>
  </si>
  <si>
    <t>3203 FR PK C</t>
  </si>
  <si>
    <t>3204 FR PK D</t>
  </si>
  <si>
    <t>3205 FR PK E</t>
  </si>
  <si>
    <t>3206 FR PK F</t>
  </si>
  <si>
    <t>3207 FR PK G</t>
  </si>
  <si>
    <t>3208 FR PK H</t>
  </si>
  <si>
    <t>3209 FR PK I</t>
  </si>
  <si>
    <t>3210 FR PK J</t>
  </si>
  <si>
    <t>3211 FR PK K</t>
  </si>
  <si>
    <t>3212 FR PK L</t>
  </si>
  <si>
    <t>3213 FR PK M</t>
  </si>
  <si>
    <t>3401 HARR A</t>
  </si>
  <si>
    <t>3402 HARR B</t>
  </si>
  <si>
    <t>3403 HARR C</t>
  </si>
  <si>
    <t>3404 HARR D</t>
  </si>
  <si>
    <t>3405 HARR E</t>
  </si>
  <si>
    <t>3406 HARR F</t>
  </si>
  <si>
    <t>3501 IND HLL A</t>
  </si>
  <si>
    <t>3502 IND HLL B</t>
  </si>
  <si>
    <t>3503 IND HLL C</t>
  </si>
  <si>
    <t>3504 IND HLL D</t>
  </si>
  <si>
    <t>3505 IND HLL E</t>
  </si>
  <si>
    <t>3506 IND HLL F</t>
  </si>
  <si>
    <t>3701 LOVE A</t>
  </si>
  <si>
    <t>3702 LOVE B</t>
  </si>
  <si>
    <t>3703 LOVE C</t>
  </si>
  <si>
    <t>3704 LOVE D</t>
  </si>
  <si>
    <t>3705 LOVE E</t>
  </si>
  <si>
    <t>3706 LOVE F</t>
  </si>
  <si>
    <t>3707 LOVE G</t>
  </si>
  <si>
    <t>3801 MADRA A</t>
  </si>
  <si>
    <t>3802 MADRA B</t>
  </si>
  <si>
    <t>3803 MADRA C</t>
  </si>
  <si>
    <t>3804 MADRA D</t>
  </si>
  <si>
    <t>3805 MADRA E</t>
  </si>
  <si>
    <t>3806 MADRA F</t>
  </si>
  <si>
    <t>3807 MADRA G</t>
  </si>
  <si>
    <t>3808 MADRA H</t>
  </si>
  <si>
    <t>4001 MONT A</t>
  </si>
  <si>
    <t>4002 MONT B</t>
  </si>
  <si>
    <t>4003 MONT C</t>
  </si>
  <si>
    <t>4004 MONT D</t>
  </si>
  <si>
    <t>4005 MONT E</t>
  </si>
  <si>
    <t>4006 MONT F</t>
  </si>
  <si>
    <t>4007 MONT G</t>
  </si>
  <si>
    <t>4008 MONT H</t>
  </si>
  <si>
    <t>4009 MONT I</t>
  </si>
  <si>
    <t>4111 MTHY 1-A</t>
  </si>
  <si>
    <t>4121 MTHY 2-A</t>
  </si>
  <si>
    <t>4131 MTHY 3-A</t>
  </si>
  <si>
    <t>4141 MTHY 4-A</t>
  </si>
  <si>
    <t>4311 NCH 1-A</t>
  </si>
  <si>
    <t>4312 NCH 1-B</t>
  </si>
  <si>
    <t>4321 NCH 2-A</t>
  </si>
  <si>
    <t>4331 NCH 3-A</t>
  </si>
  <si>
    <t>4341 NCH 4-A</t>
  </si>
  <si>
    <t>4342 NCH 4-B</t>
  </si>
  <si>
    <t>4343 NCH 4-C</t>
  </si>
  <si>
    <t>4411 NORW 1-A</t>
  </si>
  <si>
    <t>4412 NORW 1-B</t>
  </si>
  <si>
    <t>4421 NORW 2-A</t>
  </si>
  <si>
    <t>4422 NORW 2-B</t>
  </si>
  <si>
    <t>4423 NORW 2-C</t>
  </si>
  <si>
    <t>4431 NORW 3-A</t>
  </si>
  <si>
    <t>4432 NORW 3-B</t>
  </si>
  <si>
    <t>4433 NORW 3-C</t>
  </si>
  <si>
    <t>4441 NORW 4-A</t>
  </si>
  <si>
    <t>4442 NORW 4-B</t>
  </si>
  <si>
    <t>4443 NORW 4-C</t>
  </si>
  <si>
    <t>4611 READ 1-A</t>
  </si>
  <si>
    <t>4612 READ 1-B</t>
  </si>
  <si>
    <t>4621 READ 2-A</t>
  </si>
  <si>
    <t>4622 READ 2-B</t>
  </si>
  <si>
    <t>4631 READ 3-A</t>
  </si>
  <si>
    <t>4632 READ 3-B</t>
  </si>
  <si>
    <t>4641 READ 4-A</t>
  </si>
  <si>
    <t>4642 READ 4-B</t>
  </si>
  <si>
    <t>4911 SHAR 1-A</t>
  </si>
  <si>
    <t>4912 SHAR 1-B</t>
  </si>
  <si>
    <t>4921 SHAR 2-A</t>
  </si>
  <si>
    <t>4931 SHAR 3-A</t>
  </si>
  <si>
    <t>4932 SHAR 3-B</t>
  </si>
  <si>
    <t>4941 SHAR 4-A</t>
  </si>
  <si>
    <t>4942 SHAR 4-B</t>
  </si>
  <si>
    <t>5201 SPDALE A</t>
  </si>
  <si>
    <t>5202 SPDALE B</t>
  </si>
  <si>
    <t>5203 SPDALE C</t>
  </si>
  <si>
    <t>5204 SPDALE D</t>
  </si>
  <si>
    <t>5205 SPDALE E</t>
  </si>
  <si>
    <t>5206 SPDALE F</t>
  </si>
  <si>
    <t>5207 SPDALE G</t>
  </si>
  <si>
    <t>5208 SPDALE H</t>
  </si>
  <si>
    <t>5301 WYOM A</t>
  </si>
  <si>
    <t>5302 WYOM B</t>
  </si>
  <si>
    <t>5303 WYOM C</t>
  </si>
  <si>
    <t>5304 WYOM D</t>
  </si>
  <si>
    <t>5305 WYOM E</t>
  </si>
  <si>
    <t>5501 AMBER A</t>
  </si>
  <si>
    <t>5502 AMBER B</t>
  </si>
  <si>
    <t>5503 AMBER C</t>
  </si>
  <si>
    <t>5504 AMBER D</t>
  </si>
  <si>
    <t>5601 AND A</t>
  </si>
  <si>
    <t>5602 AND B</t>
  </si>
  <si>
    <t>5603 AND C</t>
  </si>
  <si>
    <t>5604 AND D</t>
  </si>
  <si>
    <t>5605 AND E</t>
  </si>
  <si>
    <t>5606 AND F</t>
  </si>
  <si>
    <t>5607 AND G</t>
  </si>
  <si>
    <t>5608 AND H</t>
  </si>
  <si>
    <t>5609 AND I</t>
  </si>
  <si>
    <t>5610 AND J</t>
  </si>
  <si>
    <t>5611 AND K</t>
  </si>
  <si>
    <t>5612 AND L</t>
  </si>
  <si>
    <t>5613 AND M</t>
  </si>
  <si>
    <t>5614 AND N</t>
  </si>
  <si>
    <t>5615 AND O</t>
  </si>
  <si>
    <t>5616 AND P</t>
  </si>
  <si>
    <t>5617 AND Q</t>
  </si>
  <si>
    <t>5618 AND R</t>
  </si>
  <si>
    <t>5619 AND S</t>
  </si>
  <si>
    <t>5620 AND T</t>
  </si>
  <si>
    <t>5621 AND U</t>
  </si>
  <si>
    <t>5622 AND V</t>
  </si>
  <si>
    <t>5623 AND W</t>
  </si>
  <si>
    <t>5624 AND X</t>
  </si>
  <si>
    <t>5625 AND Y</t>
  </si>
  <si>
    <t>5626 AND Z</t>
  </si>
  <si>
    <t>5627 AND AA</t>
  </si>
  <si>
    <t>5628 AND BB</t>
  </si>
  <si>
    <t>5629 AND CC</t>
  </si>
  <si>
    <t>5630 AND DD</t>
  </si>
  <si>
    <t>5631 AND EE</t>
  </si>
  <si>
    <t>5632 AND FF</t>
  </si>
  <si>
    <t>5801 ARLN A</t>
  </si>
  <si>
    <t>5901 COLE A</t>
  </si>
  <si>
    <t>5902 COLE B</t>
  </si>
  <si>
    <t>5903 COLE C</t>
  </si>
  <si>
    <t>5904 COLE D</t>
  </si>
  <si>
    <t>5905 COLE E</t>
  </si>
  <si>
    <t>5906 COLE F</t>
  </si>
  <si>
    <t>5907 COLE G</t>
  </si>
  <si>
    <t>5908 COLE H</t>
  </si>
  <si>
    <t>5909 COLE I</t>
  </si>
  <si>
    <t>5910 COLE J</t>
  </si>
  <si>
    <t>5911 COLE K</t>
  </si>
  <si>
    <t>5912 COLE L</t>
  </si>
  <si>
    <t>5913 COLE M</t>
  </si>
  <si>
    <t>5914 COLE N</t>
  </si>
  <si>
    <t>5915 COLE O</t>
  </si>
  <si>
    <t>5916 COLE P</t>
  </si>
  <si>
    <t>5917 COLE Q</t>
  </si>
  <si>
    <t>5918 COLE R</t>
  </si>
  <si>
    <t>5919 COLE S</t>
  </si>
  <si>
    <t>5920 COLE T</t>
  </si>
  <si>
    <t>5921 COLE U</t>
  </si>
  <si>
    <t>5922 COLE V</t>
  </si>
  <si>
    <t>5923 COLE W</t>
  </si>
  <si>
    <t>5924 COLE X</t>
  </si>
  <si>
    <t>5925 COLE Y</t>
  </si>
  <si>
    <t>5926 COLE Z</t>
  </si>
  <si>
    <t>5927 COLE AA</t>
  </si>
  <si>
    <t>5928 COLE BB</t>
  </si>
  <si>
    <t>5929 COLE CC</t>
  </si>
  <si>
    <t>5930 COLE DD</t>
  </si>
  <si>
    <t>5931 COLE EE</t>
  </si>
  <si>
    <t>5932 COLE FF</t>
  </si>
  <si>
    <t>5933 COLE GG</t>
  </si>
  <si>
    <t>5934 COLE HH</t>
  </si>
  <si>
    <t>5935 COLE II</t>
  </si>
  <si>
    <t>5936 COLE JJ</t>
  </si>
  <si>
    <t>5937 COLE KK</t>
  </si>
  <si>
    <t>5938 COLE LL</t>
  </si>
  <si>
    <t>6201 COLUM A</t>
  </si>
  <si>
    <t>6202 COLUM B</t>
  </si>
  <si>
    <t>6203 COLUM C</t>
  </si>
  <si>
    <t>6204 COLUM D</t>
  </si>
  <si>
    <t>6205 COLUM E</t>
  </si>
  <si>
    <t>6206 COLUM F</t>
  </si>
  <si>
    <t>6207 COLUM G</t>
  </si>
  <si>
    <t>6208 COLUM H</t>
  </si>
  <si>
    <t>6209 COLUM I</t>
  </si>
  <si>
    <t>6210 COLUM J</t>
  </si>
  <si>
    <t>6211 COLUM K</t>
  </si>
  <si>
    <t>6212 COLUM L</t>
  </si>
  <si>
    <t>6401 CROSB A</t>
  </si>
  <si>
    <t>6402 CROSB B</t>
  </si>
  <si>
    <t>6501 DELHI A</t>
  </si>
  <si>
    <t>6502 DELHI B</t>
  </si>
  <si>
    <t>6503 DELHI C</t>
  </si>
  <si>
    <t>6504 DELHI D</t>
  </si>
  <si>
    <t>6505 DELHI E</t>
  </si>
  <si>
    <t>6506 DELHI F</t>
  </si>
  <si>
    <t>6507 DELHI G</t>
  </si>
  <si>
    <t>6508 DELHI H</t>
  </si>
  <si>
    <t>6509 DELHI I</t>
  </si>
  <si>
    <t>6510 DELHI J</t>
  </si>
  <si>
    <t>6511 DELHI K</t>
  </si>
  <si>
    <t>6512 DELHI L</t>
  </si>
  <si>
    <t>6513 DELHI M</t>
  </si>
  <si>
    <t>6514 DELHI N</t>
  </si>
  <si>
    <t>6515 DELHI O</t>
  </si>
  <si>
    <t>6516 DELHI P</t>
  </si>
  <si>
    <t>6517 DELHI Q</t>
  </si>
  <si>
    <t>6518 DELHI R</t>
  </si>
  <si>
    <t>6519 DELHI S</t>
  </si>
  <si>
    <t>6701 ELMW A</t>
  </si>
  <si>
    <t>6801 EVEN A</t>
  </si>
  <si>
    <t>6802 EVEN B</t>
  </si>
  <si>
    <t>6803 EVEN C</t>
  </si>
  <si>
    <t>6901 FAIRFX A</t>
  </si>
  <si>
    <t>7001 GLEN A</t>
  </si>
  <si>
    <t>7002 GLEN B</t>
  </si>
  <si>
    <t>7101 GOLF A</t>
  </si>
  <si>
    <t>7102 GOLF B</t>
  </si>
  <si>
    <t>7301 GREEN A</t>
  </si>
  <si>
    <t>7302 GREEN B</t>
  </si>
  <si>
    <t>7303 GREEN C</t>
  </si>
  <si>
    <t>7304 GREEN D</t>
  </si>
  <si>
    <t>7305 GREEN E</t>
  </si>
  <si>
    <t>7306 GREEN F</t>
  </si>
  <si>
    <t>7307 GREEN G</t>
  </si>
  <si>
    <t>7308 GREEN H</t>
  </si>
  <si>
    <t>7309 GREEN I</t>
  </si>
  <si>
    <t>7310 GREEN J</t>
  </si>
  <si>
    <t>7311 GREEN K</t>
  </si>
  <si>
    <t>7312 GREEN L</t>
  </si>
  <si>
    <t>7313 GREEN M</t>
  </si>
  <si>
    <t>7314 GREEN N</t>
  </si>
  <si>
    <t>7315 GREEN O</t>
  </si>
  <si>
    <t>7316 GREEN P</t>
  </si>
  <si>
    <t>7317 GREEN Q</t>
  </si>
  <si>
    <t>7318 GREEN R</t>
  </si>
  <si>
    <t>7319 GREEN S</t>
  </si>
  <si>
    <t>7320 GREEN T</t>
  </si>
  <si>
    <t>7321 GREEN U</t>
  </si>
  <si>
    <t>7322 GREEN V</t>
  </si>
  <si>
    <t>7323 GREEN W</t>
  </si>
  <si>
    <t>7324 GREEN X</t>
  </si>
  <si>
    <t>7325 GREEN Y</t>
  </si>
  <si>
    <t>7326 GREEN Z</t>
  </si>
  <si>
    <t>7327 GREEN AA</t>
  </si>
  <si>
    <t>7328 GREEN BB</t>
  </si>
  <si>
    <t>7329 GREEN CC</t>
  </si>
  <si>
    <t>7330 GREEN DD</t>
  </si>
  <si>
    <t>7331 GREEN EE</t>
  </si>
  <si>
    <t>7332 GREEN FF</t>
  </si>
  <si>
    <t>7333 GREEN GG</t>
  </si>
  <si>
    <t>7334 GREEN HH</t>
  </si>
  <si>
    <t>7335 GREEN II</t>
  </si>
  <si>
    <t>7336 GREEN JJ</t>
  </si>
  <si>
    <t>7337 GREEN KK</t>
  </si>
  <si>
    <t>7338 GREEN LL</t>
  </si>
  <si>
    <t>7339 GREEN MM</t>
  </si>
  <si>
    <t>7340 GREEN NN</t>
  </si>
  <si>
    <t>7341 GREEN OO</t>
  </si>
  <si>
    <t>7342 GREEN PP</t>
  </si>
  <si>
    <t>7343 GREEN QQ</t>
  </si>
  <si>
    <t>7401 GR HL A</t>
  </si>
  <si>
    <t>7402 GR HL B</t>
  </si>
  <si>
    <t>7403 GR HL C</t>
  </si>
  <si>
    <t>7601 HARR AA</t>
  </si>
  <si>
    <t>7602 HARR BB</t>
  </si>
  <si>
    <t>7603 HARR CC</t>
  </si>
  <si>
    <t>7701 LIN HT A</t>
  </si>
  <si>
    <t>7702 LIN HT B</t>
  </si>
  <si>
    <t>7901 LOCK A</t>
  </si>
  <si>
    <t>7902 LOCK B</t>
  </si>
  <si>
    <t>8001 MARMT A</t>
  </si>
  <si>
    <t>8002 MARMT B</t>
  </si>
  <si>
    <t>8211 ADDY A</t>
  </si>
  <si>
    <t>8221 CLEVE A</t>
  </si>
  <si>
    <t>8222 CLEVE B</t>
  </si>
  <si>
    <t>8231 NO BEND A</t>
  </si>
  <si>
    <t>8301 MIAMI A</t>
  </si>
  <si>
    <t>8302 MIAMI B</t>
  </si>
  <si>
    <t>8303 MIAMI C</t>
  </si>
  <si>
    <t>8304 MIAMI D</t>
  </si>
  <si>
    <t>8305 MIAMI E</t>
  </si>
  <si>
    <t>8306 MIAMI F</t>
  </si>
  <si>
    <t>8307 MIAMI G</t>
  </si>
  <si>
    <t>8308 MIAMI H</t>
  </si>
  <si>
    <t>8401 NEWT A</t>
  </si>
  <si>
    <t>8402 NEWT B</t>
  </si>
  <si>
    <t>8511 ST BN 1-A</t>
  </si>
  <si>
    <t>8521 ST BN 2-A</t>
  </si>
  <si>
    <t>8531 ST BN 3-A</t>
  </si>
  <si>
    <t>8541 ST BN 4-A</t>
  </si>
  <si>
    <t>8601 SILVT A</t>
  </si>
  <si>
    <t>8602 SILVT B</t>
  </si>
  <si>
    <t>8603 SILVT C</t>
  </si>
  <si>
    <t>8701 SPFLD A</t>
  </si>
  <si>
    <t>8702 SPFLD B</t>
  </si>
  <si>
    <t>8703 SPFLD C</t>
  </si>
  <si>
    <t>8704 SPFLD D</t>
  </si>
  <si>
    <t>8705 SPFLD E</t>
  </si>
  <si>
    <t>8706 SPFLD F</t>
  </si>
  <si>
    <t>8707 SPFLD G</t>
  </si>
  <si>
    <t>8708 SPFLD H</t>
  </si>
  <si>
    <t>8709 SPFLD I</t>
  </si>
  <si>
    <t>8710 SPFLD J</t>
  </si>
  <si>
    <t>8711 SPFLD K</t>
  </si>
  <si>
    <t>8712 SPFLD L</t>
  </si>
  <si>
    <t>8713 SPFLD M</t>
  </si>
  <si>
    <t>8714 SPFLD N</t>
  </si>
  <si>
    <t>8715 SPFLD O</t>
  </si>
  <si>
    <t>8716 SPFLD P</t>
  </si>
  <si>
    <t>8717 SPFLD Q</t>
  </si>
  <si>
    <t>8718 SPFLD R</t>
  </si>
  <si>
    <t>8719 SPFLD S</t>
  </si>
  <si>
    <t>8720 SPFLD T</t>
  </si>
  <si>
    <t>8721 SPFLD U</t>
  </si>
  <si>
    <t>8722 SPFLD V</t>
  </si>
  <si>
    <t>8723 SPFLD W</t>
  </si>
  <si>
    <t>8724 SPFLD X</t>
  </si>
  <si>
    <t>8725 SPFLD Y</t>
  </si>
  <si>
    <t>8726 SPFLD Z</t>
  </si>
  <si>
    <t>8727 SPFLD AA</t>
  </si>
  <si>
    <t>8728 SPFLD BB</t>
  </si>
  <si>
    <t>8901 SYCAM A</t>
  </si>
  <si>
    <t>8902 SYCAM B</t>
  </si>
  <si>
    <t>8903 SYCAM C</t>
  </si>
  <si>
    <t>8904 SYCAM D</t>
  </si>
  <si>
    <t>8905 SYCAM E</t>
  </si>
  <si>
    <t>8906 SYCAM F</t>
  </si>
  <si>
    <t>8907 SYCAM G</t>
  </si>
  <si>
    <t>8908 SYCAM H</t>
  </si>
  <si>
    <t>8909 SYCAM I</t>
  </si>
  <si>
    <t>8910 SYCAM J</t>
  </si>
  <si>
    <t>8911 SYCAM K</t>
  </si>
  <si>
    <t>8912 SYCAM L</t>
  </si>
  <si>
    <t>8913 SYCAM M</t>
  </si>
  <si>
    <t>8914 SYCAM N</t>
  </si>
  <si>
    <t>9101 SYMM A</t>
  </si>
  <si>
    <t>9102 SYMM B</t>
  </si>
  <si>
    <t>9103 SYMM C</t>
  </si>
  <si>
    <t>9104 SYMM D</t>
  </si>
  <si>
    <t>9105 SYMM E</t>
  </si>
  <si>
    <t>9106 SYMM F</t>
  </si>
  <si>
    <t>9107 SYMM G</t>
  </si>
  <si>
    <t>9108 SYMM H</t>
  </si>
  <si>
    <t>9109 SYMM I</t>
  </si>
  <si>
    <t>9110 SYMM J</t>
  </si>
  <si>
    <t>9111 SYMM K</t>
  </si>
  <si>
    <t>9112 SYMM L</t>
  </si>
  <si>
    <t>9301 TER PK A</t>
  </si>
  <si>
    <t>9302 TER PK B</t>
  </si>
  <si>
    <t>9501 WHWTR A</t>
  </si>
  <si>
    <t>9502 WHWTR B</t>
  </si>
  <si>
    <t>9503 WHWTR C</t>
  </si>
  <si>
    <t>9701 WOOD A</t>
  </si>
  <si>
    <t>9702 WOOD B</t>
  </si>
  <si>
    <t>WARD 10 -3-</t>
  </si>
  <si>
    <t>WARD 11 -3-</t>
  </si>
  <si>
    <t>WARD 9 -4-</t>
  </si>
  <si>
    <t>WARD 7 -11-</t>
  </si>
  <si>
    <t>CINTI CTY -185-</t>
  </si>
  <si>
    <t>WARD 13 -7-</t>
  </si>
  <si>
    <t>WARD 20 -5-</t>
  </si>
  <si>
    <t>WARD 21 -5-</t>
  </si>
  <si>
    <t>WARD 25 -12-</t>
  </si>
  <si>
    <t>WARD 26 -19-</t>
  </si>
  <si>
    <t>HARRISON CTY -6-</t>
  </si>
  <si>
    <t>SPRINGDALE CTY -8-</t>
  </si>
  <si>
    <t>CROSBY TWP -3-</t>
  </si>
  <si>
    <t>8TH SENATE -238-</t>
  </si>
  <si>
    <t>9TH SENATE -227-</t>
  </si>
  <si>
    <t>28TH HOUSE -91-</t>
  </si>
  <si>
    <t>29TH HOUSE -73-</t>
  </si>
  <si>
    <t>31ST HOUSE -73-</t>
  </si>
  <si>
    <t>32ND HOUSE -78-</t>
  </si>
  <si>
    <t>33RD HOUSE -76-</t>
  </si>
  <si>
    <t>JUDICIAL DIST 1 -51-</t>
  </si>
  <si>
    <t>JUDICIAL DIST 3 -83-</t>
  </si>
  <si>
    <t>JUDICIAL DIST 4 -85-</t>
  </si>
  <si>
    <t>JUDICIAL DIST 5 -106-</t>
  </si>
  <si>
    <t>JUDICIAL DIST 7 -71-</t>
  </si>
  <si>
    <t>CIN SCH -226-</t>
  </si>
  <si>
    <t>PRINCETON SCH -29-</t>
  </si>
  <si>
    <t>READING SCH -9-</t>
  </si>
  <si>
    <t>SYCAMORE SCH -35-</t>
  </si>
  <si>
    <t>HAMILTON COUNTY, OHIO                                           OFFICIAL RESULTS                                                   GENERAL ELECTION                                  NOVEMBER 8, 2016</t>
  </si>
  <si>
    <t>1ST CONG -333-</t>
  </si>
  <si>
    <t>NORWOOD SCH -11-</t>
  </si>
  <si>
    <t>MADEIRA SCH -9-</t>
  </si>
  <si>
    <t>Joseph R. DeMare</t>
  </si>
  <si>
    <t>Rob Portman</t>
  </si>
  <si>
    <t>Ted Strickland</t>
  </si>
  <si>
    <t>Michele Young</t>
  </si>
  <si>
    <t>Mary Rose Lierman</t>
  </si>
  <si>
    <t>Tom Brinkman, Jr.</t>
  </si>
  <si>
    <t>Joe Otis</t>
  </si>
  <si>
    <t>Jonathan Dever</t>
  </si>
  <si>
    <t>Jessica Miranda</t>
  </si>
  <si>
    <t>Mark A. Childers</t>
  </si>
  <si>
    <t>Bill Seitz</t>
  </si>
  <si>
    <t>Brigid Kelly</t>
  </si>
  <si>
    <t>Mary Yeager</t>
  </si>
  <si>
    <t>Catherine Ingram</t>
  </si>
  <si>
    <t>Matthew H. Wahlert</t>
  </si>
  <si>
    <t>David Miller</t>
  </si>
  <si>
    <t>Andrew S. Pappas</t>
  </si>
  <si>
    <t>Dennis Joseph Deters</t>
  </si>
  <si>
    <t>Alan C. Triggs</t>
  </si>
  <si>
    <t>Aftab Pureval</t>
  </si>
  <si>
    <t>Gary Lee</t>
  </si>
  <si>
    <t>Norbert A. Nadel</t>
  </si>
  <si>
    <t>Seth T. Walsh</t>
  </si>
  <si>
    <t>Theodore B. Hubbard</t>
  </si>
  <si>
    <t>Bret Bruder</t>
  </si>
  <si>
    <t>Maureen O’Connor</t>
  </si>
  <si>
    <t>John P. O’Donnell</t>
  </si>
  <si>
    <t>Cynthia Rice</t>
  </si>
  <si>
    <t>Beth A. Myers</t>
  </si>
  <si>
    <t>Marilyn Zayas-Davis</t>
  </si>
  <si>
    <t>Jody Marie Luebbers</t>
  </si>
  <si>
    <t>Darlene Rogers</t>
  </si>
  <si>
    <t>Robert P. Ruehlman</t>
  </si>
  <si>
    <t>Tom Heekin</t>
  </si>
  <si>
    <t>Peter J. Stackpole</t>
  </si>
  <si>
    <t>Alvertis Bishop</t>
  </si>
  <si>
    <t>Megan Shanahan</t>
  </si>
  <si>
    <t>Jon H. Sieve</t>
  </si>
  <si>
    <t>Susan Laker Tolbert</t>
  </si>
  <si>
    <t>Darrell D. Payne</t>
  </si>
  <si>
    <t>Melissa Powers</t>
  </si>
  <si>
    <t xml:space="preserve">Sholom D. Keller </t>
  </si>
  <si>
    <t>(Write-In)</t>
  </si>
  <si>
    <t>County Commissioner         1-2-17</t>
  </si>
  <si>
    <t>County Commissioner            1-3-17</t>
  </si>
  <si>
    <t>County Prosecutor</t>
  </si>
  <si>
    <t>County Clerk of Courts</t>
  </si>
  <si>
    <t>County Sheriff</t>
  </si>
  <si>
    <t>Jim  Neil</t>
  </si>
  <si>
    <t>County Recorder</t>
  </si>
  <si>
    <t>County Treasurer</t>
  </si>
  <si>
    <t>County Engineer</t>
  </si>
  <si>
    <t>County Coroner</t>
  </si>
  <si>
    <t>Chief Justice Ohio Supreme Court   01/01/2017</t>
  </si>
  <si>
    <t>Ohio Supreme Court    01/01/2017</t>
  </si>
  <si>
    <t>Ohio Supreme Court            01/02/2017</t>
  </si>
  <si>
    <t>Court of Appeals - 2/09/2017</t>
  </si>
  <si>
    <t>Court of Appeals    2/11/2013               Unexp 2-09-2019</t>
  </si>
  <si>
    <t>Judge Ct of Comm Pleas                1-2-2017</t>
  </si>
  <si>
    <t>Judge Ct of Comm Pleas                       1-3-2017</t>
  </si>
  <si>
    <t>Judge Ct of Comm Pleas                       1-4-2017</t>
  </si>
  <si>
    <t>Judge Ct of Comm Pleas                   Juvenile                  1-1-2017</t>
  </si>
  <si>
    <t>Judge Ct of Comm Pleas                   Domestic Relations                1-16-2017</t>
  </si>
  <si>
    <t>Judge Ct of Comm Pleas                   Domestic Relations                1-5-2017</t>
  </si>
  <si>
    <t>Judge Ct of Comm Pleas                                1-15-2017</t>
  </si>
  <si>
    <t>Tom Connors</t>
  </si>
  <si>
    <t>Scott Rupert</t>
  </si>
  <si>
    <t>James Stahl</t>
  </si>
  <si>
    <t>Kiumars G. Kiani</t>
  </si>
  <si>
    <t>Janet Everhard</t>
  </si>
  <si>
    <t>Judge Ct of Comm Pleas Unexpired                               3-31-2019</t>
  </si>
  <si>
    <t>Lisa Allen</t>
  </si>
  <si>
    <t>Michael T. Mann</t>
  </si>
  <si>
    <t>City of NCH - Tax Levy - Renewal 4.8ml 5yr - Roads</t>
  </si>
  <si>
    <t>1 City of Blue Ash - Proposed Charter Revision</t>
  </si>
  <si>
    <t>3 City of Deer Park - Tax Levy - Additional 2ml 5yr - Roads</t>
  </si>
  <si>
    <t>4 City of NCH - Tax Levy - Renewal 4.8ml 5yr - Roads</t>
  </si>
  <si>
    <t xml:space="preserve"> 5 City of Norwood - Proposed Electric Aggregation</t>
  </si>
  <si>
    <t>6 City of Norwood - Tax Levy - Renewal 8ml 5yr - COE</t>
  </si>
  <si>
    <t>7 City of Springdale - Proposed Charter Amendment - General Municipal Election</t>
  </si>
  <si>
    <t>8 City of Wyoming - Proposed Charter Revision</t>
  </si>
  <si>
    <t>9 Vill of Addyston - Tax Levy - Renewal 1ml 5yr - Water</t>
  </si>
  <si>
    <t>10 Vill of Addyston - Tax Levy - Renewal .5ml 5yr - Sewer</t>
  </si>
  <si>
    <t>11 Vill of Cleves - Tax Levy - Renewal 6ml 5yr - CE</t>
  </si>
  <si>
    <t>12 Vill of Evendale - Charter Amendment - Vacancy</t>
  </si>
  <si>
    <t>13 Vill of Evendale - Charter Amendment - Election for Vacancy</t>
  </si>
  <si>
    <t>14 Vill of Evendale - Charter Amendment - Changing the title of Village Solicitor to Village Law Director</t>
  </si>
  <si>
    <t>16 Vill of Evendale - Charter Amendment - Charter Review Committee</t>
  </si>
  <si>
    <t>17 Vill of Evendale - Charter Amendment - Issuing bonds</t>
  </si>
  <si>
    <t>18 Vill of Fairfax - Tax Levy - Additional .96ml 5yr - COE</t>
  </si>
  <si>
    <t>19 Vill of Glendale - Tax Levy - Renewal 10ml 4yr - CE</t>
  </si>
  <si>
    <t>20 Vill of Golf Manor - Tax Levy - Renewal 2ml 5yr - COE</t>
  </si>
  <si>
    <t>53 Hamilton County - Tax Levy – Renewal – 2.77ml 5yr – Children’s Services</t>
  </si>
  <si>
    <t>51 Anderson Twp Park Dist. - Tax Levy - Additional 1.9ml 10yr - Parks &amp; Recreation</t>
  </si>
  <si>
    <t>50 Winton Woods Sch Dist - Bond Issue - 6.95ml 37yr - Improvements</t>
  </si>
  <si>
    <t>49 Sycamore City Sch Dist - Tax Levy - Additional 6.5ml CPT - COE</t>
  </si>
  <si>
    <t>47 Norwood City Sch Dist - Bond Issue &amp; Tax Levy - 4.64ml 35yr &amp; 2.55ml CTP - Improvements</t>
  </si>
  <si>
    <t>46 Madeira City Sch Dist. - Tax Levy - Additional 6.9ml CPT - CE</t>
  </si>
  <si>
    <t>45 Deer Pk Sch Dist - Bond Issue - 5.41ml 37yr - Improvements</t>
  </si>
  <si>
    <t>44 Cincinnati Sch Dist - Tax Levy - Additional - 7.93ml 5yr - Emergency Requirements</t>
  </si>
  <si>
    <t>39 Springfield Twp L - Loc Opt - Sale of Beer - On Premises</t>
  </si>
  <si>
    <t>38 Springfield Twp L - Loc Opt - Sale of Beer - Off Premises</t>
  </si>
  <si>
    <t>36 Miami Twp - Tax Levy - Renewal .46ml 5yr - COE</t>
  </si>
  <si>
    <t>35 Green Twp - Tax Levy - Renewal .5ml CPT - Police and EMS</t>
  </si>
  <si>
    <t>34 Green Twp - Tax Levy - Renewal .5ml CPT - Roads</t>
  </si>
  <si>
    <t>33 Delhi Twp - Tax Levy - Additional .54ml CPT - Parks &amp; Recreation</t>
  </si>
  <si>
    <t>32 Columbia Twp Ridge Fire District - Tax Levy - Additional 3.4ml CPT - Fire and EMS</t>
  </si>
  <si>
    <t>31 Anderson Twp - Proposed Electric Aggregation</t>
  </si>
  <si>
    <t>30 Anderson Twp - Tax Levy - Additional 3.55ml CPT - Fire, Police and EMS</t>
  </si>
  <si>
    <t>29 Vill of Woodlawn - Proposed Charter Revision</t>
  </si>
  <si>
    <t>28 Vill of Terrace Park - Tax Levy - Renewal 5.58ml 5yr - COE</t>
  </si>
  <si>
    <t>27 Vill of North Bend - Tax Levy - Renewal 5ml 5yr - COE</t>
  </si>
  <si>
    <t>26 Vill of Mariemont - Proposed Ordinance - STOP Signs</t>
  </si>
  <si>
    <t>21 Vill of Golf Manor - Tax Levy - Renewal 8ml 10yr - Roads</t>
  </si>
  <si>
    <t>22 Vill of Greenhills - Tax Levy - Renewal 3.28ml 5yr - CE</t>
  </si>
  <si>
    <t>23 Vill of Lockland - Tax Levy - Renewal 4ml 5yr - Fire</t>
  </si>
  <si>
    <t>24 Vill of Lockland - Tax Levy - Additional 4ml CPT - Fire</t>
  </si>
  <si>
    <t>25 Vill of Mariemont - Tax Levy - Renewal 3ml 5yr - Improvements</t>
  </si>
  <si>
    <t>37 Springfld Twp C - Loc Opt - Sunday Sales - Two Sisters Tavern -  11am - Midnight.</t>
  </si>
  <si>
    <t>48 St Ber-Elm Pl City Sch Dist - Bond Iss &amp; Tax - 4.49ml 37yr &amp; 0.5ml 23yr - Improvements</t>
  </si>
  <si>
    <t>Bell and Hempstead</t>
  </si>
  <si>
    <t>Bickelmeyer and Young</t>
  </si>
  <si>
    <t>Castle and Bradley</t>
  </si>
  <si>
    <t>Clinton and Kaine</t>
  </si>
  <si>
    <t>Duncan and Johnson</t>
  </si>
  <si>
    <t>Fox and Kushner</t>
  </si>
  <si>
    <t>Hartnell and Marshall</t>
  </si>
  <si>
    <t xml:space="preserve">Hoefling and Schulin </t>
  </si>
  <si>
    <t>Jaynes and Stewart</t>
  </si>
  <si>
    <t>Johnson and Weld</t>
  </si>
  <si>
    <t>Keniston and Taylor</t>
  </si>
  <si>
    <t>Kirschner and Menefield</t>
  </si>
  <si>
    <t>Kotlikoff and Leamer</t>
  </si>
  <si>
    <t>Maldonado and Terranova</t>
  </si>
  <si>
    <t>Maturen and Munoz</t>
  </si>
  <si>
    <t>McMullin and Johnson</t>
  </si>
  <si>
    <t>Moorehead and Lilly</t>
  </si>
  <si>
    <t>Schriner and Moreaux</t>
  </si>
  <si>
    <t>Smith and White</t>
  </si>
  <si>
    <t>Stein and Baraka</t>
  </si>
  <si>
    <t>Stroh and Callahan</t>
  </si>
  <si>
    <t>Thomson and Ducro, Jr.</t>
  </si>
  <si>
    <t>Trump and Pence</t>
  </si>
  <si>
    <r>
      <t>15 Vill of Evendale - Charter Amendment - Changing the title of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Arial Narrow"/>
        <family val="2"/>
      </rPr>
      <t xml:space="preserve">Administrative Assistant, to Director of Administrative Services </t>
    </r>
  </si>
  <si>
    <r>
      <t>52 Great Parks of Ham Co. -</t>
    </r>
    <r>
      <rPr>
        <b/>
        <sz val="10"/>
        <color theme="1"/>
        <rFont val="Arial Narrow"/>
        <family val="2"/>
      </rPr>
      <t xml:space="preserve"> </t>
    </r>
    <r>
      <rPr>
        <b/>
        <sz val="11"/>
        <color theme="1"/>
        <rFont val="Arial Narrow"/>
        <family val="2"/>
      </rPr>
      <t>Tax Levy</t>
    </r>
    <r>
      <rPr>
        <b/>
        <sz val="10"/>
        <color theme="1"/>
        <rFont val="Arial Narrow"/>
        <family val="2"/>
      </rPr>
      <t xml:space="preserve"> </t>
    </r>
    <r>
      <rPr>
        <b/>
        <sz val="11"/>
        <color theme="1"/>
        <rFont val="Arial Narrow"/>
        <family val="2"/>
      </rPr>
      <t>-Repl-1ml-10yr-</t>
    </r>
    <r>
      <rPr>
        <b/>
        <sz val="10"/>
        <color theme="1"/>
        <rFont val="Arial Narrow"/>
        <family val="2"/>
      </rPr>
      <t xml:space="preserve"> </t>
    </r>
    <r>
      <rPr>
        <b/>
        <sz val="11"/>
        <color theme="1"/>
        <rFont val="Arial Narrow"/>
        <family val="2"/>
      </rPr>
      <t>Parks &amp; Recreation</t>
    </r>
  </si>
  <si>
    <t>2 City of Cinti 22-A- Loc Opt Sale of Beer &amp; Intoxicating Liquor at Ginger’s Bar &amp; Lounge</t>
  </si>
  <si>
    <t>40 Springfield Twp L - Loc Opt - Sale of Wine &amp; Mixed Beverages - Off Premises</t>
  </si>
  <si>
    <t>41 Springfield Twp L - Loc Opt - Sale of Wine &amp; Mixed Beverages - On Premises</t>
  </si>
  <si>
    <t>42 Springfield Twp L - Loc Opt - Sale of Spirituous Liquors by the glass</t>
  </si>
  <si>
    <t>43 Springfield Twp L - Loc Opt - Sale of Spirituous Liquors by the package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</si>
</sst>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#,##0;\-#,##0;0"/>
  </numFmts>
  <fonts count="13">
    <font>
      <sz val="10"/>
      <color theme="1"/>
      <name val="Arial"/>
      <family val="2"/>
    </font>
    <font>
      <b/>
      <sz val="11"/>
      <color indexed="8"/>
      <name val="Arial Blac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8.0500000000000007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>
      <alignment vertical="top"/>
    </xf>
  </cellStyleXfs>
  <cellXfs count="84">
    <xf numFmtId="0" fontId="0" fillId="0" borderId="0" xfId="0"/>
    <xf numFmtId="0" fontId="4" fillId="2" borderId="1" xfId="2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0" fillId="0" borderId="1" xfId="0" applyFont="1" applyBorder="1"/>
    <xf numFmtId="0" fontId="4" fillId="0" borderId="1" xfId="0" applyNumberFormat="1" applyFont="1" applyFill="1" applyBorder="1" applyAlignment="1">
      <alignment horizontal="right" wrapText="1"/>
    </xf>
    <xf numFmtId="0" fontId="6" fillId="0" borderId="1" xfId="0" applyNumberFormat="1" applyFont="1" applyFill="1" applyBorder="1" applyAlignment="1">
      <alignment horizontal="right" wrapText="1"/>
    </xf>
    <xf numFmtId="3" fontId="5" fillId="2" borderId="1" xfId="0" applyNumberFormat="1" applyFont="1" applyFill="1" applyBorder="1" applyAlignment="1">
      <alignment vertical="top"/>
    </xf>
    <xf numFmtId="164" fontId="7" fillId="3" borderId="1" xfId="1" applyNumberFormat="1" applyFont="1" applyFill="1" applyBorder="1" applyAlignment="1">
      <alignment horizontal="right" vertical="top"/>
    </xf>
    <xf numFmtId="3" fontId="0" fillId="0" borderId="1" xfId="0" applyNumberFormat="1" applyFont="1" applyBorder="1"/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/>
    <xf numFmtId="3" fontId="0" fillId="2" borderId="1" xfId="0" applyNumberFormat="1" applyFont="1" applyFill="1" applyBorder="1" applyAlignment="1"/>
    <xf numFmtId="10" fontId="0" fillId="2" borderId="1" xfId="0" applyNumberFormat="1" applyFont="1" applyFill="1" applyBorder="1" applyAlignment="1"/>
    <xf numFmtId="0" fontId="5" fillId="3" borderId="1" xfId="0" applyFont="1" applyFill="1" applyBorder="1" applyAlignment="1">
      <alignment vertical="top"/>
    </xf>
    <xf numFmtId="3" fontId="6" fillId="2" borderId="1" xfId="0" applyNumberFormat="1" applyFont="1" applyFill="1" applyBorder="1" applyAlignment="1"/>
    <xf numFmtId="0" fontId="0" fillId="2" borderId="0" xfId="0" applyFont="1" applyFill="1" applyBorder="1"/>
    <xf numFmtId="10" fontId="6" fillId="2" borderId="1" xfId="0" applyNumberFormat="1" applyFont="1" applyFill="1" applyBorder="1"/>
    <xf numFmtId="10" fontId="5" fillId="2" borderId="1" xfId="0" applyNumberFormat="1" applyFont="1" applyFill="1" applyBorder="1"/>
    <xf numFmtId="0" fontId="3" fillId="0" borderId="0" xfId="0" applyFont="1"/>
    <xf numFmtId="0" fontId="8" fillId="0" borderId="1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0" xfId="0" applyFont="1" applyBorder="1"/>
    <xf numFmtId="0" fontId="0" fillId="0" borderId="0" xfId="0" applyFont="1"/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4" fillId="0" borderId="1" xfId="0" applyNumberFormat="1" applyFont="1" applyBorder="1" applyAlignment="1">
      <alignment horizontal="right" vertical="center"/>
    </xf>
    <xf numFmtId="3" fontId="5" fillId="2" borderId="10" xfId="0" applyNumberFormat="1" applyFont="1" applyFill="1" applyBorder="1" applyAlignment="1"/>
    <xf numFmtId="3" fontId="3" fillId="0" borderId="10" xfId="0" applyNumberFormat="1" applyFont="1" applyBorder="1"/>
    <xf numFmtId="10" fontId="5" fillId="2" borderId="10" xfId="0" applyNumberFormat="1" applyFont="1" applyFill="1" applyBorder="1"/>
    <xf numFmtId="0" fontId="6" fillId="0" borderId="11" xfId="0" applyNumberFormat="1" applyFont="1" applyFill="1" applyBorder="1" applyAlignment="1">
      <alignment horizontal="right" wrapText="1"/>
    </xf>
    <xf numFmtId="0" fontId="4" fillId="2" borderId="11" xfId="2" applyFont="1" applyFill="1" applyBorder="1" applyAlignment="1"/>
    <xf numFmtId="3" fontId="0" fillId="0" borderId="11" xfId="0" applyNumberFormat="1" applyBorder="1"/>
    <xf numFmtId="3" fontId="4" fillId="0" borderId="11" xfId="0" applyNumberFormat="1" applyFont="1" applyBorder="1" applyAlignment="1">
      <alignment horizontal="right" vertical="center"/>
    </xf>
    <xf numFmtId="10" fontId="6" fillId="2" borderId="11" xfId="0" applyNumberFormat="1" applyFont="1" applyFill="1" applyBorder="1"/>
    <xf numFmtId="0" fontId="4" fillId="0" borderId="1" xfId="0" applyNumberFormat="1" applyFont="1" applyBorder="1" applyAlignment="1">
      <alignment horizontal="right" vertical="center"/>
    </xf>
    <xf numFmtId="0" fontId="0" fillId="0" borderId="1" xfId="0" applyNumberFormat="1" applyFont="1" applyFill="1" applyBorder="1" applyAlignment="1" applyProtection="1">
      <alignment horizontal="right"/>
    </xf>
    <xf numFmtId="0" fontId="0" fillId="0" borderId="11" xfId="0" applyFont="1" applyBorder="1"/>
    <xf numFmtId="0" fontId="4" fillId="0" borderId="11" xfId="0" applyNumberFormat="1" applyFont="1" applyBorder="1" applyAlignment="1">
      <alignment horizontal="right" vertical="center"/>
    </xf>
    <xf numFmtId="0" fontId="0" fillId="0" borderId="11" xfId="0" applyNumberFormat="1" applyFont="1" applyFill="1" applyBorder="1" applyAlignment="1" applyProtection="1">
      <alignment horizontal="right"/>
    </xf>
    <xf numFmtId="0" fontId="0" fillId="0" borderId="1" xfId="0" applyBorder="1" applyAlignment="1"/>
    <xf numFmtId="0" fontId="12" fillId="0" borderId="0" xfId="0" applyNumberFormat="1" applyFont="1" applyAlignment="1">
      <alignment horizontal="right" vertical="center"/>
    </xf>
    <xf numFmtId="0" fontId="0" fillId="0" borderId="1" xfId="0" applyNumberFormat="1" applyFont="1" applyFill="1" applyBorder="1" applyAlignment="1" applyProtection="1"/>
    <xf numFmtId="0" fontId="4" fillId="0" borderId="1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0" fillId="0" borderId="1" xfId="0" applyFont="1" applyBorder="1" applyAlignment="1"/>
    <xf numFmtId="0" fontId="3" fillId="5" borderId="8" xfId="0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right" vertical="center"/>
    </xf>
    <xf numFmtId="0" fontId="4" fillId="5" borderId="11" xfId="0" applyNumberFormat="1" applyFont="1" applyFill="1" applyBorder="1" applyAlignment="1">
      <alignment horizontal="right" vertical="center"/>
    </xf>
    <xf numFmtId="3" fontId="3" fillId="5" borderId="10" xfId="0" applyNumberFormat="1" applyFont="1" applyFill="1" applyBorder="1"/>
    <xf numFmtId="3" fontId="0" fillId="5" borderId="1" xfId="0" applyNumberFormat="1" applyFont="1" applyFill="1" applyBorder="1"/>
    <xf numFmtId="0" fontId="0" fillId="5" borderId="1" xfId="0" applyFont="1" applyFill="1" applyBorder="1"/>
    <xf numFmtId="0" fontId="3" fillId="6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right" vertical="center"/>
    </xf>
    <xf numFmtId="0" fontId="4" fillId="6" borderId="11" xfId="0" applyNumberFormat="1" applyFont="1" applyFill="1" applyBorder="1" applyAlignment="1">
      <alignment horizontal="right" vertical="center"/>
    </xf>
    <xf numFmtId="3" fontId="3" fillId="6" borderId="10" xfId="0" applyNumberFormat="1" applyFont="1" applyFill="1" applyBorder="1"/>
    <xf numFmtId="3" fontId="0" fillId="6" borderId="1" xfId="0" applyNumberFormat="1" applyFont="1" applyFill="1" applyBorder="1"/>
    <xf numFmtId="0" fontId="0" fillId="6" borderId="1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/>
    <xf numFmtId="0" fontId="4" fillId="0" borderId="11" xfId="0" applyFont="1" applyBorder="1" applyAlignment="1">
      <alignment horizontal="right" vertical="center"/>
    </xf>
    <xf numFmtId="0" fontId="0" fillId="0" borderId="11" xfId="0" applyNumberFormat="1" applyFont="1" applyFill="1" applyBorder="1" applyAlignment="1" applyProtection="1"/>
    <xf numFmtId="0" fontId="0" fillId="0" borderId="11" xfId="0" applyFont="1" applyBorder="1" applyAlignment="1"/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P686"/>
  <sheetViews>
    <sheetView tabSelected="1" workbookViewId="0">
      <pane xSplit="5" ySplit="3" topLeftCell="F4" activePane="bottomRight" state="frozenSplit"/>
      <selection pane="topRight" activeCell="GH1" sqref="GH1"/>
      <selection pane="bottomLeft" activeCell="FS18" sqref="FS18"/>
      <selection pane="bottomRight" activeCell="AJ32" sqref="AJ32"/>
    </sheetView>
  </sheetViews>
  <sheetFormatPr defaultRowHeight="12.75"/>
  <cols>
    <col min="1" max="1" width="6.7109375" style="3" customWidth="1"/>
    <col min="2" max="2" width="23.42578125" style="3" customWidth="1"/>
    <col min="3" max="3" width="13" style="3" customWidth="1"/>
    <col min="4" max="4" width="10.5703125" style="3" customWidth="1"/>
    <col min="5" max="5" width="9.140625" style="3"/>
    <col min="6" max="7" width="9.5703125" style="3" customWidth="1"/>
    <col min="8" max="8" width="9" style="3" customWidth="1"/>
    <col min="9" max="9" width="7.28515625" style="3" customWidth="1"/>
    <col min="10" max="10" width="8.7109375" style="3" customWidth="1"/>
    <col min="11" max="11" width="10.85546875" style="3" customWidth="1"/>
    <col min="12" max="12" width="12.140625" style="3" customWidth="1"/>
    <col min="13" max="13" width="8.42578125" style="3" customWidth="1"/>
    <col min="14" max="14" width="8.140625" style="3" customWidth="1"/>
    <col min="15" max="15" width="8.42578125" style="3" customWidth="1"/>
    <col min="16" max="16" width="8.5703125" style="3" customWidth="1"/>
    <col min="17" max="17" width="9.7109375" style="3" customWidth="1"/>
    <col min="18" max="18" width="9.5703125" style="3" customWidth="1"/>
    <col min="19" max="19" width="10.42578125" style="3" customWidth="1"/>
    <col min="20" max="20" width="8.7109375" style="3" customWidth="1"/>
    <col min="21" max="21" width="11.140625" style="3" customWidth="1"/>
    <col min="22" max="22" width="10.140625" style="3" customWidth="1"/>
    <col min="23" max="23" width="9.140625" style="3" customWidth="1"/>
    <col min="24" max="24" width="11.28515625" style="3" customWidth="1"/>
    <col min="25" max="25" width="9.5703125" style="3" customWidth="1"/>
    <col min="26" max="26" width="9" style="3" customWidth="1"/>
    <col min="27" max="28" width="10.42578125" style="3" customWidth="1"/>
    <col min="29" max="29" width="8.28515625" style="3" customWidth="1"/>
    <col min="30" max="31" width="9.140625" style="3"/>
    <col min="32" max="32" width="7.28515625" style="3" customWidth="1"/>
    <col min="33" max="33" width="8.140625" style="3" customWidth="1"/>
    <col min="34" max="34" width="9.85546875" style="3" customWidth="1"/>
    <col min="35" max="35" width="7.5703125" style="3" customWidth="1"/>
    <col min="36" max="37" width="9.140625" style="3"/>
    <col min="38" max="38" width="8.42578125" style="3" customWidth="1"/>
    <col min="39" max="40" width="9.140625" style="3"/>
    <col min="41" max="41" width="10" style="3" customWidth="1"/>
    <col min="42" max="43" width="9.140625" style="3"/>
    <col min="44" max="44" width="10.85546875" style="3" customWidth="1"/>
    <col min="45" max="45" width="7.5703125" style="3" customWidth="1"/>
    <col min="46" max="47" width="9.140625" style="3"/>
    <col min="48" max="48" width="16.140625" style="3" customWidth="1"/>
    <col min="49" max="52" width="9.140625" style="3"/>
    <col min="53" max="53" width="9.85546875" style="3" customWidth="1"/>
    <col min="54" max="56" width="9.140625" style="3"/>
    <col min="57" max="58" width="9" style="3" customWidth="1"/>
    <col min="59" max="62" width="9.140625" style="3"/>
    <col min="63" max="64" width="8.28515625" style="3" customWidth="1"/>
    <col min="65" max="66" width="7.28515625" style="3" customWidth="1"/>
    <col min="67" max="68" width="7.85546875" style="3" customWidth="1"/>
    <col min="69" max="69" width="9.7109375" style="3" customWidth="1"/>
    <col min="70" max="70" width="9.140625" style="3"/>
    <col min="71" max="71" width="10.42578125" style="3" customWidth="1"/>
    <col min="72" max="72" width="9.140625" style="3"/>
    <col min="73" max="73" width="11.42578125" style="3" customWidth="1"/>
    <col min="74" max="74" width="14.7109375" style="3" customWidth="1"/>
    <col min="75" max="75" width="9.140625" style="3"/>
    <col min="76" max="76" width="10.42578125" style="3" customWidth="1"/>
    <col min="77" max="78" width="8.140625" style="3" customWidth="1"/>
    <col min="79" max="79" width="10.5703125" style="3" customWidth="1"/>
    <col min="80" max="80" width="10" style="3" customWidth="1"/>
    <col min="81" max="81" width="8.5703125" style="3" customWidth="1"/>
    <col min="82" max="82" width="13" style="3" customWidth="1"/>
    <col min="83" max="83" width="9.140625" style="3"/>
    <col min="84" max="84" width="10.5703125" style="3" customWidth="1"/>
    <col min="85" max="85" width="9.140625" style="3"/>
    <col min="86" max="88" width="10.140625" style="3" customWidth="1"/>
    <col min="89" max="90" width="9.140625" style="3" customWidth="1"/>
    <col min="91" max="91" width="12.85546875" style="3" customWidth="1"/>
    <col min="92" max="92" width="13.42578125" style="3" customWidth="1"/>
    <col min="93" max="16384" width="9.140625" style="3"/>
  </cols>
  <sheetData>
    <row r="1" spans="1:224" ht="62.25" customHeight="1" thickTop="1">
      <c r="A1" s="78" t="s">
        <v>717</v>
      </c>
      <c r="B1" s="79"/>
      <c r="C1" s="79"/>
      <c r="D1" s="79"/>
      <c r="E1" s="80"/>
      <c r="F1" s="74" t="s">
        <v>0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 t="s">
        <v>1</v>
      </c>
      <c r="AD1" s="74"/>
      <c r="AE1" s="74"/>
      <c r="AF1" s="74"/>
      <c r="AG1" s="74"/>
      <c r="AH1" s="74"/>
      <c r="AI1" s="74" t="s">
        <v>2</v>
      </c>
      <c r="AJ1" s="74"/>
      <c r="AK1" s="74"/>
      <c r="AL1" s="74"/>
      <c r="AM1" s="74" t="s">
        <v>3</v>
      </c>
      <c r="AN1" s="74"/>
      <c r="AO1" s="74"/>
      <c r="AP1" s="74" t="s">
        <v>4</v>
      </c>
      <c r="AQ1" s="74"/>
      <c r="AR1" s="74" t="s">
        <v>5</v>
      </c>
      <c r="AS1" s="74"/>
      <c r="AT1" s="74" t="s">
        <v>6</v>
      </c>
      <c r="AU1" s="74"/>
      <c r="AV1" s="28" t="s">
        <v>7</v>
      </c>
      <c r="AW1" s="74" t="s">
        <v>8</v>
      </c>
      <c r="AX1" s="74"/>
      <c r="AY1" s="74" t="s">
        <v>9</v>
      </c>
      <c r="AZ1" s="74"/>
      <c r="BA1" s="74" t="s">
        <v>10</v>
      </c>
      <c r="BB1" s="74"/>
      <c r="BC1" s="74" t="s">
        <v>11</v>
      </c>
      <c r="BD1" s="74"/>
      <c r="BE1" s="76" t="s">
        <v>764</v>
      </c>
      <c r="BF1" s="77"/>
      <c r="BG1" s="76" t="s">
        <v>765</v>
      </c>
      <c r="BH1" s="76"/>
      <c r="BI1" s="76" t="s">
        <v>766</v>
      </c>
      <c r="BJ1" s="76"/>
      <c r="BK1" s="76" t="s">
        <v>767</v>
      </c>
      <c r="BL1" s="77"/>
      <c r="BM1" s="76" t="s">
        <v>768</v>
      </c>
      <c r="BN1" s="76"/>
      <c r="BO1" s="76" t="s">
        <v>770</v>
      </c>
      <c r="BP1" s="76"/>
      <c r="BQ1" s="76" t="s">
        <v>771</v>
      </c>
      <c r="BR1" s="76"/>
      <c r="BS1" s="29" t="s">
        <v>772</v>
      </c>
      <c r="BT1" s="76" t="s">
        <v>773</v>
      </c>
      <c r="BU1" s="76"/>
      <c r="BV1" s="74" t="s">
        <v>774</v>
      </c>
      <c r="BW1" s="74" t="s">
        <v>775</v>
      </c>
      <c r="BX1" s="74"/>
      <c r="BY1" s="74" t="s">
        <v>776</v>
      </c>
      <c r="BZ1" s="74"/>
      <c r="CA1" s="74" t="s">
        <v>777</v>
      </c>
      <c r="CB1" s="74" t="s">
        <v>778</v>
      </c>
      <c r="CC1" s="74"/>
      <c r="CD1" s="74" t="s">
        <v>779</v>
      </c>
      <c r="CE1" s="74" t="s">
        <v>780</v>
      </c>
      <c r="CF1" s="74"/>
      <c r="CG1" s="74" t="s">
        <v>781</v>
      </c>
      <c r="CH1" s="74"/>
      <c r="CI1" s="74" t="s">
        <v>785</v>
      </c>
      <c r="CJ1" s="74"/>
      <c r="CK1" s="74" t="s">
        <v>791</v>
      </c>
      <c r="CL1" s="74"/>
      <c r="CM1" s="74" t="s">
        <v>784</v>
      </c>
      <c r="CN1" s="74" t="s">
        <v>783</v>
      </c>
      <c r="CO1" s="74" t="s">
        <v>782</v>
      </c>
      <c r="CP1" s="74"/>
      <c r="CQ1" s="73" t="s">
        <v>795</v>
      </c>
      <c r="CR1" s="73"/>
      <c r="CS1" s="75" t="s">
        <v>866</v>
      </c>
      <c r="CT1" s="75"/>
      <c r="CU1" s="74" t="s">
        <v>796</v>
      </c>
      <c r="CV1" s="74"/>
      <c r="CW1" s="74" t="s">
        <v>797</v>
      </c>
      <c r="CX1" s="74"/>
      <c r="CY1" s="73" t="s">
        <v>798</v>
      </c>
      <c r="CZ1" s="73"/>
      <c r="DA1" s="73" t="s">
        <v>799</v>
      </c>
      <c r="DB1" s="73"/>
      <c r="DC1" s="73" t="s">
        <v>800</v>
      </c>
      <c r="DD1" s="73"/>
      <c r="DE1" s="73" t="s">
        <v>801</v>
      </c>
      <c r="DF1" s="73"/>
      <c r="DG1" s="73" t="s">
        <v>802</v>
      </c>
      <c r="DH1" s="73"/>
      <c r="DI1" s="73" t="s">
        <v>803</v>
      </c>
      <c r="DJ1" s="73"/>
      <c r="DK1" s="73" t="s">
        <v>804</v>
      </c>
      <c r="DL1" s="73"/>
      <c r="DM1" s="73" t="s">
        <v>805</v>
      </c>
      <c r="DN1" s="73"/>
      <c r="DO1" s="73" t="s">
        <v>806</v>
      </c>
      <c r="DP1" s="73"/>
      <c r="DQ1" s="73" t="s">
        <v>807</v>
      </c>
      <c r="DR1" s="73"/>
      <c r="DS1" s="73" t="s">
        <v>864</v>
      </c>
      <c r="DT1" s="73"/>
      <c r="DU1" s="73" t="s">
        <v>808</v>
      </c>
      <c r="DV1" s="73"/>
      <c r="DW1" s="73" t="s">
        <v>809</v>
      </c>
      <c r="DX1" s="73"/>
      <c r="DY1" s="73" t="s">
        <v>810</v>
      </c>
      <c r="DZ1" s="73"/>
      <c r="EA1" s="73" t="s">
        <v>811</v>
      </c>
      <c r="EB1" s="73"/>
      <c r="EC1" s="73" t="s">
        <v>812</v>
      </c>
      <c r="ED1" s="73"/>
      <c r="EE1" s="73" t="s">
        <v>834</v>
      </c>
      <c r="EF1" s="73"/>
      <c r="EG1" s="73" t="s">
        <v>835</v>
      </c>
      <c r="EH1" s="73"/>
      <c r="EI1" s="73" t="s">
        <v>836</v>
      </c>
      <c r="EJ1" s="73"/>
      <c r="EK1" s="73" t="s">
        <v>837</v>
      </c>
      <c r="EL1" s="73"/>
      <c r="EM1" s="73" t="s">
        <v>838</v>
      </c>
      <c r="EN1" s="73"/>
      <c r="EO1" s="73" t="s">
        <v>833</v>
      </c>
      <c r="EP1" s="73"/>
      <c r="EQ1" s="73" t="s">
        <v>832</v>
      </c>
      <c r="ER1" s="73"/>
      <c r="ES1" s="73" t="s">
        <v>831</v>
      </c>
      <c r="ET1" s="73"/>
      <c r="EU1" s="73" t="s">
        <v>830</v>
      </c>
      <c r="EV1" s="73"/>
      <c r="EW1" s="73" t="s">
        <v>829</v>
      </c>
      <c r="EX1" s="73"/>
      <c r="EY1" s="73" t="s">
        <v>828</v>
      </c>
      <c r="EZ1" s="73"/>
      <c r="FA1" s="73" t="s">
        <v>827</v>
      </c>
      <c r="FB1" s="73"/>
      <c r="FC1" s="73" t="s">
        <v>826</v>
      </c>
      <c r="FD1" s="73"/>
      <c r="FE1" s="73" t="s">
        <v>825</v>
      </c>
      <c r="FF1" s="73"/>
      <c r="FG1" s="73" t="s">
        <v>824</v>
      </c>
      <c r="FH1" s="73"/>
      <c r="FI1" s="73" t="s">
        <v>823</v>
      </c>
      <c r="FJ1" s="73"/>
      <c r="FK1" s="75" t="s">
        <v>839</v>
      </c>
      <c r="FL1" s="75"/>
      <c r="FM1" s="73" t="s">
        <v>822</v>
      </c>
      <c r="FN1" s="73"/>
      <c r="FO1" s="73" t="s">
        <v>821</v>
      </c>
      <c r="FP1" s="73"/>
      <c r="FQ1" s="73" t="s">
        <v>867</v>
      </c>
      <c r="FR1" s="73"/>
      <c r="FS1" s="73" t="s">
        <v>868</v>
      </c>
      <c r="FT1" s="73"/>
      <c r="FU1" s="73" t="s">
        <v>869</v>
      </c>
      <c r="FV1" s="73"/>
      <c r="FW1" s="73" t="s">
        <v>870</v>
      </c>
      <c r="FX1" s="73"/>
      <c r="FY1" s="73" t="s">
        <v>820</v>
      </c>
      <c r="FZ1" s="73"/>
      <c r="GA1" s="73" t="s">
        <v>819</v>
      </c>
      <c r="GB1" s="73"/>
      <c r="GC1" s="74" t="s">
        <v>818</v>
      </c>
      <c r="GD1" s="74"/>
      <c r="GE1" s="73" t="s">
        <v>817</v>
      </c>
      <c r="GF1" s="73"/>
      <c r="GG1" s="73" t="s">
        <v>840</v>
      </c>
      <c r="GH1" s="73"/>
      <c r="GI1" s="73" t="s">
        <v>816</v>
      </c>
      <c r="GJ1" s="73"/>
      <c r="GK1" s="73" t="s">
        <v>815</v>
      </c>
      <c r="GL1" s="73"/>
      <c r="GM1" s="73" t="s">
        <v>814</v>
      </c>
      <c r="GN1" s="73"/>
      <c r="GO1" s="73" t="s">
        <v>865</v>
      </c>
      <c r="GP1" s="73"/>
      <c r="GQ1" s="73" t="s">
        <v>813</v>
      </c>
      <c r="GR1" s="73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</row>
    <row r="2" spans="1:224" ht="25.5" customHeight="1">
      <c r="A2" s="81"/>
      <c r="B2" s="82"/>
      <c r="C2" s="82"/>
      <c r="D2" s="82"/>
      <c r="E2" s="83"/>
      <c r="F2" s="60" t="s">
        <v>28</v>
      </c>
      <c r="G2" s="24" t="s">
        <v>126</v>
      </c>
      <c r="H2" s="24"/>
      <c r="I2" s="24" t="s">
        <v>127</v>
      </c>
      <c r="J2" s="54" t="s">
        <v>27</v>
      </c>
      <c r="K2" s="24" t="s">
        <v>125</v>
      </c>
      <c r="L2" s="24" t="s">
        <v>125</v>
      </c>
      <c r="M2" s="24" t="s">
        <v>125</v>
      </c>
      <c r="N2" s="24" t="s">
        <v>125</v>
      </c>
      <c r="O2" s="24" t="s">
        <v>125</v>
      </c>
      <c r="P2" s="24" t="s">
        <v>125</v>
      </c>
      <c r="Q2" s="24" t="s">
        <v>125</v>
      </c>
      <c r="R2" s="24" t="s">
        <v>125</v>
      </c>
      <c r="S2" s="24" t="s">
        <v>125</v>
      </c>
      <c r="T2" s="24" t="s">
        <v>125</v>
      </c>
      <c r="U2" s="24" t="s">
        <v>125</v>
      </c>
      <c r="V2" s="24" t="s">
        <v>125</v>
      </c>
      <c r="W2" s="24" t="s">
        <v>125</v>
      </c>
      <c r="X2" s="24" t="s">
        <v>125</v>
      </c>
      <c r="Y2" s="24" t="s">
        <v>125</v>
      </c>
      <c r="Z2" s="24" t="s">
        <v>125</v>
      </c>
      <c r="AA2" s="24" t="s">
        <v>125</v>
      </c>
      <c r="AB2" s="24" t="s">
        <v>125</v>
      </c>
      <c r="AC2" s="4" t="s">
        <v>126</v>
      </c>
      <c r="AD2" s="4" t="s">
        <v>127</v>
      </c>
      <c r="AE2" s="4" t="s">
        <v>27</v>
      </c>
      <c r="AF2" s="4" t="s">
        <v>126</v>
      </c>
      <c r="AG2" s="4" t="s">
        <v>125</v>
      </c>
      <c r="AH2" s="4" t="s">
        <v>28</v>
      </c>
      <c r="AI2" s="4" t="s">
        <v>27</v>
      </c>
      <c r="AJ2" s="4" t="s">
        <v>763</v>
      </c>
      <c r="AK2" s="4" t="s">
        <v>763</v>
      </c>
      <c r="AL2" s="4" t="s">
        <v>28</v>
      </c>
      <c r="AM2" s="4" t="s">
        <v>763</v>
      </c>
      <c r="AN2" s="4" t="s">
        <v>28</v>
      </c>
      <c r="AO2" s="4" t="s">
        <v>27</v>
      </c>
      <c r="AP2" s="4" t="s">
        <v>28</v>
      </c>
      <c r="AQ2" s="4" t="s">
        <v>27</v>
      </c>
      <c r="AR2" s="4" t="s">
        <v>27</v>
      </c>
      <c r="AS2" s="4" t="s">
        <v>28</v>
      </c>
      <c r="AT2" s="4" t="s">
        <v>27</v>
      </c>
      <c r="AU2" s="4" t="s">
        <v>28</v>
      </c>
      <c r="AV2" s="4" t="s">
        <v>27</v>
      </c>
      <c r="AW2" s="4" t="s">
        <v>28</v>
      </c>
      <c r="AX2" s="4" t="s">
        <v>27</v>
      </c>
      <c r="AY2" s="4" t="s">
        <v>28</v>
      </c>
      <c r="AZ2" s="4" t="s">
        <v>27</v>
      </c>
      <c r="BA2" s="4" t="s">
        <v>28</v>
      </c>
      <c r="BB2" s="4" t="s">
        <v>27</v>
      </c>
      <c r="BC2" s="4" t="s">
        <v>27</v>
      </c>
      <c r="BD2" s="4" t="s">
        <v>28</v>
      </c>
      <c r="BE2" s="4" t="s">
        <v>27</v>
      </c>
      <c r="BF2" s="4" t="s">
        <v>28</v>
      </c>
      <c r="BG2" s="4" t="s">
        <v>27</v>
      </c>
      <c r="BH2" s="4" t="s">
        <v>28</v>
      </c>
      <c r="BI2" s="4" t="s">
        <v>27</v>
      </c>
      <c r="BJ2" s="4" t="s">
        <v>28</v>
      </c>
      <c r="BK2" s="4" t="s">
        <v>28</v>
      </c>
      <c r="BL2" s="4" t="s">
        <v>27</v>
      </c>
      <c r="BM2" s="4" t="s">
        <v>27</v>
      </c>
      <c r="BN2" s="4" t="s">
        <v>28</v>
      </c>
      <c r="BO2" s="4" t="s">
        <v>28</v>
      </c>
      <c r="BP2" s="4" t="s">
        <v>27</v>
      </c>
      <c r="BQ2" s="4" t="s">
        <v>27</v>
      </c>
      <c r="BR2" s="4" t="s">
        <v>28</v>
      </c>
      <c r="BS2" s="4" t="s">
        <v>27</v>
      </c>
      <c r="BT2" s="4" t="s">
        <v>27</v>
      </c>
      <c r="BU2" s="4" t="s">
        <v>28</v>
      </c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3"/>
      <c r="CR2" s="73"/>
      <c r="CS2" s="75"/>
      <c r="CT2" s="75"/>
      <c r="CU2" s="74"/>
      <c r="CV2" s="74"/>
      <c r="CW2" s="74"/>
      <c r="CX2" s="74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5"/>
      <c r="FL2" s="75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4"/>
      <c r="GD2" s="74"/>
      <c r="GE2" s="73"/>
      <c r="GF2" s="73"/>
      <c r="GG2" s="73"/>
      <c r="GH2" s="73"/>
      <c r="GI2" s="73"/>
      <c r="GJ2" s="73"/>
      <c r="GK2" s="73"/>
      <c r="GL2" s="73"/>
      <c r="GM2" s="73"/>
      <c r="GN2" s="73"/>
      <c r="GO2" s="73"/>
      <c r="GP2" s="73"/>
      <c r="GQ2" s="73"/>
      <c r="GR2" s="73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</row>
    <row r="3" spans="1:224" ht="38.25" customHeight="1">
      <c r="A3" s="2" t="s">
        <v>22</v>
      </c>
      <c r="B3" s="2" t="s">
        <v>23</v>
      </c>
      <c r="C3" s="2" t="s">
        <v>24</v>
      </c>
      <c r="D3" s="2" t="s">
        <v>25</v>
      </c>
      <c r="E3" s="23" t="s">
        <v>26</v>
      </c>
      <c r="F3" s="61" t="s">
        <v>844</v>
      </c>
      <c r="G3" s="28" t="s">
        <v>845</v>
      </c>
      <c r="H3" s="28" t="s">
        <v>850</v>
      </c>
      <c r="I3" s="28" t="s">
        <v>860</v>
      </c>
      <c r="J3" s="67" t="s">
        <v>863</v>
      </c>
      <c r="K3" s="22" t="s">
        <v>841</v>
      </c>
      <c r="L3" s="28" t="s">
        <v>842</v>
      </c>
      <c r="M3" s="22" t="s">
        <v>843</v>
      </c>
      <c r="N3" s="22" t="s">
        <v>846</v>
      </c>
      <c r="O3" s="28" t="s">
        <v>847</v>
      </c>
      <c r="P3" s="22" t="s">
        <v>848</v>
      </c>
      <c r="Q3" s="22" t="s">
        <v>849</v>
      </c>
      <c r="R3" s="22" t="s">
        <v>851</v>
      </c>
      <c r="S3" s="22" t="s">
        <v>852</v>
      </c>
      <c r="T3" s="22" t="s">
        <v>853</v>
      </c>
      <c r="U3" s="22" t="s">
        <v>854</v>
      </c>
      <c r="V3" s="22" t="s">
        <v>855</v>
      </c>
      <c r="W3" s="22" t="s">
        <v>856</v>
      </c>
      <c r="X3" s="22" t="s">
        <v>857</v>
      </c>
      <c r="Y3" s="22" t="s">
        <v>858</v>
      </c>
      <c r="Z3" s="22" t="s">
        <v>859</v>
      </c>
      <c r="AA3" s="22" t="s">
        <v>861</v>
      </c>
      <c r="AB3" s="28" t="s">
        <v>862</v>
      </c>
      <c r="AC3" s="31" t="s">
        <v>786</v>
      </c>
      <c r="AD3" s="22" t="s">
        <v>721</v>
      </c>
      <c r="AE3" s="22" t="s">
        <v>722</v>
      </c>
      <c r="AF3" s="22" t="s">
        <v>787</v>
      </c>
      <c r="AG3" s="30" t="s">
        <v>788</v>
      </c>
      <c r="AH3" s="22" t="s">
        <v>723</v>
      </c>
      <c r="AI3" s="28" t="s">
        <v>12</v>
      </c>
      <c r="AJ3" s="28" t="s">
        <v>762</v>
      </c>
      <c r="AK3" s="28" t="s">
        <v>789</v>
      </c>
      <c r="AL3" s="28" t="s">
        <v>724</v>
      </c>
      <c r="AM3" s="28" t="s">
        <v>790</v>
      </c>
      <c r="AN3" s="28" t="s">
        <v>13</v>
      </c>
      <c r="AO3" s="28" t="s">
        <v>14</v>
      </c>
      <c r="AP3" s="28" t="s">
        <v>725</v>
      </c>
      <c r="AQ3" s="28" t="s">
        <v>17</v>
      </c>
      <c r="AR3" s="28" t="s">
        <v>726</v>
      </c>
      <c r="AS3" s="28" t="s">
        <v>727</v>
      </c>
      <c r="AT3" s="28" t="s">
        <v>728</v>
      </c>
      <c r="AU3" s="28" t="s">
        <v>729</v>
      </c>
      <c r="AV3" s="28" t="s">
        <v>16</v>
      </c>
      <c r="AW3" s="28" t="s">
        <v>730</v>
      </c>
      <c r="AX3" s="28" t="s">
        <v>731</v>
      </c>
      <c r="AY3" s="28" t="s">
        <v>732</v>
      </c>
      <c r="AZ3" s="28" t="s">
        <v>733</v>
      </c>
      <c r="BA3" s="28" t="s">
        <v>734</v>
      </c>
      <c r="BB3" s="28" t="s">
        <v>735</v>
      </c>
      <c r="BC3" s="28" t="s">
        <v>736</v>
      </c>
      <c r="BD3" s="28" t="s">
        <v>19</v>
      </c>
      <c r="BE3" s="28" t="s">
        <v>737</v>
      </c>
      <c r="BF3" s="28" t="s">
        <v>119</v>
      </c>
      <c r="BG3" s="28" t="s">
        <v>738</v>
      </c>
      <c r="BH3" s="28" t="s">
        <v>18</v>
      </c>
      <c r="BI3" s="28" t="s">
        <v>120</v>
      </c>
      <c r="BJ3" s="28" t="s">
        <v>739</v>
      </c>
      <c r="BK3" s="28" t="s">
        <v>740</v>
      </c>
      <c r="BL3" s="28" t="s">
        <v>121</v>
      </c>
      <c r="BM3" s="28" t="s">
        <v>741</v>
      </c>
      <c r="BN3" s="28" t="s">
        <v>769</v>
      </c>
      <c r="BO3" s="28" t="s">
        <v>122</v>
      </c>
      <c r="BP3" s="28" t="s">
        <v>742</v>
      </c>
      <c r="BQ3" s="28" t="s">
        <v>123</v>
      </c>
      <c r="BR3" s="28" t="s">
        <v>743</v>
      </c>
      <c r="BS3" s="28" t="s">
        <v>744</v>
      </c>
      <c r="BT3" s="28" t="s">
        <v>745</v>
      </c>
      <c r="BU3" s="28" t="s">
        <v>124</v>
      </c>
      <c r="BV3" s="22" t="s">
        <v>746</v>
      </c>
      <c r="BW3" s="28" t="s">
        <v>20</v>
      </c>
      <c r="BX3" s="28" t="s">
        <v>747</v>
      </c>
      <c r="BY3" s="22" t="s">
        <v>21</v>
      </c>
      <c r="BZ3" s="22" t="s">
        <v>748</v>
      </c>
      <c r="CA3" s="28" t="s">
        <v>749</v>
      </c>
      <c r="CB3" s="28" t="s">
        <v>15</v>
      </c>
      <c r="CC3" s="28" t="s">
        <v>750</v>
      </c>
      <c r="CD3" s="28" t="s">
        <v>751</v>
      </c>
      <c r="CE3" s="28" t="s">
        <v>752</v>
      </c>
      <c r="CF3" s="28" t="s">
        <v>753</v>
      </c>
      <c r="CG3" s="28" t="s">
        <v>754</v>
      </c>
      <c r="CH3" s="28" t="s">
        <v>755</v>
      </c>
      <c r="CI3" s="28" t="s">
        <v>756</v>
      </c>
      <c r="CJ3" s="28" t="s">
        <v>757</v>
      </c>
      <c r="CK3" s="28" t="s">
        <v>792</v>
      </c>
      <c r="CL3" s="28" t="s">
        <v>793</v>
      </c>
      <c r="CM3" s="28" t="s">
        <v>758</v>
      </c>
      <c r="CN3" s="28" t="s">
        <v>759</v>
      </c>
      <c r="CO3" s="28" t="s">
        <v>760</v>
      </c>
      <c r="CP3" s="28" t="s">
        <v>761</v>
      </c>
      <c r="CQ3" s="28" t="s">
        <v>130</v>
      </c>
      <c r="CR3" s="28" t="s">
        <v>131</v>
      </c>
      <c r="CS3" s="28" t="s">
        <v>130</v>
      </c>
      <c r="CT3" s="28" t="s">
        <v>131</v>
      </c>
      <c r="CU3" s="28" t="s">
        <v>128</v>
      </c>
      <c r="CV3" s="28" t="s">
        <v>129</v>
      </c>
      <c r="CW3" s="28" t="s">
        <v>128</v>
      </c>
      <c r="CX3" s="28" t="s">
        <v>129</v>
      </c>
      <c r="CY3" s="28" t="s">
        <v>130</v>
      </c>
      <c r="CZ3" s="28" t="s">
        <v>131</v>
      </c>
      <c r="DA3" s="28" t="s">
        <v>128</v>
      </c>
      <c r="DB3" s="28" t="s">
        <v>129</v>
      </c>
      <c r="DC3" s="28" t="s">
        <v>130</v>
      </c>
      <c r="DD3" s="28" t="s">
        <v>131</v>
      </c>
      <c r="DE3" s="28" t="s">
        <v>130</v>
      </c>
      <c r="DF3" s="28" t="s">
        <v>131</v>
      </c>
      <c r="DG3" s="28" t="s">
        <v>128</v>
      </c>
      <c r="DH3" s="28" t="s">
        <v>129</v>
      </c>
      <c r="DI3" s="28" t="s">
        <v>128</v>
      </c>
      <c r="DJ3" s="28" t="s">
        <v>129</v>
      </c>
      <c r="DK3" s="28" t="s">
        <v>128</v>
      </c>
      <c r="DL3" s="28" t="s">
        <v>129</v>
      </c>
      <c r="DM3" s="28" t="s">
        <v>130</v>
      </c>
      <c r="DN3" s="28" t="s">
        <v>131</v>
      </c>
      <c r="DO3" s="28" t="s">
        <v>130</v>
      </c>
      <c r="DP3" s="28" t="s">
        <v>131</v>
      </c>
      <c r="DQ3" s="28" t="s">
        <v>130</v>
      </c>
      <c r="DR3" s="28" t="s">
        <v>131</v>
      </c>
      <c r="DS3" s="28" t="s">
        <v>130</v>
      </c>
      <c r="DT3" s="28" t="s">
        <v>131</v>
      </c>
      <c r="DU3" s="28" t="s">
        <v>130</v>
      </c>
      <c r="DV3" s="28" t="s">
        <v>131</v>
      </c>
      <c r="DW3" s="28" t="s">
        <v>130</v>
      </c>
      <c r="DX3" s="28" t="s">
        <v>131</v>
      </c>
      <c r="DY3" s="28" t="s">
        <v>128</v>
      </c>
      <c r="DZ3" s="28" t="s">
        <v>129</v>
      </c>
      <c r="EA3" s="28" t="s">
        <v>128</v>
      </c>
      <c r="EB3" s="28" t="s">
        <v>129</v>
      </c>
      <c r="EC3" s="28" t="s">
        <v>128</v>
      </c>
      <c r="ED3" s="28" t="s">
        <v>129</v>
      </c>
      <c r="EE3" s="28" t="s">
        <v>128</v>
      </c>
      <c r="EF3" s="28" t="s">
        <v>129</v>
      </c>
      <c r="EG3" s="28" t="s">
        <v>128</v>
      </c>
      <c r="EH3" s="28" t="s">
        <v>129</v>
      </c>
      <c r="EI3" s="28" t="s">
        <v>128</v>
      </c>
      <c r="EJ3" s="28" t="s">
        <v>129</v>
      </c>
      <c r="EK3" s="28" t="s">
        <v>128</v>
      </c>
      <c r="EL3" s="28" t="s">
        <v>129</v>
      </c>
      <c r="EM3" s="28" t="s">
        <v>128</v>
      </c>
      <c r="EN3" s="28" t="s">
        <v>129</v>
      </c>
      <c r="EO3" s="28" t="s">
        <v>130</v>
      </c>
      <c r="EP3" s="28" t="s">
        <v>131</v>
      </c>
      <c r="EQ3" s="28" t="s">
        <v>128</v>
      </c>
      <c r="ER3" s="28" t="s">
        <v>129</v>
      </c>
      <c r="ES3" s="28" t="s">
        <v>128</v>
      </c>
      <c r="ET3" s="28" t="s">
        <v>129</v>
      </c>
      <c r="EU3" s="28" t="s">
        <v>130</v>
      </c>
      <c r="EV3" s="28" t="s">
        <v>131</v>
      </c>
      <c r="EW3" s="28" t="s">
        <v>128</v>
      </c>
      <c r="EX3" s="28" t="s">
        <v>129</v>
      </c>
      <c r="EY3" s="28" t="s">
        <v>130</v>
      </c>
      <c r="EZ3" s="28" t="s">
        <v>131</v>
      </c>
      <c r="FA3" s="28" t="s">
        <v>128</v>
      </c>
      <c r="FB3" s="28" t="s">
        <v>129</v>
      </c>
      <c r="FC3" s="28" t="s">
        <v>128</v>
      </c>
      <c r="FD3" s="28" t="s">
        <v>129</v>
      </c>
      <c r="FE3" s="28" t="s">
        <v>128</v>
      </c>
      <c r="FF3" s="28" t="s">
        <v>129</v>
      </c>
      <c r="FG3" s="28" t="s">
        <v>128</v>
      </c>
      <c r="FH3" s="28" t="s">
        <v>129</v>
      </c>
      <c r="FI3" s="28" t="s">
        <v>128</v>
      </c>
      <c r="FJ3" s="28" t="s">
        <v>129</v>
      </c>
      <c r="FK3" s="28" t="s">
        <v>130</v>
      </c>
      <c r="FL3" s="28" t="s">
        <v>131</v>
      </c>
      <c r="FM3" s="28" t="s">
        <v>130</v>
      </c>
      <c r="FN3" s="28" t="s">
        <v>131</v>
      </c>
      <c r="FO3" s="28" t="s">
        <v>130</v>
      </c>
      <c r="FP3" s="28" t="s">
        <v>131</v>
      </c>
      <c r="FQ3" s="28" t="s">
        <v>130</v>
      </c>
      <c r="FR3" s="28" t="s">
        <v>131</v>
      </c>
      <c r="FS3" s="28" t="s">
        <v>130</v>
      </c>
      <c r="FT3" s="28" t="s">
        <v>131</v>
      </c>
      <c r="FU3" s="28" t="s">
        <v>130</v>
      </c>
      <c r="FV3" s="28" t="s">
        <v>131</v>
      </c>
      <c r="FW3" s="28" t="s">
        <v>130</v>
      </c>
      <c r="FX3" s="28" t="s">
        <v>131</v>
      </c>
      <c r="FY3" s="28" t="s">
        <v>128</v>
      </c>
      <c r="FZ3" s="28" t="s">
        <v>129</v>
      </c>
      <c r="GA3" s="28" t="s">
        <v>128</v>
      </c>
      <c r="GB3" s="28" t="s">
        <v>129</v>
      </c>
      <c r="GC3" s="28" t="s">
        <v>128</v>
      </c>
      <c r="GD3" s="28" t="s">
        <v>129</v>
      </c>
      <c r="GE3" s="28" t="s">
        <v>128</v>
      </c>
      <c r="GF3" s="28" t="s">
        <v>129</v>
      </c>
      <c r="GG3" s="28" t="s">
        <v>128</v>
      </c>
      <c r="GH3" s="28" t="s">
        <v>129</v>
      </c>
      <c r="GI3" s="28" t="s">
        <v>128</v>
      </c>
      <c r="GJ3" s="28" t="s">
        <v>129</v>
      </c>
      <c r="GK3" s="28" t="s">
        <v>128</v>
      </c>
      <c r="GL3" s="28" t="s">
        <v>129</v>
      </c>
      <c r="GM3" s="28" t="s">
        <v>128</v>
      </c>
      <c r="GN3" s="28" t="s">
        <v>129</v>
      </c>
      <c r="GO3" s="28" t="s">
        <v>128</v>
      </c>
      <c r="GP3" s="28" t="s">
        <v>129</v>
      </c>
      <c r="GQ3" s="28" t="s">
        <v>128</v>
      </c>
      <c r="GR3" s="28" t="s">
        <v>129</v>
      </c>
    </row>
    <row r="4" spans="1:224">
      <c r="A4" s="5">
        <v>101</v>
      </c>
      <c r="B4" s="1" t="s">
        <v>132</v>
      </c>
      <c r="C4" s="33">
        <v>290</v>
      </c>
      <c r="D4" s="34">
        <v>196</v>
      </c>
      <c r="E4" s="19">
        <f>SUM(D4/C4)</f>
        <v>0.67586206896551726</v>
      </c>
      <c r="F4" s="62">
        <v>59</v>
      </c>
      <c r="G4" s="43">
        <v>1</v>
      </c>
      <c r="H4" s="43">
        <v>12</v>
      </c>
      <c r="I4" s="43">
        <v>3</v>
      </c>
      <c r="J4" s="55">
        <v>119</v>
      </c>
      <c r="K4" s="6">
        <v>0</v>
      </c>
      <c r="L4" s="6">
        <v>0</v>
      </c>
      <c r="M4" s="43">
        <v>0</v>
      </c>
      <c r="N4" s="25">
        <v>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  <c r="W4" s="43">
        <v>0</v>
      </c>
      <c r="X4" s="43">
        <v>0</v>
      </c>
      <c r="Y4" s="43">
        <v>0</v>
      </c>
      <c r="Z4" s="43">
        <v>0</v>
      </c>
      <c r="AA4" s="44">
        <v>0</v>
      </c>
      <c r="AB4" s="44">
        <v>0</v>
      </c>
      <c r="AC4" s="44">
        <v>1</v>
      </c>
      <c r="AD4" s="44">
        <v>9</v>
      </c>
      <c r="AE4" s="44">
        <v>132</v>
      </c>
      <c r="AF4" s="44">
        <v>1</v>
      </c>
      <c r="AG4" s="44">
        <v>0</v>
      </c>
      <c r="AH4" s="44">
        <v>43</v>
      </c>
      <c r="AI4" s="32"/>
      <c r="AJ4" s="32"/>
      <c r="AK4" s="32"/>
      <c r="AL4" s="32"/>
      <c r="AM4" s="44">
        <v>5</v>
      </c>
      <c r="AN4" s="44">
        <v>48</v>
      </c>
      <c r="AO4" s="44">
        <v>127</v>
      </c>
      <c r="AP4" s="48"/>
      <c r="AQ4" s="48"/>
      <c r="AR4" s="43">
        <v>117</v>
      </c>
      <c r="AS4" s="43">
        <v>57</v>
      </c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1">
        <v>107</v>
      </c>
      <c r="BF4" s="43">
        <v>72</v>
      </c>
      <c r="BG4" s="43">
        <v>116</v>
      </c>
      <c r="BH4" s="43">
        <v>59</v>
      </c>
      <c r="BI4" s="43">
        <v>124</v>
      </c>
      <c r="BJ4" s="43">
        <v>49</v>
      </c>
      <c r="BK4" s="43">
        <v>65</v>
      </c>
      <c r="BL4" s="43">
        <v>113</v>
      </c>
      <c r="BM4" s="43">
        <v>85</v>
      </c>
      <c r="BN4" s="43">
        <v>89</v>
      </c>
      <c r="BO4" s="43">
        <v>50</v>
      </c>
      <c r="BP4" s="43">
        <v>123</v>
      </c>
      <c r="BQ4" s="43">
        <v>126</v>
      </c>
      <c r="BR4" s="43">
        <v>48</v>
      </c>
      <c r="BS4" s="43">
        <v>121</v>
      </c>
      <c r="BT4" s="43">
        <v>87</v>
      </c>
      <c r="BU4" s="43">
        <v>89</v>
      </c>
      <c r="BV4" s="43">
        <v>114</v>
      </c>
      <c r="BW4" s="43">
        <v>93</v>
      </c>
      <c r="BX4" s="43">
        <v>51</v>
      </c>
      <c r="BY4" s="43">
        <v>113</v>
      </c>
      <c r="BZ4" s="43">
        <v>43</v>
      </c>
      <c r="CA4" s="43">
        <v>105</v>
      </c>
      <c r="CB4" s="43">
        <v>93</v>
      </c>
      <c r="CC4" s="43">
        <v>52</v>
      </c>
      <c r="CD4" s="43">
        <v>96</v>
      </c>
      <c r="CE4" s="43">
        <v>49</v>
      </c>
      <c r="CF4" s="43">
        <v>94</v>
      </c>
      <c r="CG4" s="43">
        <v>101</v>
      </c>
      <c r="CH4" s="43">
        <v>38</v>
      </c>
      <c r="CI4" s="43">
        <v>37</v>
      </c>
      <c r="CJ4" s="43">
        <v>106</v>
      </c>
      <c r="CK4" s="43">
        <v>82</v>
      </c>
      <c r="CL4" s="43">
        <v>53</v>
      </c>
      <c r="CM4" s="43">
        <v>101</v>
      </c>
      <c r="CN4" s="43">
        <v>98</v>
      </c>
      <c r="CO4" s="43">
        <v>43</v>
      </c>
      <c r="CP4" s="43">
        <v>95</v>
      </c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43">
        <v>49</v>
      </c>
      <c r="FZ4" s="43">
        <v>140</v>
      </c>
      <c r="GA4" s="53"/>
      <c r="GB4" s="53"/>
      <c r="GC4" s="53"/>
      <c r="GD4" s="53"/>
      <c r="GE4" s="53"/>
      <c r="GF4" s="53"/>
      <c r="GG4" s="53"/>
      <c r="GH4" s="53"/>
      <c r="GI4" s="43"/>
      <c r="GJ4" s="53"/>
      <c r="GK4" s="53"/>
      <c r="GL4" s="53"/>
      <c r="GM4" s="53"/>
      <c r="GN4" s="53"/>
      <c r="GO4" s="43">
        <v>91</v>
      </c>
      <c r="GP4" s="43">
        <v>97</v>
      </c>
      <c r="GQ4" s="43">
        <v>96</v>
      </c>
      <c r="GR4" s="43">
        <v>91</v>
      </c>
    </row>
    <row r="5" spans="1:224">
      <c r="A5" s="5">
        <v>102</v>
      </c>
      <c r="B5" s="1" t="s">
        <v>133</v>
      </c>
      <c r="C5" s="33">
        <v>1191</v>
      </c>
      <c r="D5" s="34">
        <v>956</v>
      </c>
      <c r="E5" s="19">
        <f t="shared" ref="E5:E68" si="0">SUM(D5/C5)</f>
        <v>0.80268681780016793</v>
      </c>
      <c r="F5" s="62">
        <v>488</v>
      </c>
      <c r="G5" s="43">
        <v>4</v>
      </c>
      <c r="H5" s="43">
        <v>41</v>
      </c>
      <c r="I5" s="43">
        <v>9</v>
      </c>
      <c r="J5" s="55">
        <v>389</v>
      </c>
      <c r="K5" s="6">
        <v>0</v>
      </c>
      <c r="L5" s="6">
        <v>0</v>
      </c>
      <c r="M5" s="43">
        <v>0</v>
      </c>
      <c r="N5" s="25">
        <v>0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1</v>
      </c>
      <c r="U5" s="43">
        <v>0</v>
      </c>
      <c r="V5" s="43">
        <v>2</v>
      </c>
      <c r="W5" s="43">
        <v>5</v>
      </c>
      <c r="X5" s="43">
        <v>0</v>
      </c>
      <c r="Y5" s="43">
        <v>0</v>
      </c>
      <c r="Z5" s="43">
        <v>0</v>
      </c>
      <c r="AA5" s="44">
        <v>0</v>
      </c>
      <c r="AB5" s="44">
        <v>0</v>
      </c>
      <c r="AC5" s="44">
        <v>12</v>
      </c>
      <c r="AD5" s="44">
        <v>24</v>
      </c>
      <c r="AE5" s="44">
        <v>534</v>
      </c>
      <c r="AF5" s="44">
        <v>8</v>
      </c>
      <c r="AG5" s="44">
        <v>0</v>
      </c>
      <c r="AH5" s="44">
        <v>352</v>
      </c>
      <c r="AI5" s="32"/>
      <c r="AJ5" s="32"/>
      <c r="AK5" s="32"/>
      <c r="AL5" s="32"/>
      <c r="AM5" s="44">
        <v>52</v>
      </c>
      <c r="AN5" s="44">
        <v>333</v>
      </c>
      <c r="AO5" s="44">
        <v>517</v>
      </c>
      <c r="AP5" s="48"/>
      <c r="AQ5" s="48"/>
      <c r="AR5" s="43">
        <v>470</v>
      </c>
      <c r="AS5" s="43">
        <v>422</v>
      </c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43">
        <v>391</v>
      </c>
      <c r="BF5" s="43">
        <v>503</v>
      </c>
      <c r="BG5" s="43">
        <v>482</v>
      </c>
      <c r="BH5" s="43">
        <v>420</v>
      </c>
      <c r="BI5" s="43">
        <v>508</v>
      </c>
      <c r="BJ5" s="43">
        <v>380</v>
      </c>
      <c r="BK5" s="43">
        <v>472</v>
      </c>
      <c r="BL5" s="43">
        <v>412</v>
      </c>
      <c r="BM5" s="43">
        <v>344</v>
      </c>
      <c r="BN5" s="43">
        <v>540</v>
      </c>
      <c r="BO5" s="43">
        <v>421</v>
      </c>
      <c r="BP5" s="43">
        <v>444</v>
      </c>
      <c r="BQ5" s="43">
        <v>500</v>
      </c>
      <c r="BR5" s="43">
        <v>371</v>
      </c>
      <c r="BS5" s="43">
        <v>581</v>
      </c>
      <c r="BT5" s="43">
        <v>311</v>
      </c>
      <c r="BU5" s="43">
        <v>571</v>
      </c>
      <c r="BV5" s="43">
        <v>594</v>
      </c>
      <c r="BW5" s="43">
        <v>388</v>
      </c>
      <c r="BX5" s="43">
        <v>344</v>
      </c>
      <c r="BY5" s="43">
        <v>411</v>
      </c>
      <c r="BZ5" s="43">
        <v>375</v>
      </c>
      <c r="CA5" s="43">
        <v>526</v>
      </c>
      <c r="CB5" s="43">
        <v>369</v>
      </c>
      <c r="CC5" s="43">
        <v>364</v>
      </c>
      <c r="CD5" s="43">
        <v>553</v>
      </c>
      <c r="CE5" s="43">
        <v>345</v>
      </c>
      <c r="CF5" s="43">
        <v>399</v>
      </c>
      <c r="CG5" s="43">
        <v>391</v>
      </c>
      <c r="CH5" s="43">
        <v>319</v>
      </c>
      <c r="CI5" s="43">
        <v>213</v>
      </c>
      <c r="CJ5" s="43">
        <v>507</v>
      </c>
      <c r="CK5" s="43">
        <v>366</v>
      </c>
      <c r="CL5" s="43">
        <v>340</v>
      </c>
      <c r="CM5" s="43">
        <v>489</v>
      </c>
      <c r="CN5" s="43">
        <v>504</v>
      </c>
      <c r="CO5" s="43">
        <v>286</v>
      </c>
      <c r="CP5" s="43">
        <v>432</v>
      </c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43">
        <v>449</v>
      </c>
      <c r="FZ5" s="43">
        <v>470</v>
      </c>
      <c r="GA5" s="53"/>
      <c r="GB5" s="53"/>
      <c r="GC5" s="53"/>
      <c r="GD5" s="53"/>
      <c r="GE5" s="53"/>
      <c r="GF5" s="53"/>
      <c r="GG5" s="53"/>
      <c r="GH5" s="53"/>
      <c r="GI5" s="43"/>
      <c r="GJ5" s="53"/>
      <c r="GK5" s="53"/>
      <c r="GL5" s="53"/>
      <c r="GM5" s="53"/>
      <c r="GN5" s="53"/>
      <c r="GO5" s="43">
        <v>684</v>
      </c>
      <c r="GP5" s="43">
        <v>235</v>
      </c>
      <c r="GQ5" s="43">
        <v>669</v>
      </c>
      <c r="GR5" s="43">
        <v>249</v>
      </c>
    </row>
    <row r="6" spans="1:224">
      <c r="A6" s="5">
        <v>103</v>
      </c>
      <c r="B6" s="1" t="s">
        <v>134</v>
      </c>
      <c r="C6" s="33">
        <v>1444</v>
      </c>
      <c r="D6" s="34">
        <v>1044</v>
      </c>
      <c r="E6" s="19">
        <f t="shared" si="0"/>
        <v>0.7229916897506925</v>
      </c>
      <c r="F6" s="62">
        <v>562</v>
      </c>
      <c r="G6" s="43">
        <v>3</v>
      </c>
      <c r="H6" s="43">
        <v>46</v>
      </c>
      <c r="I6" s="43">
        <v>15</v>
      </c>
      <c r="J6" s="55">
        <v>394</v>
      </c>
      <c r="K6" s="6">
        <v>0</v>
      </c>
      <c r="L6" s="6">
        <v>0</v>
      </c>
      <c r="M6" s="43">
        <v>1</v>
      </c>
      <c r="N6" s="25">
        <v>0</v>
      </c>
      <c r="O6" s="43">
        <v>0</v>
      </c>
      <c r="P6" s="43">
        <v>0</v>
      </c>
      <c r="Q6" s="43">
        <v>0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  <c r="W6" s="43">
        <v>3</v>
      </c>
      <c r="X6" s="43">
        <v>0</v>
      </c>
      <c r="Y6" s="43">
        <v>0</v>
      </c>
      <c r="Z6" s="43">
        <v>0</v>
      </c>
      <c r="AA6" s="44">
        <v>0</v>
      </c>
      <c r="AB6" s="44">
        <v>0</v>
      </c>
      <c r="AC6" s="44">
        <v>11</v>
      </c>
      <c r="AD6" s="44">
        <v>38</v>
      </c>
      <c r="AE6" s="44">
        <v>533</v>
      </c>
      <c r="AF6" s="44">
        <v>11</v>
      </c>
      <c r="AG6" s="44">
        <v>0</v>
      </c>
      <c r="AH6" s="44">
        <v>420</v>
      </c>
      <c r="AI6" s="32"/>
      <c r="AJ6" s="32"/>
      <c r="AK6" s="32"/>
      <c r="AL6" s="32"/>
      <c r="AM6" s="44">
        <v>50</v>
      </c>
      <c r="AN6" s="44">
        <v>417</v>
      </c>
      <c r="AO6" s="44">
        <v>512</v>
      </c>
      <c r="AP6" s="48"/>
      <c r="AQ6" s="48"/>
      <c r="AR6" s="43">
        <v>488</v>
      </c>
      <c r="AS6" s="43">
        <v>476</v>
      </c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43">
        <v>420</v>
      </c>
      <c r="BF6" s="43">
        <v>561</v>
      </c>
      <c r="BG6" s="43">
        <v>452</v>
      </c>
      <c r="BH6" s="43">
        <v>525</v>
      </c>
      <c r="BI6" s="43">
        <v>541</v>
      </c>
      <c r="BJ6" s="43">
        <v>429</v>
      </c>
      <c r="BK6" s="43">
        <v>572</v>
      </c>
      <c r="BL6" s="43">
        <v>399</v>
      </c>
      <c r="BM6" s="43">
        <v>353</v>
      </c>
      <c r="BN6" s="43">
        <v>624</v>
      </c>
      <c r="BO6" s="43">
        <v>467</v>
      </c>
      <c r="BP6" s="43">
        <v>477</v>
      </c>
      <c r="BQ6" s="43">
        <v>505</v>
      </c>
      <c r="BR6" s="43">
        <v>443</v>
      </c>
      <c r="BS6" s="43">
        <v>645</v>
      </c>
      <c r="BT6" s="43">
        <v>346</v>
      </c>
      <c r="BU6" s="43">
        <v>620</v>
      </c>
      <c r="BV6" s="43">
        <v>653</v>
      </c>
      <c r="BW6" s="43">
        <v>423</v>
      </c>
      <c r="BX6" s="43">
        <v>342</v>
      </c>
      <c r="BY6" s="43">
        <v>458</v>
      </c>
      <c r="BZ6" s="43">
        <v>377</v>
      </c>
      <c r="CA6" s="43">
        <v>570</v>
      </c>
      <c r="CB6" s="43">
        <v>379</v>
      </c>
      <c r="CC6" s="43">
        <v>387</v>
      </c>
      <c r="CD6" s="43">
        <v>579</v>
      </c>
      <c r="CE6" s="43">
        <v>405</v>
      </c>
      <c r="CF6" s="43">
        <v>362</v>
      </c>
      <c r="CG6" s="43">
        <v>401</v>
      </c>
      <c r="CH6" s="43">
        <v>328</v>
      </c>
      <c r="CI6" s="43">
        <v>222</v>
      </c>
      <c r="CJ6" s="43">
        <v>523</v>
      </c>
      <c r="CK6" s="43">
        <v>410</v>
      </c>
      <c r="CL6" s="43">
        <v>329</v>
      </c>
      <c r="CM6" s="43">
        <v>548</v>
      </c>
      <c r="CN6" s="43">
        <v>561</v>
      </c>
      <c r="CO6" s="43">
        <v>291</v>
      </c>
      <c r="CP6" s="43">
        <v>454</v>
      </c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43">
        <v>534</v>
      </c>
      <c r="FZ6" s="43">
        <v>465</v>
      </c>
      <c r="GA6" s="53"/>
      <c r="GB6" s="53"/>
      <c r="GC6" s="53"/>
      <c r="GD6" s="53"/>
      <c r="GE6" s="53"/>
      <c r="GF6" s="53"/>
      <c r="GG6" s="53"/>
      <c r="GH6" s="53"/>
      <c r="GI6" s="43"/>
      <c r="GJ6" s="53"/>
      <c r="GK6" s="53"/>
      <c r="GL6" s="53"/>
      <c r="GM6" s="53"/>
      <c r="GN6" s="53"/>
      <c r="GO6" s="43">
        <v>744</v>
      </c>
      <c r="GP6" s="43">
        <v>261</v>
      </c>
      <c r="GQ6" s="43">
        <v>744</v>
      </c>
      <c r="GR6" s="43">
        <v>254</v>
      </c>
    </row>
    <row r="7" spans="1:224">
      <c r="A7" s="5">
        <v>104</v>
      </c>
      <c r="B7" s="1" t="s">
        <v>135</v>
      </c>
      <c r="C7" s="33">
        <v>706</v>
      </c>
      <c r="D7" s="34">
        <v>495</v>
      </c>
      <c r="E7" s="19">
        <f t="shared" si="0"/>
        <v>0.70113314447592068</v>
      </c>
      <c r="F7" s="62">
        <v>293</v>
      </c>
      <c r="G7" s="43">
        <v>1</v>
      </c>
      <c r="H7" s="43">
        <v>35</v>
      </c>
      <c r="I7" s="43">
        <v>0</v>
      </c>
      <c r="J7" s="55">
        <v>160</v>
      </c>
      <c r="K7" s="6">
        <v>0</v>
      </c>
      <c r="L7" s="6">
        <v>0</v>
      </c>
      <c r="M7" s="43">
        <v>0</v>
      </c>
      <c r="N7" s="25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4">
        <v>0</v>
      </c>
      <c r="AB7" s="44">
        <v>0</v>
      </c>
      <c r="AC7" s="44">
        <v>3</v>
      </c>
      <c r="AD7" s="44">
        <v>3</v>
      </c>
      <c r="AE7" s="44">
        <v>253</v>
      </c>
      <c r="AF7" s="44">
        <v>3</v>
      </c>
      <c r="AG7" s="44">
        <v>0</v>
      </c>
      <c r="AH7" s="44">
        <v>216</v>
      </c>
      <c r="AI7" s="32"/>
      <c r="AJ7" s="32"/>
      <c r="AK7" s="32"/>
      <c r="AL7" s="32"/>
      <c r="AM7" s="44">
        <v>17</v>
      </c>
      <c r="AN7" s="44">
        <v>224</v>
      </c>
      <c r="AO7" s="44">
        <v>225</v>
      </c>
      <c r="AP7" s="48"/>
      <c r="AQ7" s="48"/>
      <c r="AR7" s="43">
        <v>221</v>
      </c>
      <c r="AS7" s="43">
        <v>235</v>
      </c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43">
        <v>198</v>
      </c>
      <c r="BF7" s="43">
        <v>262</v>
      </c>
      <c r="BG7" s="43">
        <v>216</v>
      </c>
      <c r="BH7" s="43">
        <v>247</v>
      </c>
      <c r="BI7" s="43">
        <v>254</v>
      </c>
      <c r="BJ7" s="43">
        <v>208</v>
      </c>
      <c r="BK7" s="43">
        <v>272</v>
      </c>
      <c r="BL7" s="43">
        <v>185</v>
      </c>
      <c r="BM7" s="43">
        <v>177</v>
      </c>
      <c r="BN7" s="43">
        <v>272</v>
      </c>
      <c r="BO7" s="43">
        <v>229</v>
      </c>
      <c r="BP7" s="43">
        <v>209</v>
      </c>
      <c r="BQ7" s="43">
        <v>230</v>
      </c>
      <c r="BR7" s="43">
        <v>216</v>
      </c>
      <c r="BS7" s="43">
        <v>291</v>
      </c>
      <c r="BT7" s="43">
        <v>156</v>
      </c>
      <c r="BU7" s="43">
        <v>288</v>
      </c>
      <c r="BV7" s="43">
        <v>287</v>
      </c>
      <c r="BW7" s="43">
        <v>152</v>
      </c>
      <c r="BX7" s="43">
        <v>188</v>
      </c>
      <c r="BY7" s="43">
        <v>172</v>
      </c>
      <c r="BZ7" s="43">
        <v>200</v>
      </c>
      <c r="CA7" s="43">
        <v>236</v>
      </c>
      <c r="CB7" s="43">
        <v>141</v>
      </c>
      <c r="CC7" s="43">
        <v>197</v>
      </c>
      <c r="CD7" s="43">
        <v>263</v>
      </c>
      <c r="CE7" s="43">
        <v>205</v>
      </c>
      <c r="CF7" s="43">
        <v>129</v>
      </c>
      <c r="CG7" s="43">
        <v>163</v>
      </c>
      <c r="CH7" s="43">
        <v>163</v>
      </c>
      <c r="CI7" s="43">
        <v>138</v>
      </c>
      <c r="CJ7" s="43">
        <v>199</v>
      </c>
      <c r="CK7" s="43">
        <v>151</v>
      </c>
      <c r="CL7" s="43">
        <v>181</v>
      </c>
      <c r="CM7" s="43">
        <v>226</v>
      </c>
      <c r="CN7" s="43">
        <v>232</v>
      </c>
      <c r="CO7" s="43">
        <v>152</v>
      </c>
      <c r="CP7" s="43">
        <v>178</v>
      </c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43">
        <v>256</v>
      </c>
      <c r="FZ7" s="43">
        <v>209</v>
      </c>
      <c r="GA7" s="53"/>
      <c r="GB7" s="53"/>
      <c r="GC7" s="53"/>
      <c r="GD7" s="53"/>
      <c r="GE7" s="53"/>
      <c r="GF7" s="53"/>
      <c r="GG7" s="53"/>
      <c r="GH7" s="53"/>
      <c r="GI7" s="43"/>
      <c r="GJ7" s="53"/>
      <c r="GK7" s="53"/>
      <c r="GL7" s="53"/>
      <c r="GM7" s="53"/>
      <c r="GN7" s="53"/>
      <c r="GO7" s="43">
        <v>329</v>
      </c>
      <c r="GP7" s="43">
        <v>136</v>
      </c>
      <c r="GQ7" s="43">
        <v>324</v>
      </c>
      <c r="GR7" s="43">
        <v>132</v>
      </c>
    </row>
    <row r="8" spans="1:224">
      <c r="A8" s="5">
        <v>105</v>
      </c>
      <c r="B8" s="1" t="s">
        <v>136</v>
      </c>
      <c r="C8" s="33">
        <v>1151</v>
      </c>
      <c r="D8" s="34">
        <v>812</v>
      </c>
      <c r="E8" s="19">
        <f t="shared" si="0"/>
        <v>0.70547350130321462</v>
      </c>
      <c r="F8" s="62">
        <v>458</v>
      </c>
      <c r="G8" s="43">
        <v>4</v>
      </c>
      <c r="H8" s="43">
        <v>40</v>
      </c>
      <c r="I8" s="43">
        <v>12</v>
      </c>
      <c r="J8" s="55">
        <v>276</v>
      </c>
      <c r="K8" s="6">
        <v>0</v>
      </c>
      <c r="L8" s="6">
        <v>0</v>
      </c>
      <c r="M8" s="43">
        <v>0</v>
      </c>
      <c r="N8" s="25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3</v>
      </c>
      <c r="X8" s="43">
        <v>0</v>
      </c>
      <c r="Y8" s="43">
        <v>0</v>
      </c>
      <c r="Z8" s="43">
        <v>0</v>
      </c>
      <c r="AA8" s="44">
        <v>0</v>
      </c>
      <c r="AB8" s="44">
        <v>0</v>
      </c>
      <c r="AC8" s="44">
        <v>19</v>
      </c>
      <c r="AD8" s="44">
        <v>17</v>
      </c>
      <c r="AE8" s="44">
        <v>362</v>
      </c>
      <c r="AF8" s="44">
        <v>3</v>
      </c>
      <c r="AG8" s="44">
        <v>0</v>
      </c>
      <c r="AH8" s="44">
        <v>386</v>
      </c>
      <c r="AI8" s="32"/>
      <c r="AJ8" s="32"/>
      <c r="AK8" s="32"/>
      <c r="AL8" s="32"/>
      <c r="AM8" s="44">
        <v>43</v>
      </c>
      <c r="AN8" s="44">
        <v>343</v>
      </c>
      <c r="AO8" s="44">
        <v>377</v>
      </c>
      <c r="AP8" s="48"/>
      <c r="AQ8" s="48"/>
      <c r="AR8" s="43">
        <v>355</v>
      </c>
      <c r="AS8" s="43">
        <v>406</v>
      </c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43">
        <v>294</v>
      </c>
      <c r="BF8" s="43">
        <v>472</v>
      </c>
      <c r="BG8" s="43">
        <v>335</v>
      </c>
      <c r="BH8" s="43">
        <v>435</v>
      </c>
      <c r="BI8" s="43">
        <v>387</v>
      </c>
      <c r="BJ8" s="43">
        <v>374</v>
      </c>
      <c r="BK8" s="43">
        <v>447</v>
      </c>
      <c r="BL8" s="43">
        <v>314</v>
      </c>
      <c r="BM8" s="43">
        <v>258</v>
      </c>
      <c r="BN8" s="43">
        <v>503</v>
      </c>
      <c r="BO8" s="43">
        <v>397</v>
      </c>
      <c r="BP8" s="43">
        <v>346</v>
      </c>
      <c r="BQ8" s="43">
        <v>367</v>
      </c>
      <c r="BR8" s="43">
        <v>381</v>
      </c>
      <c r="BS8" s="43">
        <v>502</v>
      </c>
      <c r="BT8" s="43">
        <v>263</v>
      </c>
      <c r="BU8" s="43">
        <v>492</v>
      </c>
      <c r="BV8" s="43">
        <v>509</v>
      </c>
      <c r="BW8" s="43">
        <v>324</v>
      </c>
      <c r="BX8" s="43">
        <v>299</v>
      </c>
      <c r="BY8" s="43">
        <v>342</v>
      </c>
      <c r="BZ8" s="43">
        <v>327</v>
      </c>
      <c r="CA8" s="43">
        <v>472</v>
      </c>
      <c r="CB8" s="43">
        <v>301</v>
      </c>
      <c r="CC8" s="43">
        <v>343</v>
      </c>
      <c r="CD8" s="43">
        <v>492</v>
      </c>
      <c r="CE8" s="43">
        <v>352</v>
      </c>
      <c r="CF8" s="43">
        <v>273</v>
      </c>
      <c r="CG8" s="43">
        <v>347</v>
      </c>
      <c r="CH8" s="43">
        <v>259</v>
      </c>
      <c r="CI8" s="43">
        <v>189</v>
      </c>
      <c r="CJ8" s="43">
        <v>432</v>
      </c>
      <c r="CK8" s="43">
        <v>335</v>
      </c>
      <c r="CL8" s="43">
        <v>274</v>
      </c>
      <c r="CM8" s="43">
        <v>450</v>
      </c>
      <c r="CN8" s="43">
        <v>462</v>
      </c>
      <c r="CO8" s="43">
        <v>251</v>
      </c>
      <c r="CP8" s="43">
        <v>366</v>
      </c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43">
        <v>424</v>
      </c>
      <c r="FZ8" s="43">
        <v>346</v>
      </c>
      <c r="GA8" s="53"/>
      <c r="GB8" s="53"/>
      <c r="GC8" s="53"/>
      <c r="GD8" s="53"/>
      <c r="GE8" s="53"/>
      <c r="GF8" s="53"/>
      <c r="GG8" s="53"/>
      <c r="GH8" s="53"/>
      <c r="GI8" s="43"/>
      <c r="GJ8" s="53"/>
      <c r="GK8" s="53"/>
      <c r="GL8" s="53"/>
      <c r="GM8" s="53"/>
      <c r="GN8" s="53"/>
      <c r="GO8" s="43">
        <v>579</v>
      </c>
      <c r="GP8" s="43">
        <v>190</v>
      </c>
      <c r="GQ8" s="43">
        <v>578</v>
      </c>
      <c r="GR8" s="43">
        <v>189</v>
      </c>
    </row>
    <row r="9" spans="1:224">
      <c r="A9" s="5">
        <v>106</v>
      </c>
      <c r="B9" s="1" t="s">
        <v>137</v>
      </c>
      <c r="C9" s="33">
        <v>1118</v>
      </c>
      <c r="D9" s="34">
        <v>879</v>
      </c>
      <c r="E9" s="19">
        <f t="shared" si="0"/>
        <v>0.78622540250447226</v>
      </c>
      <c r="F9" s="62">
        <v>437</v>
      </c>
      <c r="G9" s="43">
        <v>1</v>
      </c>
      <c r="H9" s="43">
        <v>37</v>
      </c>
      <c r="I9" s="43">
        <v>20</v>
      </c>
      <c r="J9" s="55">
        <v>371</v>
      </c>
      <c r="K9" s="6">
        <v>0</v>
      </c>
      <c r="L9" s="6">
        <v>0</v>
      </c>
      <c r="M9" s="43">
        <v>0</v>
      </c>
      <c r="N9" s="25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4">
        <v>0</v>
      </c>
      <c r="AB9" s="44">
        <v>0</v>
      </c>
      <c r="AC9" s="44">
        <v>15</v>
      </c>
      <c r="AD9" s="44">
        <v>19</v>
      </c>
      <c r="AE9" s="44">
        <v>470</v>
      </c>
      <c r="AF9" s="44">
        <v>8</v>
      </c>
      <c r="AG9" s="44">
        <v>0</v>
      </c>
      <c r="AH9" s="44">
        <v>340</v>
      </c>
      <c r="AI9" s="32"/>
      <c r="AJ9" s="32"/>
      <c r="AK9" s="32"/>
      <c r="AL9" s="32"/>
      <c r="AM9" s="44">
        <v>38</v>
      </c>
      <c r="AN9" s="44">
        <v>313</v>
      </c>
      <c r="AO9" s="44">
        <v>477</v>
      </c>
      <c r="AP9" s="48"/>
      <c r="AQ9" s="48"/>
      <c r="AR9" s="43">
        <v>442</v>
      </c>
      <c r="AS9" s="43">
        <v>381</v>
      </c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43">
        <v>380</v>
      </c>
      <c r="BF9" s="43">
        <v>456</v>
      </c>
      <c r="BG9" s="43">
        <v>420</v>
      </c>
      <c r="BH9" s="43">
        <v>408</v>
      </c>
      <c r="BI9" s="43">
        <v>474</v>
      </c>
      <c r="BJ9" s="43">
        <v>347</v>
      </c>
      <c r="BK9" s="43">
        <v>443</v>
      </c>
      <c r="BL9" s="43">
        <v>381</v>
      </c>
      <c r="BM9" s="43">
        <v>318</v>
      </c>
      <c r="BN9" s="43">
        <v>498</v>
      </c>
      <c r="BO9" s="43">
        <v>390</v>
      </c>
      <c r="BP9" s="43">
        <v>394</v>
      </c>
      <c r="BQ9" s="43">
        <v>461</v>
      </c>
      <c r="BR9" s="43">
        <v>327</v>
      </c>
      <c r="BS9" s="43">
        <v>498</v>
      </c>
      <c r="BT9" s="43">
        <v>283</v>
      </c>
      <c r="BU9" s="43">
        <v>514</v>
      </c>
      <c r="BV9" s="43">
        <v>483</v>
      </c>
      <c r="BW9" s="43">
        <v>335</v>
      </c>
      <c r="BX9" s="43">
        <v>294</v>
      </c>
      <c r="BY9" s="43">
        <v>375</v>
      </c>
      <c r="BZ9" s="43">
        <v>318</v>
      </c>
      <c r="CA9" s="43">
        <v>440</v>
      </c>
      <c r="CB9" s="43">
        <v>348</v>
      </c>
      <c r="CC9" s="43">
        <v>304</v>
      </c>
      <c r="CD9" s="43">
        <v>458</v>
      </c>
      <c r="CE9" s="43">
        <v>303</v>
      </c>
      <c r="CF9" s="43">
        <v>342</v>
      </c>
      <c r="CG9" s="43">
        <v>358</v>
      </c>
      <c r="CH9" s="43">
        <v>273</v>
      </c>
      <c r="CI9" s="43">
        <v>216</v>
      </c>
      <c r="CJ9" s="43">
        <v>425</v>
      </c>
      <c r="CK9" s="43">
        <v>318</v>
      </c>
      <c r="CL9" s="43">
        <v>307</v>
      </c>
      <c r="CM9" s="43">
        <v>411</v>
      </c>
      <c r="CN9" s="43">
        <v>423</v>
      </c>
      <c r="CO9" s="43">
        <v>254</v>
      </c>
      <c r="CP9" s="43">
        <v>369</v>
      </c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43">
        <v>414</v>
      </c>
      <c r="FZ9" s="43">
        <v>440</v>
      </c>
      <c r="GA9" s="53"/>
      <c r="GB9" s="53"/>
      <c r="GC9" s="53"/>
      <c r="GD9" s="53"/>
      <c r="GE9" s="53"/>
      <c r="GF9" s="53"/>
      <c r="GG9" s="53"/>
      <c r="GH9" s="53"/>
      <c r="GI9" s="43"/>
      <c r="GJ9" s="53"/>
      <c r="GK9" s="53"/>
      <c r="GL9" s="53"/>
      <c r="GM9" s="53"/>
      <c r="GN9" s="53"/>
      <c r="GO9" s="43">
        <v>605</v>
      </c>
      <c r="GP9" s="43">
        <v>249</v>
      </c>
      <c r="GQ9" s="43">
        <v>572</v>
      </c>
      <c r="GR9" s="43">
        <v>279</v>
      </c>
    </row>
    <row r="10" spans="1:224">
      <c r="A10" s="5">
        <v>107</v>
      </c>
      <c r="B10" s="1" t="s">
        <v>138</v>
      </c>
      <c r="C10" s="33">
        <v>643</v>
      </c>
      <c r="D10" s="34">
        <v>473</v>
      </c>
      <c r="E10" s="19">
        <f t="shared" si="0"/>
        <v>0.73561430793157079</v>
      </c>
      <c r="F10" s="62">
        <v>270</v>
      </c>
      <c r="G10" s="43">
        <v>3</v>
      </c>
      <c r="H10" s="43">
        <v>12</v>
      </c>
      <c r="I10" s="43">
        <v>5</v>
      </c>
      <c r="J10" s="55">
        <v>173</v>
      </c>
      <c r="K10" s="6">
        <v>0</v>
      </c>
      <c r="L10" s="6">
        <v>0</v>
      </c>
      <c r="M10" s="43">
        <v>0</v>
      </c>
      <c r="N10" s="25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1</v>
      </c>
      <c r="X10" s="43">
        <v>0</v>
      </c>
      <c r="Y10" s="43">
        <v>0</v>
      </c>
      <c r="Z10" s="43">
        <v>0</v>
      </c>
      <c r="AA10" s="44">
        <v>0</v>
      </c>
      <c r="AB10" s="44">
        <v>0</v>
      </c>
      <c r="AC10" s="44">
        <v>6</v>
      </c>
      <c r="AD10" s="44">
        <v>8</v>
      </c>
      <c r="AE10" s="44">
        <v>221</v>
      </c>
      <c r="AF10" s="44">
        <v>9</v>
      </c>
      <c r="AG10" s="44">
        <v>0</v>
      </c>
      <c r="AH10" s="44">
        <v>210</v>
      </c>
      <c r="AI10" s="32"/>
      <c r="AJ10" s="32"/>
      <c r="AK10" s="32"/>
      <c r="AL10" s="32"/>
      <c r="AM10" s="44">
        <v>16</v>
      </c>
      <c r="AN10" s="44">
        <v>204</v>
      </c>
      <c r="AO10" s="44">
        <v>218</v>
      </c>
      <c r="AP10" s="48"/>
      <c r="AQ10" s="48"/>
      <c r="AR10" s="43">
        <v>194</v>
      </c>
      <c r="AS10" s="43">
        <v>233</v>
      </c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43">
        <v>182</v>
      </c>
      <c r="BF10" s="43">
        <v>253</v>
      </c>
      <c r="BG10" s="43">
        <v>195</v>
      </c>
      <c r="BH10" s="43">
        <v>240</v>
      </c>
      <c r="BI10" s="43">
        <v>227</v>
      </c>
      <c r="BJ10" s="43">
        <v>205</v>
      </c>
      <c r="BK10" s="43">
        <v>260</v>
      </c>
      <c r="BL10" s="43">
        <v>181</v>
      </c>
      <c r="BM10" s="43">
        <v>158</v>
      </c>
      <c r="BN10" s="43">
        <v>274</v>
      </c>
      <c r="BO10" s="43">
        <v>231</v>
      </c>
      <c r="BP10" s="43">
        <v>195</v>
      </c>
      <c r="BQ10" s="43">
        <v>214</v>
      </c>
      <c r="BR10" s="43">
        <v>216</v>
      </c>
      <c r="BS10" s="43">
        <v>270</v>
      </c>
      <c r="BT10" s="43">
        <v>149</v>
      </c>
      <c r="BU10" s="43">
        <v>279</v>
      </c>
      <c r="BV10" s="43">
        <v>284</v>
      </c>
      <c r="BW10" s="43">
        <v>180</v>
      </c>
      <c r="BX10" s="43">
        <v>181</v>
      </c>
      <c r="BY10" s="43">
        <v>218</v>
      </c>
      <c r="BZ10" s="43">
        <v>185</v>
      </c>
      <c r="CA10" s="43">
        <v>264</v>
      </c>
      <c r="CB10" s="43">
        <v>173</v>
      </c>
      <c r="CC10" s="43">
        <v>191</v>
      </c>
      <c r="CD10" s="43">
        <v>265</v>
      </c>
      <c r="CE10" s="43">
        <v>190</v>
      </c>
      <c r="CF10" s="43">
        <v>171</v>
      </c>
      <c r="CG10" s="43">
        <v>187</v>
      </c>
      <c r="CH10" s="43">
        <v>162</v>
      </c>
      <c r="CI10" s="43">
        <v>119</v>
      </c>
      <c r="CJ10" s="43">
        <v>247</v>
      </c>
      <c r="CK10" s="43">
        <v>185</v>
      </c>
      <c r="CL10" s="43">
        <v>163</v>
      </c>
      <c r="CM10" s="43">
        <v>251</v>
      </c>
      <c r="CN10" s="43">
        <v>255</v>
      </c>
      <c r="CO10" s="43">
        <v>144</v>
      </c>
      <c r="CP10" s="43">
        <v>212</v>
      </c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43">
        <v>226</v>
      </c>
      <c r="FZ10" s="43">
        <v>223</v>
      </c>
      <c r="GA10" s="53"/>
      <c r="GB10" s="53"/>
      <c r="GC10" s="53"/>
      <c r="GD10" s="53"/>
      <c r="GE10" s="53"/>
      <c r="GF10" s="53"/>
      <c r="GG10" s="53"/>
      <c r="GH10" s="53"/>
      <c r="GI10" s="43"/>
      <c r="GJ10" s="53"/>
      <c r="GK10" s="53"/>
      <c r="GL10" s="53"/>
      <c r="GM10" s="53"/>
      <c r="GN10" s="53"/>
      <c r="GO10" s="43">
        <v>330</v>
      </c>
      <c r="GP10" s="43">
        <v>125</v>
      </c>
      <c r="GQ10" s="43">
        <v>334</v>
      </c>
      <c r="GR10" s="43">
        <v>125</v>
      </c>
    </row>
    <row r="11" spans="1:224">
      <c r="A11" s="5">
        <v>108</v>
      </c>
      <c r="B11" s="1" t="s">
        <v>139</v>
      </c>
      <c r="C11" s="33">
        <v>653</v>
      </c>
      <c r="D11" s="34">
        <v>516</v>
      </c>
      <c r="E11" s="19">
        <f t="shared" si="0"/>
        <v>0.79019908116385906</v>
      </c>
      <c r="F11" s="62">
        <v>275</v>
      </c>
      <c r="G11" s="43">
        <v>1</v>
      </c>
      <c r="H11" s="43">
        <v>20</v>
      </c>
      <c r="I11" s="43">
        <v>3</v>
      </c>
      <c r="J11" s="55">
        <v>202</v>
      </c>
      <c r="K11" s="6">
        <v>0</v>
      </c>
      <c r="L11" s="6">
        <v>0</v>
      </c>
      <c r="M11" s="43">
        <v>0</v>
      </c>
      <c r="N11" s="25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3</v>
      </c>
      <c r="X11" s="43">
        <v>0</v>
      </c>
      <c r="Y11" s="43">
        <v>0</v>
      </c>
      <c r="Z11" s="43">
        <v>0</v>
      </c>
      <c r="AA11" s="44">
        <v>0</v>
      </c>
      <c r="AB11" s="44">
        <v>0</v>
      </c>
      <c r="AC11" s="44">
        <v>3</v>
      </c>
      <c r="AD11" s="44">
        <v>5</v>
      </c>
      <c r="AE11" s="44">
        <v>309</v>
      </c>
      <c r="AF11" s="44">
        <v>1</v>
      </c>
      <c r="AG11" s="44">
        <v>0</v>
      </c>
      <c r="AH11" s="44">
        <v>177</v>
      </c>
      <c r="AI11" s="32"/>
      <c r="AJ11" s="32"/>
      <c r="AK11" s="32"/>
      <c r="AL11" s="32"/>
      <c r="AM11" s="44">
        <v>24</v>
      </c>
      <c r="AN11" s="44">
        <v>151</v>
      </c>
      <c r="AO11" s="44">
        <v>305</v>
      </c>
      <c r="AP11" s="48"/>
      <c r="AQ11" s="48"/>
      <c r="AR11" s="43">
        <v>270</v>
      </c>
      <c r="AS11" s="43">
        <v>195</v>
      </c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43">
        <v>248</v>
      </c>
      <c r="BF11" s="43">
        <v>225</v>
      </c>
      <c r="BG11" s="43">
        <v>266</v>
      </c>
      <c r="BH11" s="43">
        <v>206</v>
      </c>
      <c r="BI11" s="43">
        <v>288</v>
      </c>
      <c r="BJ11" s="43">
        <v>173</v>
      </c>
      <c r="BK11" s="43">
        <v>254</v>
      </c>
      <c r="BL11" s="43">
        <v>215</v>
      </c>
      <c r="BM11" s="43">
        <v>227</v>
      </c>
      <c r="BN11" s="43">
        <v>225</v>
      </c>
      <c r="BO11" s="43">
        <v>195</v>
      </c>
      <c r="BP11" s="43">
        <v>245</v>
      </c>
      <c r="BQ11" s="43">
        <v>290</v>
      </c>
      <c r="BR11" s="43">
        <v>165</v>
      </c>
      <c r="BS11" s="43">
        <v>326</v>
      </c>
      <c r="BT11" s="43">
        <v>189</v>
      </c>
      <c r="BU11" s="43">
        <v>260</v>
      </c>
      <c r="BV11" s="43">
        <v>324</v>
      </c>
      <c r="BW11" s="43">
        <v>213</v>
      </c>
      <c r="BX11" s="43">
        <v>148</v>
      </c>
      <c r="BY11" s="43">
        <v>214</v>
      </c>
      <c r="BZ11" s="43">
        <v>186</v>
      </c>
      <c r="CA11" s="43">
        <v>284</v>
      </c>
      <c r="CB11" s="43">
        <v>208</v>
      </c>
      <c r="CC11" s="43">
        <v>169</v>
      </c>
      <c r="CD11" s="43">
        <v>268</v>
      </c>
      <c r="CE11" s="43">
        <v>176</v>
      </c>
      <c r="CF11" s="43">
        <v>176</v>
      </c>
      <c r="CG11" s="43">
        <v>213</v>
      </c>
      <c r="CH11" s="43">
        <v>145</v>
      </c>
      <c r="CI11" s="43">
        <v>103</v>
      </c>
      <c r="CJ11" s="43">
        <v>249</v>
      </c>
      <c r="CK11" s="43">
        <v>196</v>
      </c>
      <c r="CL11" s="43">
        <v>155</v>
      </c>
      <c r="CM11" s="43">
        <v>260</v>
      </c>
      <c r="CN11" s="43">
        <v>265</v>
      </c>
      <c r="CO11" s="43">
        <v>119</v>
      </c>
      <c r="CP11" s="43">
        <v>228</v>
      </c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43">
        <v>235</v>
      </c>
      <c r="FZ11" s="43">
        <v>253</v>
      </c>
      <c r="GA11" s="53"/>
      <c r="GB11" s="53"/>
      <c r="GC11" s="53"/>
      <c r="GD11" s="53"/>
      <c r="GE11" s="53"/>
      <c r="GF11" s="53"/>
      <c r="GG11" s="53"/>
      <c r="GH11" s="53"/>
      <c r="GI11" s="43"/>
      <c r="GJ11" s="53"/>
      <c r="GK11" s="53"/>
      <c r="GL11" s="53"/>
      <c r="GM11" s="53"/>
      <c r="GN11" s="53"/>
      <c r="GO11" s="43">
        <v>355</v>
      </c>
      <c r="GP11" s="43">
        <v>137</v>
      </c>
      <c r="GQ11" s="43">
        <v>350</v>
      </c>
      <c r="GR11" s="43">
        <v>139</v>
      </c>
    </row>
    <row r="12" spans="1:224">
      <c r="A12" s="5">
        <v>109</v>
      </c>
      <c r="B12" s="1" t="s">
        <v>140</v>
      </c>
      <c r="C12" s="33">
        <v>1081</v>
      </c>
      <c r="D12" s="34">
        <v>833</v>
      </c>
      <c r="E12" s="19">
        <f t="shared" si="0"/>
        <v>0.7705827937095282</v>
      </c>
      <c r="F12" s="62">
        <v>402</v>
      </c>
      <c r="G12" s="43">
        <v>7</v>
      </c>
      <c r="H12" s="43">
        <v>41</v>
      </c>
      <c r="I12" s="43">
        <v>9</v>
      </c>
      <c r="J12" s="55">
        <v>351</v>
      </c>
      <c r="K12" s="6">
        <v>0</v>
      </c>
      <c r="L12" s="6">
        <v>0</v>
      </c>
      <c r="M12" s="43">
        <v>0</v>
      </c>
      <c r="N12" s="25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9</v>
      </c>
      <c r="X12" s="43">
        <v>0</v>
      </c>
      <c r="Y12" s="43">
        <v>0</v>
      </c>
      <c r="Z12" s="43">
        <v>0</v>
      </c>
      <c r="AA12" s="44">
        <v>0</v>
      </c>
      <c r="AB12" s="44">
        <v>0</v>
      </c>
      <c r="AC12" s="44">
        <v>9</v>
      </c>
      <c r="AD12" s="44">
        <v>10</v>
      </c>
      <c r="AE12" s="44">
        <v>469</v>
      </c>
      <c r="AF12" s="44">
        <v>12</v>
      </c>
      <c r="AG12" s="44">
        <v>0</v>
      </c>
      <c r="AH12" s="44">
        <v>308</v>
      </c>
      <c r="AI12" s="32"/>
      <c r="AJ12" s="32"/>
      <c r="AK12" s="32"/>
      <c r="AL12" s="32"/>
      <c r="AM12" s="44">
        <v>41</v>
      </c>
      <c r="AN12" s="44">
        <v>272</v>
      </c>
      <c r="AO12" s="44">
        <v>466</v>
      </c>
      <c r="AP12" s="48"/>
      <c r="AQ12" s="48"/>
      <c r="AR12" s="43">
        <v>432</v>
      </c>
      <c r="AS12" s="43">
        <v>351</v>
      </c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43">
        <v>394</v>
      </c>
      <c r="BF12" s="43">
        <v>391</v>
      </c>
      <c r="BG12" s="43">
        <v>401</v>
      </c>
      <c r="BH12" s="43">
        <v>380</v>
      </c>
      <c r="BI12" s="43">
        <v>439</v>
      </c>
      <c r="BJ12" s="43">
        <v>340</v>
      </c>
      <c r="BK12" s="43">
        <v>413</v>
      </c>
      <c r="BL12" s="43">
        <v>350</v>
      </c>
      <c r="BM12" s="43">
        <v>314</v>
      </c>
      <c r="BN12" s="43">
        <v>460</v>
      </c>
      <c r="BO12" s="43">
        <v>356</v>
      </c>
      <c r="BP12" s="43">
        <v>399</v>
      </c>
      <c r="BQ12" s="43">
        <v>451</v>
      </c>
      <c r="BR12" s="43">
        <v>312</v>
      </c>
      <c r="BS12" s="43">
        <v>530</v>
      </c>
      <c r="BT12" s="43">
        <v>292</v>
      </c>
      <c r="BU12" s="43">
        <v>463</v>
      </c>
      <c r="BV12" s="43">
        <v>500</v>
      </c>
      <c r="BW12" s="43">
        <v>331</v>
      </c>
      <c r="BX12" s="43">
        <v>286</v>
      </c>
      <c r="BY12" s="43">
        <v>381</v>
      </c>
      <c r="BZ12" s="43">
        <v>288</v>
      </c>
      <c r="CA12" s="43">
        <v>452</v>
      </c>
      <c r="CB12" s="43">
        <v>364</v>
      </c>
      <c r="CC12" s="43">
        <v>286</v>
      </c>
      <c r="CD12" s="43">
        <v>485</v>
      </c>
      <c r="CE12" s="43">
        <v>315</v>
      </c>
      <c r="CF12" s="43">
        <v>328</v>
      </c>
      <c r="CG12" s="43">
        <v>342</v>
      </c>
      <c r="CH12" s="43">
        <v>279</v>
      </c>
      <c r="CI12" s="43">
        <v>211</v>
      </c>
      <c r="CJ12" s="43">
        <v>414</v>
      </c>
      <c r="CK12" s="43">
        <v>330</v>
      </c>
      <c r="CL12" s="43">
        <v>286</v>
      </c>
      <c r="CM12" s="43">
        <v>438</v>
      </c>
      <c r="CN12" s="43">
        <v>441</v>
      </c>
      <c r="CO12" s="43">
        <v>262</v>
      </c>
      <c r="CP12" s="43">
        <v>359</v>
      </c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43">
        <v>396</v>
      </c>
      <c r="FZ12" s="43">
        <v>398</v>
      </c>
      <c r="GA12" s="53"/>
      <c r="GB12" s="53"/>
      <c r="GC12" s="53"/>
      <c r="GD12" s="53"/>
      <c r="GE12" s="53"/>
      <c r="GF12" s="53"/>
      <c r="GG12" s="53"/>
      <c r="GH12" s="53"/>
      <c r="GI12" s="43"/>
      <c r="GJ12" s="53"/>
      <c r="GK12" s="53"/>
      <c r="GL12" s="53"/>
      <c r="GM12" s="53"/>
      <c r="GN12" s="53"/>
      <c r="GO12" s="43">
        <v>577</v>
      </c>
      <c r="GP12" s="43">
        <v>217</v>
      </c>
      <c r="GQ12" s="43">
        <v>583</v>
      </c>
      <c r="GR12" s="43">
        <v>210</v>
      </c>
    </row>
    <row r="13" spans="1:224">
      <c r="A13" s="5">
        <v>110</v>
      </c>
      <c r="B13" s="1" t="s">
        <v>141</v>
      </c>
      <c r="C13" s="33">
        <v>1199</v>
      </c>
      <c r="D13" s="34">
        <v>800</v>
      </c>
      <c r="E13" s="19">
        <f t="shared" si="0"/>
        <v>0.66722268557130937</v>
      </c>
      <c r="F13" s="62">
        <v>446</v>
      </c>
      <c r="G13" s="43">
        <v>3</v>
      </c>
      <c r="H13" s="43">
        <v>38</v>
      </c>
      <c r="I13" s="43">
        <v>7</v>
      </c>
      <c r="J13" s="55">
        <v>274</v>
      </c>
      <c r="K13" s="6">
        <v>0</v>
      </c>
      <c r="L13" s="6">
        <v>0</v>
      </c>
      <c r="M13" s="43">
        <v>0</v>
      </c>
      <c r="N13" s="25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3</v>
      </c>
      <c r="X13" s="43">
        <v>0</v>
      </c>
      <c r="Y13" s="43">
        <v>0</v>
      </c>
      <c r="Z13" s="43">
        <v>0</v>
      </c>
      <c r="AA13" s="44">
        <v>0</v>
      </c>
      <c r="AB13" s="44">
        <v>0</v>
      </c>
      <c r="AC13" s="44">
        <v>6</v>
      </c>
      <c r="AD13" s="44">
        <v>11</v>
      </c>
      <c r="AE13" s="44">
        <v>436</v>
      </c>
      <c r="AF13" s="44">
        <v>8</v>
      </c>
      <c r="AG13" s="44">
        <v>0</v>
      </c>
      <c r="AH13" s="44">
        <v>324</v>
      </c>
      <c r="AI13" s="32"/>
      <c r="AJ13" s="32"/>
      <c r="AK13" s="32"/>
      <c r="AL13" s="32"/>
      <c r="AM13" s="44">
        <v>53</v>
      </c>
      <c r="AN13" s="44">
        <v>269</v>
      </c>
      <c r="AO13" s="44">
        <v>423</v>
      </c>
      <c r="AP13" s="48"/>
      <c r="AQ13" s="48"/>
      <c r="AR13" s="43">
        <v>388</v>
      </c>
      <c r="AS13" s="43">
        <v>345</v>
      </c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43">
        <v>335</v>
      </c>
      <c r="BF13" s="43">
        <v>401</v>
      </c>
      <c r="BG13" s="43">
        <v>375</v>
      </c>
      <c r="BH13" s="43">
        <v>370</v>
      </c>
      <c r="BI13" s="43">
        <v>417</v>
      </c>
      <c r="BJ13" s="43">
        <v>314</v>
      </c>
      <c r="BK13" s="43">
        <v>405</v>
      </c>
      <c r="BL13" s="43">
        <v>339</v>
      </c>
      <c r="BM13" s="43">
        <v>309</v>
      </c>
      <c r="BN13" s="43">
        <v>406</v>
      </c>
      <c r="BO13" s="43">
        <v>336</v>
      </c>
      <c r="BP13" s="43">
        <v>371</v>
      </c>
      <c r="BQ13" s="43">
        <v>417</v>
      </c>
      <c r="BR13" s="43">
        <v>296</v>
      </c>
      <c r="BS13" s="43">
        <v>465</v>
      </c>
      <c r="BT13" s="43">
        <v>270</v>
      </c>
      <c r="BU13" s="43">
        <v>437</v>
      </c>
      <c r="BV13" s="43">
        <v>461</v>
      </c>
      <c r="BW13" s="43">
        <v>335</v>
      </c>
      <c r="BX13" s="43">
        <v>259</v>
      </c>
      <c r="BY13" s="43">
        <v>333</v>
      </c>
      <c r="BZ13" s="43">
        <v>293</v>
      </c>
      <c r="CA13" s="43">
        <v>405</v>
      </c>
      <c r="CB13" s="43">
        <v>327</v>
      </c>
      <c r="CC13" s="43">
        <v>267</v>
      </c>
      <c r="CD13" s="43">
        <v>423</v>
      </c>
      <c r="CE13" s="43">
        <v>297</v>
      </c>
      <c r="CF13" s="43">
        <v>276</v>
      </c>
      <c r="CG13" s="43">
        <v>350</v>
      </c>
      <c r="CH13" s="43">
        <v>219</v>
      </c>
      <c r="CI13" s="43">
        <v>188</v>
      </c>
      <c r="CJ13" s="43">
        <v>388</v>
      </c>
      <c r="CK13" s="43">
        <v>265</v>
      </c>
      <c r="CL13" s="43">
        <v>301</v>
      </c>
      <c r="CM13" s="43">
        <v>382</v>
      </c>
      <c r="CN13" s="43">
        <v>393</v>
      </c>
      <c r="CO13" s="43">
        <v>223</v>
      </c>
      <c r="CP13" s="43">
        <v>343</v>
      </c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43">
        <v>395</v>
      </c>
      <c r="FZ13" s="43">
        <v>374</v>
      </c>
      <c r="GA13" s="53"/>
      <c r="GB13" s="53"/>
      <c r="GC13" s="53"/>
      <c r="GD13" s="53"/>
      <c r="GE13" s="53"/>
      <c r="GF13" s="53"/>
      <c r="GG13" s="53"/>
      <c r="GH13" s="53"/>
      <c r="GI13" s="43"/>
      <c r="GJ13" s="53"/>
      <c r="GK13" s="53"/>
      <c r="GL13" s="53"/>
      <c r="GM13" s="53"/>
      <c r="GN13" s="53"/>
      <c r="GO13" s="43">
        <v>548</v>
      </c>
      <c r="GP13" s="43">
        <v>223</v>
      </c>
      <c r="GQ13" s="43">
        <v>545</v>
      </c>
      <c r="GR13" s="43">
        <v>214</v>
      </c>
    </row>
    <row r="14" spans="1:224">
      <c r="A14" s="5">
        <v>111</v>
      </c>
      <c r="B14" s="1" t="s">
        <v>142</v>
      </c>
      <c r="C14" s="33">
        <v>1105</v>
      </c>
      <c r="D14" s="34">
        <v>741</v>
      </c>
      <c r="E14" s="19">
        <f t="shared" si="0"/>
        <v>0.6705882352941176</v>
      </c>
      <c r="F14" s="62">
        <v>427</v>
      </c>
      <c r="G14" s="43">
        <v>2</v>
      </c>
      <c r="H14" s="43">
        <v>28</v>
      </c>
      <c r="I14" s="43">
        <v>14</v>
      </c>
      <c r="J14" s="55">
        <v>257</v>
      </c>
      <c r="K14" s="6">
        <v>0</v>
      </c>
      <c r="L14" s="6">
        <v>0</v>
      </c>
      <c r="M14" s="43">
        <v>0</v>
      </c>
      <c r="N14" s="25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2</v>
      </c>
      <c r="X14" s="43">
        <v>0</v>
      </c>
      <c r="Y14" s="43">
        <v>0</v>
      </c>
      <c r="Z14" s="43">
        <v>0</v>
      </c>
      <c r="AA14" s="44">
        <v>0</v>
      </c>
      <c r="AB14" s="44">
        <v>0</v>
      </c>
      <c r="AC14" s="44">
        <v>7</v>
      </c>
      <c r="AD14" s="44">
        <v>19</v>
      </c>
      <c r="AE14" s="44">
        <v>352</v>
      </c>
      <c r="AF14" s="44">
        <v>13</v>
      </c>
      <c r="AG14" s="44">
        <v>0</v>
      </c>
      <c r="AH14" s="44">
        <v>318</v>
      </c>
      <c r="AI14" s="32"/>
      <c r="AJ14" s="32"/>
      <c r="AK14" s="32"/>
      <c r="AL14" s="32"/>
      <c r="AM14" s="44">
        <v>29</v>
      </c>
      <c r="AN14" s="44">
        <v>301</v>
      </c>
      <c r="AO14" s="44">
        <v>348</v>
      </c>
      <c r="AP14" s="48"/>
      <c r="AQ14" s="48"/>
      <c r="AR14" s="43">
        <v>317</v>
      </c>
      <c r="AS14" s="43">
        <v>354</v>
      </c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43">
        <v>260</v>
      </c>
      <c r="BF14" s="43">
        <v>425</v>
      </c>
      <c r="BG14" s="43">
        <v>328</v>
      </c>
      <c r="BH14" s="43">
        <v>363</v>
      </c>
      <c r="BI14" s="43">
        <v>353</v>
      </c>
      <c r="BJ14" s="43">
        <v>333</v>
      </c>
      <c r="BK14" s="43">
        <v>390</v>
      </c>
      <c r="BL14" s="43">
        <v>294</v>
      </c>
      <c r="BM14" s="43">
        <v>237</v>
      </c>
      <c r="BN14" s="43">
        <v>440</v>
      </c>
      <c r="BO14" s="43">
        <v>357</v>
      </c>
      <c r="BP14" s="43">
        <v>300</v>
      </c>
      <c r="BQ14" s="43">
        <v>340</v>
      </c>
      <c r="BR14" s="43">
        <v>320</v>
      </c>
      <c r="BS14" s="43">
        <v>430</v>
      </c>
      <c r="BT14" s="43">
        <v>221</v>
      </c>
      <c r="BU14" s="43">
        <v>448</v>
      </c>
      <c r="BV14" s="43">
        <v>447</v>
      </c>
      <c r="BW14" s="43">
        <v>291</v>
      </c>
      <c r="BX14" s="43">
        <v>267</v>
      </c>
      <c r="BY14" s="43">
        <v>314</v>
      </c>
      <c r="BZ14" s="43">
        <v>293</v>
      </c>
      <c r="CA14" s="43">
        <v>397</v>
      </c>
      <c r="CB14" s="43">
        <v>251</v>
      </c>
      <c r="CC14" s="43">
        <v>303</v>
      </c>
      <c r="CD14" s="43">
        <v>433</v>
      </c>
      <c r="CE14" s="43">
        <v>292</v>
      </c>
      <c r="CF14" s="43">
        <v>266</v>
      </c>
      <c r="CG14" s="43">
        <v>303</v>
      </c>
      <c r="CH14" s="43">
        <v>229</v>
      </c>
      <c r="CI14" s="43">
        <v>194</v>
      </c>
      <c r="CJ14" s="43">
        <v>354</v>
      </c>
      <c r="CK14" s="43">
        <v>280</v>
      </c>
      <c r="CL14" s="43">
        <v>265</v>
      </c>
      <c r="CM14" s="43">
        <v>377</v>
      </c>
      <c r="CN14" s="43">
        <v>397</v>
      </c>
      <c r="CO14" s="43">
        <v>238</v>
      </c>
      <c r="CP14" s="43">
        <v>310</v>
      </c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43">
        <v>386</v>
      </c>
      <c r="FZ14" s="43">
        <v>320</v>
      </c>
      <c r="GA14" s="53"/>
      <c r="GB14" s="53"/>
      <c r="GC14" s="53"/>
      <c r="GD14" s="53"/>
      <c r="GE14" s="53"/>
      <c r="GF14" s="53"/>
      <c r="GG14" s="53"/>
      <c r="GH14" s="53"/>
      <c r="GI14" s="43"/>
      <c r="GJ14" s="53"/>
      <c r="GK14" s="53"/>
      <c r="GL14" s="53"/>
      <c r="GM14" s="53"/>
      <c r="GN14" s="53"/>
      <c r="GO14" s="43">
        <v>533</v>
      </c>
      <c r="GP14" s="43">
        <v>171</v>
      </c>
      <c r="GQ14" s="43">
        <v>529</v>
      </c>
      <c r="GR14" s="43">
        <v>169</v>
      </c>
    </row>
    <row r="15" spans="1:224">
      <c r="A15" s="5">
        <v>112</v>
      </c>
      <c r="B15" s="1" t="s">
        <v>143</v>
      </c>
      <c r="C15" s="33">
        <v>661</v>
      </c>
      <c r="D15" s="34">
        <v>515</v>
      </c>
      <c r="E15" s="19">
        <f t="shared" si="0"/>
        <v>0.77912254160363081</v>
      </c>
      <c r="F15" s="62">
        <v>233</v>
      </c>
      <c r="G15" s="43">
        <v>1</v>
      </c>
      <c r="H15" s="43">
        <v>17</v>
      </c>
      <c r="I15" s="43">
        <v>2</v>
      </c>
      <c r="J15" s="55">
        <v>252</v>
      </c>
      <c r="K15" s="6">
        <v>0</v>
      </c>
      <c r="L15" s="6">
        <v>0</v>
      </c>
      <c r="M15" s="43">
        <v>0</v>
      </c>
      <c r="N15" s="25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4">
        <v>0</v>
      </c>
      <c r="AB15" s="44">
        <v>0</v>
      </c>
      <c r="AC15" s="44">
        <v>5</v>
      </c>
      <c r="AD15" s="44">
        <v>8</v>
      </c>
      <c r="AE15" s="44">
        <v>326</v>
      </c>
      <c r="AF15" s="44">
        <v>3</v>
      </c>
      <c r="AG15" s="44">
        <v>0</v>
      </c>
      <c r="AH15" s="44">
        <v>162</v>
      </c>
      <c r="AI15" s="32"/>
      <c r="AJ15" s="32"/>
      <c r="AK15" s="32"/>
      <c r="AL15" s="32"/>
      <c r="AM15" s="44">
        <v>17</v>
      </c>
      <c r="AN15" s="44">
        <v>139</v>
      </c>
      <c r="AO15" s="44">
        <v>337</v>
      </c>
      <c r="AP15" s="48"/>
      <c r="AQ15" s="48"/>
      <c r="AR15" s="43">
        <v>297</v>
      </c>
      <c r="AS15" s="43">
        <v>174</v>
      </c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43">
        <v>260</v>
      </c>
      <c r="BF15" s="43">
        <v>220</v>
      </c>
      <c r="BG15" s="43">
        <v>289</v>
      </c>
      <c r="BH15" s="43">
        <v>195</v>
      </c>
      <c r="BI15" s="43">
        <v>324</v>
      </c>
      <c r="BJ15" s="43">
        <v>163</v>
      </c>
      <c r="BK15" s="43">
        <v>222</v>
      </c>
      <c r="BL15" s="43">
        <v>253</v>
      </c>
      <c r="BM15" s="43">
        <v>229</v>
      </c>
      <c r="BN15" s="43">
        <v>249</v>
      </c>
      <c r="BO15" s="43">
        <v>172</v>
      </c>
      <c r="BP15" s="43">
        <v>294</v>
      </c>
      <c r="BQ15" s="43">
        <v>331</v>
      </c>
      <c r="BR15" s="43">
        <v>141</v>
      </c>
      <c r="BS15" s="43">
        <v>351</v>
      </c>
      <c r="BT15" s="43">
        <v>202</v>
      </c>
      <c r="BU15" s="43">
        <v>268</v>
      </c>
      <c r="BV15" s="43">
        <v>311</v>
      </c>
      <c r="BW15" s="43">
        <v>222</v>
      </c>
      <c r="BX15" s="43">
        <v>157</v>
      </c>
      <c r="BY15" s="43">
        <v>253</v>
      </c>
      <c r="BZ15" s="43">
        <v>165</v>
      </c>
      <c r="CA15" s="43">
        <v>286</v>
      </c>
      <c r="CB15" s="43">
        <v>234</v>
      </c>
      <c r="CC15" s="43">
        <v>155</v>
      </c>
      <c r="CD15" s="43">
        <v>275</v>
      </c>
      <c r="CE15" s="43">
        <v>152</v>
      </c>
      <c r="CF15" s="43">
        <v>238</v>
      </c>
      <c r="CG15" s="43">
        <v>239</v>
      </c>
      <c r="CH15" s="43">
        <v>137</v>
      </c>
      <c r="CI15" s="43">
        <v>107</v>
      </c>
      <c r="CJ15" s="43">
        <v>285</v>
      </c>
      <c r="CK15" s="43">
        <v>208</v>
      </c>
      <c r="CL15" s="43">
        <v>160</v>
      </c>
      <c r="CM15" s="43">
        <v>258</v>
      </c>
      <c r="CN15" s="43">
        <v>266</v>
      </c>
      <c r="CO15" s="43">
        <v>129</v>
      </c>
      <c r="CP15" s="43">
        <v>238</v>
      </c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43">
        <v>212</v>
      </c>
      <c r="FZ15" s="43">
        <v>286</v>
      </c>
      <c r="GA15" s="53"/>
      <c r="GB15" s="53"/>
      <c r="GC15" s="53"/>
      <c r="GD15" s="53"/>
      <c r="GE15" s="53"/>
      <c r="GF15" s="53"/>
      <c r="GG15" s="53"/>
      <c r="GH15" s="53"/>
      <c r="GI15" s="43"/>
      <c r="GJ15" s="53"/>
      <c r="GK15" s="53"/>
      <c r="GL15" s="53"/>
      <c r="GM15" s="53"/>
      <c r="GN15" s="53"/>
      <c r="GO15" s="43">
        <v>329</v>
      </c>
      <c r="GP15" s="43">
        <v>171</v>
      </c>
      <c r="GQ15" s="43">
        <v>327</v>
      </c>
      <c r="GR15" s="43">
        <v>166</v>
      </c>
    </row>
    <row r="16" spans="1:224">
      <c r="A16" s="5">
        <v>113</v>
      </c>
      <c r="B16" s="1" t="s">
        <v>144</v>
      </c>
      <c r="C16" s="33">
        <v>988</v>
      </c>
      <c r="D16" s="34">
        <v>773</v>
      </c>
      <c r="E16" s="19">
        <f t="shared" si="0"/>
        <v>0.78238866396761131</v>
      </c>
      <c r="F16" s="62">
        <v>404</v>
      </c>
      <c r="G16" s="43">
        <v>2</v>
      </c>
      <c r="H16" s="43">
        <v>42</v>
      </c>
      <c r="I16" s="43">
        <v>8</v>
      </c>
      <c r="J16" s="55">
        <v>276</v>
      </c>
      <c r="K16" s="6">
        <v>0</v>
      </c>
      <c r="L16" s="6">
        <v>0</v>
      </c>
      <c r="M16" s="43">
        <v>0</v>
      </c>
      <c r="N16" s="25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4</v>
      </c>
      <c r="X16" s="43">
        <v>0</v>
      </c>
      <c r="Y16" s="43">
        <v>0</v>
      </c>
      <c r="Z16" s="43">
        <v>0</v>
      </c>
      <c r="AA16" s="44">
        <v>0</v>
      </c>
      <c r="AB16" s="44">
        <v>0</v>
      </c>
      <c r="AC16" s="44">
        <v>3</v>
      </c>
      <c r="AD16" s="44">
        <v>8</v>
      </c>
      <c r="AE16" s="44">
        <v>475</v>
      </c>
      <c r="AF16" s="44">
        <v>4</v>
      </c>
      <c r="AG16" s="44">
        <v>0</v>
      </c>
      <c r="AH16" s="44">
        <v>251</v>
      </c>
      <c r="AI16" s="32"/>
      <c r="AJ16" s="32"/>
      <c r="AK16" s="32"/>
      <c r="AL16" s="32"/>
      <c r="AM16" s="44">
        <v>35</v>
      </c>
      <c r="AN16" s="44">
        <v>217</v>
      </c>
      <c r="AO16" s="44">
        <v>454</v>
      </c>
      <c r="AP16" s="48"/>
      <c r="AQ16" s="48"/>
      <c r="AR16" s="43">
        <v>405</v>
      </c>
      <c r="AS16" s="43">
        <v>298</v>
      </c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43">
        <v>349</v>
      </c>
      <c r="BF16" s="43">
        <v>353</v>
      </c>
      <c r="BG16" s="43">
        <v>394</v>
      </c>
      <c r="BH16" s="43">
        <v>319</v>
      </c>
      <c r="BI16" s="43">
        <v>436</v>
      </c>
      <c r="BJ16" s="43">
        <v>265</v>
      </c>
      <c r="BK16" s="43">
        <v>365</v>
      </c>
      <c r="BL16" s="43">
        <v>327</v>
      </c>
      <c r="BM16" s="43">
        <v>336</v>
      </c>
      <c r="BN16" s="43">
        <v>352</v>
      </c>
      <c r="BO16" s="43">
        <v>281</v>
      </c>
      <c r="BP16" s="43">
        <v>388</v>
      </c>
      <c r="BQ16" s="43">
        <v>434</v>
      </c>
      <c r="BR16" s="43">
        <v>237</v>
      </c>
      <c r="BS16" s="43">
        <v>456</v>
      </c>
      <c r="BT16" s="43">
        <v>274</v>
      </c>
      <c r="BU16" s="43">
        <v>394</v>
      </c>
      <c r="BV16" s="43">
        <v>446</v>
      </c>
      <c r="BW16" s="43">
        <v>348</v>
      </c>
      <c r="BX16" s="43">
        <v>190</v>
      </c>
      <c r="BY16" s="43">
        <v>326</v>
      </c>
      <c r="BZ16" s="43">
        <v>269</v>
      </c>
      <c r="CA16" s="43">
        <v>397</v>
      </c>
      <c r="CB16" s="43">
        <v>344</v>
      </c>
      <c r="CC16" s="43">
        <v>227</v>
      </c>
      <c r="CD16" s="43">
        <v>387</v>
      </c>
      <c r="CE16" s="43">
        <v>258</v>
      </c>
      <c r="CF16" s="43">
        <v>296</v>
      </c>
      <c r="CG16" s="43">
        <v>354</v>
      </c>
      <c r="CH16" s="43">
        <v>192</v>
      </c>
      <c r="CI16" s="43">
        <v>145</v>
      </c>
      <c r="CJ16" s="43">
        <v>402</v>
      </c>
      <c r="CK16" s="43">
        <v>313</v>
      </c>
      <c r="CL16" s="43">
        <v>215</v>
      </c>
      <c r="CM16" s="43">
        <v>374</v>
      </c>
      <c r="CN16" s="43">
        <v>380</v>
      </c>
      <c r="CO16" s="43">
        <v>186</v>
      </c>
      <c r="CP16" s="43">
        <v>339</v>
      </c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43">
        <v>315</v>
      </c>
      <c r="FZ16" s="43">
        <v>408</v>
      </c>
      <c r="GA16" s="53"/>
      <c r="GB16" s="53"/>
      <c r="GC16" s="53"/>
      <c r="GD16" s="53"/>
      <c r="GE16" s="53"/>
      <c r="GF16" s="53"/>
      <c r="GG16" s="53"/>
      <c r="GH16" s="53"/>
      <c r="GI16" s="43"/>
      <c r="GJ16" s="53"/>
      <c r="GK16" s="53"/>
      <c r="GL16" s="53"/>
      <c r="GM16" s="53"/>
      <c r="GN16" s="53"/>
      <c r="GO16" s="43">
        <v>518</v>
      </c>
      <c r="GP16" s="43">
        <v>216</v>
      </c>
      <c r="GQ16" s="43">
        <v>521</v>
      </c>
      <c r="GR16" s="43">
        <v>202</v>
      </c>
    </row>
    <row r="17" spans="1:200">
      <c r="A17" s="5">
        <v>201</v>
      </c>
      <c r="B17" s="1" t="s">
        <v>145</v>
      </c>
      <c r="C17" s="33">
        <v>1203</v>
      </c>
      <c r="D17" s="34">
        <v>807</v>
      </c>
      <c r="E17" s="19">
        <f t="shared" si="0"/>
        <v>0.67082294264339148</v>
      </c>
      <c r="F17" s="62">
        <v>597</v>
      </c>
      <c r="G17" s="43">
        <v>3</v>
      </c>
      <c r="H17" s="43">
        <v>20</v>
      </c>
      <c r="I17" s="43">
        <v>12</v>
      </c>
      <c r="J17" s="55">
        <v>155</v>
      </c>
      <c r="K17" s="6">
        <v>0</v>
      </c>
      <c r="L17" s="6">
        <v>0</v>
      </c>
      <c r="M17" s="43">
        <v>0</v>
      </c>
      <c r="N17" s="25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8</v>
      </c>
      <c r="X17" s="43">
        <v>0</v>
      </c>
      <c r="Y17" s="43">
        <v>0</v>
      </c>
      <c r="Z17" s="43">
        <v>0</v>
      </c>
      <c r="AA17" s="44">
        <v>0</v>
      </c>
      <c r="AB17" s="44">
        <v>0</v>
      </c>
      <c r="AC17" s="44">
        <v>6</v>
      </c>
      <c r="AD17" s="44">
        <v>14</v>
      </c>
      <c r="AE17" s="44">
        <v>240</v>
      </c>
      <c r="AF17" s="44">
        <v>14</v>
      </c>
      <c r="AG17" s="44">
        <v>0</v>
      </c>
      <c r="AH17" s="44">
        <v>495</v>
      </c>
      <c r="AI17" s="32"/>
      <c r="AJ17" s="32"/>
      <c r="AK17" s="32"/>
      <c r="AL17" s="32"/>
      <c r="AM17" s="44">
        <v>29</v>
      </c>
      <c r="AN17" s="44">
        <v>478</v>
      </c>
      <c r="AO17" s="44">
        <v>230</v>
      </c>
      <c r="AP17" s="48"/>
      <c r="AQ17" s="48"/>
      <c r="AR17" s="51"/>
      <c r="AS17" s="51"/>
      <c r="AT17" s="51"/>
      <c r="AU17" s="51"/>
      <c r="AV17" s="51"/>
      <c r="AW17" s="50"/>
      <c r="AX17" s="50"/>
      <c r="AY17" s="43">
        <v>560</v>
      </c>
      <c r="AZ17" s="43">
        <v>182</v>
      </c>
      <c r="BA17" s="50"/>
      <c r="BB17" s="50"/>
      <c r="BC17" s="50"/>
      <c r="BD17" s="50"/>
      <c r="BE17" s="43">
        <v>161</v>
      </c>
      <c r="BF17" s="43">
        <v>593</v>
      </c>
      <c r="BG17" s="43">
        <v>205</v>
      </c>
      <c r="BH17" s="43">
        <v>548</v>
      </c>
      <c r="BI17" s="43">
        <v>251</v>
      </c>
      <c r="BJ17" s="43">
        <v>496</v>
      </c>
      <c r="BK17" s="43">
        <v>526</v>
      </c>
      <c r="BL17" s="43">
        <v>212</v>
      </c>
      <c r="BM17" s="43">
        <v>164</v>
      </c>
      <c r="BN17" s="43">
        <v>576</v>
      </c>
      <c r="BO17" s="43">
        <v>517</v>
      </c>
      <c r="BP17" s="43">
        <v>216</v>
      </c>
      <c r="BQ17" s="43">
        <v>222</v>
      </c>
      <c r="BR17" s="43">
        <v>505</v>
      </c>
      <c r="BS17" s="43">
        <v>354</v>
      </c>
      <c r="BT17" s="43">
        <v>150</v>
      </c>
      <c r="BU17" s="43">
        <v>577</v>
      </c>
      <c r="BV17" s="43">
        <v>433</v>
      </c>
      <c r="BW17" s="43">
        <v>258</v>
      </c>
      <c r="BX17" s="43">
        <v>339</v>
      </c>
      <c r="BY17" s="43">
        <v>266</v>
      </c>
      <c r="BZ17" s="43">
        <v>396</v>
      </c>
      <c r="CA17" s="43">
        <v>379</v>
      </c>
      <c r="CB17" s="43">
        <v>172</v>
      </c>
      <c r="CC17" s="43">
        <v>414</v>
      </c>
      <c r="CD17" s="43">
        <v>425</v>
      </c>
      <c r="CE17" s="43">
        <v>388</v>
      </c>
      <c r="CF17" s="43">
        <v>205</v>
      </c>
      <c r="CG17" s="43">
        <v>240</v>
      </c>
      <c r="CH17" s="43">
        <v>321</v>
      </c>
      <c r="CI17" s="43">
        <v>265</v>
      </c>
      <c r="CJ17" s="43">
        <v>307</v>
      </c>
      <c r="CK17" s="43">
        <v>254</v>
      </c>
      <c r="CL17" s="43">
        <v>347</v>
      </c>
      <c r="CM17" s="43">
        <v>361</v>
      </c>
      <c r="CN17" s="43">
        <v>380</v>
      </c>
      <c r="CO17" s="43">
        <v>341</v>
      </c>
      <c r="CP17" s="43">
        <v>263</v>
      </c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43">
        <v>498</v>
      </c>
      <c r="FZ17" s="43">
        <v>271</v>
      </c>
      <c r="GA17" s="53"/>
      <c r="GB17" s="53"/>
      <c r="GC17" s="53"/>
      <c r="GD17" s="53"/>
      <c r="GE17" s="53"/>
      <c r="GF17" s="53"/>
      <c r="GG17" s="53"/>
      <c r="GH17" s="53"/>
      <c r="GI17" s="43"/>
      <c r="GJ17" s="53"/>
      <c r="GK17" s="53"/>
      <c r="GL17" s="53"/>
      <c r="GM17" s="53"/>
      <c r="GN17" s="53"/>
      <c r="GO17" s="43">
        <v>529</v>
      </c>
      <c r="GP17" s="43">
        <v>218</v>
      </c>
      <c r="GQ17" s="43">
        <v>607</v>
      </c>
      <c r="GR17" s="43">
        <v>155</v>
      </c>
    </row>
    <row r="18" spans="1:200">
      <c r="A18" s="5">
        <v>202</v>
      </c>
      <c r="B18" s="1" t="s">
        <v>146</v>
      </c>
      <c r="C18" s="33">
        <v>1506</v>
      </c>
      <c r="D18" s="34">
        <v>1012</v>
      </c>
      <c r="E18" s="19">
        <f t="shared" si="0"/>
        <v>0.67197875166002652</v>
      </c>
      <c r="F18" s="62">
        <v>818</v>
      </c>
      <c r="G18" s="43">
        <v>3</v>
      </c>
      <c r="H18" s="43">
        <v>12</v>
      </c>
      <c r="I18" s="43">
        <v>5</v>
      </c>
      <c r="J18" s="55">
        <v>157</v>
      </c>
      <c r="K18" s="6">
        <v>0</v>
      </c>
      <c r="L18" s="6">
        <v>0</v>
      </c>
      <c r="M18" s="43">
        <v>0</v>
      </c>
      <c r="N18" s="25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4</v>
      </c>
      <c r="X18" s="43">
        <v>0</v>
      </c>
      <c r="Y18" s="43">
        <v>0</v>
      </c>
      <c r="Z18" s="43">
        <v>0</v>
      </c>
      <c r="AA18" s="44">
        <v>0</v>
      </c>
      <c r="AB18" s="44">
        <v>0</v>
      </c>
      <c r="AC18" s="44">
        <v>12</v>
      </c>
      <c r="AD18" s="44">
        <v>12</v>
      </c>
      <c r="AE18" s="44">
        <v>246</v>
      </c>
      <c r="AF18" s="44">
        <v>6</v>
      </c>
      <c r="AG18" s="44">
        <v>0</v>
      </c>
      <c r="AH18" s="44">
        <v>692</v>
      </c>
      <c r="AI18" s="32"/>
      <c r="AJ18" s="32"/>
      <c r="AK18" s="32"/>
      <c r="AL18" s="32"/>
      <c r="AM18" s="44">
        <v>39</v>
      </c>
      <c r="AN18" s="44">
        <v>687</v>
      </c>
      <c r="AO18" s="44">
        <v>214</v>
      </c>
      <c r="AP18" s="48"/>
      <c r="AQ18" s="48"/>
      <c r="AR18" s="51"/>
      <c r="AS18" s="51"/>
      <c r="AT18" s="51"/>
      <c r="AU18" s="51"/>
      <c r="AV18" s="51"/>
      <c r="AW18" s="50"/>
      <c r="AX18" s="50"/>
      <c r="AY18" s="43">
        <v>759</v>
      </c>
      <c r="AZ18" s="43">
        <v>180</v>
      </c>
      <c r="BA18" s="50"/>
      <c r="BB18" s="50"/>
      <c r="BC18" s="50"/>
      <c r="BD18" s="50"/>
      <c r="BE18" s="43">
        <v>157</v>
      </c>
      <c r="BF18" s="43">
        <v>799</v>
      </c>
      <c r="BG18" s="43">
        <v>188</v>
      </c>
      <c r="BH18" s="43">
        <v>761</v>
      </c>
      <c r="BI18" s="43">
        <v>246</v>
      </c>
      <c r="BJ18" s="43">
        <v>702</v>
      </c>
      <c r="BK18" s="43">
        <v>726</v>
      </c>
      <c r="BL18" s="43">
        <v>218</v>
      </c>
      <c r="BM18" s="43">
        <v>175</v>
      </c>
      <c r="BN18" s="43">
        <v>774</v>
      </c>
      <c r="BO18" s="43">
        <v>725</v>
      </c>
      <c r="BP18" s="43">
        <v>216</v>
      </c>
      <c r="BQ18" s="43">
        <v>270</v>
      </c>
      <c r="BR18" s="43">
        <v>672</v>
      </c>
      <c r="BS18" s="43">
        <v>390</v>
      </c>
      <c r="BT18" s="43">
        <v>150</v>
      </c>
      <c r="BU18" s="43">
        <v>799</v>
      </c>
      <c r="BV18" s="43">
        <v>493</v>
      </c>
      <c r="BW18" s="43">
        <v>270</v>
      </c>
      <c r="BX18" s="43">
        <v>525</v>
      </c>
      <c r="BY18" s="43">
        <v>301</v>
      </c>
      <c r="BZ18" s="43">
        <v>550</v>
      </c>
      <c r="CA18" s="43">
        <v>432</v>
      </c>
      <c r="CB18" s="43">
        <v>231</v>
      </c>
      <c r="CC18" s="43">
        <v>561</v>
      </c>
      <c r="CD18" s="43">
        <v>587</v>
      </c>
      <c r="CE18" s="43">
        <v>558</v>
      </c>
      <c r="CF18" s="43">
        <v>249</v>
      </c>
      <c r="CG18" s="43">
        <v>257</v>
      </c>
      <c r="CH18" s="43">
        <v>499</v>
      </c>
      <c r="CI18" s="43">
        <v>450</v>
      </c>
      <c r="CJ18" s="43">
        <v>314</v>
      </c>
      <c r="CK18" s="43">
        <v>315</v>
      </c>
      <c r="CL18" s="43">
        <v>500</v>
      </c>
      <c r="CM18" s="43">
        <v>429</v>
      </c>
      <c r="CN18" s="43">
        <v>457</v>
      </c>
      <c r="CO18" s="43">
        <v>501</v>
      </c>
      <c r="CP18" s="43">
        <v>299</v>
      </c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43">
        <v>662</v>
      </c>
      <c r="FZ18" s="43">
        <v>291</v>
      </c>
      <c r="GA18" s="53"/>
      <c r="GB18" s="53"/>
      <c r="GC18" s="53"/>
      <c r="GD18" s="53"/>
      <c r="GE18" s="53"/>
      <c r="GF18" s="53"/>
      <c r="GG18" s="53"/>
      <c r="GH18" s="53"/>
      <c r="GI18" s="43"/>
      <c r="GJ18" s="53"/>
      <c r="GK18" s="53"/>
      <c r="GL18" s="53"/>
      <c r="GM18" s="53"/>
      <c r="GN18" s="53"/>
      <c r="GO18" s="43">
        <v>628</v>
      </c>
      <c r="GP18" s="43">
        <v>301</v>
      </c>
      <c r="GQ18" s="43">
        <v>709</v>
      </c>
      <c r="GR18" s="43">
        <v>227</v>
      </c>
    </row>
    <row r="19" spans="1:200">
      <c r="A19" s="5">
        <v>203</v>
      </c>
      <c r="B19" s="1" t="s">
        <v>147</v>
      </c>
      <c r="C19" s="33">
        <v>1856</v>
      </c>
      <c r="D19" s="34">
        <v>1185</v>
      </c>
      <c r="E19" s="19">
        <f t="shared" si="0"/>
        <v>0.63846982758620685</v>
      </c>
      <c r="F19" s="62">
        <v>765</v>
      </c>
      <c r="G19" s="43">
        <v>2</v>
      </c>
      <c r="H19" s="43">
        <v>46</v>
      </c>
      <c r="I19" s="43">
        <v>8</v>
      </c>
      <c r="J19" s="55">
        <v>339</v>
      </c>
      <c r="K19" s="6">
        <v>0</v>
      </c>
      <c r="L19" s="6">
        <v>0</v>
      </c>
      <c r="M19" s="43">
        <v>0</v>
      </c>
      <c r="N19" s="25">
        <v>0</v>
      </c>
      <c r="O19" s="43">
        <v>1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6</v>
      </c>
      <c r="X19" s="43">
        <v>0</v>
      </c>
      <c r="Y19" s="43">
        <v>0</v>
      </c>
      <c r="Z19" s="43">
        <v>0</v>
      </c>
      <c r="AA19" s="44">
        <v>0</v>
      </c>
      <c r="AB19" s="44">
        <v>0</v>
      </c>
      <c r="AC19" s="44">
        <v>15</v>
      </c>
      <c r="AD19" s="44">
        <v>28</v>
      </c>
      <c r="AE19" s="44">
        <v>516</v>
      </c>
      <c r="AF19" s="44">
        <v>11</v>
      </c>
      <c r="AG19" s="44">
        <v>0</v>
      </c>
      <c r="AH19" s="44">
        <v>550</v>
      </c>
      <c r="AI19" s="32"/>
      <c r="AJ19" s="32"/>
      <c r="AK19" s="32"/>
      <c r="AL19" s="32"/>
      <c r="AM19" s="44">
        <v>38</v>
      </c>
      <c r="AN19" s="44">
        <v>547</v>
      </c>
      <c r="AO19" s="44">
        <v>487</v>
      </c>
      <c r="AP19" s="48"/>
      <c r="AQ19" s="48"/>
      <c r="AR19" s="51"/>
      <c r="AS19" s="51"/>
      <c r="AT19" s="51"/>
      <c r="AU19" s="51"/>
      <c r="AV19" s="51"/>
      <c r="AW19" s="50"/>
      <c r="AX19" s="50"/>
      <c r="AY19" s="43">
        <v>647</v>
      </c>
      <c r="AZ19" s="43">
        <v>415</v>
      </c>
      <c r="BA19" s="50"/>
      <c r="BB19" s="50"/>
      <c r="BC19" s="50"/>
      <c r="BD19" s="50"/>
      <c r="BE19" s="43">
        <v>383</v>
      </c>
      <c r="BF19" s="43">
        <v>673</v>
      </c>
      <c r="BG19" s="43">
        <v>441</v>
      </c>
      <c r="BH19" s="43">
        <v>623</v>
      </c>
      <c r="BI19" s="43">
        <v>486</v>
      </c>
      <c r="BJ19" s="43">
        <v>558</v>
      </c>
      <c r="BK19" s="43">
        <v>640</v>
      </c>
      <c r="BL19" s="43">
        <v>419</v>
      </c>
      <c r="BM19" s="43">
        <v>369</v>
      </c>
      <c r="BN19" s="43">
        <v>679</v>
      </c>
      <c r="BO19" s="43">
        <v>598</v>
      </c>
      <c r="BP19" s="43">
        <v>422</v>
      </c>
      <c r="BQ19" s="43">
        <v>456</v>
      </c>
      <c r="BR19" s="43">
        <v>562</v>
      </c>
      <c r="BS19" s="43">
        <v>681</v>
      </c>
      <c r="BT19" s="43">
        <v>357</v>
      </c>
      <c r="BU19" s="43">
        <v>678</v>
      </c>
      <c r="BV19" s="43">
        <v>714</v>
      </c>
      <c r="BW19" s="43">
        <v>406</v>
      </c>
      <c r="BX19" s="43">
        <v>417</v>
      </c>
      <c r="BY19" s="43">
        <v>419</v>
      </c>
      <c r="BZ19" s="43">
        <v>471</v>
      </c>
      <c r="CA19" s="43">
        <v>637</v>
      </c>
      <c r="CB19" s="43">
        <v>307</v>
      </c>
      <c r="CC19" s="43">
        <v>506</v>
      </c>
      <c r="CD19" s="43">
        <v>658</v>
      </c>
      <c r="CE19" s="43">
        <v>467</v>
      </c>
      <c r="CF19" s="43">
        <v>333</v>
      </c>
      <c r="CG19" s="43">
        <v>375</v>
      </c>
      <c r="CH19" s="43">
        <v>410</v>
      </c>
      <c r="CI19" s="43">
        <v>307</v>
      </c>
      <c r="CJ19" s="43">
        <v>499</v>
      </c>
      <c r="CK19" s="43">
        <v>390</v>
      </c>
      <c r="CL19" s="43">
        <v>401</v>
      </c>
      <c r="CM19" s="43">
        <v>615</v>
      </c>
      <c r="CN19" s="43">
        <v>630</v>
      </c>
      <c r="CO19" s="43">
        <v>387</v>
      </c>
      <c r="CP19" s="43">
        <v>433</v>
      </c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43">
        <v>645</v>
      </c>
      <c r="FZ19" s="43">
        <v>441</v>
      </c>
      <c r="GA19" s="53"/>
      <c r="GB19" s="53"/>
      <c r="GC19" s="53"/>
      <c r="GD19" s="53"/>
      <c r="GE19" s="53"/>
      <c r="GF19" s="53"/>
      <c r="GG19" s="53"/>
      <c r="GH19" s="53"/>
      <c r="GI19" s="43"/>
      <c r="GJ19" s="53"/>
      <c r="GK19" s="53"/>
      <c r="GL19" s="53"/>
      <c r="GM19" s="53"/>
      <c r="GN19" s="53"/>
      <c r="GO19" s="43">
        <v>774</v>
      </c>
      <c r="GP19" s="43">
        <v>315</v>
      </c>
      <c r="GQ19" s="43">
        <v>778</v>
      </c>
      <c r="GR19" s="43">
        <v>303</v>
      </c>
    </row>
    <row r="20" spans="1:200">
      <c r="A20" s="5">
        <v>204</v>
      </c>
      <c r="B20" s="1" t="s">
        <v>148</v>
      </c>
      <c r="C20" s="33">
        <v>1334</v>
      </c>
      <c r="D20" s="34">
        <v>961</v>
      </c>
      <c r="E20" s="19">
        <f t="shared" si="0"/>
        <v>0.72038980509745132</v>
      </c>
      <c r="F20" s="62">
        <v>673</v>
      </c>
      <c r="G20" s="43">
        <v>1</v>
      </c>
      <c r="H20" s="43">
        <v>31</v>
      </c>
      <c r="I20" s="43">
        <v>14</v>
      </c>
      <c r="J20" s="55">
        <v>223</v>
      </c>
      <c r="K20" s="6">
        <v>0</v>
      </c>
      <c r="L20" s="6">
        <v>0</v>
      </c>
      <c r="M20" s="43">
        <v>1</v>
      </c>
      <c r="N20" s="25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4</v>
      </c>
      <c r="X20" s="43">
        <v>0</v>
      </c>
      <c r="Y20" s="43">
        <v>0</v>
      </c>
      <c r="Z20" s="43">
        <v>0</v>
      </c>
      <c r="AA20" s="44">
        <v>0</v>
      </c>
      <c r="AB20" s="44">
        <v>0</v>
      </c>
      <c r="AC20" s="44">
        <v>9</v>
      </c>
      <c r="AD20" s="44">
        <v>29</v>
      </c>
      <c r="AE20" s="44">
        <v>334</v>
      </c>
      <c r="AF20" s="44">
        <v>6</v>
      </c>
      <c r="AG20" s="44">
        <v>0</v>
      </c>
      <c r="AH20" s="44">
        <v>552</v>
      </c>
      <c r="AI20" s="32"/>
      <c r="AJ20" s="32"/>
      <c r="AK20" s="32"/>
      <c r="AL20" s="32"/>
      <c r="AM20" s="44">
        <v>49</v>
      </c>
      <c r="AN20" s="44">
        <v>569</v>
      </c>
      <c r="AO20" s="44">
        <v>287</v>
      </c>
      <c r="AP20" s="48"/>
      <c r="AQ20" s="48"/>
      <c r="AR20" s="51"/>
      <c r="AS20" s="51"/>
      <c r="AT20" s="51"/>
      <c r="AU20" s="51"/>
      <c r="AV20" s="51"/>
      <c r="AW20" s="50"/>
      <c r="AX20" s="50"/>
      <c r="AY20" s="43">
        <v>655</v>
      </c>
      <c r="AZ20" s="43">
        <v>241</v>
      </c>
      <c r="BA20" s="50"/>
      <c r="BB20" s="50"/>
      <c r="BC20" s="50"/>
      <c r="BD20" s="50"/>
      <c r="BE20" s="43">
        <v>210</v>
      </c>
      <c r="BF20" s="43">
        <v>699</v>
      </c>
      <c r="BG20" s="43">
        <v>276</v>
      </c>
      <c r="BH20" s="43">
        <v>626</v>
      </c>
      <c r="BI20" s="43">
        <v>337</v>
      </c>
      <c r="BJ20" s="43">
        <v>564</v>
      </c>
      <c r="BK20" s="43">
        <v>625</v>
      </c>
      <c r="BL20" s="43">
        <v>273</v>
      </c>
      <c r="BM20" s="43">
        <v>205</v>
      </c>
      <c r="BN20" s="43">
        <v>693</v>
      </c>
      <c r="BO20" s="43">
        <v>603</v>
      </c>
      <c r="BP20" s="43">
        <v>278</v>
      </c>
      <c r="BQ20" s="43">
        <v>310</v>
      </c>
      <c r="BR20" s="43">
        <v>573</v>
      </c>
      <c r="BS20" s="43">
        <v>462</v>
      </c>
      <c r="BT20" s="43">
        <v>186</v>
      </c>
      <c r="BU20" s="43">
        <v>708</v>
      </c>
      <c r="BV20" s="43">
        <v>527</v>
      </c>
      <c r="BW20" s="43">
        <v>300</v>
      </c>
      <c r="BX20" s="43">
        <v>439</v>
      </c>
      <c r="BY20" s="43">
        <v>339</v>
      </c>
      <c r="BZ20" s="43">
        <v>456</v>
      </c>
      <c r="CA20" s="43">
        <v>479</v>
      </c>
      <c r="CB20" s="43">
        <v>236</v>
      </c>
      <c r="CC20" s="43">
        <v>510</v>
      </c>
      <c r="CD20" s="43">
        <v>530</v>
      </c>
      <c r="CE20" s="43">
        <v>487</v>
      </c>
      <c r="CF20" s="43">
        <v>261</v>
      </c>
      <c r="CG20" s="43">
        <v>301</v>
      </c>
      <c r="CH20" s="43">
        <v>405</v>
      </c>
      <c r="CI20" s="43">
        <v>343</v>
      </c>
      <c r="CJ20" s="43">
        <v>398</v>
      </c>
      <c r="CK20" s="43">
        <v>342</v>
      </c>
      <c r="CL20" s="43">
        <v>407</v>
      </c>
      <c r="CM20" s="43">
        <v>443</v>
      </c>
      <c r="CN20" s="43">
        <v>469</v>
      </c>
      <c r="CO20" s="43">
        <v>380</v>
      </c>
      <c r="CP20" s="43">
        <v>362</v>
      </c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43">
        <v>541</v>
      </c>
      <c r="FZ20" s="43">
        <v>370</v>
      </c>
      <c r="GA20" s="53"/>
      <c r="GB20" s="53"/>
      <c r="GC20" s="53"/>
      <c r="GD20" s="53"/>
      <c r="GE20" s="53"/>
      <c r="GF20" s="53"/>
      <c r="GG20" s="53"/>
      <c r="GH20" s="53"/>
      <c r="GI20" s="43"/>
      <c r="GJ20" s="53"/>
      <c r="GK20" s="53"/>
      <c r="GL20" s="53"/>
      <c r="GM20" s="53"/>
      <c r="GN20" s="53"/>
      <c r="GO20" s="43">
        <v>647</v>
      </c>
      <c r="GP20" s="43">
        <v>263</v>
      </c>
      <c r="GQ20" s="43">
        <v>682</v>
      </c>
      <c r="GR20" s="43">
        <v>226</v>
      </c>
    </row>
    <row r="21" spans="1:200">
      <c r="A21" s="5">
        <v>205</v>
      </c>
      <c r="B21" s="1" t="s">
        <v>149</v>
      </c>
      <c r="C21" s="33">
        <v>1115</v>
      </c>
      <c r="D21" s="34">
        <v>819</v>
      </c>
      <c r="E21" s="19">
        <f t="shared" si="0"/>
        <v>0.73452914798206281</v>
      </c>
      <c r="F21" s="62">
        <v>443</v>
      </c>
      <c r="G21" s="43">
        <v>5</v>
      </c>
      <c r="H21" s="43">
        <v>42</v>
      </c>
      <c r="I21" s="43">
        <v>8</v>
      </c>
      <c r="J21" s="55">
        <v>297</v>
      </c>
      <c r="K21" s="6">
        <v>0</v>
      </c>
      <c r="L21" s="6">
        <v>0</v>
      </c>
      <c r="M21" s="43">
        <v>0</v>
      </c>
      <c r="N21" s="25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1</v>
      </c>
      <c r="X21" s="43">
        <v>0</v>
      </c>
      <c r="Y21" s="43">
        <v>0</v>
      </c>
      <c r="Z21" s="43">
        <v>0</v>
      </c>
      <c r="AA21" s="44">
        <v>0</v>
      </c>
      <c r="AB21" s="44">
        <v>0</v>
      </c>
      <c r="AC21" s="44">
        <v>6</v>
      </c>
      <c r="AD21" s="44">
        <v>13</v>
      </c>
      <c r="AE21" s="44">
        <v>465</v>
      </c>
      <c r="AF21" s="44">
        <v>3</v>
      </c>
      <c r="AG21" s="44">
        <v>0</v>
      </c>
      <c r="AH21" s="44">
        <v>295</v>
      </c>
      <c r="AI21" s="32"/>
      <c r="AJ21" s="32"/>
      <c r="AK21" s="32"/>
      <c r="AL21" s="32"/>
      <c r="AM21" s="44">
        <v>27</v>
      </c>
      <c r="AN21" s="44">
        <v>278</v>
      </c>
      <c r="AO21" s="44">
        <v>444</v>
      </c>
      <c r="AP21" s="48"/>
      <c r="AQ21" s="48"/>
      <c r="AR21" s="51"/>
      <c r="AS21" s="51"/>
      <c r="AT21" s="51"/>
      <c r="AU21" s="51"/>
      <c r="AV21" s="51"/>
      <c r="AW21" s="50"/>
      <c r="AX21" s="50"/>
      <c r="AY21" s="43">
        <v>353</v>
      </c>
      <c r="AZ21" s="43">
        <v>375</v>
      </c>
      <c r="BA21" s="50"/>
      <c r="BB21" s="50"/>
      <c r="BC21" s="50"/>
      <c r="BD21" s="50"/>
      <c r="BE21" s="43">
        <v>349</v>
      </c>
      <c r="BF21" s="43">
        <v>385</v>
      </c>
      <c r="BG21" s="43">
        <v>380</v>
      </c>
      <c r="BH21" s="43">
        <v>366</v>
      </c>
      <c r="BI21" s="43">
        <v>438</v>
      </c>
      <c r="BJ21" s="43">
        <v>294</v>
      </c>
      <c r="BK21" s="43">
        <v>372</v>
      </c>
      <c r="BL21" s="43">
        <v>361</v>
      </c>
      <c r="BM21" s="43">
        <v>322</v>
      </c>
      <c r="BN21" s="43">
        <v>386</v>
      </c>
      <c r="BO21" s="43">
        <v>319</v>
      </c>
      <c r="BP21" s="43">
        <v>382</v>
      </c>
      <c r="BQ21" s="43">
        <v>434</v>
      </c>
      <c r="BR21" s="43">
        <v>278</v>
      </c>
      <c r="BS21" s="43">
        <v>513</v>
      </c>
      <c r="BT21" s="43">
        <v>270</v>
      </c>
      <c r="BU21" s="43">
        <v>447</v>
      </c>
      <c r="BV21" s="43">
        <v>515</v>
      </c>
      <c r="BW21" s="43">
        <v>324</v>
      </c>
      <c r="BX21" s="43">
        <v>255</v>
      </c>
      <c r="BY21" s="43">
        <v>331</v>
      </c>
      <c r="BZ21" s="43">
        <v>289</v>
      </c>
      <c r="CA21" s="43">
        <v>445</v>
      </c>
      <c r="CB21" s="43">
        <v>299</v>
      </c>
      <c r="CC21" s="43">
        <v>280</v>
      </c>
      <c r="CD21" s="43">
        <v>462</v>
      </c>
      <c r="CE21" s="43">
        <v>277</v>
      </c>
      <c r="CF21" s="43">
        <v>304</v>
      </c>
      <c r="CG21" s="43">
        <v>315</v>
      </c>
      <c r="CH21" s="43">
        <v>248</v>
      </c>
      <c r="CI21" s="43">
        <v>166</v>
      </c>
      <c r="CJ21" s="43">
        <v>401</v>
      </c>
      <c r="CK21" s="43">
        <v>286</v>
      </c>
      <c r="CL21" s="43">
        <v>271</v>
      </c>
      <c r="CM21" s="43">
        <v>427</v>
      </c>
      <c r="CN21" s="43">
        <v>437</v>
      </c>
      <c r="CO21" s="43">
        <v>218</v>
      </c>
      <c r="CP21" s="43">
        <v>342</v>
      </c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43">
        <v>401</v>
      </c>
      <c r="FZ21" s="43">
        <v>358</v>
      </c>
      <c r="GA21" s="53"/>
      <c r="GB21" s="53"/>
      <c r="GC21" s="53"/>
      <c r="GD21" s="53"/>
      <c r="GE21" s="53"/>
      <c r="GF21" s="53"/>
      <c r="GG21" s="53"/>
      <c r="GH21" s="53"/>
      <c r="GI21" s="43"/>
      <c r="GJ21" s="53"/>
      <c r="GK21" s="53"/>
      <c r="GL21" s="53"/>
      <c r="GM21" s="53"/>
      <c r="GN21" s="53"/>
      <c r="GO21" s="43">
        <v>557</v>
      </c>
      <c r="GP21" s="43">
        <v>210</v>
      </c>
      <c r="GQ21" s="43">
        <v>552</v>
      </c>
      <c r="GR21" s="43">
        <v>218</v>
      </c>
    </row>
    <row r="22" spans="1:200">
      <c r="A22" s="5">
        <v>206</v>
      </c>
      <c r="B22" s="1" t="s">
        <v>150</v>
      </c>
      <c r="C22" s="33">
        <v>1314</v>
      </c>
      <c r="D22" s="34">
        <v>865</v>
      </c>
      <c r="E22" s="19">
        <f t="shared" si="0"/>
        <v>0.65829528158295281</v>
      </c>
      <c r="F22" s="62">
        <v>736</v>
      </c>
      <c r="G22" s="43">
        <v>0</v>
      </c>
      <c r="H22" s="43">
        <v>13</v>
      </c>
      <c r="I22" s="43">
        <v>10</v>
      </c>
      <c r="J22" s="55">
        <v>96</v>
      </c>
      <c r="K22" s="6">
        <v>0</v>
      </c>
      <c r="L22" s="6">
        <v>0</v>
      </c>
      <c r="M22" s="43">
        <v>0</v>
      </c>
      <c r="N22" s="25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4</v>
      </c>
      <c r="X22" s="43">
        <v>0</v>
      </c>
      <c r="Y22" s="43">
        <v>0</v>
      </c>
      <c r="Z22" s="43">
        <v>0</v>
      </c>
      <c r="AA22" s="44">
        <v>0</v>
      </c>
      <c r="AB22" s="44">
        <v>0</v>
      </c>
      <c r="AC22" s="44">
        <v>18</v>
      </c>
      <c r="AD22" s="44">
        <v>24</v>
      </c>
      <c r="AE22" s="44">
        <v>167</v>
      </c>
      <c r="AF22" s="44">
        <v>7</v>
      </c>
      <c r="AG22" s="44">
        <v>0</v>
      </c>
      <c r="AH22" s="44">
        <v>619</v>
      </c>
      <c r="AI22" s="32"/>
      <c r="AJ22" s="32"/>
      <c r="AK22" s="32"/>
      <c r="AL22" s="32"/>
      <c r="AM22" s="44">
        <v>56</v>
      </c>
      <c r="AN22" s="44">
        <v>609</v>
      </c>
      <c r="AO22" s="44">
        <v>133</v>
      </c>
      <c r="AP22" s="48"/>
      <c r="AQ22" s="48"/>
      <c r="AR22" s="51"/>
      <c r="AS22" s="51"/>
      <c r="AT22" s="51"/>
      <c r="AU22" s="51"/>
      <c r="AV22" s="51"/>
      <c r="AW22" s="50"/>
      <c r="AX22" s="50"/>
      <c r="AY22" s="43">
        <v>706</v>
      </c>
      <c r="AZ22" s="43">
        <v>109</v>
      </c>
      <c r="BA22" s="50"/>
      <c r="BB22" s="50"/>
      <c r="BC22" s="50"/>
      <c r="BD22" s="50"/>
      <c r="BE22" s="43">
        <v>98</v>
      </c>
      <c r="BF22" s="43">
        <v>713</v>
      </c>
      <c r="BG22" s="43">
        <v>124</v>
      </c>
      <c r="BH22" s="43">
        <v>697</v>
      </c>
      <c r="BI22" s="43">
        <v>159</v>
      </c>
      <c r="BJ22" s="43">
        <v>658</v>
      </c>
      <c r="BK22" s="43">
        <v>666</v>
      </c>
      <c r="BL22" s="43">
        <v>152</v>
      </c>
      <c r="BM22" s="43">
        <v>94</v>
      </c>
      <c r="BN22" s="43">
        <v>709</v>
      </c>
      <c r="BO22" s="43">
        <v>662</v>
      </c>
      <c r="BP22" s="43">
        <v>141</v>
      </c>
      <c r="BQ22" s="43">
        <v>166</v>
      </c>
      <c r="BR22" s="43">
        <v>637</v>
      </c>
      <c r="BS22" s="43">
        <v>321</v>
      </c>
      <c r="BT22" s="43">
        <v>102</v>
      </c>
      <c r="BU22" s="43">
        <v>711</v>
      </c>
      <c r="BV22" s="43">
        <v>440</v>
      </c>
      <c r="BW22" s="43">
        <v>219</v>
      </c>
      <c r="BX22" s="43">
        <v>458</v>
      </c>
      <c r="BY22" s="43">
        <v>227</v>
      </c>
      <c r="BZ22" s="43">
        <v>486</v>
      </c>
      <c r="CA22" s="43">
        <v>386</v>
      </c>
      <c r="CB22" s="43">
        <v>167</v>
      </c>
      <c r="CC22" s="43">
        <v>500</v>
      </c>
      <c r="CD22" s="43">
        <v>490</v>
      </c>
      <c r="CE22" s="43">
        <v>512</v>
      </c>
      <c r="CF22" s="43">
        <v>153</v>
      </c>
      <c r="CG22" s="43">
        <v>200</v>
      </c>
      <c r="CH22" s="43">
        <v>442</v>
      </c>
      <c r="CI22" s="43">
        <v>400</v>
      </c>
      <c r="CJ22" s="43">
        <v>265</v>
      </c>
      <c r="CK22" s="43">
        <v>253</v>
      </c>
      <c r="CL22" s="43">
        <v>416</v>
      </c>
      <c r="CM22" s="43">
        <v>361</v>
      </c>
      <c r="CN22" s="43">
        <v>388</v>
      </c>
      <c r="CO22" s="43">
        <v>401</v>
      </c>
      <c r="CP22" s="43">
        <v>276</v>
      </c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43">
        <v>567</v>
      </c>
      <c r="FZ22" s="43">
        <v>263</v>
      </c>
      <c r="GA22" s="53"/>
      <c r="GB22" s="53"/>
      <c r="GC22" s="53"/>
      <c r="GD22" s="53"/>
      <c r="GE22" s="53"/>
      <c r="GF22" s="53"/>
      <c r="GG22" s="53"/>
      <c r="GH22" s="53"/>
      <c r="GI22" s="43"/>
      <c r="GJ22" s="53"/>
      <c r="GK22" s="53"/>
      <c r="GL22" s="53"/>
      <c r="GM22" s="53"/>
      <c r="GN22" s="53"/>
      <c r="GO22" s="43">
        <v>586</v>
      </c>
      <c r="GP22" s="43">
        <v>230</v>
      </c>
      <c r="GQ22" s="43">
        <v>618</v>
      </c>
      <c r="GR22" s="43">
        <v>201</v>
      </c>
    </row>
    <row r="23" spans="1:200">
      <c r="A23" s="5">
        <v>207</v>
      </c>
      <c r="B23" s="1" t="s">
        <v>151</v>
      </c>
      <c r="C23" s="33">
        <v>864</v>
      </c>
      <c r="D23" s="34">
        <v>673</v>
      </c>
      <c r="E23" s="19">
        <f t="shared" si="0"/>
        <v>0.77893518518518523</v>
      </c>
      <c r="F23" s="62">
        <v>309</v>
      </c>
      <c r="G23" s="43">
        <v>1</v>
      </c>
      <c r="H23" s="43">
        <v>20</v>
      </c>
      <c r="I23" s="43">
        <v>4</v>
      </c>
      <c r="J23" s="55">
        <v>306</v>
      </c>
      <c r="K23" s="6">
        <v>0</v>
      </c>
      <c r="L23" s="6">
        <v>0</v>
      </c>
      <c r="M23" s="43">
        <v>0</v>
      </c>
      <c r="N23" s="25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4">
        <v>0</v>
      </c>
      <c r="AB23" s="44">
        <v>0</v>
      </c>
      <c r="AC23" s="44">
        <v>1</v>
      </c>
      <c r="AD23" s="44">
        <v>6</v>
      </c>
      <c r="AE23" s="44">
        <v>452</v>
      </c>
      <c r="AF23" s="44">
        <v>0</v>
      </c>
      <c r="AG23" s="44">
        <v>0</v>
      </c>
      <c r="AH23" s="44">
        <v>202</v>
      </c>
      <c r="AI23" s="32"/>
      <c r="AJ23" s="32"/>
      <c r="AK23" s="32"/>
      <c r="AL23" s="32"/>
      <c r="AM23" s="44">
        <v>19</v>
      </c>
      <c r="AN23" s="44">
        <v>189</v>
      </c>
      <c r="AO23" s="44">
        <v>431</v>
      </c>
      <c r="AP23" s="48"/>
      <c r="AQ23" s="48"/>
      <c r="AR23" s="51"/>
      <c r="AS23" s="51"/>
      <c r="AT23" s="51"/>
      <c r="AU23" s="51"/>
      <c r="AV23" s="51"/>
      <c r="AW23" s="50"/>
      <c r="AX23" s="50"/>
      <c r="AY23" s="43">
        <v>254</v>
      </c>
      <c r="AZ23" s="43">
        <v>364</v>
      </c>
      <c r="BA23" s="50"/>
      <c r="BB23" s="50"/>
      <c r="BC23" s="50"/>
      <c r="BD23" s="50"/>
      <c r="BE23" s="43">
        <v>325</v>
      </c>
      <c r="BF23" s="43">
        <v>304</v>
      </c>
      <c r="BG23" s="43">
        <v>374</v>
      </c>
      <c r="BH23" s="43">
        <v>269</v>
      </c>
      <c r="BI23" s="43">
        <v>426</v>
      </c>
      <c r="BJ23" s="43">
        <v>200</v>
      </c>
      <c r="BK23" s="43">
        <v>282</v>
      </c>
      <c r="BL23" s="43">
        <v>339</v>
      </c>
      <c r="BM23" s="43">
        <v>315</v>
      </c>
      <c r="BN23" s="43">
        <v>296</v>
      </c>
      <c r="BO23" s="43">
        <v>236</v>
      </c>
      <c r="BP23" s="43">
        <v>372</v>
      </c>
      <c r="BQ23" s="43">
        <v>437</v>
      </c>
      <c r="BR23" s="43">
        <v>186</v>
      </c>
      <c r="BS23" s="43">
        <v>434</v>
      </c>
      <c r="BT23" s="43">
        <v>277</v>
      </c>
      <c r="BU23" s="43">
        <v>340</v>
      </c>
      <c r="BV23" s="43">
        <v>443</v>
      </c>
      <c r="BW23" s="43">
        <v>329</v>
      </c>
      <c r="BX23" s="43">
        <v>180</v>
      </c>
      <c r="BY23" s="43">
        <v>337</v>
      </c>
      <c r="BZ23" s="43">
        <v>208</v>
      </c>
      <c r="CA23" s="43">
        <v>398</v>
      </c>
      <c r="CB23" s="43">
        <v>317</v>
      </c>
      <c r="CC23" s="43">
        <v>180</v>
      </c>
      <c r="CD23" s="43">
        <v>376</v>
      </c>
      <c r="CE23" s="43">
        <v>210</v>
      </c>
      <c r="CF23" s="43">
        <v>304</v>
      </c>
      <c r="CG23" s="43">
        <v>356</v>
      </c>
      <c r="CH23" s="43">
        <v>152</v>
      </c>
      <c r="CI23" s="43">
        <v>103</v>
      </c>
      <c r="CJ23" s="43">
        <v>384</v>
      </c>
      <c r="CK23" s="43">
        <v>276</v>
      </c>
      <c r="CL23" s="43">
        <v>196</v>
      </c>
      <c r="CM23" s="43">
        <v>372</v>
      </c>
      <c r="CN23" s="43">
        <v>370</v>
      </c>
      <c r="CO23" s="43">
        <v>147</v>
      </c>
      <c r="CP23" s="43">
        <v>326</v>
      </c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43">
        <v>321</v>
      </c>
      <c r="FZ23" s="43">
        <v>316</v>
      </c>
      <c r="GA23" s="53"/>
      <c r="GB23" s="53"/>
      <c r="GC23" s="53"/>
      <c r="GD23" s="53"/>
      <c r="GE23" s="53"/>
      <c r="GF23" s="53"/>
      <c r="GG23" s="53"/>
      <c r="GH23" s="53"/>
      <c r="GI23" s="43"/>
      <c r="GJ23" s="53"/>
      <c r="GK23" s="53"/>
      <c r="GL23" s="53"/>
      <c r="GM23" s="53"/>
      <c r="GN23" s="53"/>
      <c r="GO23" s="43">
        <v>485</v>
      </c>
      <c r="GP23" s="43">
        <v>161</v>
      </c>
      <c r="GQ23" s="43">
        <v>494</v>
      </c>
      <c r="GR23" s="43">
        <v>145</v>
      </c>
    </row>
    <row r="24" spans="1:200">
      <c r="A24" s="5">
        <v>208</v>
      </c>
      <c r="B24" s="1" t="s">
        <v>152</v>
      </c>
      <c r="C24" s="33">
        <v>943</v>
      </c>
      <c r="D24" s="34">
        <v>601</v>
      </c>
      <c r="E24" s="19">
        <f t="shared" si="0"/>
        <v>0.6373276776246023</v>
      </c>
      <c r="F24" s="62">
        <v>419</v>
      </c>
      <c r="G24" s="43">
        <v>3</v>
      </c>
      <c r="H24" s="43">
        <v>30</v>
      </c>
      <c r="I24" s="43">
        <v>10</v>
      </c>
      <c r="J24" s="55">
        <v>124</v>
      </c>
      <c r="K24" s="6">
        <v>0</v>
      </c>
      <c r="L24" s="6">
        <v>0</v>
      </c>
      <c r="M24" s="43">
        <v>0</v>
      </c>
      <c r="N24" s="25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4">
        <v>0</v>
      </c>
      <c r="AB24" s="44">
        <v>0</v>
      </c>
      <c r="AC24" s="44">
        <v>9</v>
      </c>
      <c r="AD24" s="44">
        <v>10</v>
      </c>
      <c r="AE24" s="44">
        <v>203</v>
      </c>
      <c r="AF24" s="44">
        <v>4</v>
      </c>
      <c r="AG24" s="44">
        <v>0</v>
      </c>
      <c r="AH24" s="44">
        <v>353</v>
      </c>
      <c r="AI24" s="32"/>
      <c r="AJ24" s="32"/>
      <c r="AK24" s="32"/>
      <c r="AL24" s="32"/>
      <c r="AM24" s="44">
        <v>22</v>
      </c>
      <c r="AN24" s="44">
        <v>338</v>
      </c>
      <c r="AO24" s="44">
        <v>178</v>
      </c>
      <c r="AP24" s="48"/>
      <c r="AQ24" s="48"/>
      <c r="AR24" s="51"/>
      <c r="AS24" s="51"/>
      <c r="AT24" s="51"/>
      <c r="AU24" s="51"/>
      <c r="AV24" s="51"/>
      <c r="AW24" s="50"/>
      <c r="AX24" s="50"/>
      <c r="AY24" s="43">
        <v>391</v>
      </c>
      <c r="AZ24" s="43">
        <v>150</v>
      </c>
      <c r="BA24" s="50"/>
      <c r="BB24" s="50"/>
      <c r="BC24" s="50"/>
      <c r="BD24" s="50"/>
      <c r="BE24" s="43">
        <v>142</v>
      </c>
      <c r="BF24" s="43">
        <v>408</v>
      </c>
      <c r="BG24" s="43">
        <v>164</v>
      </c>
      <c r="BH24" s="43">
        <v>387</v>
      </c>
      <c r="BI24" s="43">
        <v>189</v>
      </c>
      <c r="BJ24" s="43">
        <v>361</v>
      </c>
      <c r="BK24" s="43">
        <v>381</v>
      </c>
      <c r="BL24" s="43">
        <v>160</v>
      </c>
      <c r="BM24" s="43">
        <v>130</v>
      </c>
      <c r="BN24" s="43">
        <v>411</v>
      </c>
      <c r="BO24" s="43">
        <v>364</v>
      </c>
      <c r="BP24" s="43">
        <v>157</v>
      </c>
      <c r="BQ24" s="43">
        <v>174</v>
      </c>
      <c r="BR24" s="43">
        <v>358</v>
      </c>
      <c r="BS24" s="43">
        <v>292</v>
      </c>
      <c r="BT24" s="43">
        <v>120</v>
      </c>
      <c r="BU24" s="43">
        <v>413</v>
      </c>
      <c r="BV24" s="43">
        <v>337</v>
      </c>
      <c r="BW24" s="43">
        <v>177</v>
      </c>
      <c r="BX24" s="43">
        <v>235</v>
      </c>
      <c r="BY24" s="43">
        <v>175</v>
      </c>
      <c r="BZ24" s="43">
        <v>276</v>
      </c>
      <c r="CA24" s="43">
        <v>289</v>
      </c>
      <c r="CB24" s="43">
        <v>136</v>
      </c>
      <c r="CC24" s="43">
        <v>272</v>
      </c>
      <c r="CD24" s="43">
        <v>320</v>
      </c>
      <c r="CE24" s="43">
        <v>266</v>
      </c>
      <c r="CF24" s="43">
        <v>145</v>
      </c>
      <c r="CG24" s="43">
        <v>168</v>
      </c>
      <c r="CH24" s="43">
        <v>233</v>
      </c>
      <c r="CI24" s="43">
        <v>179</v>
      </c>
      <c r="CJ24" s="43">
        <v>227</v>
      </c>
      <c r="CK24" s="43">
        <v>192</v>
      </c>
      <c r="CL24" s="43">
        <v>211</v>
      </c>
      <c r="CM24" s="43">
        <v>268</v>
      </c>
      <c r="CN24" s="43">
        <v>287</v>
      </c>
      <c r="CO24" s="43">
        <v>222</v>
      </c>
      <c r="CP24" s="43">
        <v>194</v>
      </c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43">
        <v>386</v>
      </c>
      <c r="FZ24" s="43">
        <v>171</v>
      </c>
      <c r="GA24" s="53"/>
      <c r="GB24" s="53"/>
      <c r="GC24" s="53"/>
      <c r="GD24" s="53"/>
      <c r="GE24" s="53"/>
      <c r="GF24" s="53"/>
      <c r="GG24" s="53"/>
      <c r="GH24" s="53"/>
      <c r="GI24" s="43"/>
      <c r="GJ24" s="53"/>
      <c r="GK24" s="53"/>
      <c r="GL24" s="53"/>
      <c r="GM24" s="53"/>
      <c r="GN24" s="53"/>
      <c r="GO24" s="43">
        <v>412</v>
      </c>
      <c r="GP24" s="43">
        <v>143</v>
      </c>
      <c r="GQ24" s="43">
        <v>436</v>
      </c>
      <c r="GR24" s="43">
        <v>116</v>
      </c>
    </row>
    <row r="25" spans="1:200">
      <c r="A25" s="5">
        <v>209</v>
      </c>
      <c r="B25" s="1" t="s">
        <v>153</v>
      </c>
      <c r="C25" s="33">
        <v>1168</v>
      </c>
      <c r="D25" s="34">
        <v>835</v>
      </c>
      <c r="E25" s="19">
        <f t="shared" si="0"/>
        <v>0.7148972602739726</v>
      </c>
      <c r="F25" s="62">
        <v>603</v>
      </c>
      <c r="G25" s="43">
        <v>2</v>
      </c>
      <c r="H25" s="43">
        <v>23</v>
      </c>
      <c r="I25" s="43">
        <v>10</v>
      </c>
      <c r="J25" s="55">
        <v>177</v>
      </c>
      <c r="K25" s="6">
        <v>0</v>
      </c>
      <c r="L25" s="6">
        <v>0</v>
      </c>
      <c r="M25" s="43">
        <v>0</v>
      </c>
      <c r="N25" s="25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1</v>
      </c>
      <c r="W25" s="43">
        <v>6</v>
      </c>
      <c r="X25" s="43">
        <v>0</v>
      </c>
      <c r="Y25" s="43">
        <v>0</v>
      </c>
      <c r="Z25" s="43">
        <v>0</v>
      </c>
      <c r="AA25" s="44">
        <v>0</v>
      </c>
      <c r="AB25" s="44">
        <v>0</v>
      </c>
      <c r="AC25" s="44">
        <v>14</v>
      </c>
      <c r="AD25" s="44">
        <v>26</v>
      </c>
      <c r="AE25" s="44">
        <v>288</v>
      </c>
      <c r="AF25" s="44">
        <v>6</v>
      </c>
      <c r="AG25" s="44">
        <v>0</v>
      </c>
      <c r="AH25" s="44">
        <v>476</v>
      </c>
      <c r="AI25" s="32"/>
      <c r="AJ25" s="32"/>
      <c r="AK25" s="32"/>
      <c r="AL25" s="32"/>
      <c r="AM25" s="44">
        <v>26</v>
      </c>
      <c r="AN25" s="44">
        <v>512</v>
      </c>
      <c r="AO25" s="44">
        <v>251</v>
      </c>
      <c r="AP25" s="48"/>
      <c r="AQ25" s="48"/>
      <c r="AR25" s="51"/>
      <c r="AS25" s="51"/>
      <c r="AT25" s="51"/>
      <c r="AU25" s="51"/>
      <c r="AV25" s="51"/>
      <c r="AW25" s="50"/>
      <c r="AX25" s="50"/>
      <c r="AY25" s="43">
        <v>584</v>
      </c>
      <c r="AZ25" s="43">
        <v>198</v>
      </c>
      <c r="BA25" s="50"/>
      <c r="BB25" s="50"/>
      <c r="BC25" s="50"/>
      <c r="BD25" s="50"/>
      <c r="BE25" s="43">
        <v>194</v>
      </c>
      <c r="BF25" s="43">
        <v>608</v>
      </c>
      <c r="BG25" s="43">
        <v>237</v>
      </c>
      <c r="BH25" s="43">
        <v>558</v>
      </c>
      <c r="BI25" s="43">
        <v>273</v>
      </c>
      <c r="BJ25" s="43">
        <v>517</v>
      </c>
      <c r="BK25" s="43">
        <v>548</v>
      </c>
      <c r="BL25" s="43">
        <v>231</v>
      </c>
      <c r="BM25" s="43">
        <v>162</v>
      </c>
      <c r="BN25" s="43">
        <v>612</v>
      </c>
      <c r="BO25" s="43">
        <v>532</v>
      </c>
      <c r="BP25" s="43">
        <v>237</v>
      </c>
      <c r="BQ25" s="43">
        <v>250</v>
      </c>
      <c r="BR25" s="43">
        <v>519</v>
      </c>
      <c r="BS25" s="43">
        <v>394</v>
      </c>
      <c r="BT25" s="43">
        <v>161</v>
      </c>
      <c r="BU25" s="43">
        <v>609</v>
      </c>
      <c r="BV25" s="43">
        <v>441</v>
      </c>
      <c r="BW25" s="43">
        <v>262</v>
      </c>
      <c r="BX25" s="43">
        <v>372</v>
      </c>
      <c r="BY25" s="43">
        <v>286</v>
      </c>
      <c r="BZ25" s="43">
        <v>405</v>
      </c>
      <c r="CA25" s="43">
        <v>391</v>
      </c>
      <c r="CB25" s="43">
        <v>197</v>
      </c>
      <c r="CC25" s="43">
        <v>426</v>
      </c>
      <c r="CD25" s="43">
        <v>463</v>
      </c>
      <c r="CE25" s="43">
        <v>412</v>
      </c>
      <c r="CF25" s="43">
        <v>223</v>
      </c>
      <c r="CG25" s="43">
        <v>246</v>
      </c>
      <c r="CH25" s="43">
        <v>363</v>
      </c>
      <c r="CI25" s="43">
        <v>306</v>
      </c>
      <c r="CJ25" s="43">
        <v>316</v>
      </c>
      <c r="CK25" s="43">
        <v>292</v>
      </c>
      <c r="CL25" s="43">
        <v>353</v>
      </c>
      <c r="CM25" s="43">
        <v>380</v>
      </c>
      <c r="CN25" s="43">
        <v>407</v>
      </c>
      <c r="CO25" s="43">
        <v>350</v>
      </c>
      <c r="CP25" s="43">
        <v>297</v>
      </c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43">
        <v>469</v>
      </c>
      <c r="FZ25" s="43">
        <v>332</v>
      </c>
      <c r="GA25" s="53"/>
      <c r="GB25" s="53"/>
      <c r="GC25" s="53"/>
      <c r="GD25" s="53"/>
      <c r="GE25" s="53"/>
      <c r="GF25" s="53"/>
      <c r="GG25" s="53"/>
      <c r="GH25" s="53"/>
      <c r="GI25" s="43"/>
      <c r="GJ25" s="53"/>
      <c r="GK25" s="53"/>
      <c r="GL25" s="53"/>
      <c r="GM25" s="53"/>
      <c r="GN25" s="53"/>
      <c r="GO25" s="43">
        <v>552</v>
      </c>
      <c r="GP25" s="43">
        <v>239</v>
      </c>
      <c r="GQ25" s="43">
        <v>580</v>
      </c>
      <c r="GR25" s="43">
        <v>199</v>
      </c>
    </row>
    <row r="26" spans="1:200">
      <c r="A26" s="5">
        <v>210</v>
      </c>
      <c r="B26" s="1" t="s">
        <v>154</v>
      </c>
      <c r="C26" s="33">
        <v>1136</v>
      </c>
      <c r="D26" s="34">
        <v>875</v>
      </c>
      <c r="E26" s="19">
        <f t="shared" si="0"/>
        <v>0.77024647887323938</v>
      </c>
      <c r="F26" s="62">
        <v>532</v>
      </c>
      <c r="G26" s="43">
        <v>1</v>
      </c>
      <c r="H26" s="43">
        <v>58</v>
      </c>
      <c r="I26" s="43">
        <v>11</v>
      </c>
      <c r="J26" s="55">
        <v>251</v>
      </c>
      <c r="K26" s="6">
        <v>0</v>
      </c>
      <c r="L26" s="6">
        <v>0</v>
      </c>
      <c r="M26" s="43">
        <v>0</v>
      </c>
      <c r="N26" s="25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6</v>
      </c>
      <c r="X26" s="43">
        <v>0</v>
      </c>
      <c r="Y26" s="43">
        <v>0</v>
      </c>
      <c r="Z26" s="43">
        <v>0</v>
      </c>
      <c r="AA26" s="44">
        <v>0</v>
      </c>
      <c r="AB26" s="44">
        <v>0</v>
      </c>
      <c r="AC26" s="44">
        <v>5</v>
      </c>
      <c r="AD26" s="44">
        <v>17</v>
      </c>
      <c r="AE26" s="44">
        <v>431</v>
      </c>
      <c r="AF26" s="44">
        <v>11</v>
      </c>
      <c r="AG26" s="44">
        <v>0</v>
      </c>
      <c r="AH26" s="44">
        <v>376</v>
      </c>
      <c r="AI26" s="32"/>
      <c r="AJ26" s="32"/>
      <c r="AK26" s="32"/>
      <c r="AL26" s="32"/>
      <c r="AM26" s="44">
        <v>29</v>
      </c>
      <c r="AN26" s="44">
        <v>364</v>
      </c>
      <c r="AO26" s="44">
        <v>413</v>
      </c>
      <c r="AP26" s="48"/>
      <c r="AQ26" s="48"/>
      <c r="AR26" s="51"/>
      <c r="AS26" s="51"/>
      <c r="AT26" s="51"/>
      <c r="AU26" s="51"/>
      <c r="AV26" s="51"/>
      <c r="AW26" s="50"/>
      <c r="AX26" s="50"/>
      <c r="AY26" s="43">
        <v>436</v>
      </c>
      <c r="AZ26" s="43">
        <v>342</v>
      </c>
      <c r="BA26" s="50"/>
      <c r="BB26" s="50"/>
      <c r="BC26" s="50"/>
      <c r="BD26" s="50"/>
      <c r="BE26" s="43">
        <v>330</v>
      </c>
      <c r="BF26" s="43">
        <v>451</v>
      </c>
      <c r="BG26" s="43">
        <v>362</v>
      </c>
      <c r="BH26" s="43">
        <v>431</v>
      </c>
      <c r="BI26" s="43">
        <v>405</v>
      </c>
      <c r="BJ26" s="43">
        <v>376</v>
      </c>
      <c r="BK26" s="43">
        <v>488</v>
      </c>
      <c r="BL26" s="43">
        <v>296</v>
      </c>
      <c r="BM26" s="43">
        <v>302</v>
      </c>
      <c r="BN26" s="43">
        <v>473</v>
      </c>
      <c r="BO26" s="43">
        <v>399</v>
      </c>
      <c r="BP26" s="43">
        <v>337</v>
      </c>
      <c r="BQ26" s="43">
        <v>371</v>
      </c>
      <c r="BR26" s="43">
        <v>377</v>
      </c>
      <c r="BS26" s="43">
        <v>525</v>
      </c>
      <c r="BT26" s="43">
        <v>281</v>
      </c>
      <c r="BU26" s="43">
        <v>475</v>
      </c>
      <c r="BV26" s="43">
        <v>529</v>
      </c>
      <c r="BW26" s="43">
        <v>306</v>
      </c>
      <c r="BX26" s="43">
        <v>260</v>
      </c>
      <c r="BY26" s="43">
        <v>317</v>
      </c>
      <c r="BZ26" s="43">
        <v>314</v>
      </c>
      <c r="CA26" s="43">
        <v>459</v>
      </c>
      <c r="CB26" s="43">
        <v>263</v>
      </c>
      <c r="CC26" s="43">
        <v>308</v>
      </c>
      <c r="CD26" s="43">
        <v>452</v>
      </c>
      <c r="CE26" s="43">
        <v>342</v>
      </c>
      <c r="CF26" s="43">
        <v>233</v>
      </c>
      <c r="CG26" s="43">
        <v>298</v>
      </c>
      <c r="CH26" s="43">
        <v>250</v>
      </c>
      <c r="CI26" s="43">
        <v>191</v>
      </c>
      <c r="CJ26" s="43">
        <v>379</v>
      </c>
      <c r="CK26" s="43">
        <v>310</v>
      </c>
      <c r="CL26" s="43">
        <v>236</v>
      </c>
      <c r="CM26" s="43">
        <v>428</v>
      </c>
      <c r="CN26" s="43">
        <v>441</v>
      </c>
      <c r="CO26" s="43">
        <v>238</v>
      </c>
      <c r="CP26" s="43">
        <v>316</v>
      </c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43">
        <v>468</v>
      </c>
      <c r="FZ26" s="43">
        <v>366</v>
      </c>
      <c r="GA26" s="53"/>
      <c r="GB26" s="53"/>
      <c r="GC26" s="53"/>
      <c r="GD26" s="53"/>
      <c r="GE26" s="53"/>
      <c r="GF26" s="53"/>
      <c r="GG26" s="53"/>
      <c r="GH26" s="53"/>
      <c r="GI26" s="43"/>
      <c r="GJ26" s="53"/>
      <c r="GK26" s="53"/>
      <c r="GL26" s="53"/>
      <c r="GM26" s="53"/>
      <c r="GN26" s="53"/>
      <c r="GO26" s="43">
        <v>624</v>
      </c>
      <c r="GP26" s="43">
        <v>202</v>
      </c>
      <c r="GQ26" s="43">
        <v>595</v>
      </c>
      <c r="GR26" s="43">
        <v>222</v>
      </c>
    </row>
    <row r="27" spans="1:200">
      <c r="A27" s="5">
        <v>211</v>
      </c>
      <c r="B27" s="1" t="s">
        <v>155</v>
      </c>
      <c r="C27" s="33">
        <v>1481</v>
      </c>
      <c r="D27" s="34">
        <v>1083</v>
      </c>
      <c r="E27" s="19">
        <f t="shared" si="0"/>
        <v>0.73126266036461851</v>
      </c>
      <c r="F27" s="62">
        <v>687</v>
      </c>
      <c r="G27" s="43">
        <v>3</v>
      </c>
      <c r="H27" s="43">
        <v>45</v>
      </c>
      <c r="I27" s="43">
        <v>9</v>
      </c>
      <c r="J27" s="55">
        <v>313</v>
      </c>
      <c r="K27" s="6">
        <v>0</v>
      </c>
      <c r="L27" s="6">
        <v>0</v>
      </c>
      <c r="M27" s="43">
        <v>0</v>
      </c>
      <c r="N27" s="25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4</v>
      </c>
      <c r="X27" s="43">
        <v>0</v>
      </c>
      <c r="Y27" s="43">
        <v>0</v>
      </c>
      <c r="Z27" s="43">
        <v>0</v>
      </c>
      <c r="AA27" s="44">
        <v>0</v>
      </c>
      <c r="AB27" s="44">
        <v>0</v>
      </c>
      <c r="AC27" s="44">
        <v>10</v>
      </c>
      <c r="AD27" s="44">
        <v>15</v>
      </c>
      <c r="AE27" s="44">
        <v>520</v>
      </c>
      <c r="AF27" s="44">
        <v>10</v>
      </c>
      <c r="AG27" s="44">
        <v>0</v>
      </c>
      <c r="AH27" s="44">
        <v>478</v>
      </c>
      <c r="AI27" s="32"/>
      <c r="AJ27" s="32"/>
      <c r="AK27" s="32"/>
      <c r="AL27" s="32"/>
      <c r="AM27" s="44">
        <v>47</v>
      </c>
      <c r="AN27" s="44">
        <v>454</v>
      </c>
      <c r="AO27" s="44">
        <v>495</v>
      </c>
      <c r="AP27" s="48"/>
      <c r="AQ27" s="48"/>
      <c r="AR27" s="51"/>
      <c r="AS27" s="51"/>
      <c r="AT27" s="51"/>
      <c r="AU27" s="51"/>
      <c r="AV27" s="51"/>
      <c r="AW27" s="50"/>
      <c r="AX27" s="50"/>
      <c r="AY27" s="43">
        <v>584</v>
      </c>
      <c r="AZ27" s="43">
        <v>396</v>
      </c>
      <c r="BA27" s="50"/>
      <c r="BB27" s="50"/>
      <c r="BC27" s="50"/>
      <c r="BD27" s="50"/>
      <c r="BE27" s="43">
        <v>368</v>
      </c>
      <c r="BF27" s="43">
        <v>614</v>
      </c>
      <c r="BG27" s="43">
        <v>422</v>
      </c>
      <c r="BH27" s="43">
        <v>558</v>
      </c>
      <c r="BI27" s="43">
        <v>482</v>
      </c>
      <c r="BJ27" s="43">
        <v>488</v>
      </c>
      <c r="BK27" s="43">
        <v>594</v>
      </c>
      <c r="BL27" s="43">
        <v>373</v>
      </c>
      <c r="BM27" s="43">
        <v>340</v>
      </c>
      <c r="BN27" s="43">
        <v>623</v>
      </c>
      <c r="BO27" s="43">
        <v>499</v>
      </c>
      <c r="BP27" s="43">
        <v>427</v>
      </c>
      <c r="BQ27" s="43">
        <v>446</v>
      </c>
      <c r="BR27" s="43">
        <v>490</v>
      </c>
      <c r="BS27" s="43">
        <v>599</v>
      </c>
      <c r="BT27" s="43">
        <v>314</v>
      </c>
      <c r="BU27" s="43">
        <v>630</v>
      </c>
      <c r="BV27" s="43">
        <v>630</v>
      </c>
      <c r="BW27" s="43">
        <v>364</v>
      </c>
      <c r="BX27" s="43">
        <v>382</v>
      </c>
      <c r="BY27" s="43">
        <v>396</v>
      </c>
      <c r="BZ27" s="43">
        <v>406</v>
      </c>
      <c r="CA27" s="43">
        <v>547</v>
      </c>
      <c r="CB27" s="43">
        <v>317</v>
      </c>
      <c r="CC27" s="43">
        <v>415</v>
      </c>
      <c r="CD27" s="43">
        <v>583</v>
      </c>
      <c r="CE27" s="43">
        <v>417</v>
      </c>
      <c r="CF27" s="43">
        <v>315</v>
      </c>
      <c r="CG27" s="43">
        <v>326</v>
      </c>
      <c r="CH27" s="43">
        <v>388</v>
      </c>
      <c r="CI27" s="43">
        <v>256</v>
      </c>
      <c r="CJ27" s="43">
        <v>466</v>
      </c>
      <c r="CK27" s="43">
        <v>356</v>
      </c>
      <c r="CL27" s="43">
        <v>357</v>
      </c>
      <c r="CM27" s="43">
        <v>540</v>
      </c>
      <c r="CN27" s="43">
        <v>555</v>
      </c>
      <c r="CO27" s="43">
        <v>321</v>
      </c>
      <c r="CP27" s="43">
        <v>403</v>
      </c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43">
        <v>583</v>
      </c>
      <c r="FZ27" s="43">
        <v>436</v>
      </c>
      <c r="GA27" s="53"/>
      <c r="GB27" s="53"/>
      <c r="GC27" s="53"/>
      <c r="GD27" s="53"/>
      <c r="GE27" s="53"/>
      <c r="GF27" s="53"/>
      <c r="GG27" s="53"/>
      <c r="GH27" s="53"/>
      <c r="GI27" s="43"/>
      <c r="GJ27" s="53"/>
      <c r="GK27" s="53"/>
      <c r="GL27" s="53"/>
      <c r="GM27" s="53"/>
      <c r="GN27" s="53"/>
      <c r="GO27" s="43">
        <v>798</v>
      </c>
      <c r="GP27" s="43">
        <v>210</v>
      </c>
      <c r="GQ27" s="43">
        <v>758</v>
      </c>
      <c r="GR27" s="43">
        <v>248</v>
      </c>
    </row>
    <row r="28" spans="1:200">
      <c r="A28" s="5">
        <v>301</v>
      </c>
      <c r="B28" s="1" t="s">
        <v>156</v>
      </c>
      <c r="C28" s="33">
        <v>1222</v>
      </c>
      <c r="D28" s="34">
        <v>721</v>
      </c>
      <c r="E28" s="19">
        <f t="shared" si="0"/>
        <v>0.59001636661211132</v>
      </c>
      <c r="F28" s="62">
        <v>677</v>
      </c>
      <c r="G28" s="43">
        <v>2</v>
      </c>
      <c r="H28" s="43">
        <v>5</v>
      </c>
      <c r="I28" s="43">
        <v>6</v>
      </c>
      <c r="J28" s="55">
        <v>15</v>
      </c>
      <c r="K28" s="6">
        <v>0</v>
      </c>
      <c r="L28" s="6">
        <v>0</v>
      </c>
      <c r="M28" s="43">
        <v>0</v>
      </c>
      <c r="N28" s="25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4">
        <v>0</v>
      </c>
      <c r="AB28" s="44">
        <v>0</v>
      </c>
      <c r="AC28" s="44">
        <v>7</v>
      </c>
      <c r="AD28" s="44">
        <v>10</v>
      </c>
      <c r="AE28" s="44">
        <v>70</v>
      </c>
      <c r="AF28" s="44">
        <v>4</v>
      </c>
      <c r="AG28" s="44">
        <v>0</v>
      </c>
      <c r="AH28" s="44">
        <v>598</v>
      </c>
      <c r="AI28" s="44">
        <v>72</v>
      </c>
      <c r="AJ28" s="44">
        <v>0</v>
      </c>
      <c r="AK28" s="44">
        <v>0</v>
      </c>
      <c r="AL28" s="44">
        <v>618</v>
      </c>
      <c r="AM28" s="48"/>
      <c r="AN28" s="48"/>
      <c r="AO28" s="48"/>
      <c r="AP28" s="48"/>
      <c r="AQ28" s="48"/>
      <c r="AR28" s="51"/>
      <c r="AS28" s="51"/>
      <c r="AT28" s="51"/>
      <c r="AU28" s="51"/>
      <c r="AV28" s="51"/>
      <c r="AW28" s="50"/>
      <c r="AX28" s="50"/>
      <c r="AY28" s="43">
        <v>642</v>
      </c>
      <c r="AZ28" s="43">
        <v>34</v>
      </c>
      <c r="BA28" s="50"/>
      <c r="BB28" s="50"/>
      <c r="BC28" s="50"/>
      <c r="BD28" s="50"/>
      <c r="BE28" s="43">
        <v>24</v>
      </c>
      <c r="BF28" s="43">
        <v>654</v>
      </c>
      <c r="BG28" s="43">
        <v>47</v>
      </c>
      <c r="BH28" s="43">
        <v>635</v>
      </c>
      <c r="BI28" s="43">
        <v>75</v>
      </c>
      <c r="BJ28" s="43">
        <v>613</v>
      </c>
      <c r="BK28" s="43">
        <v>609</v>
      </c>
      <c r="BL28" s="43">
        <v>72</v>
      </c>
      <c r="BM28" s="43">
        <v>36</v>
      </c>
      <c r="BN28" s="43">
        <v>642</v>
      </c>
      <c r="BO28" s="43">
        <v>628</v>
      </c>
      <c r="BP28" s="43">
        <v>41</v>
      </c>
      <c r="BQ28" s="43">
        <v>51</v>
      </c>
      <c r="BR28" s="43">
        <v>623</v>
      </c>
      <c r="BS28" s="43">
        <v>189</v>
      </c>
      <c r="BT28" s="43">
        <v>28</v>
      </c>
      <c r="BU28" s="43">
        <v>651</v>
      </c>
      <c r="BV28" s="43">
        <v>300</v>
      </c>
      <c r="BW28" s="43">
        <v>143</v>
      </c>
      <c r="BX28" s="43">
        <v>397</v>
      </c>
      <c r="BY28" s="43">
        <v>156</v>
      </c>
      <c r="BZ28" s="43">
        <v>446</v>
      </c>
      <c r="CA28" s="43">
        <v>255</v>
      </c>
      <c r="CB28" s="43">
        <v>86</v>
      </c>
      <c r="CC28" s="43">
        <v>467</v>
      </c>
      <c r="CD28" s="43">
        <v>366</v>
      </c>
      <c r="CE28" s="43">
        <v>448</v>
      </c>
      <c r="CF28" s="43">
        <v>105</v>
      </c>
      <c r="CG28" s="43">
        <v>124</v>
      </c>
      <c r="CH28" s="43">
        <v>384</v>
      </c>
      <c r="CI28" s="43">
        <v>376</v>
      </c>
      <c r="CJ28" s="43">
        <v>174</v>
      </c>
      <c r="CK28" s="43">
        <v>200</v>
      </c>
      <c r="CL28" s="43">
        <v>364</v>
      </c>
      <c r="CM28" s="43">
        <v>250</v>
      </c>
      <c r="CN28" s="43">
        <v>294</v>
      </c>
      <c r="CO28" s="43">
        <v>397</v>
      </c>
      <c r="CP28" s="43">
        <v>170</v>
      </c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43">
        <v>508</v>
      </c>
      <c r="FZ28" s="43">
        <v>163</v>
      </c>
      <c r="GA28" s="53"/>
      <c r="GB28" s="53"/>
      <c r="GC28" s="53"/>
      <c r="GD28" s="53"/>
      <c r="GE28" s="53"/>
      <c r="GF28" s="53"/>
      <c r="GG28" s="53"/>
      <c r="GH28" s="53"/>
      <c r="GI28" s="43"/>
      <c r="GJ28" s="53"/>
      <c r="GK28" s="53"/>
      <c r="GL28" s="53"/>
      <c r="GM28" s="53"/>
      <c r="GN28" s="53"/>
      <c r="GO28" s="43">
        <v>423</v>
      </c>
      <c r="GP28" s="43">
        <v>222</v>
      </c>
      <c r="GQ28" s="43">
        <v>524</v>
      </c>
      <c r="GR28" s="43">
        <v>136</v>
      </c>
    </row>
    <row r="29" spans="1:200">
      <c r="A29" s="5">
        <v>302</v>
      </c>
      <c r="B29" s="1" t="s">
        <v>157</v>
      </c>
      <c r="C29" s="33">
        <v>905</v>
      </c>
      <c r="D29" s="34">
        <v>651</v>
      </c>
      <c r="E29" s="19">
        <f t="shared" si="0"/>
        <v>0.7193370165745856</v>
      </c>
      <c r="F29" s="62">
        <v>470</v>
      </c>
      <c r="G29" s="43">
        <v>2</v>
      </c>
      <c r="H29" s="43">
        <v>26</v>
      </c>
      <c r="I29" s="43">
        <v>11</v>
      </c>
      <c r="J29" s="55">
        <v>123</v>
      </c>
      <c r="K29" s="6">
        <v>0</v>
      </c>
      <c r="L29" s="6">
        <v>0</v>
      </c>
      <c r="M29" s="43">
        <v>0</v>
      </c>
      <c r="N29" s="25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1</v>
      </c>
      <c r="X29" s="43">
        <v>0</v>
      </c>
      <c r="Y29" s="43">
        <v>0</v>
      </c>
      <c r="Z29" s="43">
        <v>0</v>
      </c>
      <c r="AA29" s="44">
        <v>0</v>
      </c>
      <c r="AB29" s="44">
        <v>0</v>
      </c>
      <c r="AC29" s="44">
        <v>8</v>
      </c>
      <c r="AD29" s="44">
        <v>9</v>
      </c>
      <c r="AE29" s="44">
        <v>227</v>
      </c>
      <c r="AF29" s="44">
        <v>2</v>
      </c>
      <c r="AG29" s="44">
        <v>0</v>
      </c>
      <c r="AH29" s="44">
        <v>376</v>
      </c>
      <c r="AI29" s="32"/>
      <c r="AJ29" s="32"/>
      <c r="AK29" s="32"/>
      <c r="AL29" s="32"/>
      <c r="AM29" s="44">
        <v>39</v>
      </c>
      <c r="AN29" s="44">
        <v>341</v>
      </c>
      <c r="AO29" s="44">
        <v>220</v>
      </c>
      <c r="AP29" s="48"/>
      <c r="AQ29" s="48"/>
      <c r="AR29" s="51"/>
      <c r="AS29" s="51"/>
      <c r="AT29" s="51"/>
      <c r="AU29" s="51"/>
      <c r="AV29" s="51"/>
      <c r="AW29" s="50"/>
      <c r="AX29" s="50"/>
      <c r="AY29" s="43">
        <v>422</v>
      </c>
      <c r="AZ29" s="43">
        <v>180</v>
      </c>
      <c r="BA29" s="50"/>
      <c r="BB29" s="50"/>
      <c r="BC29" s="50"/>
      <c r="BD29" s="50"/>
      <c r="BE29" s="43">
        <v>157</v>
      </c>
      <c r="BF29" s="43">
        <v>445</v>
      </c>
      <c r="BG29" s="43">
        <v>175</v>
      </c>
      <c r="BH29" s="43">
        <v>430</v>
      </c>
      <c r="BI29" s="43">
        <v>235</v>
      </c>
      <c r="BJ29" s="43">
        <v>372</v>
      </c>
      <c r="BK29" s="43">
        <v>434</v>
      </c>
      <c r="BL29" s="43">
        <v>166</v>
      </c>
      <c r="BM29" s="43">
        <v>171</v>
      </c>
      <c r="BN29" s="43">
        <v>427</v>
      </c>
      <c r="BO29" s="43">
        <v>400</v>
      </c>
      <c r="BP29" s="43">
        <v>187</v>
      </c>
      <c r="BQ29" s="43">
        <v>227</v>
      </c>
      <c r="BR29" s="43">
        <v>362</v>
      </c>
      <c r="BS29" s="43">
        <v>315</v>
      </c>
      <c r="BT29" s="43">
        <v>126</v>
      </c>
      <c r="BU29" s="43">
        <v>465</v>
      </c>
      <c r="BV29" s="43">
        <v>352</v>
      </c>
      <c r="BW29" s="43">
        <v>198</v>
      </c>
      <c r="BX29" s="43">
        <v>274</v>
      </c>
      <c r="BY29" s="43">
        <v>212</v>
      </c>
      <c r="BZ29" s="43">
        <v>304</v>
      </c>
      <c r="CA29" s="43">
        <v>309</v>
      </c>
      <c r="CB29" s="43">
        <v>160</v>
      </c>
      <c r="CC29" s="43">
        <v>306</v>
      </c>
      <c r="CD29" s="43">
        <v>342</v>
      </c>
      <c r="CE29" s="43">
        <v>316</v>
      </c>
      <c r="CF29" s="43">
        <v>161</v>
      </c>
      <c r="CG29" s="43">
        <v>204</v>
      </c>
      <c r="CH29" s="43">
        <v>259</v>
      </c>
      <c r="CI29" s="43">
        <v>230</v>
      </c>
      <c r="CJ29" s="43">
        <v>236</v>
      </c>
      <c r="CK29" s="43">
        <v>187</v>
      </c>
      <c r="CL29" s="43">
        <v>270</v>
      </c>
      <c r="CM29" s="43">
        <v>276</v>
      </c>
      <c r="CN29" s="43">
        <v>292</v>
      </c>
      <c r="CO29" s="43">
        <v>259</v>
      </c>
      <c r="CP29" s="43">
        <v>207</v>
      </c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43">
        <v>396</v>
      </c>
      <c r="FZ29" s="43">
        <v>209</v>
      </c>
      <c r="GA29" s="53"/>
      <c r="GB29" s="53"/>
      <c r="GC29" s="53"/>
      <c r="GD29" s="53"/>
      <c r="GE29" s="53"/>
      <c r="GF29" s="53"/>
      <c r="GG29" s="53"/>
      <c r="GH29" s="53"/>
      <c r="GI29" s="43"/>
      <c r="GJ29" s="53"/>
      <c r="GK29" s="53"/>
      <c r="GL29" s="53"/>
      <c r="GM29" s="53"/>
      <c r="GN29" s="53"/>
      <c r="GO29" s="43">
        <v>456</v>
      </c>
      <c r="GP29" s="43">
        <v>149</v>
      </c>
      <c r="GQ29" s="43">
        <v>478</v>
      </c>
      <c r="GR29" s="43">
        <v>130</v>
      </c>
    </row>
    <row r="30" spans="1:200">
      <c r="A30" s="5">
        <v>303</v>
      </c>
      <c r="B30" s="1" t="s">
        <v>158</v>
      </c>
      <c r="C30" s="33">
        <v>1116</v>
      </c>
      <c r="D30" s="34">
        <v>826</v>
      </c>
      <c r="E30" s="19">
        <f t="shared" si="0"/>
        <v>0.74014336917562729</v>
      </c>
      <c r="F30" s="62">
        <v>592</v>
      </c>
      <c r="G30" s="43">
        <v>1</v>
      </c>
      <c r="H30" s="43">
        <v>30</v>
      </c>
      <c r="I30" s="43">
        <v>2</v>
      </c>
      <c r="J30" s="55">
        <v>177</v>
      </c>
      <c r="K30" s="6">
        <v>0</v>
      </c>
      <c r="L30" s="6">
        <v>0</v>
      </c>
      <c r="M30" s="43">
        <v>0</v>
      </c>
      <c r="N30" s="25">
        <v>0</v>
      </c>
      <c r="O30" s="43">
        <v>0</v>
      </c>
      <c r="P30" s="43">
        <v>0</v>
      </c>
      <c r="Q30" s="43">
        <v>0</v>
      </c>
      <c r="R30" s="43">
        <v>0</v>
      </c>
      <c r="S30" s="43">
        <v>1</v>
      </c>
      <c r="T30" s="43">
        <v>0</v>
      </c>
      <c r="U30" s="43">
        <v>0</v>
      </c>
      <c r="V30" s="43">
        <v>1</v>
      </c>
      <c r="W30" s="43">
        <v>2</v>
      </c>
      <c r="X30" s="43">
        <v>0</v>
      </c>
      <c r="Y30" s="43">
        <v>0</v>
      </c>
      <c r="Z30" s="43">
        <v>0</v>
      </c>
      <c r="AA30" s="44">
        <v>0</v>
      </c>
      <c r="AB30" s="44">
        <v>0</v>
      </c>
      <c r="AC30" s="44">
        <v>9</v>
      </c>
      <c r="AD30" s="44">
        <v>11</v>
      </c>
      <c r="AE30" s="44">
        <v>290</v>
      </c>
      <c r="AF30" s="44">
        <v>5</v>
      </c>
      <c r="AG30" s="44">
        <v>0</v>
      </c>
      <c r="AH30" s="44">
        <v>482</v>
      </c>
      <c r="AI30" s="32"/>
      <c r="AJ30" s="32"/>
      <c r="AK30" s="32"/>
      <c r="AL30" s="32"/>
      <c r="AM30" s="44">
        <v>29</v>
      </c>
      <c r="AN30" s="44">
        <v>480</v>
      </c>
      <c r="AO30" s="44">
        <v>253</v>
      </c>
      <c r="AP30" s="48"/>
      <c r="AQ30" s="48"/>
      <c r="AR30" s="51"/>
      <c r="AS30" s="51"/>
      <c r="AT30" s="51"/>
      <c r="AU30" s="51"/>
      <c r="AV30" s="51"/>
      <c r="AW30" s="50"/>
      <c r="AX30" s="50"/>
      <c r="AY30" s="43">
        <v>549</v>
      </c>
      <c r="AZ30" s="43">
        <v>218</v>
      </c>
      <c r="BA30" s="50"/>
      <c r="BB30" s="50"/>
      <c r="BC30" s="50"/>
      <c r="BD30" s="50"/>
      <c r="BE30" s="43">
        <v>199</v>
      </c>
      <c r="BF30" s="43">
        <v>587</v>
      </c>
      <c r="BG30" s="43">
        <v>236</v>
      </c>
      <c r="BH30" s="43">
        <v>549</v>
      </c>
      <c r="BI30" s="43">
        <v>274</v>
      </c>
      <c r="BJ30" s="43">
        <v>501</v>
      </c>
      <c r="BK30" s="43">
        <v>541</v>
      </c>
      <c r="BL30" s="43">
        <v>237</v>
      </c>
      <c r="BM30" s="43">
        <v>201</v>
      </c>
      <c r="BN30" s="43">
        <v>546</v>
      </c>
      <c r="BO30" s="43">
        <v>505</v>
      </c>
      <c r="BP30" s="43">
        <v>245</v>
      </c>
      <c r="BQ30" s="43">
        <v>288</v>
      </c>
      <c r="BR30" s="43">
        <v>475</v>
      </c>
      <c r="BS30" s="43">
        <v>376</v>
      </c>
      <c r="BT30" s="43">
        <v>165</v>
      </c>
      <c r="BU30" s="43">
        <v>601</v>
      </c>
      <c r="BV30" s="43">
        <v>436</v>
      </c>
      <c r="BW30" s="43">
        <v>306</v>
      </c>
      <c r="BX30" s="43">
        <v>330</v>
      </c>
      <c r="BY30" s="43">
        <v>274</v>
      </c>
      <c r="BZ30" s="43">
        <v>410</v>
      </c>
      <c r="CA30" s="43">
        <v>394</v>
      </c>
      <c r="CB30" s="43">
        <v>236</v>
      </c>
      <c r="CC30" s="43">
        <v>405</v>
      </c>
      <c r="CD30" s="43">
        <v>461</v>
      </c>
      <c r="CE30" s="43">
        <v>405</v>
      </c>
      <c r="CF30" s="43">
        <v>235</v>
      </c>
      <c r="CG30" s="43">
        <v>278</v>
      </c>
      <c r="CH30" s="43">
        <v>330</v>
      </c>
      <c r="CI30" s="43">
        <v>292</v>
      </c>
      <c r="CJ30" s="43">
        <v>336</v>
      </c>
      <c r="CK30" s="43">
        <v>299</v>
      </c>
      <c r="CL30" s="43">
        <v>335</v>
      </c>
      <c r="CM30" s="43">
        <v>358</v>
      </c>
      <c r="CN30" s="43">
        <v>379</v>
      </c>
      <c r="CO30" s="43">
        <v>338</v>
      </c>
      <c r="CP30" s="43">
        <v>297</v>
      </c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43">
        <v>493</v>
      </c>
      <c r="FZ30" s="43">
        <v>291</v>
      </c>
      <c r="GA30" s="53"/>
      <c r="GB30" s="53"/>
      <c r="GC30" s="53"/>
      <c r="GD30" s="53"/>
      <c r="GE30" s="53"/>
      <c r="GF30" s="53"/>
      <c r="GG30" s="53"/>
      <c r="GH30" s="53"/>
      <c r="GI30" s="43"/>
      <c r="GJ30" s="53"/>
      <c r="GK30" s="53"/>
      <c r="GL30" s="53"/>
      <c r="GM30" s="53"/>
      <c r="GN30" s="53"/>
      <c r="GO30" s="43">
        <v>571</v>
      </c>
      <c r="GP30" s="43">
        <v>205</v>
      </c>
      <c r="GQ30" s="43">
        <v>616</v>
      </c>
      <c r="GR30" s="43">
        <v>166</v>
      </c>
    </row>
    <row r="31" spans="1:200">
      <c r="A31" s="5">
        <v>304</v>
      </c>
      <c r="B31" s="1" t="s">
        <v>159</v>
      </c>
      <c r="C31" s="33">
        <v>1697</v>
      </c>
      <c r="D31" s="34">
        <v>942</v>
      </c>
      <c r="E31" s="19">
        <f t="shared" si="0"/>
        <v>0.55509723040659986</v>
      </c>
      <c r="F31" s="62">
        <v>866</v>
      </c>
      <c r="G31" s="43">
        <v>1</v>
      </c>
      <c r="H31" s="43">
        <v>5</v>
      </c>
      <c r="I31" s="43">
        <v>9</v>
      </c>
      <c r="J31" s="55">
        <v>37</v>
      </c>
      <c r="K31" s="6">
        <v>0</v>
      </c>
      <c r="L31" s="6">
        <v>0</v>
      </c>
      <c r="M31" s="43">
        <v>0</v>
      </c>
      <c r="N31" s="25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3</v>
      </c>
      <c r="X31" s="43">
        <v>0</v>
      </c>
      <c r="Y31" s="43">
        <v>0</v>
      </c>
      <c r="Z31" s="43">
        <v>0</v>
      </c>
      <c r="AA31" s="44">
        <v>0</v>
      </c>
      <c r="AB31" s="44">
        <v>0</v>
      </c>
      <c r="AC31" s="44">
        <v>10</v>
      </c>
      <c r="AD31" s="44">
        <v>22</v>
      </c>
      <c r="AE31" s="44">
        <v>112</v>
      </c>
      <c r="AF31" s="44">
        <v>11</v>
      </c>
      <c r="AG31" s="44">
        <v>0</v>
      </c>
      <c r="AH31" s="44">
        <v>735</v>
      </c>
      <c r="AI31" s="44">
        <v>87</v>
      </c>
      <c r="AJ31" s="44">
        <v>0</v>
      </c>
      <c r="AK31" s="44">
        <v>0</v>
      </c>
      <c r="AL31" s="44">
        <v>796</v>
      </c>
      <c r="AM31" s="48"/>
      <c r="AN31" s="48"/>
      <c r="AO31" s="48"/>
      <c r="AP31" s="48"/>
      <c r="AQ31" s="48"/>
      <c r="AR31" s="51"/>
      <c r="AS31" s="51"/>
      <c r="AT31" s="51"/>
      <c r="AU31" s="51"/>
      <c r="AV31" s="51"/>
      <c r="AW31" s="50"/>
      <c r="AX31" s="50"/>
      <c r="AY31" s="43">
        <v>813</v>
      </c>
      <c r="AZ31" s="43">
        <v>58</v>
      </c>
      <c r="BA31" s="50"/>
      <c r="BB31" s="50"/>
      <c r="BC31" s="50"/>
      <c r="BD31" s="50"/>
      <c r="BE31" s="43">
        <v>51</v>
      </c>
      <c r="BF31" s="43">
        <v>833</v>
      </c>
      <c r="BG31" s="43">
        <v>62</v>
      </c>
      <c r="BH31" s="43">
        <v>820</v>
      </c>
      <c r="BI31" s="43">
        <v>97</v>
      </c>
      <c r="BJ31" s="43">
        <v>791</v>
      </c>
      <c r="BK31" s="43">
        <v>790</v>
      </c>
      <c r="BL31" s="43">
        <v>93</v>
      </c>
      <c r="BM31" s="43">
        <v>51</v>
      </c>
      <c r="BN31" s="43">
        <v>813</v>
      </c>
      <c r="BO31" s="43">
        <v>788</v>
      </c>
      <c r="BP31" s="43">
        <v>73</v>
      </c>
      <c r="BQ31" s="43">
        <v>79</v>
      </c>
      <c r="BR31" s="43">
        <v>771</v>
      </c>
      <c r="BS31" s="43">
        <v>270</v>
      </c>
      <c r="BT31" s="43">
        <v>46</v>
      </c>
      <c r="BU31" s="43">
        <v>831</v>
      </c>
      <c r="BV31" s="43">
        <v>424</v>
      </c>
      <c r="BW31" s="43">
        <v>229</v>
      </c>
      <c r="BX31" s="43">
        <v>477</v>
      </c>
      <c r="BY31" s="43">
        <v>203</v>
      </c>
      <c r="BZ31" s="43">
        <v>565</v>
      </c>
      <c r="CA31" s="43">
        <v>354</v>
      </c>
      <c r="CB31" s="43">
        <v>113</v>
      </c>
      <c r="CC31" s="43">
        <v>588</v>
      </c>
      <c r="CD31" s="43">
        <v>497</v>
      </c>
      <c r="CE31" s="43">
        <v>554</v>
      </c>
      <c r="CF31" s="43">
        <v>148</v>
      </c>
      <c r="CG31" s="43">
        <v>171</v>
      </c>
      <c r="CH31" s="43">
        <v>491</v>
      </c>
      <c r="CI31" s="43">
        <v>474</v>
      </c>
      <c r="CJ31" s="43">
        <v>240</v>
      </c>
      <c r="CK31" s="43">
        <v>273</v>
      </c>
      <c r="CL31" s="43">
        <v>447</v>
      </c>
      <c r="CM31" s="43">
        <v>359</v>
      </c>
      <c r="CN31" s="43">
        <v>394</v>
      </c>
      <c r="CO31" s="43">
        <v>503</v>
      </c>
      <c r="CP31" s="43">
        <v>225</v>
      </c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43">
        <v>675</v>
      </c>
      <c r="FZ31" s="43">
        <v>189</v>
      </c>
      <c r="GA31" s="53"/>
      <c r="GB31" s="53"/>
      <c r="GC31" s="53"/>
      <c r="GD31" s="53"/>
      <c r="GE31" s="53"/>
      <c r="GF31" s="53"/>
      <c r="GG31" s="53"/>
      <c r="GH31" s="53"/>
      <c r="GI31" s="43"/>
      <c r="GJ31" s="53"/>
      <c r="GK31" s="53"/>
      <c r="GL31" s="53"/>
      <c r="GM31" s="53"/>
      <c r="GN31" s="53"/>
      <c r="GO31" s="43">
        <v>597</v>
      </c>
      <c r="GP31" s="43">
        <v>237</v>
      </c>
      <c r="GQ31" s="43">
        <v>699</v>
      </c>
      <c r="GR31" s="43">
        <v>157</v>
      </c>
    </row>
    <row r="32" spans="1:200">
      <c r="A32" s="5">
        <v>305</v>
      </c>
      <c r="B32" s="1" t="s">
        <v>160</v>
      </c>
      <c r="C32" s="33">
        <v>1457</v>
      </c>
      <c r="D32" s="34">
        <v>820</v>
      </c>
      <c r="E32" s="19">
        <f t="shared" si="0"/>
        <v>0.56280027453671932</v>
      </c>
      <c r="F32" s="62">
        <v>777</v>
      </c>
      <c r="G32" s="43">
        <v>3</v>
      </c>
      <c r="H32" s="43">
        <v>4</v>
      </c>
      <c r="I32" s="43">
        <v>5</v>
      </c>
      <c r="J32" s="55">
        <v>17</v>
      </c>
      <c r="K32" s="6">
        <v>0</v>
      </c>
      <c r="L32" s="6">
        <v>0</v>
      </c>
      <c r="M32" s="43">
        <v>0</v>
      </c>
      <c r="N32" s="25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4">
        <v>0</v>
      </c>
      <c r="AB32" s="44">
        <v>0</v>
      </c>
      <c r="AC32" s="44">
        <v>9</v>
      </c>
      <c r="AD32" s="44">
        <v>15</v>
      </c>
      <c r="AE32" s="44">
        <v>62</v>
      </c>
      <c r="AF32" s="44">
        <v>11</v>
      </c>
      <c r="AG32" s="44">
        <v>0</v>
      </c>
      <c r="AH32" s="44">
        <v>683</v>
      </c>
      <c r="AI32" s="44">
        <v>57</v>
      </c>
      <c r="AJ32" s="44">
        <v>0</v>
      </c>
      <c r="AK32" s="44">
        <v>0</v>
      </c>
      <c r="AL32" s="44">
        <v>722</v>
      </c>
      <c r="AM32" s="48"/>
      <c r="AN32" s="48"/>
      <c r="AO32" s="48"/>
      <c r="AP32" s="48"/>
      <c r="AQ32" s="48"/>
      <c r="AR32" s="51"/>
      <c r="AS32" s="51"/>
      <c r="AT32" s="51"/>
      <c r="AU32" s="51"/>
      <c r="AV32" s="51"/>
      <c r="AW32" s="50"/>
      <c r="AX32" s="50"/>
      <c r="AY32" s="43">
        <v>746</v>
      </c>
      <c r="AZ32" s="43">
        <v>31</v>
      </c>
      <c r="BA32" s="50"/>
      <c r="BB32" s="50"/>
      <c r="BC32" s="50"/>
      <c r="BD32" s="50"/>
      <c r="BE32" s="43">
        <v>24</v>
      </c>
      <c r="BF32" s="43">
        <v>750</v>
      </c>
      <c r="BG32" s="43">
        <v>51</v>
      </c>
      <c r="BH32" s="43">
        <v>721</v>
      </c>
      <c r="BI32" s="43">
        <v>68</v>
      </c>
      <c r="BJ32" s="43">
        <v>716</v>
      </c>
      <c r="BK32" s="43">
        <v>701</v>
      </c>
      <c r="BL32" s="43">
        <v>69</v>
      </c>
      <c r="BM32" s="43">
        <v>28</v>
      </c>
      <c r="BN32" s="43">
        <v>732</v>
      </c>
      <c r="BO32" s="43">
        <v>716</v>
      </c>
      <c r="BP32" s="43">
        <v>39</v>
      </c>
      <c r="BQ32" s="43">
        <v>55</v>
      </c>
      <c r="BR32" s="43">
        <v>710</v>
      </c>
      <c r="BS32" s="43">
        <v>214</v>
      </c>
      <c r="BT32" s="43">
        <v>24</v>
      </c>
      <c r="BU32" s="43">
        <v>752</v>
      </c>
      <c r="BV32" s="43">
        <v>362</v>
      </c>
      <c r="BW32" s="43">
        <v>171</v>
      </c>
      <c r="BX32" s="43">
        <v>452</v>
      </c>
      <c r="BY32" s="43">
        <v>167</v>
      </c>
      <c r="BZ32" s="43">
        <v>530</v>
      </c>
      <c r="CA32" s="43">
        <v>310</v>
      </c>
      <c r="CB32" s="43">
        <v>92</v>
      </c>
      <c r="CC32" s="43">
        <v>547</v>
      </c>
      <c r="CD32" s="43">
        <v>430</v>
      </c>
      <c r="CE32" s="43">
        <v>523</v>
      </c>
      <c r="CF32" s="43">
        <v>111</v>
      </c>
      <c r="CG32" s="43">
        <v>150</v>
      </c>
      <c r="CH32" s="43">
        <v>440</v>
      </c>
      <c r="CI32" s="43">
        <v>417</v>
      </c>
      <c r="CJ32" s="43">
        <v>206</v>
      </c>
      <c r="CK32" s="43">
        <v>242</v>
      </c>
      <c r="CL32" s="43">
        <v>413</v>
      </c>
      <c r="CM32" s="43">
        <v>299</v>
      </c>
      <c r="CN32" s="43">
        <v>364</v>
      </c>
      <c r="CO32" s="43">
        <v>462</v>
      </c>
      <c r="CP32" s="43">
        <v>198</v>
      </c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43">
        <v>576</v>
      </c>
      <c r="FZ32" s="43">
        <v>202</v>
      </c>
      <c r="GA32" s="53"/>
      <c r="GB32" s="53"/>
      <c r="GC32" s="53"/>
      <c r="GD32" s="53"/>
      <c r="GE32" s="53"/>
      <c r="GF32" s="53"/>
      <c r="GG32" s="53"/>
      <c r="GH32" s="53"/>
      <c r="GI32" s="43"/>
      <c r="GJ32" s="53"/>
      <c r="GK32" s="53"/>
      <c r="GL32" s="53"/>
      <c r="GM32" s="53"/>
      <c r="GN32" s="53"/>
      <c r="GO32" s="43">
        <v>507</v>
      </c>
      <c r="GP32" s="43">
        <v>249</v>
      </c>
      <c r="GQ32" s="43">
        <v>609</v>
      </c>
      <c r="GR32" s="43">
        <v>159</v>
      </c>
    </row>
    <row r="33" spans="1:200">
      <c r="A33" s="5">
        <v>401</v>
      </c>
      <c r="B33" s="1" t="s">
        <v>161</v>
      </c>
      <c r="C33" s="33">
        <v>907</v>
      </c>
      <c r="D33" s="34">
        <v>739</v>
      </c>
      <c r="E33" s="19">
        <f t="shared" si="0"/>
        <v>0.81477398015435498</v>
      </c>
      <c r="F33" s="62">
        <v>497</v>
      </c>
      <c r="G33" s="43">
        <v>1</v>
      </c>
      <c r="H33" s="43">
        <v>21</v>
      </c>
      <c r="I33" s="43">
        <v>4</v>
      </c>
      <c r="J33" s="55">
        <v>197</v>
      </c>
      <c r="K33" s="6">
        <v>0</v>
      </c>
      <c r="L33" s="6">
        <v>0</v>
      </c>
      <c r="M33" s="43">
        <v>0</v>
      </c>
      <c r="N33" s="25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4</v>
      </c>
      <c r="X33" s="43">
        <v>0</v>
      </c>
      <c r="Y33" s="43">
        <v>0</v>
      </c>
      <c r="Z33" s="43">
        <v>0</v>
      </c>
      <c r="AA33" s="44">
        <v>0</v>
      </c>
      <c r="AB33" s="44">
        <v>0</v>
      </c>
      <c r="AC33" s="44">
        <v>6</v>
      </c>
      <c r="AD33" s="44">
        <v>9</v>
      </c>
      <c r="AE33" s="44">
        <v>326</v>
      </c>
      <c r="AF33" s="44">
        <v>2</v>
      </c>
      <c r="AG33" s="44">
        <v>0</v>
      </c>
      <c r="AH33" s="44">
        <v>375</v>
      </c>
      <c r="AI33" s="32"/>
      <c r="AJ33" s="32"/>
      <c r="AK33" s="32"/>
      <c r="AL33" s="32"/>
      <c r="AM33" s="44">
        <v>44</v>
      </c>
      <c r="AN33" s="44">
        <v>340</v>
      </c>
      <c r="AO33" s="44">
        <v>297</v>
      </c>
      <c r="AP33" s="48"/>
      <c r="AQ33" s="48"/>
      <c r="AR33" s="51"/>
      <c r="AS33" s="51"/>
      <c r="AT33" s="51"/>
      <c r="AU33" s="51"/>
      <c r="AV33" s="51"/>
      <c r="AW33" s="50"/>
      <c r="AX33" s="50"/>
      <c r="AY33" s="43">
        <v>425</v>
      </c>
      <c r="AZ33" s="43">
        <v>248</v>
      </c>
      <c r="BA33" s="50"/>
      <c r="BB33" s="50"/>
      <c r="BC33" s="50"/>
      <c r="BD33" s="50"/>
      <c r="BE33" s="43">
        <v>210</v>
      </c>
      <c r="BF33" s="43">
        <v>473</v>
      </c>
      <c r="BG33" s="43">
        <v>258</v>
      </c>
      <c r="BH33" s="43">
        <v>434</v>
      </c>
      <c r="BI33" s="43">
        <v>307</v>
      </c>
      <c r="BJ33" s="43">
        <v>364</v>
      </c>
      <c r="BK33" s="43">
        <v>436</v>
      </c>
      <c r="BL33" s="43">
        <v>239</v>
      </c>
      <c r="BM33" s="43">
        <v>227</v>
      </c>
      <c r="BN33" s="43">
        <v>447</v>
      </c>
      <c r="BO33" s="43">
        <v>383</v>
      </c>
      <c r="BP33" s="43">
        <v>272</v>
      </c>
      <c r="BQ33" s="43">
        <v>311</v>
      </c>
      <c r="BR33" s="43">
        <v>348</v>
      </c>
      <c r="BS33" s="43">
        <v>384</v>
      </c>
      <c r="BT33" s="43">
        <v>183</v>
      </c>
      <c r="BU33" s="43">
        <v>484</v>
      </c>
      <c r="BV33" s="43">
        <v>407</v>
      </c>
      <c r="BW33" s="43">
        <v>268</v>
      </c>
      <c r="BX33" s="43">
        <v>251</v>
      </c>
      <c r="BY33" s="43">
        <v>266</v>
      </c>
      <c r="BZ33" s="43">
        <v>308</v>
      </c>
      <c r="CA33" s="43">
        <v>362</v>
      </c>
      <c r="CB33" s="43">
        <v>201</v>
      </c>
      <c r="CC33" s="43">
        <v>310</v>
      </c>
      <c r="CD33" s="43">
        <v>389</v>
      </c>
      <c r="CE33" s="43">
        <v>315</v>
      </c>
      <c r="CF33" s="43">
        <v>219</v>
      </c>
      <c r="CG33" s="43">
        <v>255</v>
      </c>
      <c r="CH33" s="43">
        <v>259</v>
      </c>
      <c r="CI33" s="43">
        <v>193</v>
      </c>
      <c r="CJ33" s="43">
        <v>314</v>
      </c>
      <c r="CK33" s="43">
        <v>243</v>
      </c>
      <c r="CL33" s="43">
        <v>267</v>
      </c>
      <c r="CM33" s="43">
        <v>329</v>
      </c>
      <c r="CN33" s="43">
        <v>337</v>
      </c>
      <c r="CO33" s="43">
        <v>231</v>
      </c>
      <c r="CP33" s="43">
        <v>265</v>
      </c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43">
        <v>377</v>
      </c>
      <c r="FZ33" s="43">
        <v>319</v>
      </c>
      <c r="GA33" s="53"/>
      <c r="GB33" s="53"/>
      <c r="GC33" s="53"/>
      <c r="GD33" s="53"/>
      <c r="GE33" s="53"/>
      <c r="GF33" s="53"/>
      <c r="GG33" s="53"/>
      <c r="GH33" s="53"/>
      <c r="GI33" s="43"/>
      <c r="GJ33" s="53"/>
      <c r="GK33" s="53"/>
      <c r="GL33" s="53"/>
      <c r="GM33" s="53"/>
      <c r="GN33" s="53"/>
      <c r="GO33" s="43">
        <v>499</v>
      </c>
      <c r="GP33" s="43">
        <v>194</v>
      </c>
      <c r="GQ33" s="43">
        <v>519</v>
      </c>
      <c r="GR33" s="43">
        <v>179</v>
      </c>
    </row>
    <row r="34" spans="1:200">
      <c r="A34" s="5">
        <v>402</v>
      </c>
      <c r="B34" s="1" t="s">
        <v>162</v>
      </c>
      <c r="C34" s="33">
        <v>1034</v>
      </c>
      <c r="D34" s="34">
        <v>831</v>
      </c>
      <c r="E34" s="19">
        <f t="shared" si="0"/>
        <v>0.80367504835589942</v>
      </c>
      <c r="F34" s="62">
        <v>506</v>
      </c>
      <c r="G34" s="43">
        <v>1</v>
      </c>
      <c r="H34" s="43">
        <v>46</v>
      </c>
      <c r="I34" s="43">
        <v>3</v>
      </c>
      <c r="J34" s="55">
        <v>246</v>
      </c>
      <c r="K34" s="6">
        <v>0</v>
      </c>
      <c r="L34" s="6">
        <v>0</v>
      </c>
      <c r="M34" s="43">
        <v>0</v>
      </c>
      <c r="N34" s="25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4</v>
      </c>
      <c r="X34" s="43">
        <v>0</v>
      </c>
      <c r="Y34" s="43">
        <v>0</v>
      </c>
      <c r="Z34" s="43">
        <v>0</v>
      </c>
      <c r="AA34" s="44">
        <v>0</v>
      </c>
      <c r="AB34" s="44">
        <v>0</v>
      </c>
      <c r="AC34" s="44">
        <v>9</v>
      </c>
      <c r="AD34" s="44">
        <v>10</v>
      </c>
      <c r="AE34" s="44">
        <v>406</v>
      </c>
      <c r="AF34" s="44">
        <v>6</v>
      </c>
      <c r="AG34" s="44">
        <v>0</v>
      </c>
      <c r="AH34" s="44">
        <v>366</v>
      </c>
      <c r="AI34" s="32"/>
      <c r="AJ34" s="32"/>
      <c r="AK34" s="32"/>
      <c r="AL34" s="32"/>
      <c r="AM34" s="44">
        <v>47</v>
      </c>
      <c r="AN34" s="44">
        <v>322</v>
      </c>
      <c r="AO34" s="44">
        <v>409</v>
      </c>
      <c r="AP34" s="48"/>
      <c r="AQ34" s="48"/>
      <c r="AR34" s="51"/>
      <c r="AS34" s="51"/>
      <c r="AT34" s="51"/>
      <c r="AU34" s="51"/>
      <c r="AV34" s="51"/>
      <c r="AW34" s="50"/>
      <c r="AX34" s="50"/>
      <c r="AY34" s="43">
        <v>416</v>
      </c>
      <c r="AZ34" s="43">
        <v>341</v>
      </c>
      <c r="BA34" s="50"/>
      <c r="BB34" s="50"/>
      <c r="BC34" s="50"/>
      <c r="BD34" s="50"/>
      <c r="BE34" s="43">
        <v>330</v>
      </c>
      <c r="BF34" s="43">
        <v>429</v>
      </c>
      <c r="BG34" s="43">
        <v>357</v>
      </c>
      <c r="BH34" s="43">
        <v>417</v>
      </c>
      <c r="BI34" s="43">
        <v>405</v>
      </c>
      <c r="BJ34" s="43">
        <v>348</v>
      </c>
      <c r="BK34" s="43">
        <v>449</v>
      </c>
      <c r="BL34" s="43">
        <v>312</v>
      </c>
      <c r="BM34" s="43">
        <v>307</v>
      </c>
      <c r="BN34" s="43">
        <v>428</v>
      </c>
      <c r="BO34" s="43">
        <v>384</v>
      </c>
      <c r="BP34" s="43">
        <v>334</v>
      </c>
      <c r="BQ34" s="43">
        <v>403</v>
      </c>
      <c r="BR34" s="43">
        <v>323</v>
      </c>
      <c r="BS34" s="43">
        <v>483</v>
      </c>
      <c r="BT34" s="43">
        <v>256</v>
      </c>
      <c r="BU34" s="43">
        <v>469</v>
      </c>
      <c r="BV34" s="43">
        <v>468</v>
      </c>
      <c r="BW34" s="43">
        <v>289</v>
      </c>
      <c r="BX34" s="43">
        <v>258</v>
      </c>
      <c r="BY34" s="43">
        <v>306</v>
      </c>
      <c r="BZ34" s="43">
        <v>301</v>
      </c>
      <c r="CA34" s="43">
        <v>415</v>
      </c>
      <c r="CB34" s="43">
        <v>269</v>
      </c>
      <c r="CC34" s="43">
        <v>276</v>
      </c>
      <c r="CD34" s="43">
        <v>432</v>
      </c>
      <c r="CE34" s="43">
        <v>311</v>
      </c>
      <c r="CF34" s="43">
        <v>239</v>
      </c>
      <c r="CG34" s="43">
        <v>283</v>
      </c>
      <c r="CH34" s="43">
        <v>249</v>
      </c>
      <c r="CI34" s="43">
        <v>173</v>
      </c>
      <c r="CJ34" s="43">
        <v>372</v>
      </c>
      <c r="CK34" s="43">
        <v>271</v>
      </c>
      <c r="CL34" s="43">
        <v>259</v>
      </c>
      <c r="CM34" s="43">
        <v>379</v>
      </c>
      <c r="CN34" s="43">
        <v>391</v>
      </c>
      <c r="CO34" s="43">
        <v>222</v>
      </c>
      <c r="CP34" s="43">
        <v>304</v>
      </c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43">
        <v>423</v>
      </c>
      <c r="FZ34" s="43">
        <v>358</v>
      </c>
      <c r="GA34" s="53"/>
      <c r="GB34" s="53"/>
      <c r="GC34" s="53"/>
      <c r="GD34" s="53"/>
      <c r="GE34" s="53"/>
      <c r="GF34" s="53"/>
      <c r="GG34" s="53"/>
      <c r="GH34" s="53"/>
      <c r="GI34" s="43"/>
      <c r="GJ34" s="53"/>
      <c r="GK34" s="53"/>
      <c r="GL34" s="53"/>
      <c r="GM34" s="53"/>
      <c r="GN34" s="53"/>
      <c r="GO34" s="43">
        <v>616</v>
      </c>
      <c r="GP34" s="43">
        <v>178</v>
      </c>
      <c r="GQ34" s="43">
        <v>592</v>
      </c>
      <c r="GR34" s="43">
        <v>188</v>
      </c>
    </row>
    <row r="35" spans="1:200">
      <c r="A35" s="5">
        <v>403</v>
      </c>
      <c r="B35" s="1" t="s">
        <v>163</v>
      </c>
      <c r="C35" s="33">
        <v>848</v>
      </c>
      <c r="D35" s="34">
        <v>636</v>
      </c>
      <c r="E35" s="19">
        <f t="shared" si="0"/>
        <v>0.75</v>
      </c>
      <c r="F35" s="62">
        <v>444</v>
      </c>
      <c r="G35" s="43">
        <v>1</v>
      </c>
      <c r="H35" s="43">
        <v>28</v>
      </c>
      <c r="I35" s="43">
        <v>5</v>
      </c>
      <c r="J35" s="55">
        <v>138</v>
      </c>
      <c r="K35" s="6">
        <v>0</v>
      </c>
      <c r="L35" s="6">
        <v>0</v>
      </c>
      <c r="M35" s="43">
        <v>0</v>
      </c>
      <c r="N35" s="25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1</v>
      </c>
      <c r="W35" s="43">
        <v>4</v>
      </c>
      <c r="X35" s="43">
        <v>0</v>
      </c>
      <c r="Y35" s="43">
        <v>0</v>
      </c>
      <c r="Z35" s="43">
        <v>0</v>
      </c>
      <c r="AA35" s="44">
        <v>0</v>
      </c>
      <c r="AB35" s="44">
        <v>0</v>
      </c>
      <c r="AC35" s="44">
        <v>4</v>
      </c>
      <c r="AD35" s="44">
        <v>13</v>
      </c>
      <c r="AE35" s="44">
        <v>260</v>
      </c>
      <c r="AF35" s="44">
        <v>1</v>
      </c>
      <c r="AG35" s="44">
        <v>0</v>
      </c>
      <c r="AH35" s="44">
        <v>335</v>
      </c>
      <c r="AI35" s="32"/>
      <c r="AJ35" s="32"/>
      <c r="AK35" s="32"/>
      <c r="AL35" s="32"/>
      <c r="AM35" s="44">
        <v>45</v>
      </c>
      <c r="AN35" s="44">
        <v>298</v>
      </c>
      <c r="AO35" s="44">
        <v>252</v>
      </c>
      <c r="AP35" s="48"/>
      <c r="AQ35" s="48"/>
      <c r="AR35" s="51"/>
      <c r="AS35" s="51"/>
      <c r="AT35" s="51"/>
      <c r="AU35" s="51"/>
      <c r="AV35" s="51"/>
      <c r="AW35" s="50"/>
      <c r="AX35" s="50"/>
      <c r="AY35" s="43">
        <v>375</v>
      </c>
      <c r="AZ35" s="43">
        <v>210</v>
      </c>
      <c r="BA35" s="50"/>
      <c r="BB35" s="50"/>
      <c r="BC35" s="50"/>
      <c r="BD35" s="50"/>
      <c r="BE35" s="43">
        <v>195</v>
      </c>
      <c r="BF35" s="43">
        <v>393</v>
      </c>
      <c r="BG35" s="43">
        <v>218</v>
      </c>
      <c r="BH35" s="43">
        <v>374</v>
      </c>
      <c r="BI35" s="43">
        <v>268</v>
      </c>
      <c r="BJ35" s="43">
        <v>309</v>
      </c>
      <c r="BK35" s="43">
        <v>392</v>
      </c>
      <c r="BL35" s="43">
        <v>196</v>
      </c>
      <c r="BM35" s="43">
        <v>179</v>
      </c>
      <c r="BN35" s="43">
        <v>391</v>
      </c>
      <c r="BO35" s="43">
        <v>344</v>
      </c>
      <c r="BP35" s="43">
        <v>215</v>
      </c>
      <c r="BQ35" s="43">
        <v>253</v>
      </c>
      <c r="BR35" s="43">
        <v>316</v>
      </c>
      <c r="BS35" s="43">
        <v>361</v>
      </c>
      <c r="BT35" s="43">
        <v>163</v>
      </c>
      <c r="BU35" s="43">
        <v>402</v>
      </c>
      <c r="BV35" s="43">
        <v>373</v>
      </c>
      <c r="BW35" s="43">
        <v>218</v>
      </c>
      <c r="BX35" s="43">
        <v>246</v>
      </c>
      <c r="BY35" s="43">
        <v>194</v>
      </c>
      <c r="BZ35" s="43">
        <v>312</v>
      </c>
      <c r="CA35" s="43">
        <v>328</v>
      </c>
      <c r="CB35" s="43">
        <v>180</v>
      </c>
      <c r="CC35" s="43">
        <v>288</v>
      </c>
      <c r="CD35" s="43">
        <v>349</v>
      </c>
      <c r="CE35" s="43">
        <v>280</v>
      </c>
      <c r="CF35" s="43">
        <v>167</v>
      </c>
      <c r="CG35" s="43">
        <v>204</v>
      </c>
      <c r="CH35" s="43">
        <v>250</v>
      </c>
      <c r="CI35" s="43">
        <v>199</v>
      </c>
      <c r="CJ35" s="43">
        <v>243</v>
      </c>
      <c r="CK35" s="43">
        <v>209</v>
      </c>
      <c r="CL35" s="43">
        <v>232</v>
      </c>
      <c r="CM35" s="43">
        <v>307</v>
      </c>
      <c r="CN35" s="43">
        <v>304</v>
      </c>
      <c r="CO35" s="43">
        <v>213</v>
      </c>
      <c r="CP35" s="43">
        <v>235</v>
      </c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43">
        <v>375</v>
      </c>
      <c r="FZ35" s="43">
        <v>227</v>
      </c>
      <c r="GA35" s="53"/>
      <c r="GB35" s="53"/>
      <c r="GC35" s="53"/>
      <c r="GD35" s="53"/>
      <c r="GE35" s="53"/>
      <c r="GF35" s="53"/>
      <c r="GG35" s="53"/>
      <c r="GH35" s="53"/>
      <c r="GI35" s="43"/>
      <c r="GJ35" s="53"/>
      <c r="GK35" s="53"/>
      <c r="GL35" s="53"/>
      <c r="GM35" s="53"/>
      <c r="GN35" s="53"/>
      <c r="GO35" s="43">
        <v>477</v>
      </c>
      <c r="GP35" s="43">
        <v>131</v>
      </c>
      <c r="GQ35" s="43">
        <v>479</v>
      </c>
      <c r="GR35" s="43">
        <v>119</v>
      </c>
    </row>
    <row r="36" spans="1:200">
      <c r="A36" s="5">
        <v>404</v>
      </c>
      <c r="B36" s="1" t="s">
        <v>164</v>
      </c>
      <c r="C36" s="33">
        <v>1197</v>
      </c>
      <c r="D36" s="34">
        <v>948</v>
      </c>
      <c r="E36" s="19">
        <f t="shared" si="0"/>
        <v>0.79197994987468667</v>
      </c>
      <c r="F36" s="62">
        <v>577</v>
      </c>
      <c r="G36" s="43">
        <v>2</v>
      </c>
      <c r="H36" s="43">
        <v>47</v>
      </c>
      <c r="I36" s="43">
        <v>9</v>
      </c>
      <c r="J36" s="55">
        <v>278</v>
      </c>
      <c r="K36" s="6">
        <v>0</v>
      </c>
      <c r="L36" s="6">
        <v>0</v>
      </c>
      <c r="M36" s="43">
        <v>0</v>
      </c>
      <c r="N36" s="25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1</v>
      </c>
      <c r="U36" s="43">
        <v>0</v>
      </c>
      <c r="V36" s="43">
        <v>0</v>
      </c>
      <c r="W36" s="43">
        <v>11</v>
      </c>
      <c r="X36" s="43">
        <v>0</v>
      </c>
      <c r="Y36" s="43">
        <v>0</v>
      </c>
      <c r="Z36" s="43">
        <v>0</v>
      </c>
      <c r="AA36" s="44">
        <v>0</v>
      </c>
      <c r="AB36" s="44">
        <v>0</v>
      </c>
      <c r="AC36" s="44">
        <v>12</v>
      </c>
      <c r="AD36" s="44">
        <v>17</v>
      </c>
      <c r="AE36" s="44">
        <v>477</v>
      </c>
      <c r="AF36" s="44">
        <v>12</v>
      </c>
      <c r="AG36" s="44">
        <v>0</v>
      </c>
      <c r="AH36" s="44">
        <v>393</v>
      </c>
      <c r="AI36" s="32"/>
      <c r="AJ36" s="32"/>
      <c r="AK36" s="32"/>
      <c r="AL36" s="32"/>
      <c r="AM36" s="44">
        <v>51</v>
      </c>
      <c r="AN36" s="44">
        <v>354</v>
      </c>
      <c r="AO36" s="44">
        <v>458</v>
      </c>
      <c r="AP36" s="48"/>
      <c r="AQ36" s="48"/>
      <c r="AR36" s="51"/>
      <c r="AS36" s="51"/>
      <c r="AT36" s="51"/>
      <c r="AU36" s="51"/>
      <c r="AV36" s="51"/>
      <c r="AW36" s="50"/>
      <c r="AX36" s="50"/>
      <c r="AY36" s="43">
        <v>469</v>
      </c>
      <c r="AZ36" s="43">
        <v>394</v>
      </c>
      <c r="BA36" s="50"/>
      <c r="BB36" s="50"/>
      <c r="BC36" s="50"/>
      <c r="BD36" s="50"/>
      <c r="BE36" s="43">
        <v>353</v>
      </c>
      <c r="BF36" s="43">
        <v>493</v>
      </c>
      <c r="BG36" s="43">
        <v>373</v>
      </c>
      <c r="BH36" s="43">
        <v>494</v>
      </c>
      <c r="BI36" s="43">
        <v>476</v>
      </c>
      <c r="BJ36" s="43">
        <v>370</v>
      </c>
      <c r="BK36" s="43">
        <v>543</v>
      </c>
      <c r="BL36" s="43">
        <v>312</v>
      </c>
      <c r="BM36" s="43">
        <v>332</v>
      </c>
      <c r="BN36" s="43">
        <v>498</v>
      </c>
      <c r="BO36" s="43">
        <v>432</v>
      </c>
      <c r="BP36" s="43">
        <v>376</v>
      </c>
      <c r="BQ36" s="43">
        <v>440</v>
      </c>
      <c r="BR36" s="43">
        <v>381</v>
      </c>
      <c r="BS36" s="43">
        <v>536</v>
      </c>
      <c r="BT36" s="43">
        <v>276</v>
      </c>
      <c r="BU36" s="43">
        <v>546</v>
      </c>
      <c r="BV36" s="43">
        <v>524</v>
      </c>
      <c r="BW36" s="43">
        <v>349</v>
      </c>
      <c r="BX36" s="43">
        <v>306</v>
      </c>
      <c r="BY36" s="43">
        <v>348</v>
      </c>
      <c r="BZ36" s="43">
        <v>373</v>
      </c>
      <c r="CA36" s="43">
        <v>458</v>
      </c>
      <c r="CB36" s="43">
        <v>269</v>
      </c>
      <c r="CC36" s="43">
        <v>345</v>
      </c>
      <c r="CD36" s="43">
        <v>496</v>
      </c>
      <c r="CE36" s="43">
        <v>379</v>
      </c>
      <c r="CF36" s="43">
        <v>250</v>
      </c>
      <c r="CG36" s="43">
        <v>313</v>
      </c>
      <c r="CH36" s="43">
        <v>301</v>
      </c>
      <c r="CI36" s="43">
        <v>211</v>
      </c>
      <c r="CJ36" s="43">
        <v>415</v>
      </c>
      <c r="CK36" s="43">
        <v>317</v>
      </c>
      <c r="CL36" s="43">
        <v>290</v>
      </c>
      <c r="CM36" s="43">
        <v>428</v>
      </c>
      <c r="CN36" s="43">
        <v>435</v>
      </c>
      <c r="CO36" s="43">
        <v>278</v>
      </c>
      <c r="CP36" s="43">
        <v>341</v>
      </c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43">
        <v>539</v>
      </c>
      <c r="FZ36" s="43">
        <v>362</v>
      </c>
      <c r="GA36" s="53"/>
      <c r="GB36" s="53"/>
      <c r="GC36" s="53"/>
      <c r="GD36" s="53"/>
      <c r="GE36" s="53"/>
      <c r="GF36" s="53"/>
      <c r="GG36" s="53"/>
      <c r="GH36" s="53"/>
      <c r="GI36" s="43"/>
      <c r="GJ36" s="53"/>
      <c r="GK36" s="53"/>
      <c r="GL36" s="53"/>
      <c r="GM36" s="53"/>
      <c r="GN36" s="53"/>
      <c r="GO36" s="43">
        <v>683</v>
      </c>
      <c r="GP36" s="43">
        <v>214</v>
      </c>
      <c r="GQ36" s="43">
        <v>677</v>
      </c>
      <c r="GR36" s="43">
        <v>215</v>
      </c>
    </row>
    <row r="37" spans="1:200">
      <c r="A37" s="5">
        <v>405</v>
      </c>
      <c r="B37" s="1" t="s">
        <v>165</v>
      </c>
      <c r="C37" s="33">
        <v>1131</v>
      </c>
      <c r="D37" s="34">
        <v>876</v>
      </c>
      <c r="E37" s="19">
        <f t="shared" si="0"/>
        <v>0.77453580901856767</v>
      </c>
      <c r="F37" s="62">
        <v>557</v>
      </c>
      <c r="G37" s="43">
        <v>0</v>
      </c>
      <c r="H37" s="43">
        <v>37</v>
      </c>
      <c r="I37" s="43">
        <v>5</v>
      </c>
      <c r="J37" s="55">
        <v>259</v>
      </c>
      <c r="K37" s="6">
        <v>0</v>
      </c>
      <c r="L37" s="6">
        <v>0</v>
      </c>
      <c r="M37" s="43">
        <v>1</v>
      </c>
      <c r="N37" s="25">
        <v>0</v>
      </c>
      <c r="O37" s="43">
        <v>0</v>
      </c>
      <c r="P37" s="43">
        <v>0</v>
      </c>
      <c r="Q37" s="43">
        <v>0</v>
      </c>
      <c r="R37" s="43">
        <v>0</v>
      </c>
      <c r="S37" s="43">
        <v>1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4">
        <v>0</v>
      </c>
      <c r="AB37" s="44">
        <v>0</v>
      </c>
      <c r="AC37" s="44">
        <v>11</v>
      </c>
      <c r="AD37" s="44">
        <v>18</v>
      </c>
      <c r="AE37" s="44">
        <v>437</v>
      </c>
      <c r="AF37" s="44">
        <v>2</v>
      </c>
      <c r="AG37" s="44">
        <v>0</v>
      </c>
      <c r="AH37" s="44">
        <v>373</v>
      </c>
      <c r="AI37" s="32"/>
      <c r="AJ37" s="32"/>
      <c r="AK37" s="32"/>
      <c r="AL37" s="32"/>
      <c r="AM37" s="44">
        <v>45</v>
      </c>
      <c r="AN37" s="44">
        <v>333</v>
      </c>
      <c r="AO37" s="44">
        <v>423</v>
      </c>
      <c r="AP37" s="48"/>
      <c r="AQ37" s="48"/>
      <c r="AR37" s="51"/>
      <c r="AS37" s="51"/>
      <c r="AT37" s="51"/>
      <c r="AU37" s="51"/>
      <c r="AV37" s="51"/>
      <c r="AW37" s="50"/>
      <c r="AX37" s="50"/>
      <c r="AY37" s="43">
        <v>439</v>
      </c>
      <c r="AZ37" s="43">
        <v>340</v>
      </c>
      <c r="BA37" s="50"/>
      <c r="BB37" s="50"/>
      <c r="BC37" s="50"/>
      <c r="BD37" s="50"/>
      <c r="BE37" s="43">
        <v>320</v>
      </c>
      <c r="BF37" s="43">
        <v>471</v>
      </c>
      <c r="BG37" s="43">
        <v>353</v>
      </c>
      <c r="BH37" s="43">
        <v>446</v>
      </c>
      <c r="BI37" s="43">
        <v>428</v>
      </c>
      <c r="BJ37" s="43">
        <v>354</v>
      </c>
      <c r="BK37" s="43">
        <v>464</v>
      </c>
      <c r="BL37" s="43">
        <v>327</v>
      </c>
      <c r="BM37" s="43">
        <v>296</v>
      </c>
      <c r="BN37" s="43">
        <v>466</v>
      </c>
      <c r="BO37" s="43">
        <v>402</v>
      </c>
      <c r="BP37" s="43">
        <v>339</v>
      </c>
      <c r="BQ37" s="43">
        <v>392</v>
      </c>
      <c r="BR37" s="43">
        <v>356</v>
      </c>
      <c r="BS37" s="43">
        <v>489</v>
      </c>
      <c r="BT37" s="43">
        <v>266</v>
      </c>
      <c r="BU37" s="43">
        <v>494</v>
      </c>
      <c r="BV37" s="43">
        <v>470</v>
      </c>
      <c r="BW37" s="43">
        <v>287</v>
      </c>
      <c r="BX37" s="43">
        <v>279</v>
      </c>
      <c r="BY37" s="43">
        <v>297</v>
      </c>
      <c r="BZ37" s="43">
        <v>323</v>
      </c>
      <c r="CA37" s="43">
        <v>404</v>
      </c>
      <c r="CB37" s="43">
        <v>254</v>
      </c>
      <c r="CC37" s="43">
        <v>310</v>
      </c>
      <c r="CD37" s="43">
        <v>450</v>
      </c>
      <c r="CE37" s="43">
        <v>322</v>
      </c>
      <c r="CF37" s="43">
        <v>229</v>
      </c>
      <c r="CG37" s="43">
        <v>273</v>
      </c>
      <c r="CH37" s="43">
        <v>273</v>
      </c>
      <c r="CI37" s="43">
        <v>196</v>
      </c>
      <c r="CJ37" s="43">
        <v>356</v>
      </c>
      <c r="CK37" s="43">
        <v>267</v>
      </c>
      <c r="CL37" s="43">
        <v>266</v>
      </c>
      <c r="CM37" s="43">
        <v>383</v>
      </c>
      <c r="CN37" s="43">
        <v>384</v>
      </c>
      <c r="CO37" s="43">
        <v>220</v>
      </c>
      <c r="CP37" s="43">
        <v>320</v>
      </c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43">
        <v>489</v>
      </c>
      <c r="FZ37" s="43">
        <v>331</v>
      </c>
      <c r="GA37" s="53"/>
      <c r="GB37" s="53"/>
      <c r="GC37" s="53"/>
      <c r="GD37" s="53"/>
      <c r="GE37" s="53"/>
      <c r="GF37" s="53"/>
      <c r="GG37" s="53"/>
      <c r="GH37" s="53"/>
      <c r="GI37" s="43"/>
      <c r="GJ37" s="53"/>
      <c r="GK37" s="53"/>
      <c r="GL37" s="53"/>
      <c r="GM37" s="53"/>
      <c r="GN37" s="53"/>
      <c r="GO37" s="43">
        <v>646</v>
      </c>
      <c r="GP37" s="43">
        <v>179</v>
      </c>
      <c r="GQ37" s="43">
        <v>631</v>
      </c>
      <c r="GR37" s="43">
        <v>178</v>
      </c>
    </row>
    <row r="38" spans="1:200">
      <c r="A38" s="5">
        <v>406</v>
      </c>
      <c r="B38" s="1" t="s">
        <v>166</v>
      </c>
      <c r="C38" s="33">
        <v>1002</v>
      </c>
      <c r="D38" s="34">
        <v>740</v>
      </c>
      <c r="E38" s="19">
        <f t="shared" si="0"/>
        <v>0.73852295409181634</v>
      </c>
      <c r="F38" s="62">
        <v>467</v>
      </c>
      <c r="G38" s="43">
        <v>1</v>
      </c>
      <c r="H38" s="43">
        <v>28</v>
      </c>
      <c r="I38" s="43">
        <v>2</v>
      </c>
      <c r="J38" s="55">
        <v>220</v>
      </c>
      <c r="K38" s="6">
        <v>0</v>
      </c>
      <c r="L38" s="6">
        <v>0</v>
      </c>
      <c r="M38" s="43">
        <v>0</v>
      </c>
      <c r="N38" s="25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3</v>
      </c>
      <c r="X38" s="43">
        <v>0</v>
      </c>
      <c r="Y38" s="43">
        <v>0</v>
      </c>
      <c r="Z38" s="43">
        <v>0</v>
      </c>
      <c r="AA38" s="44">
        <v>0</v>
      </c>
      <c r="AB38" s="44">
        <v>0</v>
      </c>
      <c r="AC38" s="44">
        <v>0</v>
      </c>
      <c r="AD38" s="44">
        <v>11</v>
      </c>
      <c r="AE38" s="44">
        <v>385</v>
      </c>
      <c r="AF38" s="44">
        <v>2</v>
      </c>
      <c r="AG38" s="44">
        <v>0</v>
      </c>
      <c r="AH38" s="44">
        <v>313</v>
      </c>
      <c r="AI38" s="32"/>
      <c r="AJ38" s="32"/>
      <c r="AK38" s="32"/>
      <c r="AL38" s="32"/>
      <c r="AM38" s="44">
        <v>48</v>
      </c>
      <c r="AN38" s="44">
        <v>255</v>
      </c>
      <c r="AO38" s="44">
        <v>373</v>
      </c>
      <c r="AP38" s="48"/>
      <c r="AQ38" s="48"/>
      <c r="AR38" s="51"/>
      <c r="AS38" s="51"/>
      <c r="AT38" s="51"/>
      <c r="AU38" s="51"/>
      <c r="AV38" s="51"/>
      <c r="AW38" s="50"/>
      <c r="AX38" s="50"/>
      <c r="AY38" s="43">
        <v>355</v>
      </c>
      <c r="AZ38" s="43">
        <v>316</v>
      </c>
      <c r="BA38" s="50"/>
      <c r="BB38" s="50"/>
      <c r="BC38" s="50"/>
      <c r="BD38" s="50"/>
      <c r="BE38" s="43">
        <v>294</v>
      </c>
      <c r="BF38" s="43">
        <v>383</v>
      </c>
      <c r="BG38" s="43">
        <v>321</v>
      </c>
      <c r="BH38" s="43">
        <v>352</v>
      </c>
      <c r="BI38" s="43">
        <v>366</v>
      </c>
      <c r="BJ38" s="43">
        <v>290</v>
      </c>
      <c r="BK38" s="43">
        <v>381</v>
      </c>
      <c r="BL38" s="43">
        <v>290</v>
      </c>
      <c r="BM38" s="43">
        <v>274</v>
      </c>
      <c r="BN38" s="43">
        <v>384</v>
      </c>
      <c r="BO38" s="43">
        <v>334</v>
      </c>
      <c r="BP38" s="43">
        <v>300</v>
      </c>
      <c r="BQ38" s="43">
        <v>356</v>
      </c>
      <c r="BR38" s="43">
        <v>287</v>
      </c>
      <c r="BS38" s="43">
        <v>426</v>
      </c>
      <c r="BT38" s="43">
        <v>235</v>
      </c>
      <c r="BU38" s="43">
        <v>420</v>
      </c>
      <c r="BV38" s="43">
        <v>416</v>
      </c>
      <c r="BW38" s="43">
        <v>262</v>
      </c>
      <c r="BX38" s="43">
        <v>232</v>
      </c>
      <c r="BY38" s="43">
        <v>266</v>
      </c>
      <c r="BZ38" s="43">
        <v>293</v>
      </c>
      <c r="CA38" s="43">
        <v>367</v>
      </c>
      <c r="CB38" s="43">
        <v>238</v>
      </c>
      <c r="CC38" s="43">
        <v>265</v>
      </c>
      <c r="CD38" s="43">
        <v>378</v>
      </c>
      <c r="CE38" s="43">
        <v>287</v>
      </c>
      <c r="CF38" s="43">
        <v>214</v>
      </c>
      <c r="CG38" s="43">
        <v>259</v>
      </c>
      <c r="CH38" s="43">
        <v>216</v>
      </c>
      <c r="CI38" s="43">
        <v>167</v>
      </c>
      <c r="CJ38" s="43">
        <v>312</v>
      </c>
      <c r="CK38" s="43">
        <v>235</v>
      </c>
      <c r="CL38" s="43">
        <v>238</v>
      </c>
      <c r="CM38" s="43">
        <v>342</v>
      </c>
      <c r="CN38" s="43">
        <v>347</v>
      </c>
      <c r="CO38" s="43">
        <v>215</v>
      </c>
      <c r="CP38" s="43">
        <v>269</v>
      </c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43">
        <v>425</v>
      </c>
      <c r="FZ38" s="43">
        <v>264</v>
      </c>
      <c r="GA38" s="53"/>
      <c r="GB38" s="53"/>
      <c r="GC38" s="53"/>
      <c r="GD38" s="53"/>
      <c r="GE38" s="53"/>
      <c r="GF38" s="53"/>
      <c r="GG38" s="53"/>
      <c r="GH38" s="53"/>
      <c r="GI38" s="43"/>
      <c r="GJ38" s="53"/>
      <c r="GK38" s="53"/>
      <c r="GL38" s="53"/>
      <c r="GM38" s="53"/>
      <c r="GN38" s="53"/>
      <c r="GO38" s="43">
        <v>536</v>
      </c>
      <c r="GP38" s="43">
        <v>157</v>
      </c>
      <c r="GQ38" s="43">
        <v>563</v>
      </c>
      <c r="GR38" s="43">
        <v>120</v>
      </c>
    </row>
    <row r="39" spans="1:200">
      <c r="A39" s="5">
        <v>407</v>
      </c>
      <c r="B39" s="1" t="s">
        <v>167</v>
      </c>
      <c r="C39" s="33">
        <v>1241</v>
      </c>
      <c r="D39" s="34">
        <v>1002</v>
      </c>
      <c r="E39" s="19">
        <f t="shared" si="0"/>
        <v>0.80741337630942789</v>
      </c>
      <c r="F39" s="62">
        <v>515</v>
      </c>
      <c r="G39" s="43">
        <v>0</v>
      </c>
      <c r="H39" s="43">
        <v>48</v>
      </c>
      <c r="I39" s="43">
        <v>7</v>
      </c>
      <c r="J39" s="55">
        <v>390</v>
      </c>
      <c r="K39" s="6">
        <v>0</v>
      </c>
      <c r="L39" s="6">
        <v>0</v>
      </c>
      <c r="M39" s="43">
        <v>0</v>
      </c>
      <c r="N39" s="25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4</v>
      </c>
      <c r="X39" s="43">
        <v>0</v>
      </c>
      <c r="Y39" s="43">
        <v>0</v>
      </c>
      <c r="Z39" s="43">
        <v>0</v>
      </c>
      <c r="AA39" s="44">
        <v>0</v>
      </c>
      <c r="AB39" s="44">
        <v>0</v>
      </c>
      <c r="AC39" s="44">
        <v>9</v>
      </c>
      <c r="AD39" s="44">
        <v>11</v>
      </c>
      <c r="AE39" s="44">
        <v>606</v>
      </c>
      <c r="AF39" s="44">
        <v>6</v>
      </c>
      <c r="AG39" s="44">
        <v>0</v>
      </c>
      <c r="AH39" s="44">
        <v>339</v>
      </c>
      <c r="AI39" s="32"/>
      <c r="AJ39" s="32"/>
      <c r="AK39" s="32"/>
      <c r="AL39" s="32"/>
      <c r="AM39" s="44">
        <v>33</v>
      </c>
      <c r="AN39" s="44">
        <v>319</v>
      </c>
      <c r="AO39" s="44">
        <v>601</v>
      </c>
      <c r="AP39" s="48"/>
      <c r="AQ39" s="48"/>
      <c r="AR39" s="51"/>
      <c r="AS39" s="51"/>
      <c r="AT39" s="51"/>
      <c r="AU39" s="51"/>
      <c r="AV39" s="51"/>
      <c r="AW39" s="50"/>
      <c r="AX39" s="50"/>
      <c r="AY39" s="43">
        <v>454</v>
      </c>
      <c r="AZ39" s="43">
        <v>489</v>
      </c>
      <c r="BA39" s="50"/>
      <c r="BB39" s="50"/>
      <c r="BC39" s="50"/>
      <c r="BD39" s="50"/>
      <c r="BE39" s="43">
        <v>467</v>
      </c>
      <c r="BF39" s="43">
        <v>475</v>
      </c>
      <c r="BG39" s="43">
        <v>513</v>
      </c>
      <c r="BH39" s="43">
        <v>438</v>
      </c>
      <c r="BI39" s="43">
        <v>591</v>
      </c>
      <c r="BJ39" s="43">
        <v>341</v>
      </c>
      <c r="BK39" s="43">
        <v>469</v>
      </c>
      <c r="BL39" s="43">
        <v>472</v>
      </c>
      <c r="BM39" s="43">
        <v>436</v>
      </c>
      <c r="BN39" s="43">
        <v>470</v>
      </c>
      <c r="BO39" s="43">
        <v>408</v>
      </c>
      <c r="BP39" s="43">
        <v>504</v>
      </c>
      <c r="BQ39" s="43">
        <v>577</v>
      </c>
      <c r="BR39" s="43">
        <v>332</v>
      </c>
      <c r="BS39" s="43">
        <v>645</v>
      </c>
      <c r="BT39" s="43">
        <v>379</v>
      </c>
      <c r="BU39" s="43">
        <v>536</v>
      </c>
      <c r="BV39" s="43">
        <v>615</v>
      </c>
      <c r="BW39" s="43">
        <v>441</v>
      </c>
      <c r="BX39" s="43">
        <v>288</v>
      </c>
      <c r="BY39" s="43">
        <v>424</v>
      </c>
      <c r="BZ39" s="43">
        <v>366</v>
      </c>
      <c r="CA39" s="43">
        <v>546</v>
      </c>
      <c r="CB39" s="43">
        <v>433</v>
      </c>
      <c r="CC39" s="43">
        <v>295</v>
      </c>
      <c r="CD39" s="43">
        <v>531</v>
      </c>
      <c r="CE39" s="43">
        <v>351</v>
      </c>
      <c r="CF39" s="43">
        <v>375</v>
      </c>
      <c r="CG39" s="43">
        <v>462</v>
      </c>
      <c r="CH39" s="43">
        <v>243</v>
      </c>
      <c r="CI39" s="43">
        <v>182</v>
      </c>
      <c r="CJ39" s="43">
        <v>521</v>
      </c>
      <c r="CK39" s="43">
        <v>398</v>
      </c>
      <c r="CL39" s="43">
        <v>293</v>
      </c>
      <c r="CM39" s="43">
        <v>497</v>
      </c>
      <c r="CN39" s="43">
        <v>493</v>
      </c>
      <c r="CO39" s="43">
        <v>226</v>
      </c>
      <c r="CP39" s="43">
        <v>455</v>
      </c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43">
        <v>421</v>
      </c>
      <c r="FZ39" s="43">
        <v>531</v>
      </c>
      <c r="GA39" s="53"/>
      <c r="GB39" s="53"/>
      <c r="GC39" s="53"/>
      <c r="GD39" s="53"/>
      <c r="GE39" s="53"/>
      <c r="GF39" s="53"/>
      <c r="GG39" s="53"/>
      <c r="GH39" s="53"/>
      <c r="GI39" s="43"/>
      <c r="GJ39" s="53"/>
      <c r="GK39" s="53"/>
      <c r="GL39" s="53"/>
      <c r="GM39" s="53"/>
      <c r="GN39" s="53"/>
      <c r="GO39" s="43">
        <v>658</v>
      </c>
      <c r="GP39" s="43">
        <v>296</v>
      </c>
      <c r="GQ39" s="43">
        <v>682</v>
      </c>
      <c r="GR39" s="43">
        <v>267</v>
      </c>
    </row>
    <row r="40" spans="1:200">
      <c r="A40" s="5">
        <v>408</v>
      </c>
      <c r="B40" s="1" t="s">
        <v>168</v>
      </c>
      <c r="C40" s="33">
        <v>1456</v>
      </c>
      <c r="D40" s="34">
        <v>1102</v>
      </c>
      <c r="E40" s="19">
        <f t="shared" si="0"/>
        <v>0.75686813186813184</v>
      </c>
      <c r="F40" s="62">
        <v>622</v>
      </c>
      <c r="G40" s="43">
        <v>3</v>
      </c>
      <c r="H40" s="43">
        <v>62</v>
      </c>
      <c r="I40" s="43">
        <v>8</v>
      </c>
      <c r="J40" s="55">
        <v>370</v>
      </c>
      <c r="K40" s="6">
        <v>0</v>
      </c>
      <c r="L40" s="6">
        <v>0</v>
      </c>
      <c r="M40" s="43">
        <v>1</v>
      </c>
      <c r="N40" s="25">
        <v>0</v>
      </c>
      <c r="O40" s="43">
        <v>0</v>
      </c>
      <c r="P40" s="43">
        <v>2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13</v>
      </c>
      <c r="X40" s="43">
        <v>0</v>
      </c>
      <c r="Y40" s="43">
        <v>0</v>
      </c>
      <c r="Z40" s="43">
        <v>0</v>
      </c>
      <c r="AA40" s="44">
        <v>0</v>
      </c>
      <c r="AB40" s="44">
        <v>0</v>
      </c>
      <c r="AC40" s="44">
        <v>8</v>
      </c>
      <c r="AD40" s="44">
        <v>25</v>
      </c>
      <c r="AE40" s="44">
        <v>581</v>
      </c>
      <c r="AF40" s="44">
        <v>5</v>
      </c>
      <c r="AG40" s="44">
        <v>0</v>
      </c>
      <c r="AH40" s="44">
        <v>435</v>
      </c>
      <c r="AI40" s="32"/>
      <c r="AJ40" s="32"/>
      <c r="AK40" s="32"/>
      <c r="AL40" s="32"/>
      <c r="AM40" s="44">
        <v>35</v>
      </c>
      <c r="AN40" s="44">
        <v>390</v>
      </c>
      <c r="AO40" s="44">
        <v>591</v>
      </c>
      <c r="AP40" s="48"/>
      <c r="AQ40" s="48"/>
      <c r="AR40" s="51"/>
      <c r="AS40" s="51"/>
      <c r="AT40" s="51"/>
      <c r="AU40" s="51"/>
      <c r="AV40" s="51"/>
      <c r="AW40" s="50"/>
      <c r="AX40" s="50"/>
      <c r="AY40" s="43">
        <v>535</v>
      </c>
      <c r="AZ40" s="43">
        <v>476</v>
      </c>
      <c r="BA40" s="50"/>
      <c r="BB40" s="50"/>
      <c r="BC40" s="50"/>
      <c r="BD40" s="50"/>
      <c r="BE40" s="43">
        <v>462</v>
      </c>
      <c r="BF40" s="43">
        <v>532</v>
      </c>
      <c r="BG40" s="43">
        <v>508</v>
      </c>
      <c r="BH40" s="43">
        <v>493</v>
      </c>
      <c r="BI40" s="43">
        <v>583</v>
      </c>
      <c r="BJ40" s="43">
        <v>414</v>
      </c>
      <c r="BK40" s="43">
        <v>557</v>
      </c>
      <c r="BL40" s="43">
        <v>433</v>
      </c>
      <c r="BM40" s="43">
        <v>422</v>
      </c>
      <c r="BN40" s="43">
        <v>541</v>
      </c>
      <c r="BO40" s="43">
        <v>452</v>
      </c>
      <c r="BP40" s="43">
        <v>486</v>
      </c>
      <c r="BQ40" s="43">
        <v>536</v>
      </c>
      <c r="BR40" s="43">
        <v>409</v>
      </c>
      <c r="BS40" s="43">
        <v>653</v>
      </c>
      <c r="BT40" s="43">
        <v>398</v>
      </c>
      <c r="BU40" s="43">
        <v>564</v>
      </c>
      <c r="BV40" s="43">
        <v>633</v>
      </c>
      <c r="BW40" s="43">
        <v>413</v>
      </c>
      <c r="BX40" s="43">
        <v>331</v>
      </c>
      <c r="BY40" s="43">
        <v>437</v>
      </c>
      <c r="BZ40" s="43">
        <v>376</v>
      </c>
      <c r="CA40" s="43">
        <v>575</v>
      </c>
      <c r="CB40" s="43">
        <v>369</v>
      </c>
      <c r="CC40" s="43">
        <v>346</v>
      </c>
      <c r="CD40" s="43">
        <v>583</v>
      </c>
      <c r="CE40" s="43">
        <v>389</v>
      </c>
      <c r="CF40" s="43">
        <v>330</v>
      </c>
      <c r="CG40" s="43">
        <v>395</v>
      </c>
      <c r="CH40" s="43">
        <v>314</v>
      </c>
      <c r="CI40" s="43">
        <v>220</v>
      </c>
      <c r="CJ40" s="43">
        <v>499</v>
      </c>
      <c r="CK40" s="43">
        <v>367</v>
      </c>
      <c r="CL40" s="43">
        <v>326</v>
      </c>
      <c r="CM40" s="43">
        <v>541</v>
      </c>
      <c r="CN40" s="43">
        <v>547</v>
      </c>
      <c r="CO40" s="43">
        <v>291</v>
      </c>
      <c r="CP40" s="43">
        <v>414</v>
      </c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43">
        <v>569</v>
      </c>
      <c r="FZ40" s="43">
        <v>460</v>
      </c>
      <c r="GA40" s="53"/>
      <c r="GB40" s="53"/>
      <c r="GC40" s="53"/>
      <c r="GD40" s="53"/>
      <c r="GE40" s="53"/>
      <c r="GF40" s="53"/>
      <c r="GG40" s="53"/>
      <c r="GH40" s="53"/>
      <c r="GI40" s="43"/>
      <c r="GJ40" s="53"/>
      <c r="GK40" s="53"/>
      <c r="GL40" s="53"/>
      <c r="GM40" s="53"/>
      <c r="GN40" s="53"/>
      <c r="GO40" s="43">
        <v>778</v>
      </c>
      <c r="GP40" s="43">
        <v>264</v>
      </c>
      <c r="GQ40" s="43">
        <v>743</v>
      </c>
      <c r="GR40" s="43">
        <v>283</v>
      </c>
    </row>
    <row r="41" spans="1:200">
      <c r="A41" s="5">
        <v>501</v>
      </c>
      <c r="B41" s="1" t="s">
        <v>169</v>
      </c>
      <c r="C41" s="33">
        <v>1067</v>
      </c>
      <c r="D41" s="34">
        <v>849</v>
      </c>
      <c r="E41" s="19">
        <f t="shared" si="0"/>
        <v>0.79568884723523903</v>
      </c>
      <c r="F41" s="62">
        <v>481</v>
      </c>
      <c r="G41" s="43">
        <v>2</v>
      </c>
      <c r="H41" s="43">
        <v>22</v>
      </c>
      <c r="I41" s="43">
        <v>6</v>
      </c>
      <c r="J41" s="55">
        <v>311</v>
      </c>
      <c r="K41" s="6">
        <v>0</v>
      </c>
      <c r="L41" s="6">
        <v>0</v>
      </c>
      <c r="M41" s="43">
        <v>1</v>
      </c>
      <c r="N41" s="25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4">
        <v>0</v>
      </c>
      <c r="AB41" s="44">
        <v>0</v>
      </c>
      <c r="AC41" s="44">
        <v>6</v>
      </c>
      <c r="AD41" s="44">
        <v>9</v>
      </c>
      <c r="AE41" s="44">
        <v>506</v>
      </c>
      <c r="AF41" s="44">
        <v>6</v>
      </c>
      <c r="AG41" s="44">
        <v>0</v>
      </c>
      <c r="AH41" s="44">
        <v>296</v>
      </c>
      <c r="AI41" s="32"/>
      <c r="AJ41" s="32"/>
      <c r="AK41" s="32"/>
      <c r="AL41" s="32"/>
      <c r="AM41" s="44">
        <v>34</v>
      </c>
      <c r="AN41" s="44">
        <v>271</v>
      </c>
      <c r="AO41" s="44">
        <v>487</v>
      </c>
      <c r="AP41" s="48"/>
      <c r="AQ41" s="48"/>
      <c r="AR41" s="43">
        <v>431</v>
      </c>
      <c r="AS41" s="43">
        <v>341</v>
      </c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43">
        <v>368</v>
      </c>
      <c r="BF41" s="43">
        <v>424</v>
      </c>
      <c r="BG41" s="43">
        <v>419</v>
      </c>
      <c r="BH41" s="43">
        <v>381</v>
      </c>
      <c r="BI41" s="43">
        <v>482</v>
      </c>
      <c r="BJ41" s="43">
        <v>306</v>
      </c>
      <c r="BK41" s="43">
        <v>399</v>
      </c>
      <c r="BL41" s="43">
        <v>400</v>
      </c>
      <c r="BM41" s="43">
        <v>363</v>
      </c>
      <c r="BN41" s="43">
        <v>410</v>
      </c>
      <c r="BO41" s="43">
        <v>333</v>
      </c>
      <c r="BP41" s="43">
        <v>433</v>
      </c>
      <c r="BQ41" s="43">
        <v>500</v>
      </c>
      <c r="BR41" s="43">
        <v>278</v>
      </c>
      <c r="BS41" s="43">
        <v>528</v>
      </c>
      <c r="BT41" s="43">
        <v>306</v>
      </c>
      <c r="BU41" s="43">
        <v>470</v>
      </c>
      <c r="BV41" s="43">
        <v>530</v>
      </c>
      <c r="BW41" s="43">
        <v>394</v>
      </c>
      <c r="BX41" s="43">
        <v>266</v>
      </c>
      <c r="BY41" s="43">
        <v>376</v>
      </c>
      <c r="BZ41" s="43">
        <v>328</v>
      </c>
      <c r="CA41" s="43">
        <v>472</v>
      </c>
      <c r="CB41" s="43">
        <v>383</v>
      </c>
      <c r="CC41" s="43">
        <v>286</v>
      </c>
      <c r="CD41" s="43">
        <v>460</v>
      </c>
      <c r="CE41" s="43">
        <v>326</v>
      </c>
      <c r="CF41" s="43">
        <v>324</v>
      </c>
      <c r="CG41" s="43">
        <v>407</v>
      </c>
      <c r="CH41" s="43">
        <v>244</v>
      </c>
      <c r="CI41" s="43">
        <v>185</v>
      </c>
      <c r="CJ41" s="43">
        <v>458</v>
      </c>
      <c r="CK41" s="43">
        <v>321</v>
      </c>
      <c r="CL41" s="43">
        <v>297</v>
      </c>
      <c r="CM41" s="43">
        <v>434</v>
      </c>
      <c r="CN41" s="43">
        <v>439</v>
      </c>
      <c r="CO41" s="43">
        <v>235</v>
      </c>
      <c r="CP41" s="43">
        <v>392</v>
      </c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43">
        <v>417</v>
      </c>
      <c r="FZ41" s="43">
        <v>392</v>
      </c>
      <c r="GA41" s="53"/>
      <c r="GB41" s="53"/>
      <c r="GC41" s="53"/>
      <c r="GD41" s="53"/>
      <c r="GE41" s="53"/>
      <c r="GF41" s="53"/>
      <c r="GG41" s="53"/>
      <c r="GH41" s="53"/>
      <c r="GI41" s="43"/>
      <c r="GJ41" s="53"/>
      <c r="GK41" s="53"/>
      <c r="GL41" s="53"/>
      <c r="GM41" s="53"/>
      <c r="GN41" s="53"/>
      <c r="GO41" s="43">
        <v>584</v>
      </c>
      <c r="GP41" s="43">
        <v>230</v>
      </c>
      <c r="GQ41" s="43">
        <v>609</v>
      </c>
      <c r="GR41" s="43">
        <v>197</v>
      </c>
    </row>
    <row r="42" spans="1:200">
      <c r="A42" s="5">
        <v>502</v>
      </c>
      <c r="B42" s="1" t="s">
        <v>170</v>
      </c>
      <c r="C42" s="33">
        <v>1053</v>
      </c>
      <c r="D42" s="34">
        <v>832</v>
      </c>
      <c r="E42" s="19">
        <f t="shared" si="0"/>
        <v>0.79012345679012341</v>
      </c>
      <c r="F42" s="62">
        <v>512</v>
      </c>
      <c r="G42" s="43">
        <v>1</v>
      </c>
      <c r="H42" s="43">
        <v>28</v>
      </c>
      <c r="I42" s="43">
        <v>3</v>
      </c>
      <c r="J42" s="55">
        <v>252</v>
      </c>
      <c r="K42" s="6">
        <v>0</v>
      </c>
      <c r="L42" s="6">
        <v>0</v>
      </c>
      <c r="M42" s="43">
        <v>0</v>
      </c>
      <c r="N42" s="25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3</v>
      </c>
      <c r="X42" s="43">
        <v>0</v>
      </c>
      <c r="Y42" s="43">
        <v>0</v>
      </c>
      <c r="Z42" s="43">
        <v>0</v>
      </c>
      <c r="AA42" s="44">
        <v>0</v>
      </c>
      <c r="AB42" s="44">
        <v>0</v>
      </c>
      <c r="AC42" s="44">
        <v>3</v>
      </c>
      <c r="AD42" s="44">
        <v>9</v>
      </c>
      <c r="AE42" s="44">
        <v>441</v>
      </c>
      <c r="AF42" s="44">
        <v>3</v>
      </c>
      <c r="AG42" s="44">
        <v>0</v>
      </c>
      <c r="AH42" s="44">
        <v>348</v>
      </c>
      <c r="AI42" s="32"/>
      <c r="AJ42" s="32"/>
      <c r="AK42" s="32"/>
      <c r="AL42" s="32"/>
      <c r="AM42" s="44">
        <v>39</v>
      </c>
      <c r="AN42" s="44">
        <v>298</v>
      </c>
      <c r="AO42" s="44">
        <v>445</v>
      </c>
      <c r="AP42" s="48"/>
      <c r="AQ42" s="48"/>
      <c r="AR42" s="43">
        <v>403</v>
      </c>
      <c r="AS42" s="43">
        <v>357</v>
      </c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43">
        <v>339</v>
      </c>
      <c r="BF42" s="43">
        <v>425</v>
      </c>
      <c r="BG42" s="43">
        <v>363</v>
      </c>
      <c r="BH42" s="43">
        <v>396</v>
      </c>
      <c r="BI42" s="43">
        <v>431</v>
      </c>
      <c r="BJ42" s="43">
        <v>328</v>
      </c>
      <c r="BK42" s="43">
        <v>441</v>
      </c>
      <c r="BL42" s="43">
        <v>322</v>
      </c>
      <c r="BM42" s="43">
        <v>323</v>
      </c>
      <c r="BN42" s="43">
        <v>413</v>
      </c>
      <c r="BO42" s="43">
        <v>360</v>
      </c>
      <c r="BP42" s="43">
        <v>360</v>
      </c>
      <c r="BQ42" s="43">
        <v>448</v>
      </c>
      <c r="BR42" s="43">
        <v>292</v>
      </c>
      <c r="BS42" s="43">
        <v>482</v>
      </c>
      <c r="BT42" s="43">
        <v>265</v>
      </c>
      <c r="BU42" s="43">
        <v>462</v>
      </c>
      <c r="BV42" s="43">
        <v>476</v>
      </c>
      <c r="BW42" s="43">
        <v>361</v>
      </c>
      <c r="BX42" s="43">
        <v>220</v>
      </c>
      <c r="BY42" s="43">
        <v>307</v>
      </c>
      <c r="BZ42" s="43">
        <v>322</v>
      </c>
      <c r="CA42" s="43">
        <v>415</v>
      </c>
      <c r="CB42" s="43">
        <v>316</v>
      </c>
      <c r="CC42" s="43">
        <v>274</v>
      </c>
      <c r="CD42" s="43">
        <v>426</v>
      </c>
      <c r="CE42" s="43">
        <v>302</v>
      </c>
      <c r="CF42" s="43">
        <v>253</v>
      </c>
      <c r="CG42" s="43">
        <v>331</v>
      </c>
      <c r="CH42" s="43">
        <v>225</v>
      </c>
      <c r="CI42" s="43">
        <v>186</v>
      </c>
      <c r="CJ42" s="43">
        <v>368</v>
      </c>
      <c r="CK42" s="43">
        <v>312</v>
      </c>
      <c r="CL42" s="43">
        <v>222</v>
      </c>
      <c r="CM42" s="43">
        <v>375</v>
      </c>
      <c r="CN42" s="43">
        <v>390</v>
      </c>
      <c r="CO42" s="43">
        <v>227</v>
      </c>
      <c r="CP42" s="43">
        <v>315</v>
      </c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43">
        <v>432</v>
      </c>
      <c r="FZ42" s="43">
        <v>352</v>
      </c>
      <c r="GA42" s="53"/>
      <c r="GB42" s="53"/>
      <c r="GC42" s="53"/>
      <c r="GD42" s="53"/>
      <c r="GE42" s="53"/>
      <c r="GF42" s="53"/>
      <c r="GG42" s="53"/>
      <c r="GH42" s="53"/>
      <c r="GI42" s="43"/>
      <c r="GJ42" s="53"/>
      <c r="GK42" s="53"/>
      <c r="GL42" s="53"/>
      <c r="GM42" s="53"/>
      <c r="GN42" s="53"/>
      <c r="GO42" s="43">
        <v>611</v>
      </c>
      <c r="GP42" s="43">
        <v>178</v>
      </c>
      <c r="GQ42" s="43">
        <v>609</v>
      </c>
      <c r="GR42" s="43">
        <v>172</v>
      </c>
    </row>
    <row r="43" spans="1:200">
      <c r="A43" s="5">
        <v>503</v>
      </c>
      <c r="B43" s="1" t="s">
        <v>171</v>
      </c>
      <c r="C43" s="33">
        <v>758</v>
      </c>
      <c r="D43" s="34">
        <v>624</v>
      </c>
      <c r="E43" s="19">
        <f t="shared" si="0"/>
        <v>0.82321899736147752</v>
      </c>
      <c r="F43" s="62">
        <v>386</v>
      </c>
      <c r="G43" s="43">
        <v>0</v>
      </c>
      <c r="H43" s="43">
        <v>22</v>
      </c>
      <c r="I43" s="43">
        <v>6</v>
      </c>
      <c r="J43" s="55">
        <v>192</v>
      </c>
      <c r="K43" s="6">
        <v>0</v>
      </c>
      <c r="L43" s="6">
        <v>0</v>
      </c>
      <c r="M43" s="43">
        <v>0</v>
      </c>
      <c r="N43" s="25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2</v>
      </c>
      <c r="X43" s="43">
        <v>0</v>
      </c>
      <c r="Y43" s="43">
        <v>0</v>
      </c>
      <c r="Z43" s="43">
        <v>0</v>
      </c>
      <c r="AA43" s="44">
        <v>0</v>
      </c>
      <c r="AB43" s="44">
        <v>0</v>
      </c>
      <c r="AC43" s="44">
        <v>7</v>
      </c>
      <c r="AD43" s="44">
        <v>10</v>
      </c>
      <c r="AE43" s="44">
        <v>278</v>
      </c>
      <c r="AF43" s="44">
        <v>3</v>
      </c>
      <c r="AG43" s="44">
        <v>0</v>
      </c>
      <c r="AH43" s="44">
        <v>310</v>
      </c>
      <c r="AI43" s="32"/>
      <c r="AJ43" s="32"/>
      <c r="AK43" s="32"/>
      <c r="AL43" s="32"/>
      <c r="AM43" s="44">
        <v>48</v>
      </c>
      <c r="AN43" s="44">
        <v>282</v>
      </c>
      <c r="AO43" s="44">
        <v>263</v>
      </c>
      <c r="AP43" s="48"/>
      <c r="AQ43" s="48"/>
      <c r="AR43" s="43">
        <v>230</v>
      </c>
      <c r="AS43" s="43">
        <v>352</v>
      </c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43">
        <v>205</v>
      </c>
      <c r="BF43" s="43">
        <v>386</v>
      </c>
      <c r="BG43" s="43">
        <v>229</v>
      </c>
      <c r="BH43" s="43">
        <v>367</v>
      </c>
      <c r="BI43" s="43">
        <v>277</v>
      </c>
      <c r="BJ43" s="43">
        <v>310</v>
      </c>
      <c r="BK43" s="43">
        <v>374</v>
      </c>
      <c r="BL43" s="43">
        <v>220</v>
      </c>
      <c r="BM43" s="43">
        <v>210</v>
      </c>
      <c r="BN43" s="43">
        <v>361</v>
      </c>
      <c r="BO43" s="43">
        <v>331</v>
      </c>
      <c r="BP43" s="43">
        <v>240</v>
      </c>
      <c r="BQ43" s="43">
        <v>276</v>
      </c>
      <c r="BR43" s="43">
        <v>305</v>
      </c>
      <c r="BS43" s="43">
        <v>321</v>
      </c>
      <c r="BT43" s="43">
        <v>166</v>
      </c>
      <c r="BU43" s="43">
        <v>417</v>
      </c>
      <c r="BV43" s="43">
        <v>339</v>
      </c>
      <c r="BW43" s="43">
        <v>215</v>
      </c>
      <c r="BX43" s="43">
        <v>244</v>
      </c>
      <c r="BY43" s="43">
        <v>212</v>
      </c>
      <c r="BZ43" s="43">
        <v>299</v>
      </c>
      <c r="CA43" s="43">
        <v>283</v>
      </c>
      <c r="CB43" s="43">
        <v>185</v>
      </c>
      <c r="CC43" s="43">
        <v>290</v>
      </c>
      <c r="CD43" s="43">
        <v>346</v>
      </c>
      <c r="CE43" s="43">
        <v>276</v>
      </c>
      <c r="CF43" s="43">
        <v>191</v>
      </c>
      <c r="CG43" s="43">
        <v>222</v>
      </c>
      <c r="CH43" s="43">
        <v>247</v>
      </c>
      <c r="CI43" s="43">
        <v>215</v>
      </c>
      <c r="CJ43" s="43">
        <v>241</v>
      </c>
      <c r="CK43" s="43">
        <v>182</v>
      </c>
      <c r="CL43" s="43">
        <v>274</v>
      </c>
      <c r="CM43" s="43">
        <v>258</v>
      </c>
      <c r="CN43" s="43">
        <v>267</v>
      </c>
      <c r="CO43" s="43">
        <v>234</v>
      </c>
      <c r="CP43" s="43">
        <v>228</v>
      </c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43">
        <v>350</v>
      </c>
      <c r="FZ43" s="43">
        <v>254</v>
      </c>
      <c r="GA43" s="53"/>
      <c r="GB43" s="53"/>
      <c r="GC43" s="53"/>
      <c r="GD43" s="53"/>
      <c r="GE43" s="53"/>
      <c r="GF43" s="53"/>
      <c r="GG43" s="53"/>
      <c r="GH43" s="53"/>
      <c r="GI43" s="43"/>
      <c r="GJ43" s="53"/>
      <c r="GK43" s="53"/>
      <c r="GL43" s="53"/>
      <c r="GM43" s="53"/>
      <c r="GN43" s="53"/>
      <c r="GO43" s="43">
        <v>458</v>
      </c>
      <c r="GP43" s="43">
        <v>144</v>
      </c>
      <c r="GQ43" s="43">
        <v>454</v>
      </c>
      <c r="GR43" s="43">
        <v>146</v>
      </c>
    </row>
    <row r="44" spans="1:200">
      <c r="A44" s="5">
        <v>504</v>
      </c>
      <c r="B44" s="1" t="s">
        <v>172</v>
      </c>
      <c r="C44" s="33">
        <v>1311</v>
      </c>
      <c r="D44" s="34">
        <v>1077</v>
      </c>
      <c r="E44" s="19">
        <f t="shared" si="0"/>
        <v>0.82151029748283755</v>
      </c>
      <c r="F44" s="62">
        <v>645</v>
      </c>
      <c r="G44" s="43">
        <v>1</v>
      </c>
      <c r="H44" s="43">
        <v>38</v>
      </c>
      <c r="I44" s="43">
        <v>4</v>
      </c>
      <c r="J44" s="55">
        <v>343</v>
      </c>
      <c r="K44" s="6">
        <v>0</v>
      </c>
      <c r="L44" s="6">
        <v>0</v>
      </c>
      <c r="M44" s="43">
        <v>0</v>
      </c>
      <c r="N44" s="25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5</v>
      </c>
      <c r="X44" s="43">
        <v>0</v>
      </c>
      <c r="Y44" s="43">
        <v>0</v>
      </c>
      <c r="Z44" s="43">
        <v>0</v>
      </c>
      <c r="AA44" s="44">
        <v>0</v>
      </c>
      <c r="AB44" s="44">
        <v>0</v>
      </c>
      <c r="AC44" s="44">
        <v>6</v>
      </c>
      <c r="AD44" s="44">
        <v>7</v>
      </c>
      <c r="AE44" s="44">
        <v>594</v>
      </c>
      <c r="AF44" s="44">
        <v>4</v>
      </c>
      <c r="AG44" s="44">
        <v>0</v>
      </c>
      <c r="AH44" s="44">
        <v>423</v>
      </c>
      <c r="AI44" s="32"/>
      <c r="AJ44" s="32"/>
      <c r="AK44" s="32"/>
      <c r="AL44" s="32"/>
      <c r="AM44" s="44">
        <v>67</v>
      </c>
      <c r="AN44" s="44">
        <v>366</v>
      </c>
      <c r="AO44" s="44">
        <v>570</v>
      </c>
      <c r="AP44" s="48"/>
      <c r="AQ44" s="48"/>
      <c r="AR44" s="43">
        <v>502</v>
      </c>
      <c r="AS44" s="43">
        <v>469</v>
      </c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43">
        <v>440</v>
      </c>
      <c r="BF44" s="43">
        <v>542</v>
      </c>
      <c r="BG44" s="43">
        <v>461</v>
      </c>
      <c r="BH44" s="43">
        <v>525</v>
      </c>
      <c r="BI44" s="43">
        <v>559</v>
      </c>
      <c r="BJ44" s="43">
        <v>406</v>
      </c>
      <c r="BK44" s="43">
        <v>571</v>
      </c>
      <c r="BL44" s="43">
        <v>415</v>
      </c>
      <c r="BM44" s="43">
        <v>418</v>
      </c>
      <c r="BN44" s="43">
        <v>524</v>
      </c>
      <c r="BO44" s="43">
        <v>477</v>
      </c>
      <c r="BP44" s="43">
        <v>442</v>
      </c>
      <c r="BQ44" s="43">
        <v>584</v>
      </c>
      <c r="BR44" s="43">
        <v>355</v>
      </c>
      <c r="BS44" s="43">
        <v>595</v>
      </c>
      <c r="BT44" s="43">
        <v>344</v>
      </c>
      <c r="BU44" s="43">
        <v>580</v>
      </c>
      <c r="BV44" s="43">
        <v>599</v>
      </c>
      <c r="BW44" s="43">
        <v>468</v>
      </c>
      <c r="BX44" s="43">
        <v>287</v>
      </c>
      <c r="BY44" s="43">
        <v>429</v>
      </c>
      <c r="BZ44" s="43">
        <v>398</v>
      </c>
      <c r="CA44" s="43">
        <v>537</v>
      </c>
      <c r="CB44" s="43">
        <v>429</v>
      </c>
      <c r="CC44" s="43">
        <v>343</v>
      </c>
      <c r="CD44" s="43">
        <v>548</v>
      </c>
      <c r="CE44" s="43">
        <v>381</v>
      </c>
      <c r="CF44" s="43">
        <v>354</v>
      </c>
      <c r="CG44" s="43">
        <v>468</v>
      </c>
      <c r="CH44" s="43">
        <v>280</v>
      </c>
      <c r="CI44" s="43">
        <v>199</v>
      </c>
      <c r="CJ44" s="43">
        <v>561</v>
      </c>
      <c r="CK44" s="43">
        <v>379</v>
      </c>
      <c r="CL44" s="43">
        <v>330</v>
      </c>
      <c r="CM44" s="43">
        <v>494</v>
      </c>
      <c r="CN44" s="43">
        <v>501</v>
      </c>
      <c r="CO44" s="43">
        <v>259</v>
      </c>
      <c r="CP44" s="43">
        <v>459</v>
      </c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43">
        <v>539</v>
      </c>
      <c r="FZ44" s="43">
        <v>497</v>
      </c>
      <c r="GA44" s="53"/>
      <c r="GB44" s="53"/>
      <c r="GC44" s="53"/>
      <c r="GD44" s="53"/>
      <c r="GE44" s="53"/>
      <c r="GF44" s="53"/>
      <c r="GG44" s="53"/>
      <c r="GH44" s="53"/>
      <c r="GI44" s="43"/>
      <c r="GJ44" s="53"/>
      <c r="GK44" s="53"/>
      <c r="GL44" s="53"/>
      <c r="GM44" s="53"/>
      <c r="GN44" s="53"/>
      <c r="GO44" s="43">
        <v>791</v>
      </c>
      <c r="GP44" s="43">
        <v>241</v>
      </c>
      <c r="GQ44" s="43">
        <v>788</v>
      </c>
      <c r="GR44" s="43">
        <v>244</v>
      </c>
    </row>
    <row r="45" spans="1:200">
      <c r="A45" s="5">
        <v>505</v>
      </c>
      <c r="B45" s="1" t="s">
        <v>173</v>
      </c>
      <c r="C45" s="33">
        <v>1091</v>
      </c>
      <c r="D45" s="34">
        <v>869</v>
      </c>
      <c r="E45" s="19">
        <f t="shared" si="0"/>
        <v>0.79651695692025659</v>
      </c>
      <c r="F45" s="62">
        <v>476</v>
      </c>
      <c r="G45" s="43">
        <v>1</v>
      </c>
      <c r="H45" s="43">
        <v>50</v>
      </c>
      <c r="I45" s="43">
        <v>10</v>
      </c>
      <c r="J45" s="55">
        <v>294</v>
      </c>
      <c r="K45" s="6">
        <v>0</v>
      </c>
      <c r="L45" s="6">
        <v>0</v>
      </c>
      <c r="M45" s="43">
        <v>0</v>
      </c>
      <c r="N45" s="25">
        <v>0</v>
      </c>
      <c r="O45" s="43">
        <v>0</v>
      </c>
      <c r="P45" s="43">
        <v>0</v>
      </c>
      <c r="Q45" s="43">
        <v>0</v>
      </c>
      <c r="R45" s="43">
        <v>0</v>
      </c>
      <c r="S45" s="43">
        <v>2</v>
      </c>
      <c r="T45" s="43">
        <v>0</v>
      </c>
      <c r="U45" s="43">
        <v>0</v>
      </c>
      <c r="V45" s="43">
        <v>1</v>
      </c>
      <c r="W45" s="43">
        <v>6</v>
      </c>
      <c r="X45" s="43">
        <v>0</v>
      </c>
      <c r="Y45" s="43">
        <v>0</v>
      </c>
      <c r="Z45" s="43">
        <v>0</v>
      </c>
      <c r="AA45" s="44">
        <v>0</v>
      </c>
      <c r="AB45" s="44">
        <v>0</v>
      </c>
      <c r="AC45" s="44">
        <v>7</v>
      </c>
      <c r="AD45" s="44">
        <v>12</v>
      </c>
      <c r="AE45" s="44">
        <v>486</v>
      </c>
      <c r="AF45" s="44">
        <v>2</v>
      </c>
      <c r="AG45" s="44">
        <v>0</v>
      </c>
      <c r="AH45" s="44">
        <v>327</v>
      </c>
      <c r="AI45" s="32"/>
      <c r="AJ45" s="32"/>
      <c r="AK45" s="32"/>
      <c r="AL45" s="32"/>
      <c r="AM45" s="44">
        <v>49</v>
      </c>
      <c r="AN45" s="44">
        <v>266</v>
      </c>
      <c r="AO45" s="44">
        <v>473</v>
      </c>
      <c r="AP45" s="48"/>
      <c r="AQ45" s="48"/>
      <c r="AR45" s="43">
        <v>427</v>
      </c>
      <c r="AS45" s="43">
        <v>365</v>
      </c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43">
        <v>378</v>
      </c>
      <c r="BF45" s="43">
        <v>421</v>
      </c>
      <c r="BG45" s="43">
        <v>412</v>
      </c>
      <c r="BH45" s="43">
        <v>389</v>
      </c>
      <c r="BI45" s="43">
        <v>476</v>
      </c>
      <c r="BJ45" s="43">
        <v>307</v>
      </c>
      <c r="BK45" s="43">
        <v>426</v>
      </c>
      <c r="BL45" s="43">
        <v>363</v>
      </c>
      <c r="BM45" s="43">
        <v>339</v>
      </c>
      <c r="BN45" s="43">
        <v>424</v>
      </c>
      <c r="BO45" s="43">
        <v>344</v>
      </c>
      <c r="BP45" s="43">
        <v>406</v>
      </c>
      <c r="BQ45" s="43">
        <v>463</v>
      </c>
      <c r="BR45" s="43">
        <v>299</v>
      </c>
      <c r="BS45" s="43">
        <v>501</v>
      </c>
      <c r="BT45" s="43">
        <v>296</v>
      </c>
      <c r="BU45" s="43">
        <v>470</v>
      </c>
      <c r="BV45" s="43">
        <v>487</v>
      </c>
      <c r="BW45" s="43">
        <v>361</v>
      </c>
      <c r="BX45" s="43">
        <v>250</v>
      </c>
      <c r="BY45" s="43">
        <v>338</v>
      </c>
      <c r="BZ45" s="43">
        <v>327</v>
      </c>
      <c r="CA45" s="43">
        <v>417</v>
      </c>
      <c r="CB45" s="43">
        <v>332</v>
      </c>
      <c r="CC45" s="43">
        <v>273</v>
      </c>
      <c r="CD45" s="43">
        <v>439</v>
      </c>
      <c r="CE45" s="43">
        <v>308</v>
      </c>
      <c r="CF45" s="43">
        <v>284</v>
      </c>
      <c r="CG45" s="43">
        <v>360</v>
      </c>
      <c r="CH45" s="43">
        <v>234</v>
      </c>
      <c r="CI45" s="43">
        <v>176</v>
      </c>
      <c r="CJ45" s="43">
        <v>415</v>
      </c>
      <c r="CK45" s="43">
        <v>281</v>
      </c>
      <c r="CL45" s="43">
        <v>276</v>
      </c>
      <c r="CM45" s="43">
        <v>400</v>
      </c>
      <c r="CN45" s="43">
        <v>399</v>
      </c>
      <c r="CO45" s="43">
        <v>214</v>
      </c>
      <c r="CP45" s="43">
        <v>359</v>
      </c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43">
        <v>446</v>
      </c>
      <c r="FZ45" s="43">
        <v>389</v>
      </c>
      <c r="GA45" s="53"/>
      <c r="GB45" s="53"/>
      <c r="GC45" s="53"/>
      <c r="GD45" s="53"/>
      <c r="GE45" s="53"/>
      <c r="GF45" s="53"/>
      <c r="GG45" s="53"/>
      <c r="GH45" s="53"/>
      <c r="GI45" s="43"/>
      <c r="GJ45" s="53"/>
      <c r="GK45" s="53"/>
      <c r="GL45" s="53"/>
      <c r="GM45" s="53"/>
      <c r="GN45" s="53"/>
      <c r="GO45" s="43">
        <v>606</v>
      </c>
      <c r="GP45" s="43">
        <v>225</v>
      </c>
      <c r="GQ45" s="43">
        <v>602</v>
      </c>
      <c r="GR45" s="43">
        <v>218</v>
      </c>
    </row>
    <row r="46" spans="1:200">
      <c r="A46" s="5">
        <v>506</v>
      </c>
      <c r="B46" s="1" t="s">
        <v>174</v>
      </c>
      <c r="C46" s="33">
        <v>890</v>
      </c>
      <c r="D46" s="34">
        <v>718</v>
      </c>
      <c r="E46" s="19">
        <f t="shared" si="0"/>
        <v>0.80674157303370786</v>
      </c>
      <c r="F46" s="62">
        <v>405</v>
      </c>
      <c r="G46" s="43">
        <v>4</v>
      </c>
      <c r="H46" s="43">
        <v>31</v>
      </c>
      <c r="I46" s="43">
        <v>9</v>
      </c>
      <c r="J46" s="55">
        <v>234</v>
      </c>
      <c r="K46" s="6">
        <v>0</v>
      </c>
      <c r="L46" s="6">
        <v>0</v>
      </c>
      <c r="M46" s="43">
        <v>0</v>
      </c>
      <c r="N46" s="25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7</v>
      </c>
      <c r="X46" s="43">
        <v>0</v>
      </c>
      <c r="Y46" s="43">
        <v>0</v>
      </c>
      <c r="Z46" s="43">
        <v>0</v>
      </c>
      <c r="AA46" s="44">
        <v>0</v>
      </c>
      <c r="AB46" s="44">
        <v>0</v>
      </c>
      <c r="AC46" s="44">
        <v>6</v>
      </c>
      <c r="AD46" s="44">
        <v>13</v>
      </c>
      <c r="AE46" s="44">
        <v>402</v>
      </c>
      <c r="AF46" s="44">
        <v>9</v>
      </c>
      <c r="AG46" s="44">
        <v>2</v>
      </c>
      <c r="AH46" s="44">
        <v>264</v>
      </c>
      <c r="AI46" s="32"/>
      <c r="AJ46" s="32"/>
      <c r="AK46" s="32"/>
      <c r="AL46" s="32"/>
      <c r="AM46" s="44">
        <v>37</v>
      </c>
      <c r="AN46" s="44">
        <v>255</v>
      </c>
      <c r="AO46" s="44">
        <v>383</v>
      </c>
      <c r="AP46" s="48"/>
      <c r="AQ46" s="48"/>
      <c r="AR46" s="43">
        <v>344</v>
      </c>
      <c r="AS46" s="43">
        <v>314</v>
      </c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43">
        <v>297</v>
      </c>
      <c r="BF46" s="43">
        <v>370</v>
      </c>
      <c r="BG46" s="43">
        <v>324</v>
      </c>
      <c r="BH46" s="43">
        <v>355</v>
      </c>
      <c r="BI46" s="43">
        <v>374</v>
      </c>
      <c r="BJ46" s="43">
        <v>289</v>
      </c>
      <c r="BK46" s="43">
        <v>391</v>
      </c>
      <c r="BL46" s="43">
        <v>283</v>
      </c>
      <c r="BM46" s="43">
        <v>287</v>
      </c>
      <c r="BN46" s="43">
        <v>359</v>
      </c>
      <c r="BO46" s="43">
        <v>317</v>
      </c>
      <c r="BP46" s="43">
        <v>319</v>
      </c>
      <c r="BQ46" s="43">
        <v>377</v>
      </c>
      <c r="BR46" s="43">
        <v>270</v>
      </c>
      <c r="BS46" s="43">
        <v>425</v>
      </c>
      <c r="BT46" s="43">
        <v>242</v>
      </c>
      <c r="BU46" s="43">
        <v>403</v>
      </c>
      <c r="BV46" s="43">
        <v>448</v>
      </c>
      <c r="BW46" s="43">
        <v>295</v>
      </c>
      <c r="BX46" s="43">
        <v>237</v>
      </c>
      <c r="BY46" s="43">
        <v>293</v>
      </c>
      <c r="BZ46" s="43">
        <v>278</v>
      </c>
      <c r="CA46" s="43">
        <v>401</v>
      </c>
      <c r="CB46" s="43">
        <v>293</v>
      </c>
      <c r="CC46" s="43">
        <v>240</v>
      </c>
      <c r="CD46" s="43">
        <v>387</v>
      </c>
      <c r="CE46" s="43">
        <v>286</v>
      </c>
      <c r="CF46" s="43">
        <v>239</v>
      </c>
      <c r="CG46" s="43">
        <v>320</v>
      </c>
      <c r="CH46" s="43">
        <v>203</v>
      </c>
      <c r="CI46" s="43">
        <v>185</v>
      </c>
      <c r="CJ46" s="43">
        <v>343</v>
      </c>
      <c r="CK46" s="43">
        <v>264</v>
      </c>
      <c r="CL46" s="43">
        <v>238</v>
      </c>
      <c r="CM46" s="43">
        <v>385</v>
      </c>
      <c r="CN46" s="43">
        <v>389</v>
      </c>
      <c r="CO46" s="43">
        <v>207</v>
      </c>
      <c r="CP46" s="43">
        <v>315</v>
      </c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43">
        <v>343</v>
      </c>
      <c r="FZ46" s="43">
        <v>344</v>
      </c>
      <c r="GA46" s="53"/>
      <c r="GB46" s="53"/>
      <c r="GC46" s="53"/>
      <c r="GD46" s="53"/>
      <c r="GE46" s="53"/>
      <c r="GF46" s="53"/>
      <c r="GG46" s="53"/>
      <c r="GH46" s="53"/>
      <c r="GI46" s="43"/>
      <c r="GJ46" s="53"/>
      <c r="GK46" s="53"/>
      <c r="GL46" s="53"/>
      <c r="GM46" s="53"/>
      <c r="GN46" s="53"/>
      <c r="GO46" s="43">
        <v>516</v>
      </c>
      <c r="GP46" s="43">
        <v>171</v>
      </c>
      <c r="GQ46" s="43">
        <v>512</v>
      </c>
      <c r="GR46" s="43">
        <v>169</v>
      </c>
    </row>
    <row r="47" spans="1:200">
      <c r="A47" s="5">
        <v>507</v>
      </c>
      <c r="B47" s="1" t="s">
        <v>175</v>
      </c>
      <c r="C47" s="33">
        <v>1417</v>
      </c>
      <c r="D47" s="34">
        <v>1064</v>
      </c>
      <c r="E47" s="19">
        <f t="shared" si="0"/>
        <v>0.75088214537755826</v>
      </c>
      <c r="F47" s="62">
        <v>614</v>
      </c>
      <c r="G47" s="43">
        <v>2</v>
      </c>
      <c r="H47" s="43">
        <v>50</v>
      </c>
      <c r="I47" s="43">
        <v>8</v>
      </c>
      <c r="J47" s="55">
        <v>356</v>
      </c>
      <c r="K47" s="6">
        <v>0</v>
      </c>
      <c r="L47" s="6">
        <v>0</v>
      </c>
      <c r="M47" s="43">
        <v>0</v>
      </c>
      <c r="N47" s="25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>
        <v>0</v>
      </c>
      <c r="AA47" s="44">
        <v>0</v>
      </c>
      <c r="AB47" s="44">
        <v>0</v>
      </c>
      <c r="AC47" s="44">
        <v>3</v>
      </c>
      <c r="AD47" s="44">
        <v>16</v>
      </c>
      <c r="AE47" s="44">
        <v>606</v>
      </c>
      <c r="AF47" s="44">
        <v>9</v>
      </c>
      <c r="AG47" s="44">
        <v>0</v>
      </c>
      <c r="AH47" s="44">
        <v>398</v>
      </c>
      <c r="AI47" s="32"/>
      <c r="AJ47" s="32"/>
      <c r="AK47" s="32"/>
      <c r="AL47" s="32"/>
      <c r="AM47" s="44">
        <v>42</v>
      </c>
      <c r="AN47" s="44">
        <v>371</v>
      </c>
      <c r="AO47" s="44">
        <v>579</v>
      </c>
      <c r="AP47" s="48"/>
      <c r="AQ47" s="48"/>
      <c r="AR47" s="43">
        <v>522</v>
      </c>
      <c r="AS47" s="43">
        <v>453</v>
      </c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43">
        <v>453</v>
      </c>
      <c r="BF47" s="43">
        <v>523</v>
      </c>
      <c r="BG47" s="43">
        <v>491</v>
      </c>
      <c r="BH47" s="43">
        <v>495</v>
      </c>
      <c r="BI47" s="43">
        <v>593</v>
      </c>
      <c r="BJ47" s="43">
        <v>379</v>
      </c>
      <c r="BK47" s="43">
        <v>500</v>
      </c>
      <c r="BL47" s="43">
        <v>474</v>
      </c>
      <c r="BM47" s="43">
        <v>431</v>
      </c>
      <c r="BN47" s="43">
        <v>518</v>
      </c>
      <c r="BO47" s="43">
        <v>432</v>
      </c>
      <c r="BP47" s="43">
        <v>501</v>
      </c>
      <c r="BQ47" s="43">
        <v>572</v>
      </c>
      <c r="BR47" s="43">
        <v>385</v>
      </c>
      <c r="BS47" s="43">
        <v>630</v>
      </c>
      <c r="BT47" s="43">
        <v>374</v>
      </c>
      <c r="BU47" s="43">
        <v>589</v>
      </c>
      <c r="BV47" s="43">
        <v>647</v>
      </c>
      <c r="BW47" s="43">
        <v>458</v>
      </c>
      <c r="BX47" s="43">
        <v>313</v>
      </c>
      <c r="BY47" s="43">
        <v>441</v>
      </c>
      <c r="BZ47" s="43">
        <v>400</v>
      </c>
      <c r="CA47" s="43">
        <v>580</v>
      </c>
      <c r="CB47" s="43">
        <v>442</v>
      </c>
      <c r="CC47" s="43">
        <v>331</v>
      </c>
      <c r="CD47" s="43">
        <v>573</v>
      </c>
      <c r="CE47" s="43">
        <v>376</v>
      </c>
      <c r="CF47" s="43">
        <v>381</v>
      </c>
      <c r="CG47" s="43">
        <v>453</v>
      </c>
      <c r="CH47" s="43">
        <v>303</v>
      </c>
      <c r="CI47" s="43">
        <v>200</v>
      </c>
      <c r="CJ47" s="43">
        <v>547</v>
      </c>
      <c r="CK47" s="43">
        <v>393</v>
      </c>
      <c r="CL47" s="43">
        <v>329</v>
      </c>
      <c r="CM47" s="43">
        <v>547</v>
      </c>
      <c r="CN47" s="43">
        <v>561</v>
      </c>
      <c r="CO47" s="43">
        <v>262</v>
      </c>
      <c r="CP47" s="43">
        <v>475</v>
      </c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43">
        <v>533</v>
      </c>
      <c r="FZ47" s="43">
        <v>474</v>
      </c>
      <c r="GA47" s="53"/>
      <c r="GB47" s="53"/>
      <c r="GC47" s="53"/>
      <c r="GD47" s="53"/>
      <c r="GE47" s="53"/>
      <c r="GF47" s="53"/>
      <c r="GG47" s="53"/>
      <c r="GH47" s="53"/>
      <c r="GI47" s="43"/>
      <c r="GJ47" s="53"/>
      <c r="GK47" s="53"/>
      <c r="GL47" s="53"/>
      <c r="GM47" s="53"/>
      <c r="GN47" s="53"/>
      <c r="GO47" s="43">
        <v>700</v>
      </c>
      <c r="GP47" s="43">
        <v>292</v>
      </c>
      <c r="GQ47" s="43">
        <v>736</v>
      </c>
      <c r="GR47" s="43">
        <v>252</v>
      </c>
    </row>
    <row r="48" spans="1:200">
      <c r="A48" s="5">
        <v>508</v>
      </c>
      <c r="B48" s="1" t="s">
        <v>176</v>
      </c>
      <c r="C48" s="33">
        <v>946</v>
      </c>
      <c r="D48" s="34">
        <v>625</v>
      </c>
      <c r="E48" s="19">
        <f t="shared" si="0"/>
        <v>0.66067653276955607</v>
      </c>
      <c r="F48" s="62">
        <v>512</v>
      </c>
      <c r="G48" s="43">
        <v>3</v>
      </c>
      <c r="H48" s="43">
        <v>11</v>
      </c>
      <c r="I48" s="43">
        <v>18</v>
      </c>
      <c r="J48" s="55">
        <v>69</v>
      </c>
      <c r="K48" s="6">
        <v>0</v>
      </c>
      <c r="L48" s="6">
        <v>0</v>
      </c>
      <c r="M48" s="43">
        <v>0</v>
      </c>
      <c r="N48" s="25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2</v>
      </c>
      <c r="X48" s="43">
        <v>0</v>
      </c>
      <c r="Y48" s="43">
        <v>0</v>
      </c>
      <c r="Z48" s="43">
        <v>0</v>
      </c>
      <c r="AA48" s="44">
        <v>0</v>
      </c>
      <c r="AB48" s="44">
        <v>0</v>
      </c>
      <c r="AC48" s="44">
        <v>5</v>
      </c>
      <c r="AD48" s="44">
        <v>21</v>
      </c>
      <c r="AE48" s="44">
        <v>127</v>
      </c>
      <c r="AF48" s="44">
        <v>7</v>
      </c>
      <c r="AG48" s="44">
        <v>0</v>
      </c>
      <c r="AH48" s="44">
        <v>435</v>
      </c>
      <c r="AI48" s="32"/>
      <c r="AJ48" s="32"/>
      <c r="AK48" s="32"/>
      <c r="AL48" s="32"/>
      <c r="AM48" s="44">
        <v>33</v>
      </c>
      <c r="AN48" s="44">
        <v>413</v>
      </c>
      <c r="AO48" s="44">
        <v>125</v>
      </c>
      <c r="AP48" s="48"/>
      <c r="AQ48" s="48"/>
      <c r="AR48" s="43">
        <v>113</v>
      </c>
      <c r="AS48" s="43">
        <v>457</v>
      </c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43">
        <v>86</v>
      </c>
      <c r="BF48" s="43">
        <v>487</v>
      </c>
      <c r="BG48" s="43">
        <v>106</v>
      </c>
      <c r="BH48" s="43">
        <v>465</v>
      </c>
      <c r="BI48" s="43">
        <v>146</v>
      </c>
      <c r="BJ48" s="43">
        <v>429</v>
      </c>
      <c r="BK48" s="43">
        <v>466</v>
      </c>
      <c r="BL48" s="43">
        <v>111</v>
      </c>
      <c r="BM48" s="43">
        <v>85</v>
      </c>
      <c r="BN48" s="43">
        <v>471</v>
      </c>
      <c r="BO48" s="43">
        <v>433</v>
      </c>
      <c r="BP48" s="43">
        <v>112</v>
      </c>
      <c r="BQ48" s="43">
        <v>111</v>
      </c>
      <c r="BR48" s="43">
        <v>431</v>
      </c>
      <c r="BS48" s="43">
        <v>245</v>
      </c>
      <c r="BT48" s="43">
        <v>78</v>
      </c>
      <c r="BU48" s="43">
        <v>485</v>
      </c>
      <c r="BV48" s="43">
        <v>316</v>
      </c>
      <c r="BW48" s="43">
        <v>164</v>
      </c>
      <c r="BX48" s="43">
        <v>286</v>
      </c>
      <c r="BY48" s="43">
        <v>157</v>
      </c>
      <c r="BZ48" s="43">
        <v>342</v>
      </c>
      <c r="CA48" s="43">
        <v>279</v>
      </c>
      <c r="CB48" s="43">
        <v>118</v>
      </c>
      <c r="CC48" s="43">
        <v>340</v>
      </c>
      <c r="CD48" s="43">
        <v>321</v>
      </c>
      <c r="CE48" s="43">
        <v>347</v>
      </c>
      <c r="CF48" s="43">
        <v>108</v>
      </c>
      <c r="CG48" s="43">
        <v>144</v>
      </c>
      <c r="CH48" s="43">
        <v>285</v>
      </c>
      <c r="CI48" s="43">
        <v>256</v>
      </c>
      <c r="CJ48" s="43">
        <v>196</v>
      </c>
      <c r="CK48" s="43">
        <v>180</v>
      </c>
      <c r="CL48" s="43">
        <v>267</v>
      </c>
      <c r="CM48" s="43">
        <v>250</v>
      </c>
      <c r="CN48" s="43">
        <v>279</v>
      </c>
      <c r="CO48" s="43">
        <v>267</v>
      </c>
      <c r="CP48" s="43">
        <v>192</v>
      </c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43">
        <v>439</v>
      </c>
      <c r="FZ48" s="43">
        <v>142</v>
      </c>
      <c r="GA48" s="53"/>
      <c r="GB48" s="53"/>
      <c r="GC48" s="53"/>
      <c r="GD48" s="53"/>
      <c r="GE48" s="53"/>
      <c r="GF48" s="53"/>
      <c r="GG48" s="53"/>
      <c r="GH48" s="53"/>
      <c r="GI48" s="43"/>
      <c r="GJ48" s="53"/>
      <c r="GK48" s="53"/>
      <c r="GL48" s="53"/>
      <c r="GM48" s="53"/>
      <c r="GN48" s="53"/>
      <c r="GO48" s="43">
        <v>483</v>
      </c>
      <c r="GP48" s="43">
        <v>101</v>
      </c>
      <c r="GQ48" s="43">
        <v>487</v>
      </c>
      <c r="GR48" s="43">
        <v>91</v>
      </c>
    </row>
    <row r="49" spans="1:200">
      <c r="A49" s="5">
        <v>509</v>
      </c>
      <c r="B49" s="1" t="s">
        <v>177</v>
      </c>
      <c r="C49" s="33">
        <v>1518</v>
      </c>
      <c r="D49" s="34">
        <v>1220</v>
      </c>
      <c r="E49" s="19">
        <f t="shared" si="0"/>
        <v>0.80368906455862976</v>
      </c>
      <c r="F49" s="62">
        <v>631</v>
      </c>
      <c r="G49" s="43">
        <v>3</v>
      </c>
      <c r="H49" s="43">
        <v>62</v>
      </c>
      <c r="I49" s="43">
        <v>8</v>
      </c>
      <c r="J49" s="55">
        <v>467</v>
      </c>
      <c r="K49" s="6">
        <v>0</v>
      </c>
      <c r="L49" s="6">
        <v>0</v>
      </c>
      <c r="M49" s="43">
        <v>0</v>
      </c>
      <c r="N49" s="25">
        <v>0</v>
      </c>
      <c r="O49" s="43">
        <v>0</v>
      </c>
      <c r="P49" s="43">
        <v>0</v>
      </c>
      <c r="Q49" s="43">
        <v>0</v>
      </c>
      <c r="R49" s="43">
        <v>0</v>
      </c>
      <c r="S49" s="43">
        <v>1</v>
      </c>
      <c r="T49" s="43">
        <v>0</v>
      </c>
      <c r="U49" s="43">
        <v>0</v>
      </c>
      <c r="V49" s="43">
        <v>0</v>
      </c>
      <c r="W49" s="43">
        <v>10</v>
      </c>
      <c r="X49" s="43">
        <v>0</v>
      </c>
      <c r="Y49" s="43">
        <v>0</v>
      </c>
      <c r="Z49" s="43">
        <v>0</v>
      </c>
      <c r="AA49" s="44">
        <v>0</v>
      </c>
      <c r="AB49" s="44">
        <v>0</v>
      </c>
      <c r="AC49" s="44">
        <v>4</v>
      </c>
      <c r="AD49" s="44">
        <v>8</v>
      </c>
      <c r="AE49" s="44">
        <v>726</v>
      </c>
      <c r="AF49" s="44">
        <v>5</v>
      </c>
      <c r="AG49" s="44">
        <v>0</v>
      </c>
      <c r="AH49" s="44">
        <v>440</v>
      </c>
      <c r="AI49" s="32"/>
      <c r="AJ49" s="32"/>
      <c r="AK49" s="32"/>
      <c r="AL49" s="32"/>
      <c r="AM49" s="44">
        <v>52</v>
      </c>
      <c r="AN49" s="44">
        <v>391</v>
      </c>
      <c r="AO49" s="44">
        <v>704</v>
      </c>
      <c r="AP49" s="48"/>
      <c r="AQ49" s="48"/>
      <c r="AR49" s="43">
        <v>643</v>
      </c>
      <c r="AS49" s="43">
        <v>477</v>
      </c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43">
        <v>570</v>
      </c>
      <c r="BF49" s="43">
        <v>575</v>
      </c>
      <c r="BG49" s="43">
        <v>624</v>
      </c>
      <c r="BH49" s="43">
        <v>514</v>
      </c>
      <c r="BI49" s="43">
        <v>708</v>
      </c>
      <c r="BJ49" s="43">
        <v>420</v>
      </c>
      <c r="BK49" s="43">
        <v>594</v>
      </c>
      <c r="BL49" s="43">
        <v>533</v>
      </c>
      <c r="BM49" s="43">
        <v>531</v>
      </c>
      <c r="BN49" s="43">
        <v>572</v>
      </c>
      <c r="BO49" s="43">
        <v>471</v>
      </c>
      <c r="BP49" s="43">
        <v>599</v>
      </c>
      <c r="BQ49" s="43">
        <v>681</v>
      </c>
      <c r="BR49" s="43">
        <v>409</v>
      </c>
      <c r="BS49" s="43">
        <v>749</v>
      </c>
      <c r="BT49" s="43">
        <v>455</v>
      </c>
      <c r="BU49" s="43">
        <v>634</v>
      </c>
      <c r="BV49" s="43">
        <v>743</v>
      </c>
      <c r="BW49" s="43">
        <v>546</v>
      </c>
      <c r="BX49" s="43">
        <v>329</v>
      </c>
      <c r="BY49" s="43">
        <v>534</v>
      </c>
      <c r="BZ49" s="43">
        <v>437</v>
      </c>
      <c r="CA49" s="43">
        <v>647</v>
      </c>
      <c r="CB49" s="43">
        <v>526</v>
      </c>
      <c r="CC49" s="43">
        <v>366</v>
      </c>
      <c r="CD49" s="43">
        <v>648</v>
      </c>
      <c r="CE49" s="43">
        <v>418</v>
      </c>
      <c r="CF49" s="43">
        <v>441</v>
      </c>
      <c r="CG49" s="43">
        <v>552</v>
      </c>
      <c r="CH49" s="43">
        <v>308</v>
      </c>
      <c r="CI49" s="43">
        <v>243</v>
      </c>
      <c r="CJ49" s="43">
        <v>602</v>
      </c>
      <c r="CK49" s="43">
        <v>438</v>
      </c>
      <c r="CL49" s="43">
        <v>370</v>
      </c>
      <c r="CM49" s="43">
        <v>605</v>
      </c>
      <c r="CN49" s="43">
        <v>617</v>
      </c>
      <c r="CO49" s="43">
        <v>290</v>
      </c>
      <c r="CP49" s="43">
        <v>556</v>
      </c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43">
        <v>565</v>
      </c>
      <c r="FZ49" s="43">
        <v>611</v>
      </c>
      <c r="GA49" s="53"/>
      <c r="GB49" s="53"/>
      <c r="GC49" s="53"/>
      <c r="GD49" s="53"/>
      <c r="GE49" s="53"/>
      <c r="GF49" s="53"/>
      <c r="GG49" s="53"/>
      <c r="GH49" s="53"/>
      <c r="GI49" s="43"/>
      <c r="GJ49" s="53"/>
      <c r="GK49" s="53"/>
      <c r="GL49" s="53"/>
      <c r="GM49" s="53"/>
      <c r="GN49" s="53"/>
      <c r="GO49" s="43">
        <v>817</v>
      </c>
      <c r="GP49" s="43">
        <v>353</v>
      </c>
      <c r="GQ49" s="43">
        <v>825</v>
      </c>
      <c r="GR49" s="43">
        <v>347</v>
      </c>
    </row>
    <row r="50" spans="1:200">
      <c r="A50" s="5">
        <v>601</v>
      </c>
      <c r="B50" s="1" t="s">
        <v>178</v>
      </c>
      <c r="C50" s="33">
        <v>1674</v>
      </c>
      <c r="D50" s="34">
        <v>984</v>
      </c>
      <c r="E50" s="19">
        <f t="shared" si="0"/>
        <v>0.58781362007168458</v>
      </c>
      <c r="F50" s="62">
        <v>681</v>
      </c>
      <c r="G50" s="43">
        <v>1</v>
      </c>
      <c r="H50" s="43">
        <v>47</v>
      </c>
      <c r="I50" s="43">
        <v>5</v>
      </c>
      <c r="J50" s="55">
        <v>227</v>
      </c>
      <c r="K50" s="6">
        <v>0</v>
      </c>
      <c r="L50" s="6">
        <v>0</v>
      </c>
      <c r="M50" s="43">
        <v>1</v>
      </c>
      <c r="N50" s="25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  <c r="V50" s="43">
        <v>0</v>
      </c>
      <c r="W50" s="43">
        <v>2</v>
      </c>
      <c r="X50" s="43">
        <v>0</v>
      </c>
      <c r="Y50" s="43">
        <v>0</v>
      </c>
      <c r="Z50" s="43">
        <v>0</v>
      </c>
      <c r="AA50" s="44">
        <v>0</v>
      </c>
      <c r="AB50" s="44">
        <v>0</v>
      </c>
      <c r="AC50" s="44">
        <v>12</v>
      </c>
      <c r="AD50" s="44">
        <v>24</v>
      </c>
      <c r="AE50" s="44">
        <v>398</v>
      </c>
      <c r="AF50" s="44">
        <v>7</v>
      </c>
      <c r="AG50" s="44">
        <v>0</v>
      </c>
      <c r="AH50" s="44">
        <v>501</v>
      </c>
      <c r="AI50" s="44">
        <v>355</v>
      </c>
      <c r="AJ50" s="44">
        <v>2</v>
      </c>
      <c r="AK50" s="44">
        <v>0</v>
      </c>
      <c r="AL50" s="44">
        <v>572</v>
      </c>
      <c r="AM50" s="48"/>
      <c r="AN50" s="48"/>
      <c r="AO50" s="48"/>
      <c r="AP50" s="48"/>
      <c r="AQ50" s="48"/>
      <c r="AR50" s="51"/>
      <c r="AS50" s="51"/>
      <c r="AT50" s="51"/>
      <c r="AU50" s="51"/>
      <c r="AV50" s="51"/>
      <c r="AW50" s="50"/>
      <c r="AX50" s="50"/>
      <c r="AY50" s="50"/>
      <c r="AZ50" s="50"/>
      <c r="BA50" s="43">
        <v>583</v>
      </c>
      <c r="BB50" s="43">
        <v>310</v>
      </c>
      <c r="BC50" s="50"/>
      <c r="BD50" s="50"/>
      <c r="BE50" s="43">
        <v>305</v>
      </c>
      <c r="BF50" s="43">
        <v>596</v>
      </c>
      <c r="BG50" s="43">
        <v>324</v>
      </c>
      <c r="BH50" s="43">
        <v>578</v>
      </c>
      <c r="BI50" s="43">
        <v>382</v>
      </c>
      <c r="BJ50" s="43">
        <v>506</v>
      </c>
      <c r="BK50" s="43">
        <v>625</v>
      </c>
      <c r="BL50" s="43">
        <v>285</v>
      </c>
      <c r="BM50" s="43">
        <v>270</v>
      </c>
      <c r="BN50" s="43">
        <v>615</v>
      </c>
      <c r="BO50" s="43">
        <v>527</v>
      </c>
      <c r="BP50" s="43">
        <v>331</v>
      </c>
      <c r="BQ50" s="43">
        <v>365</v>
      </c>
      <c r="BR50" s="43">
        <v>513</v>
      </c>
      <c r="BS50" s="43">
        <v>545</v>
      </c>
      <c r="BT50" s="43">
        <v>255</v>
      </c>
      <c r="BU50" s="43">
        <v>616</v>
      </c>
      <c r="BV50" s="43">
        <v>558</v>
      </c>
      <c r="BW50" s="43">
        <v>329</v>
      </c>
      <c r="BX50" s="43">
        <v>337</v>
      </c>
      <c r="BY50" s="43">
        <v>295</v>
      </c>
      <c r="BZ50" s="43">
        <v>429</v>
      </c>
      <c r="CA50" s="43">
        <v>493</v>
      </c>
      <c r="CB50" s="43">
        <v>218</v>
      </c>
      <c r="CC50" s="43">
        <v>431</v>
      </c>
      <c r="CD50" s="43">
        <v>532</v>
      </c>
      <c r="CE50" s="43">
        <v>437</v>
      </c>
      <c r="CF50" s="43">
        <v>233</v>
      </c>
      <c r="CG50" s="43">
        <v>275</v>
      </c>
      <c r="CH50" s="43">
        <v>361</v>
      </c>
      <c r="CI50" s="43">
        <v>256</v>
      </c>
      <c r="CJ50" s="43">
        <v>388</v>
      </c>
      <c r="CK50" s="43">
        <v>318</v>
      </c>
      <c r="CL50" s="43">
        <v>316</v>
      </c>
      <c r="CM50" s="43">
        <v>454</v>
      </c>
      <c r="CN50" s="43">
        <v>471</v>
      </c>
      <c r="CO50" s="43">
        <v>300</v>
      </c>
      <c r="CP50" s="43">
        <v>360</v>
      </c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43">
        <v>603</v>
      </c>
      <c r="FZ50" s="43">
        <v>311</v>
      </c>
      <c r="GA50" s="53"/>
      <c r="GB50" s="53"/>
      <c r="GC50" s="53"/>
      <c r="GD50" s="53"/>
      <c r="GE50" s="53"/>
      <c r="GF50" s="53"/>
      <c r="GG50" s="53"/>
      <c r="GH50" s="53"/>
      <c r="GI50" s="43"/>
      <c r="GJ50" s="53"/>
      <c r="GK50" s="53"/>
      <c r="GL50" s="53"/>
      <c r="GM50" s="53"/>
      <c r="GN50" s="53"/>
      <c r="GO50" s="43">
        <v>726</v>
      </c>
      <c r="GP50" s="43">
        <v>189</v>
      </c>
      <c r="GQ50" s="43">
        <v>706</v>
      </c>
      <c r="GR50" s="43">
        <v>211</v>
      </c>
    </row>
    <row r="51" spans="1:200">
      <c r="A51" s="5">
        <v>602</v>
      </c>
      <c r="B51" s="1" t="s">
        <v>179</v>
      </c>
      <c r="C51" s="33">
        <v>1444</v>
      </c>
      <c r="D51" s="34">
        <v>918</v>
      </c>
      <c r="E51" s="19">
        <f t="shared" si="0"/>
        <v>0.6357340720221607</v>
      </c>
      <c r="F51" s="62">
        <v>549</v>
      </c>
      <c r="G51" s="43">
        <v>0</v>
      </c>
      <c r="H51" s="43">
        <v>44</v>
      </c>
      <c r="I51" s="43">
        <v>5</v>
      </c>
      <c r="J51" s="55">
        <v>296</v>
      </c>
      <c r="K51" s="6">
        <v>0</v>
      </c>
      <c r="L51" s="6">
        <v>0</v>
      </c>
      <c r="M51" s="43">
        <v>0</v>
      </c>
      <c r="N51" s="25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2</v>
      </c>
      <c r="X51" s="43">
        <v>0</v>
      </c>
      <c r="Y51" s="43">
        <v>0</v>
      </c>
      <c r="Z51" s="43">
        <v>0</v>
      </c>
      <c r="AA51" s="44">
        <v>0</v>
      </c>
      <c r="AB51" s="44">
        <v>0</v>
      </c>
      <c r="AC51" s="44">
        <v>5</v>
      </c>
      <c r="AD51" s="44">
        <v>10</v>
      </c>
      <c r="AE51" s="44">
        <v>455</v>
      </c>
      <c r="AF51" s="44">
        <v>7</v>
      </c>
      <c r="AG51" s="44">
        <v>0</v>
      </c>
      <c r="AH51" s="44">
        <v>404</v>
      </c>
      <c r="AI51" s="44">
        <v>410</v>
      </c>
      <c r="AJ51" s="44">
        <v>0</v>
      </c>
      <c r="AK51" s="44">
        <v>0</v>
      </c>
      <c r="AL51" s="44">
        <v>469</v>
      </c>
      <c r="AM51" s="48"/>
      <c r="AN51" s="48"/>
      <c r="AO51" s="48"/>
      <c r="AP51" s="48"/>
      <c r="AQ51" s="48"/>
      <c r="AR51" s="51"/>
      <c r="AS51" s="51"/>
      <c r="AT51" s="51"/>
      <c r="AU51" s="51"/>
      <c r="AV51" s="51"/>
      <c r="AW51" s="50"/>
      <c r="AX51" s="50"/>
      <c r="AY51" s="50"/>
      <c r="AZ51" s="50"/>
      <c r="BA51" s="43">
        <v>462</v>
      </c>
      <c r="BB51" s="43">
        <v>382</v>
      </c>
      <c r="BC51" s="50"/>
      <c r="BD51" s="50"/>
      <c r="BE51" s="43">
        <v>350</v>
      </c>
      <c r="BF51" s="43">
        <v>486</v>
      </c>
      <c r="BG51" s="43">
        <v>392</v>
      </c>
      <c r="BH51" s="43">
        <v>452</v>
      </c>
      <c r="BI51" s="43">
        <v>439</v>
      </c>
      <c r="BJ51" s="43">
        <v>395</v>
      </c>
      <c r="BK51" s="43">
        <v>498</v>
      </c>
      <c r="BL51" s="43">
        <v>337</v>
      </c>
      <c r="BM51" s="43">
        <v>329</v>
      </c>
      <c r="BN51" s="43">
        <v>489</v>
      </c>
      <c r="BO51" s="43">
        <v>426</v>
      </c>
      <c r="BP51" s="43">
        <v>372</v>
      </c>
      <c r="BQ51" s="43">
        <v>417</v>
      </c>
      <c r="BR51" s="43">
        <v>390</v>
      </c>
      <c r="BS51" s="43">
        <v>551</v>
      </c>
      <c r="BT51" s="43">
        <v>286</v>
      </c>
      <c r="BU51" s="43">
        <v>521</v>
      </c>
      <c r="BV51" s="43">
        <v>546</v>
      </c>
      <c r="BW51" s="43">
        <v>315</v>
      </c>
      <c r="BX51" s="43">
        <v>324</v>
      </c>
      <c r="BY51" s="43">
        <v>308</v>
      </c>
      <c r="BZ51" s="43">
        <v>377</v>
      </c>
      <c r="CA51" s="43">
        <v>488</v>
      </c>
      <c r="CB51" s="43">
        <v>252</v>
      </c>
      <c r="CC51" s="43">
        <v>371</v>
      </c>
      <c r="CD51" s="43">
        <v>508</v>
      </c>
      <c r="CE51" s="43">
        <v>376</v>
      </c>
      <c r="CF51" s="43">
        <v>252</v>
      </c>
      <c r="CG51" s="43">
        <v>266</v>
      </c>
      <c r="CH51" s="43">
        <v>337</v>
      </c>
      <c r="CI51" s="43">
        <v>239</v>
      </c>
      <c r="CJ51" s="43">
        <v>369</v>
      </c>
      <c r="CK51" s="43">
        <v>291</v>
      </c>
      <c r="CL51" s="43">
        <v>321</v>
      </c>
      <c r="CM51" s="43">
        <v>446</v>
      </c>
      <c r="CN51" s="43">
        <v>456</v>
      </c>
      <c r="CO51" s="43">
        <v>279</v>
      </c>
      <c r="CP51" s="43">
        <v>337</v>
      </c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43">
        <v>554</v>
      </c>
      <c r="FZ51" s="43">
        <v>286</v>
      </c>
      <c r="GA51" s="53"/>
      <c r="GB51" s="53"/>
      <c r="GC51" s="53"/>
      <c r="GD51" s="53"/>
      <c r="GE51" s="53"/>
      <c r="GF51" s="53"/>
      <c r="GG51" s="53"/>
      <c r="GH51" s="53"/>
      <c r="GI51" s="43"/>
      <c r="GJ51" s="53"/>
      <c r="GK51" s="53"/>
      <c r="GL51" s="53"/>
      <c r="GM51" s="53"/>
      <c r="GN51" s="53"/>
      <c r="GO51" s="43">
        <v>677</v>
      </c>
      <c r="GP51" s="43">
        <v>175</v>
      </c>
      <c r="GQ51" s="43">
        <v>669</v>
      </c>
      <c r="GR51" s="43">
        <v>176</v>
      </c>
    </row>
    <row r="52" spans="1:200">
      <c r="A52" s="5">
        <v>603</v>
      </c>
      <c r="B52" s="1" t="s">
        <v>180</v>
      </c>
      <c r="C52" s="33">
        <v>1679</v>
      </c>
      <c r="D52" s="34">
        <v>822</v>
      </c>
      <c r="E52" s="19">
        <f t="shared" si="0"/>
        <v>0.48957712924359736</v>
      </c>
      <c r="F52" s="62">
        <v>658</v>
      </c>
      <c r="G52" s="43">
        <v>3</v>
      </c>
      <c r="H52" s="43">
        <v>27</v>
      </c>
      <c r="I52" s="43">
        <v>13</v>
      </c>
      <c r="J52" s="55">
        <v>101</v>
      </c>
      <c r="K52" s="6">
        <v>0</v>
      </c>
      <c r="L52" s="6">
        <v>0</v>
      </c>
      <c r="M52" s="43">
        <v>0</v>
      </c>
      <c r="N52" s="25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43">
        <v>0</v>
      </c>
      <c r="W52" s="43">
        <v>2</v>
      </c>
      <c r="X52" s="43">
        <v>0</v>
      </c>
      <c r="Y52" s="43">
        <v>0</v>
      </c>
      <c r="Z52" s="43">
        <v>0</v>
      </c>
      <c r="AA52" s="44">
        <v>0</v>
      </c>
      <c r="AB52" s="44">
        <v>0</v>
      </c>
      <c r="AC52" s="44">
        <v>13</v>
      </c>
      <c r="AD52" s="44">
        <v>23</v>
      </c>
      <c r="AE52" s="44">
        <v>203</v>
      </c>
      <c r="AF52" s="44">
        <v>7</v>
      </c>
      <c r="AG52" s="44">
        <v>1</v>
      </c>
      <c r="AH52" s="44">
        <v>546</v>
      </c>
      <c r="AI52" s="44">
        <v>173</v>
      </c>
      <c r="AJ52" s="44">
        <v>2</v>
      </c>
      <c r="AK52" s="44">
        <v>0</v>
      </c>
      <c r="AL52" s="44">
        <v>608</v>
      </c>
      <c r="AM52" s="48"/>
      <c r="AN52" s="48"/>
      <c r="AO52" s="48"/>
      <c r="AP52" s="48"/>
      <c r="AQ52" s="48"/>
      <c r="AR52" s="51"/>
      <c r="AS52" s="51"/>
      <c r="AT52" s="51"/>
      <c r="AU52" s="51"/>
      <c r="AV52" s="51"/>
      <c r="AW52" s="50"/>
      <c r="AX52" s="50"/>
      <c r="AY52" s="50"/>
      <c r="AZ52" s="50"/>
      <c r="BA52" s="43">
        <v>606</v>
      </c>
      <c r="BB52" s="43">
        <v>157</v>
      </c>
      <c r="BC52" s="50"/>
      <c r="BD52" s="50"/>
      <c r="BE52" s="43">
        <v>144</v>
      </c>
      <c r="BF52" s="43">
        <v>608</v>
      </c>
      <c r="BG52" s="43">
        <v>158</v>
      </c>
      <c r="BH52" s="43">
        <v>603</v>
      </c>
      <c r="BI52" s="43">
        <v>217</v>
      </c>
      <c r="BJ52" s="43">
        <v>530</v>
      </c>
      <c r="BK52" s="43">
        <v>634</v>
      </c>
      <c r="BL52" s="43">
        <v>129</v>
      </c>
      <c r="BM52" s="43">
        <v>135</v>
      </c>
      <c r="BN52" s="43">
        <v>601</v>
      </c>
      <c r="BO52" s="43">
        <v>559</v>
      </c>
      <c r="BP52" s="43">
        <v>166</v>
      </c>
      <c r="BQ52" s="43">
        <v>186</v>
      </c>
      <c r="BR52" s="43">
        <v>545</v>
      </c>
      <c r="BS52" s="43">
        <v>366</v>
      </c>
      <c r="BT52" s="43">
        <v>122</v>
      </c>
      <c r="BU52" s="43">
        <v>620</v>
      </c>
      <c r="BV52" s="43">
        <v>435</v>
      </c>
      <c r="BW52" s="43">
        <v>236</v>
      </c>
      <c r="BX52" s="43">
        <v>338</v>
      </c>
      <c r="BY52" s="43">
        <v>186</v>
      </c>
      <c r="BZ52" s="43">
        <v>426</v>
      </c>
      <c r="CA52" s="43">
        <v>373</v>
      </c>
      <c r="CB52" s="43">
        <v>137</v>
      </c>
      <c r="CC52" s="43">
        <v>431</v>
      </c>
      <c r="CD52" s="43">
        <v>442</v>
      </c>
      <c r="CE52" s="43">
        <v>419</v>
      </c>
      <c r="CF52" s="43">
        <v>140</v>
      </c>
      <c r="CG52" s="43">
        <v>199</v>
      </c>
      <c r="CH52" s="43">
        <v>348</v>
      </c>
      <c r="CI52" s="43">
        <v>286</v>
      </c>
      <c r="CJ52" s="43">
        <v>277</v>
      </c>
      <c r="CK52" s="43">
        <v>274</v>
      </c>
      <c r="CL52" s="43">
        <v>295</v>
      </c>
      <c r="CM52" s="43">
        <v>342</v>
      </c>
      <c r="CN52" s="43">
        <v>375</v>
      </c>
      <c r="CO52" s="43">
        <v>281</v>
      </c>
      <c r="CP52" s="43">
        <v>296</v>
      </c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43">
        <v>590</v>
      </c>
      <c r="FZ52" s="43">
        <v>172</v>
      </c>
      <c r="GA52" s="53"/>
      <c r="GB52" s="53"/>
      <c r="GC52" s="53"/>
      <c r="GD52" s="53"/>
      <c r="GE52" s="53"/>
      <c r="GF52" s="53"/>
      <c r="GG52" s="53"/>
      <c r="GH52" s="53"/>
      <c r="GI52" s="43"/>
      <c r="GJ52" s="53"/>
      <c r="GK52" s="53"/>
      <c r="GL52" s="53"/>
      <c r="GM52" s="53"/>
      <c r="GN52" s="53"/>
      <c r="GO52" s="43">
        <v>635</v>
      </c>
      <c r="GP52" s="43">
        <v>124</v>
      </c>
      <c r="GQ52" s="43">
        <v>645</v>
      </c>
      <c r="GR52" s="43">
        <v>120</v>
      </c>
    </row>
    <row r="53" spans="1:200">
      <c r="A53" s="5">
        <v>604</v>
      </c>
      <c r="B53" s="1" t="s">
        <v>181</v>
      </c>
      <c r="C53" s="33">
        <v>1343</v>
      </c>
      <c r="D53" s="34">
        <v>782</v>
      </c>
      <c r="E53" s="19">
        <f t="shared" si="0"/>
        <v>0.58227848101265822</v>
      </c>
      <c r="F53" s="62">
        <v>627</v>
      </c>
      <c r="G53" s="43">
        <v>1</v>
      </c>
      <c r="H53" s="43">
        <v>28</v>
      </c>
      <c r="I53" s="43">
        <v>15</v>
      </c>
      <c r="J53" s="55">
        <v>88</v>
      </c>
      <c r="K53" s="6">
        <v>0</v>
      </c>
      <c r="L53" s="6">
        <v>0</v>
      </c>
      <c r="M53" s="43">
        <v>1</v>
      </c>
      <c r="N53" s="25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6</v>
      </c>
      <c r="X53" s="43">
        <v>0</v>
      </c>
      <c r="Y53" s="43">
        <v>0</v>
      </c>
      <c r="Z53" s="43">
        <v>0</v>
      </c>
      <c r="AA53" s="44">
        <v>0</v>
      </c>
      <c r="AB53" s="44">
        <v>0</v>
      </c>
      <c r="AC53" s="44">
        <v>12</v>
      </c>
      <c r="AD53" s="44">
        <v>23</v>
      </c>
      <c r="AE53" s="44">
        <v>190</v>
      </c>
      <c r="AF53" s="44">
        <v>4</v>
      </c>
      <c r="AG53" s="44">
        <v>0</v>
      </c>
      <c r="AH53" s="44">
        <v>521</v>
      </c>
      <c r="AI53" s="44">
        <v>169</v>
      </c>
      <c r="AJ53" s="44">
        <v>0</v>
      </c>
      <c r="AK53" s="44">
        <v>0</v>
      </c>
      <c r="AL53" s="44">
        <v>557</v>
      </c>
      <c r="AM53" s="48"/>
      <c r="AN53" s="48"/>
      <c r="AO53" s="48"/>
      <c r="AP53" s="48"/>
      <c r="AQ53" s="48"/>
      <c r="AR53" s="51"/>
      <c r="AS53" s="51"/>
      <c r="AT53" s="51"/>
      <c r="AU53" s="51"/>
      <c r="AV53" s="51"/>
      <c r="AW53" s="50"/>
      <c r="AX53" s="50"/>
      <c r="AY53" s="50"/>
      <c r="AZ53" s="50"/>
      <c r="BA53" s="43">
        <v>550</v>
      </c>
      <c r="BB53" s="43">
        <v>151</v>
      </c>
      <c r="BC53" s="50"/>
      <c r="BD53" s="50"/>
      <c r="BE53" s="43">
        <v>140</v>
      </c>
      <c r="BF53" s="43">
        <v>561</v>
      </c>
      <c r="BG53" s="43">
        <v>138</v>
      </c>
      <c r="BH53" s="43">
        <v>566</v>
      </c>
      <c r="BI53" s="43">
        <v>197</v>
      </c>
      <c r="BJ53" s="43">
        <v>494</v>
      </c>
      <c r="BK53" s="43">
        <v>579</v>
      </c>
      <c r="BL53" s="43">
        <v>130</v>
      </c>
      <c r="BM53" s="43">
        <v>123</v>
      </c>
      <c r="BN53" s="43">
        <v>555</v>
      </c>
      <c r="BO53" s="43">
        <v>530</v>
      </c>
      <c r="BP53" s="43">
        <v>141</v>
      </c>
      <c r="BQ53" s="43">
        <v>174</v>
      </c>
      <c r="BR53" s="43">
        <v>502</v>
      </c>
      <c r="BS53" s="43">
        <v>325</v>
      </c>
      <c r="BT53" s="43">
        <v>112</v>
      </c>
      <c r="BU53" s="43">
        <v>569</v>
      </c>
      <c r="BV53" s="43">
        <v>385</v>
      </c>
      <c r="BW53" s="43">
        <v>224</v>
      </c>
      <c r="BX53" s="43">
        <v>305</v>
      </c>
      <c r="BY53" s="43">
        <v>167</v>
      </c>
      <c r="BZ53" s="43">
        <v>410</v>
      </c>
      <c r="CA53" s="43">
        <v>335</v>
      </c>
      <c r="CB53" s="43">
        <v>134</v>
      </c>
      <c r="CC53" s="43">
        <v>386</v>
      </c>
      <c r="CD53" s="43">
        <v>395</v>
      </c>
      <c r="CE53" s="43">
        <v>398</v>
      </c>
      <c r="CF53" s="43">
        <v>122</v>
      </c>
      <c r="CG53" s="43">
        <v>165</v>
      </c>
      <c r="CH53" s="43">
        <v>335</v>
      </c>
      <c r="CI53" s="43">
        <v>267</v>
      </c>
      <c r="CJ53" s="43">
        <v>247</v>
      </c>
      <c r="CK53" s="43">
        <v>218</v>
      </c>
      <c r="CL53" s="43">
        <v>296</v>
      </c>
      <c r="CM53" s="43">
        <v>292</v>
      </c>
      <c r="CN53" s="43">
        <v>323</v>
      </c>
      <c r="CO53" s="43">
        <v>267</v>
      </c>
      <c r="CP53" s="43">
        <v>246</v>
      </c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43">
        <v>593</v>
      </c>
      <c r="FZ53" s="43">
        <v>127</v>
      </c>
      <c r="GA53" s="53"/>
      <c r="GB53" s="53"/>
      <c r="GC53" s="53"/>
      <c r="GD53" s="53"/>
      <c r="GE53" s="53"/>
      <c r="GF53" s="53"/>
      <c r="GG53" s="53"/>
      <c r="GH53" s="53"/>
      <c r="GI53" s="43"/>
      <c r="GJ53" s="53"/>
      <c r="GK53" s="53"/>
      <c r="GL53" s="53"/>
      <c r="GM53" s="53"/>
      <c r="GN53" s="53"/>
      <c r="GO53" s="43">
        <v>605</v>
      </c>
      <c r="GP53" s="43">
        <v>113</v>
      </c>
      <c r="GQ53" s="43">
        <v>623</v>
      </c>
      <c r="GR53" s="43">
        <v>92</v>
      </c>
    </row>
    <row r="54" spans="1:200">
      <c r="A54" s="5">
        <v>701</v>
      </c>
      <c r="B54" s="1" t="s">
        <v>182</v>
      </c>
      <c r="C54" s="33">
        <v>1369</v>
      </c>
      <c r="D54" s="34">
        <v>884</v>
      </c>
      <c r="E54" s="19">
        <f t="shared" si="0"/>
        <v>0.64572680788897008</v>
      </c>
      <c r="F54" s="62">
        <v>812</v>
      </c>
      <c r="G54" s="43">
        <v>4</v>
      </c>
      <c r="H54" s="43">
        <v>11</v>
      </c>
      <c r="I54" s="43">
        <v>7</v>
      </c>
      <c r="J54" s="55">
        <v>39</v>
      </c>
      <c r="K54" s="6">
        <v>0</v>
      </c>
      <c r="L54" s="6">
        <v>0</v>
      </c>
      <c r="M54" s="43">
        <v>0</v>
      </c>
      <c r="N54" s="25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0</v>
      </c>
      <c r="W54" s="43">
        <v>1</v>
      </c>
      <c r="X54" s="43">
        <v>0</v>
      </c>
      <c r="Y54" s="43">
        <v>0</v>
      </c>
      <c r="Z54" s="43">
        <v>0</v>
      </c>
      <c r="AA54" s="44">
        <v>0</v>
      </c>
      <c r="AB54" s="44">
        <v>0</v>
      </c>
      <c r="AC54" s="44">
        <v>10</v>
      </c>
      <c r="AD54" s="44">
        <v>16</v>
      </c>
      <c r="AE54" s="44">
        <v>95</v>
      </c>
      <c r="AF54" s="44">
        <v>4</v>
      </c>
      <c r="AG54" s="44">
        <v>0</v>
      </c>
      <c r="AH54" s="44">
        <v>716</v>
      </c>
      <c r="AI54" s="44">
        <v>98</v>
      </c>
      <c r="AJ54" s="44">
        <v>1</v>
      </c>
      <c r="AK54" s="44">
        <v>0</v>
      </c>
      <c r="AL54" s="44">
        <v>741</v>
      </c>
      <c r="AM54" s="48"/>
      <c r="AN54" s="48"/>
      <c r="AO54" s="48"/>
      <c r="AP54" s="48"/>
      <c r="AQ54" s="48"/>
      <c r="AR54" s="51"/>
      <c r="AS54" s="51"/>
      <c r="AT54" s="51"/>
      <c r="AU54" s="51"/>
      <c r="AV54" s="51"/>
      <c r="AW54" s="50"/>
      <c r="AX54" s="50"/>
      <c r="AY54" s="50"/>
      <c r="AZ54" s="50"/>
      <c r="BA54" s="50"/>
      <c r="BB54" s="50"/>
      <c r="BC54" s="43">
        <v>50</v>
      </c>
      <c r="BD54" s="43">
        <v>805</v>
      </c>
      <c r="BE54" s="43">
        <v>52</v>
      </c>
      <c r="BF54" s="43">
        <v>791</v>
      </c>
      <c r="BG54" s="43">
        <v>69</v>
      </c>
      <c r="BH54" s="43">
        <v>774</v>
      </c>
      <c r="BI54" s="43">
        <v>111</v>
      </c>
      <c r="BJ54" s="43">
        <v>732</v>
      </c>
      <c r="BK54" s="43">
        <v>713</v>
      </c>
      <c r="BL54" s="43">
        <v>116</v>
      </c>
      <c r="BM54" s="43">
        <v>51</v>
      </c>
      <c r="BN54" s="43">
        <v>773</v>
      </c>
      <c r="BO54" s="43">
        <v>729</v>
      </c>
      <c r="BP54" s="43">
        <v>82</v>
      </c>
      <c r="BQ54" s="43">
        <v>106</v>
      </c>
      <c r="BR54" s="43">
        <v>716</v>
      </c>
      <c r="BS54" s="43">
        <v>276</v>
      </c>
      <c r="BT54" s="43">
        <v>54</v>
      </c>
      <c r="BU54" s="43">
        <v>778</v>
      </c>
      <c r="BV54" s="43">
        <v>404</v>
      </c>
      <c r="BW54" s="43">
        <v>202</v>
      </c>
      <c r="BX54" s="43">
        <v>486</v>
      </c>
      <c r="BY54" s="43">
        <v>200</v>
      </c>
      <c r="BZ54" s="43">
        <v>560</v>
      </c>
      <c r="CA54" s="43">
        <v>353</v>
      </c>
      <c r="CB54" s="43">
        <v>109</v>
      </c>
      <c r="CC54" s="43">
        <v>581</v>
      </c>
      <c r="CD54" s="43">
        <v>445</v>
      </c>
      <c r="CE54" s="43">
        <v>564</v>
      </c>
      <c r="CF54" s="43">
        <v>132</v>
      </c>
      <c r="CG54" s="43">
        <v>168</v>
      </c>
      <c r="CH54" s="43">
        <v>489</v>
      </c>
      <c r="CI54" s="43">
        <v>464</v>
      </c>
      <c r="CJ54" s="43">
        <v>235</v>
      </c>
      <c r="CK54" s="43">
        <v>250</v>
      </c>
      <c r="CL54" s="43">
        <v>479</v>
      </c>
      <c r="CM54" s="43">
        <v>341</v>
      </c>
      <c r="CN54" s="43">
        <v>385</v>
      </c>
      <c r="CO54" s="43">
        <v>474</v>
      </c>
      <c r="CP54" s="43">
        <v>243</v>
      </c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43">
        <v>595</v>
      </c>
      <c r="FZ54" s="43">
        <v>254</v>
      </c>
      <c r="GA54" s="53"/>
      <c r="GB54" s="53"/>
      <c r="GC54" s="53"/>
      <c r="GD54" s="53"/>
      <c r="GE54" s="53"/>
      <c r="GF54" s="53"/>
      <c r="GG54" s="53"/>
      <c r="GH54" s="53"/>
      <c r="GI54" s="43"/>
      <c r="GJ54" s="53"/>
      <c r="GK54" s="53"/>
      <c r="GL54" s="53"/>
      <c r="GM54" s="53"/>
      <c r="GN54" s="53"/>
      <c r="GO54" s="43">
        <v>529</v>
      </c>
      <c r="GP54" s="43">
        <v>295</v>
      </c>
      <c r="GQ54" s="43">
        <v>659</v>
      </c>
      <c r="GR54" s="43">
        <v>172</v>
      </c>
    </row>
    <row r="55" spans="1:200">
      <c r="A55" s="5">
        <v>702</v>
      </c>
      <c r="B55" s="1" t="s">
        <v>183</v>
      </c>
      <c r="C55" s="33">
        <v>647</v>
      </c>
      <c r="D55" s="34">
        <v>375</v>
      </c>
      <c r="E55" s="19">
        <f t="shared" si="0"/>
        <v>0.57959814528593512</v>
      </c>
      <c r="F55" s="62">
        <v>345</v>
      </c>
      <c r="G55" s="43">
        <v>0</v>
      </c>
      <c r="H55" s="43">
        <v>0</v>
      </c>
      <c r="I55" s="43">
        <v>0</v>
      </c>
      <c r="J55" s="55">
        <v>15</v>
      </c>
      <c r="K55" s="6">
        <v>0</v>
      </c>
      <c r="L55" s="6">
        <v>0</v>
      </c>
      <c r="M55" s="43">
        <v>0</v>
      </c>
      <c r="N55" s="25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</v>
      </c>
      <c r="Z55" s="43">
        <v>0</v>
      </c>
      <c r="AA55" s="44">
        <v>0</v>
      </c>
      <c r="AB55" s="44">
        <v>0</v>
      </c>
      <c r="AC55" s="44">
        <v>5</v>
      </c>
      <c r="AD55" s="44">
        <v>4</v>
      </c>
      <c r="AE55" s="44">
        <v>45</v>
      </c>
      <c r="AF55" s="44">
        <v>4</v>
      </c>
      <c r="AG55" s="44">
        <v>0</v>
      </c>
      <c r="AH55" s="44">
        <v>288</v>
      </c>
      <c r="AI55" s="44">
        <v>32</v>
      </c>
      <c r="AJ55" s="44">
        <v>0</v>
      </c>
      <c r="AK55" s="44">
        <v>0</v>
      </c>
      <c r="AL55" s="44">
        <v>308</v>
      </c>
      <c r="AM55" s="48"/>
      <c r="AN55" s="48"/>
      <c r="AO55" s="48"/>
      <c r="AP55" s="48"/>
      <c r="AQ55" s="48"/>
      <c r="AR55" s="51"/>
      <c r="AS55" s="51"/>
      <c r="AT55" s="51"/>
      <c r="AU55" s="51"/>
      <c r="AV55" s="51"/>
      <c r="AW55" s="50"/>
      <c r="AX55" s="50"/>
      <c r="AY55" s="50"/>
      <c r="AZ55" s="50"/>
      <c r="BA55" s="50"/>
      <c r="BB55" s="50"/>
      <c r="BC55" s="43">
        <v>15</v>
      </c>
      <c r="BD55" s="43">
        <v>341</v>
      </c>
      <c r="BE55" s="43">
        <v>15</v>
      </c>
      <c r="BF55" s="43">
        <v>334</v>
      </c>
      <c r="BG55" s="43">
        <v>28</v>
      </c>
      <c r="BH55" s="43">
        <v>308</v>
      </c>
      <c r="BI55" s="43">
        <v>44</v>
      </c>
      <c r="BJ55" s="43">
        <v>299</v>
      </c>
      <c r="BK55" s="43">
        <v>301</v>
      </c>
      <c r="BL55" s="43">
        <v>36</v>
      </c>
      <c r="BM55" s="43">
        <v>19</v>
      </c>
      <c r="BN55" s="43">
        <v>326</v>
      </c>
      <c r="BO55" s="43">
        <v>307</v>
      </c>
      <c r="BP55" s="43">
        <v>32</v>
      </c>
      <c r="BQ55" s="43">
        <v>29</v>
      </c>
      <c r="BR55" s="43">
        <v>314</v>
      </c>
      <c r="BS55" s="43">
        <v>101</v>
      </c>
      <c r="BT55" s="43">
        <v>17</v>
      </c>
      <c r="BU55" s="43">
        <v>322</v>
      </c>
      <c r="BV55" s="43">
        <v>167</v>
      </c>
      <c r="BW55" s="43">
        <v>97</v>
      </c>
      <c r="BX55" s="43">
        <v>184</v>
      </c>
      <c r="BY55" s="43">
        <v>89</v>
      </c>
      <c r="BZ55" s="43">
        <v>205</v>
      </c>
      <c r="CA55" s="43">
        <v>144</v>
      </c>
      <c r="CB55" s="43">
        <v>38</v>
      </c>
      <c r="CC55" s="43">
        <v>237</v>
      </c>
      <c r="CD55" s="43">
        <v>186</v>
      </c>
      <c r="CE55" s="43">
        <v>218</v>
      </c>
      <c r="CF55" s="43">
        <v>64</v>
      </c>
      <c r="CG55" s="43">
        <v>75</v>
      </c>
      <c r="CH55" s="43">
        <v>177</v>
      </c>
      <c r="CI55" s="43">
        <v>169</v>
      </c>
      <c r="CJ55" s="43">
        <v>102</v>
      </c>
      <c r="CK55" s="43">
        <v>99</v>
      </c>
      <c r="CL55" s="43">
        <v>187</v>
      </c>
      <c r="CM55" s="43">
        <v>140</v>
      </c>
      <c r="CN55" s="43">
        <v>155</v>
      </c>
      <c r="CO55" s="43">
        <v>179</v>
      </c>
      <c r="CP55" s="43">
        <v>112</v>
      </c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43">
        <v>273</v>
      </c>
      <c r="FZ55" s="43">
        <v>71</v>
      </c>
      <c r="GA55" s="53"/>
      <c r="GB55" s="53"/>
      <c r="GC55" s="53"/>
      <c r="GD55" s="53"/>
      <c r="GE55" s="53"/>
      <c r="GF55" s="53"/>
      <c r="GG55" s="53"/>
      <c r="GH55" s="53"/>
      <c r="GI55" s="43"/>
      <c r="GJ55" s="53"/>
      <c r="GK55" s="53"/>
      <c r="GL55" s="53"/>
      <c r="GM55" s="53"/>
      <c r="GN55" s="53"/>
      <c r="GO55" s="43">
        <v>246</v>
      </c>
      <c r="GP55" s="43">
        <v>83</v>
      </c>
      <c r="GQ55" s="43">
        <v>277</v>
      </c>
      <c r="GR55" s="43">
        <v>56</v>
      </c>
    </row>
    <row r="56" spans="1:200">
      <c r="A56" s="5">
        <v>703</v>
      </c>
      <c r="B56" s="1" t="s">
        <v>184</v>
      </c>
      <c r="C56" s="33">
        <v>1096</v>
      </c>
      <c r="D56" s="34">
        <v>793</v>
      </c>
      <c r="E56" s="19">
        <f t="shared" si="0"/>
        <v>0.72354014598540151</v>
      </c>
      <c r="F56" s="62">
        <v>749</v>
      </c>
      <c r="G56" s="43">
        <v>1</v>
      </c>
      <c r="H56" s="43">
        <v>5</v>
      </c>
      <c r="I56" s="43">
        <v>6</v>
      </c>
      <c r="J56" s="55">
        <v>19</v>
      </c>
      <c r="K56" s="6">
        <v>0</v>
      </c>
      <c r="L56" s="6">
        <v>0</v>
      </c>
      <c r="M56" s="43">
        <v>0</v>
      </c>
      <c r="N56" s="25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  <c r="V56" s="43">
        <v>1</v>
      </c>
      <c r="W56" s="43">
        <v>0</v>
      </c>
      <c r="X56" s="43">
        <v>0</v>
      </c>
      <c r="Y56" s="43">
        <v>0</v>
      </c>
      <c r="Z56" s="43">
        <v>0</v>
      </c>
      <c r="AA56" s="44">
        <v>0</v>
      </c>
      <c r="AB56" s="44">
        <v>0</v>
      </c>
      <c r="AC56" s="44">
        <v>5</v>
      </c>
      <c r="AD56" s="44">
        <v>10</v>
      </c>
      <c r="AE56" s="44">
        <v>67</v>
      </c>
      <c r="AF56" s="44">
        <v>4</v>
      </c>
      <c r="AG56" s="44">
        <v>0</v>
      </c>
      <c r="AH56" s="44">
        <v>676</v>
      </c>
      <c r="AI56" s="44">
        <v>62</v>
      </c>
      <c r="AJ56" s="44">
        <v>1</v>
      </c>
      <c r="AK56" s="44">
        <v>0</v>
      </c>
      <c r="AL56" s="44">
        <v>704</v>
      </c>
      <c r="AM56" s="48"/>
      <c r="AN56" s="48"/>
      <c r="AO56" s="48"/>
      <c r="AP56" s="48"/>
      <c r="AQ56" s="48"/>
      <c r="AR56" s="51"/>
      <c r="AS56" s="51"/>
      <c r="AT56" s="51"/>
      <c r="AU56" s="51"/>
      <c r="AV56" s="51"/>
      <c r="AW56" s="50"/>
      <c r="AX56" s="50"/>
      <c r="AY56" s="50"/>
      <c r="AZ56" s="50"/>
      <c r="BA56" s="50"/>
      <c r="BB56" s="50"/>
      <c r="BC56" s="43">
        <v>25</v>
      </c>
      <c r="BD56" s="43">
        <v>754</v>
      </c>
      <c r="BE56" s="43">
        <v>24</v>
      </c>
      <c r="BF56" s="43">
        <v>740</v>
      </c>
      <c r="BG56" s="43">
        <v>42</v>
      </c>
      <c r="BH56" s="43">
        <v>712</v>
      </c>
      <c r="BI56" s="43">
        <v>53</v>
      </c>
      <c r="BJ56" s="43">
        <v>712</v>
      </c>
      <c r="BK56" s="43">
        <v>687</v>
      </c>
      <c r="BL56" s="43">
        <v>70</v>
      </c>
      <c r="BM56" s="43">
        <v>30</v>
      </c>
      <c r="BN56" s="43">
        <v>722</v>
      </c>
      <c r="BO56" s="43">
        <v>706</v>
      </c>
      <c r="BP56" s="43">
        <v>45</v>
      </c>
      <c r="BQ56" s="43">
        <v>63</v>
      </c>
      <c r="BR56" s="43">
        <v>694</v>
      </c>
      <c r="BS56" s="43">
        <v>227</v>
      </c>
      <c r="BT56" s="43">
        <v>24</v>
      </c>
      <c r="BU56" s="43">
        <v>742</v>
      </c>
      <c r="BV56" s="43">
        <v>366</v>
      </c>
      <c r="BW56" s="43">
        <v>172</v>
      </c>
      <c r="BX56" s="43">
        <v>474</v>
      </c>
      <c r="BY56" s="43">
        <v>150</v>
      </c>
      <c r="BZ56" s="43">
        <v>544</v>
      </c>
      <c r="CA56" s="43">
        <v>317</v>
      </c>
      <c r="CB56" s="43">
        <v>99</v>
      </c>
      <c r="CC56" s="43">
        <v>544</v>
      </c>
      <c r="CD56" s="43">
        <v>449</v>
      </c>
      <c r="CE56" s="43">
        <v>554</v>
      </c>
      <c r="CF56" s="43">
        <v>90</v>
      </c>
      <c r="CG56" s="43">
        <v>155</v>
      </c>
      <c r="CH56" s="43">
        <v>438</v>
      </c>
      <c r="CI56" s="43">
        <v>452</v>
      </c>
      <c r="CJ56" s="43">
        <v>200</v>
      </c>
      <c r="CK56" s="43">
        <v>217</v>
      </c>
      <c r="CL56" s="43">
        <v>459</v>
      </c>
      <c r="CM56" s="43">
        <v>283</v>
      </c>
      <c r="CN56" s="43">
        <v>330</v>
      </c>
      <c r="CO56" s="43">
        <v>488</v>
      </c>
      <c r="CP56" s="43">
        <v>176</v>
      </c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43">
        <v>532</v>
      </c>
      <c r="FZ56" s="43">
        <v>234</v>
      </c>
      <c r="GA56" s="53"/>
      <c r="GB56" s="53"/>
      <c r="GC56" s="53"/>
      <c r="GD56" s="53"/>
      <c r="GE56" s="53"/>
      <c r="GF56" s="53"/>
      <c r="GG56" s="53"/>
      <c r="GH56" s="53"/>
      <c r="GI56" s="43"/>
      <c r="GJ56" s="53"/>
      <c r="GK56" s="53"/>
      <c r="GL56" s="53"/>
      <c r="GM56" s="53"/>
      <c r="GN56" s="53"/>
      <c r="GO56" s="43">
        <v>436</v>
      </c>
      <c r="GP56" s="43">
        <v>309</v>
      </c>
      <c r="GQ56" s="43">
        <v>589</v>
      </c>
      <c r="GR56" s="43">
        <v>168</v>
      </c>
    </row>
    <row r="57" spans="1:200">
      <c r="A57" s="5">
        <v>704</v>
      </c>
      <c r="B57" s="1" t="s">
        <v>185</v>
      </c>
      <c r="C57" s="33">
        <v>1264</v>
      </c>
      <c r="D57" s="34">
        <v>802</v>
      </c>
      <c r="E57" s="19">
        <f t="shared" si="0"/>
        <v>0.634493670886076</v>
      </c>
      <c r="F57" s="62">
        <v>742</v>
      </c>
      <c r="G57" s="43">
        <v>3</v>
      </c>
      <c r="H57" s="43">
        <v>3</v>
      </c>
      <c r="I57" s="43">
        <v>4</v>
      </c>
      <c r="J57" s="55">
        <v>39</v>
      </c>
      <c r="K57" s="6">
        <v>0</v>
      </c>
      <c r="L57" s="6">
        <v>0</v>
      </c>
      <c r="M57" s="43">
        <v>1</v>
      </c>
      <c r="N57" s="25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1</v>
      </c>
      <c r="X57" s="43">
        <v>0</v>
      </c>
      <c r="Y57" s="43">
        <v>0</v>
      </c>
      <c r="Z57" s="43">
        <v>0</v>
      </c>
      <c r="AA57" s="44">
        <v>0</v>
      </c>
      <c r="AB57" s="44">
        <v>0</v>
      </c>
      <c r="AC57" s="44">
        <v>8</v>
      </c>
      <c r="AD57" s="44">
        <v>8</v>
      </c>
      <c r="AE57" s="44">
        <v>86</v>
      </c>
      <c r="AF57" s="44">
        <v>7</v>
      </c>
      <c r="AG57" s="44">
        <v>0</v>
      </c>
      <c r="AH57" s="44">
        <v>650</v>
      </c>
      <c r="AI57" s="44">
        <v>75</v>
      </c>
      <c r="AJ57" s="44">
        <v>0</v>
      </c>
      <c r="AK57" s="44">
        <v>0</v>
      </c>
      <c r="AL57" s="44">
        <v>684</v>
      </c>
      <c r="AM57" s="48"/>
      <c r="AN57" s="48"/>
      <c r="AO57" s="48"/>
      <c r="AP57" s="48"/>
      <c r="AQ57" s="48"/>
      <c r="AR57" s="51"/>
      <c r="AS57" s="51"/>
      <c r="AT57" s="51"/>
      <c r="AU57" s="51"/>
      <c r="AV57" s="51"/>
      <c r="AW57" s="50"/>
      <c r="AX57" s="50"/>
      <c r="AY57" s="50"/>
      <c r="AZ57" s="50"/>
      <c r="BA57" s="50"/>
      <c r="BB57" s="50"/>
      <c r="BC57" s="43">
        <v>40</v>
      </c>
      <c r="BD57" s="43">
        <v>739</v>
      </c>
      <c r="BE57" s="43">
        <v>38</v>
      </c>
      <c r="BF57" s="43">
        <v>717</v>
      </c>
      <c r="BG57" s="43">
        <v>64</v>
      </c>
      <c r="BH57" s="43">
        <v>692</v>
      </c>
      <c r="BI57" s="43">
        <v>88</v>
      </c>
      <c r="BJ57" s="43">
        <v>668</v>
      </c>
      <c r="BK57" s="43">
        <v>666</v>
      </c>
      <c r="BL57" s="43">
        <v>83</v>
      </c>
      <c r="BM57" s="43">
        <v>45</v>
      </c>
      <c r="BN57" s="43">
        <v>709</v>
      </c>
      <c r="BO57" s="43">
        <v>680</v>
      </c>
      <c r="BP57" s="43">
        <v>67</v>
      </c>
      <c r="BQ57" s="43">
        <v>73</v>
      </c>
      <c r="BR57" s="43">
        <v>671</v>
      </c>
      <c r="BS57" s="43">
        <v>211</v>
      </c>
      <c r="BT57" s="43">
        <v>34</v>
      </c>
      <c r="BU57" s="43">
        <v>725</v>
      </c>
      <c r="BV57" s="43">
        <v>312</v>
      </c>
      <c r="BW57" s="43">
        <v>163</v>
      </c>
      <c r="BX57" s="43">
        <v>463</v>
      </c>
      <c r="BY57" s="43">
        <v>149</v>
      </c>
      <c r="BZ57" s="43">
        <v>522</v>
      </c>
      <c r="CA57" s="43">
        <v>272</v>
      </c>
      <c r="CB57" s="43">
        <v>95</v>
      </c>
      <c r="CC57" s="43">
        <v>526</v>
      </c>
      <c r="CD57" s="43">
        <v>436</v>
      </c>
      <c r="CE57" s="43">
        <v>511</v>
      </c>
      <c r="CF57" s="43">
        <v>120</v>
      </c>
      <c r="CG57" s="43">
        <v>124</v>
      </c>
      <c r="CH57" s="43">
        <v>452</v>
      </c>
      <c r="CI57" s="43">
        <v>457</v>
      </c>
      <c r="CJ57" s="43">
        <v>152</v>
      </c>
      <c r="CK57" s="43">
        <v>188</v>
      </c>
      <c r="CL57" s="43">
        <v>443</v>
      </c>
      <c r="CM57" s="43">
        <v>268</v>
      </c>
      <c r="CN57" s="43">
        <v>304</v>
      </c>
      <c r="CO57" s="43">
        <v>479</v>
      </c>
      <c r="CP57" s="43">
        <v>168</v>
      </c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43">
        <v>550</v>
      </c>
      <c r="FZ57" s="43">
        <v>192</v>
      </c>
      <c r="GA57" s="53"/>
      <c r="GB57" s="53"/>
      <c r="GC57" s="53"/>
      <c r="GD57" s="53"/>
      <c r="GE57" s="53"/>
      <c r="GF57" s="53"/>
      <c r="GG57" s="53"/>
      <c r="GH57" s="53"/>
      <c r="GI57" s="43"/>
      <c r="GJ57" s="53"/>
      <c r="GK57" s="53"/>
      <c r="GL57" s="53"/>
      <c r="GM57" s="53"/>
      <c r="GN57" s="53"/>
      <c r="GO57" s="43">
        <v>498</v>
      </c>
      <c r="GP57" s="43">
        <v>230</v>
      </c>
      <c r="GQ57" s="43">
        <v>585</v>
      </c>
      <c r="GR57" s="43">
        <v>146</v>
      </c>
    </row>
    <row r="58" spans="1:200">
      <c r="A58" s="5">
        <v>705</v>
      </c>
      <c r="B58" s="1" t="s">
        <v>186</v>
      </c>
      <c r="C58" s="33">
        <v>653</v>
      </c>
      <c r="D58" s="34">
        <v>437</v>
      </c>
      <c r="E58" s="19">
        <f t="shared" si="0"/>
        <v>0.66921898928024504</v>
      </c>
      <c r="F58" s="62">
        <v>411</v>
      </c>
      <c r="G58" s="43">
        <v>1</v>
      </c>
      <c r="H58" s="43">
        <v>3</v>
      </c>
      <c r="I58" s="43">
        <v>3</v>
      </c>
      <c r="J58" s="55">
        <v>10</v>
      </c>
      <c r="K58" s="6">
        <v>0</v>
      </c>
      <c r="L58" s="6">
        <v>0</v>
      </c>
      <c r="M58" s="43">
        <v>0</v>
      </c>
      <c r="N58" s="25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v>0</v>
      </c>
      <c r="X58" s="43">
        <v>0</v>
      </c>
      <c r="Y58" s="43">
        <v>0</v>
      </c>
      <c r="Z58" s="43">
        <v>0</v>
      </c>
      <c r="AA58" s="44">
        <v>0</v>
      </c>
      <c r="AB58" s="44">
        <v>0</v>
      </c>
      <c r="AC58" s="44">
        <v>8</v>
      </c>
      <c r="AD58" s="44">
        <v>5</v>
      </c>
      <c r="AE58" s="44">
        <v>34</v>
      </c>
      <c r="AF58" s="44">
        <v>1</v>
      </c>
      <c r="AG58" s="44">
        <v>0</v>
      </c>
      <c r="AH58" s="44">
        <v>369</v>
      </c>
      <c r="AI58" s="44">
        <v>34</v>
      </c>
      <c r="AJ58" s="44">
        <v>0</v>
      </c>
      <c r="AK58" s="44">
        <v>0</v>
      </c>
      <c r="AL58" s="44">
        <v>381</v>
      </c>
      <c r="AM58" s="48"/>
      <c r="AN58" s="48"/>
      <c r="AO58" s="48"/>
      <c r="AP58" s="48"/>
      <c r="AQ58" s="48"/>
      <c r="AR58" s="51"/>
      <c r="AS58" s="51"/>
      <c r="AT58" s="51"/>
      <c r="AU58" s="51"/>
      <c r="AV58" s="51"/>
      <c r="AW58" s="50"/>
      <c r="AX58" s="50"/>
      <c r="AY58" s="50"/>
      <c r="AZ58" s="50"/>
      <c r="BA58" s="50"/>
      <c r="BB58" s="50"/>
      <c r="BC58" s="43">
        <v>9</v>
      </c>
      <c r="BD58" s="43">
        <v>417</v>
      </c>
      <c r="BE58" s="43">
        <v>12</v>
      </c>
      <c r="BF58" s="43">
        <v>403</v>
      </c>
      <c r="BG58" s="43">
        <v>20</v>
      </c>
      <c r="BH58" s="43">
        <v>391</v>
      </c>
      <c r="BI58" s="43">
        <v>30</v>
      </c>
      <c r="BJ58" s="43">
        <v>383</v>
      </c>
      <c r="BK58" s="43">
        <v>376</v>
      </c>
      <c r="BL58" s="43">
        <v>31</v>
      </c>
      <c r="BM58" s="43">
        <v>19</v>
      </c>
      <c r="BN58" s="43">
        <v>386</v>
      </c>
      <c r="BO58" s="43">
        <v>382</v>
      </c>
      <c r="BP58" s="43">
        <v>19</v>
      </c>
      <c r="BQ58" s="43">
        <v>35</v>
      </c>
      <c r="BR58" s="43">
        <v>368</v>
      </c>
      <c r="BS58" s="43">
        <v>113</v>
      </c>
      <c r="BT58" s="43">
        <v>15</v>
      </c>
      <c r="BU58" s="43">
        <v>390</v>
      </c>
      <c r="BV58" s="43">
        <v>174</v>
      </c>
      <c r="BW58" s="43">
        <v>95</v>
      </c>
      <c r="BX58" s="43">
        <v>237</v>
      </c>
      <c r="BY58" s="43">
        <v>102</v>
      </c>
      <c r="BZ58" s="43">
        <v>266</v>
      </c>
      <c r="CA58" s="43">
        <v>147</v>
      </c>
      <c r="CB58" s="43">
        <v>45</v>
      </c>
      <c r="CC58" s="43">
        <v>288</v>
      </c>
      <c r="CD58" s="43">
        <v>224</v>
      </c>
      <c r="CE58" s="43">
        <v>280</v>
      </c>
      <c r="CF58" s="43">
        <v>59</v>
      </c>
      <c r="CG58" s="43">
        <v>80</v>
      </c>
      <c r="CH58" s="43">
        <v>228</v>
      </c>
      <c r="CI58" s="43">
        <v>240</v>
      </c>
      <c r="CJ58" s="43">
        <v>86</v>
      </c>
      <c r="CK58" s="43">
        <v>103</v>
      </c>
      <c r="CL58" s="43">
        <v>246</v>
      </c>
      <c r="CM58" s="43">
        <v>138</v>
      </c>
      <c r="CN58" s="43">
        <v>151</v>
      </c>
      <c r="CO58" s="43">
        <v>262</v>
      </c>
      <c r="CP58" s="43">
        <v>91</v>
      </c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43">
        <v>288</v>
      </c>
      <c r="FZ58" s="43">
        <v>128</v>
      </c>
      <c r="GA58" s="53"/>
      <c r="GB58" s="53"/>
      <c r="GC58" s="53"/>
      <c r="GD58" s="53"/>
      <c r="GE58" s="53"/>
      <c r="GF58" s="53"/>
      <c r="GG58" s="53"/>
      <c r="GH58" s="53"/>
      <c r="GI58" s="43"/>
      <c r="GJ58" s="53"/>
      <c r="GK58" s="53"/>
      <c r="GL58" s="53"/>
      <c r="GM58" s="53"/>
      <c r="GN58" s="53"/>
      <c r="GO58" s="43">
        <v>238</v>
      </c>
      <c r="GP58" s="43">
        <v>155</v>
      </c>
      <c r="GQ58" s="43">
        <v>296</v>
      </c>
      <c r="GR58" s="43">
        <v>109</v>
      </c>
    </row>
    <row r="59" spans="1:200">
      <c r="A59" s="5">
        <v>706</v>
      </c>
      <c r="B59" s="1" t="s">
        <v>187</v>
      </c>
      <c r="C59" s="33">
        <v>945</v>
      </c>
      <c r="D59" s="34">
        <v>600</v>
      </c>
      <c r="E59" s="19">
        <f t="shared" si="0"/>
        <v>0.63492063492063489</v>
      </c>
      <c r="F59" s="62">
        <v>576</v>
      </c>
      <c r="G59" s="43">
        <v>2</v>
      </c>
      <c r="H59" s="43">
        <v>0</v>
      </c>
      <c r="I59" s="43">
        <v>4</v>
      </c>
      <c r="J59" s="55">
        <v>8</v>
      </c>
      <c r="K59" s="6">
        <v>0</v>
      </c>
      <c r="L59" s="6">
        <v>0</v>
      </c>
      <c r="M59" s="43">
        <v>0</v>
      </c>
      <c r="N59" s="25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  <c r="W59" s="43">
        <v>0</v>
      </c>
      <c r="X59" s="43">
        <v>0</v>
      </c>
      <c r="Y59" s="43">
        <v>0</v>
      </c>
      <c r="Z59" s="43">
        <v>0</v>
      </c>
      <c r="AA59" s="44">
        <v>0</v>
      </c>
      <c r="AB59" s="44">
        <v>0</v>
      </c>
      <c r="AC59" s="44">
        <v>8</v>
      </c>
      <c r="AD59" s="44">
        <v>5</v>
      </c>
      <c r="AE59" s="44">
        <v>50</v>
      </c>
      <c r="AF59" s="44">
        <v>5</v>
      </c>
      <c r="AG59" s="44">
        <v>0</v>
      </c>
      <c r="AH59" s="44">
        <v>500</v>
      </c>
      <c r="AI59" s="44">
        <v>43</v>
      </c>
      <c r="AJ59" s="44">
        <v>1</v>
      </c>
      <c r="AK59" s="44">
        <v>0</v>
      </c>
      <c r="AL59" s="44">
        <v>518</v>
      </c>
      <c r="AM59" s="48"/>
      <c r="AN59" s="48"/>
      <c r="AO59" s="48"/>
      <c r="AP59" s="48"/>
      <c r="AQ59" s="48"/>
      <c r="AR59" s="51"/>
      <c r="AS59" s="51"/>
      <c r="AT59" s="51"/>
      <c r="AU59" s="51"/>
      <c r="AV59" s="51"/>
      <c r="AW59" s="50"/>
      <c r="AX59" s="50"/>
      <c r="AY59" s="50"/>
      <c r="AZ59" s="50"/>
      <c r="BA59" s="50"/>
      <c r="BB59" s="50"/>
      <c r="BC59" s="43">
        <v>12</v>
      </c>
      <c r="BD59" s="43">
        <v>581</v>
      </c>
      <c r="BE59" s="43">
        <v>14</v>
      </c>
      <c r="BF59" s="43">
        <v>554</v>
      </c>
      <c r="BG59" s="43">
        <v>29</v>
      </c>
      <c r="BH59" s="43">
        <v>542</v>
      </c>
      <c r="BI59" s="43">
        <v>49</v>
      </c>
      <c r="BJ59" s="43">
        <v>529</v>
      </c>
      <c r="BK59" s="43">
        <v>509</v>
      </c>
      <c r="BL59" s="43">
        <v>51</v>
      </c>
      <c r="BM59" s="43">
        <v>13</v>
      </c>
      <c r="BN59" s="43">
        <v>540</v>
      </c>
      <c r="BO59" s="43">
        <v>534</v>
      </c>
      <c r="BP59" s="43">
        <v>26</v>
      </c>
      <c r="BQ59" s="43">
        <v>42</v>
      </c>
      <c r="BR59" s="43">
        <v>508</v>
      </c>
      <c r="BS59" s="43">
        <v>150</v>
      </c>
      <c r="BT59" s="43">
        <v>17</v>
      </c>
      <c r="BU59" s="43">
        <v>547</v>
      </c>
      <c r="BV59" s="43">
        <v>254</v>
      </c>
      <c r="BW59" s="43">
        <v>132</v>
      </c>
      <c r="BX59" s="43">
        <v>322</v>
      </c>
      <c r="BY59" s="43">
        <v>145</v>
      </c>
      <c r="BZ59" s="43">
        <v>349</v>
      </c>
      <c r="CA59" s="43">
        <v>224</v>
      </c>
      <c r="CB59" s="43">
        <v>68</v>
      </c>
      <c r="CC59" s="43">
        <v>391</v>
      </c>
      <c r="CD59" s="43">
        <v>314</v>
      </c>
      <c r="CE59" s="43">
        <v>371</v>
      </c>
      <c r="CF59" s="43">
        <v>86</v>
      </c>
      <c r="CG59" s="43">
        <v>107</v>
      </c>
      <c r="CH59" s="43">
        <v>314</v>
      </c>
      <c r="CI59" s="43">
        <v>304</v>
      </c>
      <c r="CJ59" s="43">
        <v>150</v>
      </c>
      <c r="CK59" s="43">
        <v>178</v>
      </c>
      <c r="CL59" s="43">
        <v>291</v>
      </c>
      <c r="CM59" s="43">
        <v>197</v>
      </c>
      <c r="CN59" s="43">
        <v>249</v>
      </c>
      <c r="CO59" s="43">
        <v>344</v>
      </c>
      <c r="CP59" s="43">
        <v>136</v>
      </c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43">
        <v>425</v>
      </c>
      <c r="FZ59" s="43">
        <v>130</v>
      </c>
      <c r="GA59" s="53"/>
      <c r="GB59" s="53"/>
      <c r="GC59" s="53"/>
      <c r="GD59" s="53"/>
      <c r="GE59" s="53"/>
      <c r="GF59" s="53"/>
      <c r="GG59" s="53"/>
      <c r="GH59" s="53"/>
      <c r="GI59" s="43"/>
      <c r="GJ59" s="53"/>
      <c r="GK59" s="53"/>
      <c r="GL59" s="53"/>
      <c r="GM59" s="53"/>
      <c r="GN59" s="53"/>
      <c r="GO59" s="43">
        <v>336</v>
      </c>
      <c r="GP59" s="43">
        <v>208</v>
      </c>
      <c r="GQ59" s="43">
        <v>435</v>
      </c>
      <c r="GR59" s="43">
        <v>122</v>
      </c>
    </row>
    <row r="60" spans="1:200">
      <c r="A60" s="5">
        <v>707</v>
      </c>
      <c r="B60" s="1" t="s">
        <v>188</v>
      </c>
      <c r="C60" s="33">
        <v>1358</v>
      </c>
      <c r="D60" s="34">
        <v>880</v>
      </c>
      <c r="E60" s="19">
        <f t="shared" si="0"/>
        <v>0.64801178203240062</v>
      </c>
      <c r="F60" s="62">
        <v>819</v>
      </c>
      <c r="G60" s="43">
        <v>1</v>
      </c>
      <c r="H60" s="43">
        <v>5</v>
      </c>
      <c r="I60" s="43">
        <v>8</v>
      </c>
      <c r="J60" s="55">
        <v>31</v>
      </c>
      <c r="K60" s="6">
        <v>0</v>
      </c>
      <c r="L60" s="6">
        <v>0</v>
      </c>
      <c r="M60" s="43">
        <v>0</v>
      </c>
      <c r="N60" s="25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>
        <v>0</v>
      </c>
      <c r="W60" s="43">
        <v>0</v>
      </c>
      <c r="X60" s="43">
        <v>0</v>
      </c>
      <c r="Y60" s="43">
        <v>0</v>
      </c>
      <c r="Z60" s="43">
        <v>0</v>
      </c>
      <c r="AA60" s="44">
        <v>0</v>
      </c>
      <c r="AB60" s="44">
        <v>0</v>
      </c>
      <c r="AC60" s="44">
        <v>15</v>
      </c>
      <c r="AD60" s="44">
        <v>11</v>
      </c>
      <c r="AE60" s="44">
        <v>93</v>
      </c>
      <c r="AF60" s="44">
        <v>4</v>
      </c>
      <c r="AG60" s="44">
        <v>0</v>
      </c>
      <c r="AH60" s="44">
        <v>705</v>
      </c>
      <c r="AI60" s="44">
        <v>80</v>
      </c>
      <c r="AJ60" s="44">
        <v>0</v>
      </c>
      <c r="AK60" s="44">
        <v>0</v>
      </c>
      <c r="AL60" s="44">
        <v>745</v>
      </c>
      <c r="AM60" s="48"/>
      <c r="AN60" s="48"/>
      <c r="AO60" s="48"/>
      <c r="AP60" s="48"/>
      <c r="AQ60" s="48"/>
      <c r="AR60" s="51"/>
      <c r="AS60" s="51"/>
      <c r="AT60" s="51"/>
      <c r="AU60" s="51"/>
      <c r="AV60" s="51"/>
      <c r="AW60" s="50"/>
      <c r="AX60" s="50"/>
      <c r="AY60" s="50"/>
      <c r="AZ60" s="50"/>
      <c r="BA60" s="50"/>
      <c r="BB60" s="50"/>
      <c r="BC60" s="43">
        <v>31</v>
      </c>
      <c r="BD60" s="43">
        <v>819</v>
      </c>
      <c r="BE60" s="43">
        <v>30</v>
      </c>
      <c r="BF60" s="43">
        <v>803</v>
      </c>
      <c r="BG60" s="43">
        <v>61</v>
      </c>
      <c r="BH60" s="43">
        <v>762</v>
      </c>
      <c r="BI60" s="43">
        <v>88</v>
      </c>
      <c r="BJ60" s="43">
        <v>739</v>
      </c>
      <c r="BK60" s="43">
        <v>714</v>
      </c>
      <c r="BL60" s="43">
        <v>106</v>
      </c>
      <c r="BM60" s="43">
        <v>48</v>
      </c>
      <c r="BN60" s="43">
        <v>768</v>
      </c>
      <c r="BO60" s="43">
        <v>741</v>
      </c>
      <c r="BP60" s="43">
        <v>75</v>
      </c>
      <c r="BQ60" s="43">
        <v>88</v>
      </c>
      <c r="BR60" s="43">
        <v>729</v>
      </c>
      <c r="BS60" s="43">
        <v>230</v>
      </c>
      <c r="BT60" s="43">
        <v>41</v>
      </c>
      <c r="BU60" s="43">
        <v>785</v>
      </c>
      <c r="BV60" s="43">
        <v>365</v>
      </c>
      <c r="BW60" s="43">
        <v>188</v>
      </c>
      <c r="BX60" s="43">
        <v>492</v>
      </c>
      <c r="BY60" s="43">
        <v>191</v>
      </c>
      <c r="BZ60" s="43">
        <v>557</v>
      </c>
      <c r="CA60" s="43">
        <v>303</v>
      </c>
      <c r="CB60" s="43">
        <v>95</v>
      </c>
      <c r="CC60" s="43">
        <v>603</v>
      </c>
      <c r="CD60" s="43">
        <v>453</v>
      </c>
      <c r="CE60" s="43">
        <v>569</v>
      </c>
      <c r="CF60" s="43">
        <v>129</v>
      </c>
      <c r="CG60" s="43">
        <v>150</v>
      </c>
      <c r="CH60" s="43">
        <v>500</v>
      </c>
      <c r="CI60" s="43">
        <v>497</v>
      </c>
      <c r="CJ60" s="43">
        <v>204</v>
      </c>
      <c r="CK60" s="43">
        <v>243</v>
      </c>
      <c r="CL60" s="43">
        <v>491</v>
      </c>
      <c r="CM60" s="43">
        <v>299</v>
      </c>
      <c r="CN60" s="43">
        <v>344</v>
      </c>
      <c r="CO60" s="43">
        <v>543</v>
      </c>
      <c r="CP60" s="43">
        <v>180</v>
      </c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43">
        <v>610</v>
      </c>
      <c r="FZ60" s="43">
        <v>216</v>
      </c>
      <c r="GA60" s="53"/>
      <c r="GB60" s="53"/>
      <c r="GC60" s="53"/>
      <c r="GD60" s="53"/>
      <c r="GE60" s="53"/>
      <c r="GF60" s="53"/>
      <c r="GG60" s="53"/>
      <c r="GH60" s="53"/>
      <c r="GI60" s="43"/>
      <c r="GJ60" s="53"/>
      <c r="GK60" s="53"/>
      <c r="GL60" s="53"/>
      <c r="GM60" s="53"/>
      <c r="GN60" s="53"/>
      <c r="GO60" s="43">
        <v>527</v>
      </c>
      <c r="GP60" s="43">
        <v>282</v>
      </c>
      <c r="GQ60" s="43">
        <v>651</v>
      </c>
      <c r="GR60" s="43">
        <v>168</v>
      </c>
    </row>
    <row r="61" spans="1:200">
      <c r="A61" s="5">
        <v>708</v>
      </c>
      <c r="B61" s="1" t="s">
        <v>189</v>
      </c>
      <c r="C61" s="33">
        <v>1140</v>
      </c>
      <c r="D61" s="34">
        <v>756</v>
      </c>
      <c r="E61" s="19">
        <f t="shared" si="0"/>
        <v>0.66315789473684206</v>
      </c>
      <c r="F61" s="62">
        <v>717</v>
      </c>
      <c r="G61" s="43">
        <v>4</v>
      </c>
      <c r="H61" s="43">
        <v>3</v>
      </c>
      <c r="I61" s="43">
        <v>7</v>
      </c>
      <c r="J61" s="55">
        <v>22</v>
      </c>
      <c r="K61" s="6">
        <v>0</v>
      </c>
      <c r="L61" s="6">
        <v>0</v>
      </c>
      <c r="M61" s="43">
        <v>0</v>
      </c>
      <c r="N61" s="25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0</v>
      </c>
      <c r="Y61" s="43">
        <v>0</v>
      </c>
      <c r="Z61" s="43">
        <v>0</v>
      </c>
      <c r="AA61" s="44">
        <v>0</v>
      </c>
      <c r="AB61" s="44">
        <v>0</v>
      </c>
      <c r="AC61" s="44">
        <v>17</v>
      </c>
      <c r="AD61" s="44">
        <v>12</v>
      </c>
      <c r="AE61" s="44">
        <v>65</v>
      </c>
      <c r="AF61" s="44">
        <v>11</v>
      </c>
      <c r="AG61" s="44">
        <v>0</v>
      </c>
      <c r="AH61" s="44">
        <v>616</v>
      </c>
      <c r="AI61" s="44">
        <v>46</v>
      </c>
      <c r="AJ61" s="44">
        <v>0</v>
      </c>
      <c r="AK61" s="44">
        <v>0</v>
      </c>
      <c r="AL61" s="44">
        <v>680</v>
      </c>
      <c r="AM61" s="48"/>
      <c r="AN61" s="48"/>
      <c r="AO61" s="48"/>
      <c r="AP61" s="48"/>
      <c r="AQ61" s="48"/>
      <c r="AR61" s="51"/>
      <c r="AS61" s="51"/>
      <c r="AT61" s="51"/>
      <c r="AU61" s="51"/>
      <c r="AV61" s="51"/>
      <c r="AW61" s="50"/>
      <c r="AX61" s="50"/>
      <c r="AY61" s="50"/>
      <c r="AZ61" s="50"/>
      <c r="BA61" s="50"/>
      <c r="BB61" s="50"/>
      <c r="BC61" s="43">
        <v>27</v>
      </c>
      <c r="BD61" s="43">
        <v>715</v>
      </c>
      <c r="BE61" s="43">
        <v>23</v>
      </c>
      <c r="BF61" s="43">
        <v>704</v>
      </c>
      <c r="BG61" s="43">
        <v>38</v>
      </c>
      <c r="BH61" s="43">
        <v>683</v>
      </c>
      <c r="BI61" s="43">
        <v>56</v>
      </c>
      <c r="BJ61" s="43">
        <v>664</v>
      </c>
      <c r="BK61" s="43">
        <v>677</v>
      </c>
      <c r="BL61" s="43">
        <v>51</v>
      </c>
      <c r="BM61" s="43">
        <v>32</v>
      </c>
      <c r="BN61" s="43">
        <v>688</v>
      </c>
      <c r="BO61" s="43">
        <v>669</v>
      </c>
      <c r="BP61" s="43">
        <v>44</v>
      </c>
      <c r="BQ61" s="43">
        <v>55</v>
      </c>
      <c r="BR61" s="43">
        <v>658</v>
      </c>
      <c r="BS61" s="43">
        <v>201</v>
      </c>
      <c r="BT61" s="43">
        <v>27</v>
      </c>
      <c r="BU61" s="43">
        <v>699</v>
      </c>
      <c r="BV61" s="43">
        <v>311</v>
      </c>
      <c r="BW61" s="43">
        <v>168</v>
      </c>
      <c r="BX61" s="43">
        <v>438</v>
      </c>
      <c r="BY61" s="43">
        <v>128</v>
      </c>
      <c r="BZ61" s="43">
        <v>516</v>
      </c>
      <c r="CA61" s="43">
        <v>283</v>
      </c>
      <c r="CB61" s="43">
        <v>87</v>
      </c>
      <c r="CC61" s="43">
        <v>538</v>
      </c>
      <c r="CD61" s="43">
        <v>451</v>
      </c>
      <c r="CE61" s="43">
        <v>519</v>
      </c>
      <c r="CF61" s="43">
        <v>109</v>
      </c>
      <c r="CG61" s="43">
        <v>115</v>
      </c>
      <c r="CH61" s="43">
        <v>464</v>
      </c>
      <c r="CI61" s="43">
        <v>453</v>
      </c>
      <c r="CJ61" s="43">
        <v>174</v>
      </c>
      <c r="CK61" s="43">
        <v>197</v>
      </c>
      <c r="CL61" s="43">
        <v>456</v>
      </c>
      <c r="CM61" s="43">
        <v>280</v>
      </c>
      <c r="CN61" s="43">
        <v>305</v>
      </c>
      <c r="CO61" s="43">
        <v>474</v>
      </c>
      <c r="CP61" s="43">
        <v>171</v>
      </c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43">
        <v>535</v>
      </c>
      <c r="FZ61" s="43">
        <v>177</v>
      </c>
      <c r="GA61" s="53"/>
      <c r="GB61" s="53"/>
      <c r="GC61" s="53"/>
      <c r="GD61" s="53"/>
      <c r="GE61" s="53"/>
      <c r="GF61" s="53"/>
      <c r="GG61" s="53"/>
      <c r="GH61" s="53"/>
      <c r="GI61" s="43"/>
      <c r="GJ61" s="53"/>
      <c r="GK61" s="53"/>
      <c r="GL61" s="53"/>
      <c r="GM61" s="53"/>
      <c r="GN61" s="53"/>
      <c r="GO61" s="43">
        <v>459</v>
      </c>
      <c r="GP61" s="43">
        <v>239</v>
      </c>
      <c r="GQ61" s="43">
        <v>559</v>
      </c>
      <c r="GR61" s="43">
        <v>151</v>
      </c>
    </row>
    <row r="62" spans="1:200">
      <c r="A62" s="5">
        <v>709</v>
      </c>
      <c r="B62" s="1" t="s">
        <v>190</v>
      </c>
      <c r="C62" s="33">
        <v>1156</v>
      </c>
      <c r="D62" s="34">
        <v>812</v>
      </c>
      <c r="E62" s="19">
        <f t="shared" si="0"/>
        <v>0.70242214532871972</v>
      </c>
      <c r="F62" s="62">
        <v>748</v>
      </c>
      <c r="G62" s="43">
        <v>2</v>
      </c>
      <c r="H62" s="43">
        <v>7</v>
      </c>
      <c r="I62" s="43">
        <v>6</v>
      </c>
      <c r="J62" s="55">
        <v>32</v>
      </c>
      <c r="K62" s="6">
        <v>0</v>
      </c>
      <c r="L62" s="6">
        <v>0</v>
      </c>
      <c r="M62" s="43">
        <v>0</v>
      </c>
      <c r="N62" s="25">
        <v>0</v>
      </c>
      <c r="O62" s="43">
        <v>0</v>
      </c>
      <c r="P62" s="43">
        <v>0</v>
      </c>
      <c r="Q62" s="43">
        <v>0</v>
      </c>
      <c r="R62" s="43">
        <v>0</v>
      </c>
      <c r="S62" s="43">
        <v>3</v>
      </c>
      <c r="T62" s="43">
        <v>0</v>
      </c>
      <c r="U62" s="43">
        <v>0</v>
      </c>
      <c r="V62" s="43">
        <v>0</v>
      </c>
      <c r="W62" s="43">
        <v>2</v>
      </c>
      <c r="X62" s="43">
        <v>0</v>
      </c>
      <c r="Y62" s="43">
        <v>0</v>
      </c>
      <c r="Z62" s="43">
        <v>0</v>
      </c>
      <c r="AA62" s="44">
        <v>0</v>
      </c>
      <c r="AB62" s="44">
        <v>0</v>
      </c>
      <c r="AC62" s="44">
        <v>7</v>
      </c>
      <c r="AD62" s="44">
        <v>7</v>
      </c>
      <c r="AE62" s="44">
        <v>107</v>
      </c>
      <c r="AF62" s="44">
        <v>10</v>
      </c>
      <c r="AG62" s="44">
        <v>0</v>
      </c>
      <c r="AH62" s="44">
        <v>647</v>
      </c>
      <c r="AI62" s="44">
        <v>83</v>
      </c>
      <c r="AJ62" s="44">
        <v>1</v>
      </c>
      <c r="AK62" s="44">
        <v>0</v>
      </c>
      <c r="AL62" s="44">
        <v>690</v>
      </c>
      <c r="AM62" s="48"/>
      <c r="AN62" s="48"/>
      <c r="AO62" s="48"/>
      <c r="AP62" s="48"/>
      <c r="AQ62" s="48"/>
      <c r="AR62" s="51"/>
      <c r="AS62" s="51"/>
      <c r="AT62" s="51"/>
      <c r="AU62" s="51"/>
      <c r="AV62" s="51"/>
      <c r="AW62" s="50"/>
      <c r="AX62" s="50"/>
      <c r="AY62" s="50"/>
      <c r="AZ62" s="50"/>
      <c r="BA62" s="50"/>
      <c r="BB62" s="50"/>
      <c r="BC62" s="43">
        <v>49</v>
      </c>
      <c r="BD62" s="43">
        <v>733</v>
      </c>
      <c r="BE62" s="43">
        <v>38</v>
      </c>
      <c r="BF62" s="43">
        <v>735</v>
      </c>
      <c r="BG62" s="43">
        <v>83</v>
      </c>
      <c r="BH62" s="43">
        <v>685</v>
      </c>
      <c r="BI62" s="43">
        <v>114</v>
      </c>
      <c r="BJ62" s="43">
        <v>654</v>
      </c>
      <c r="BK62" s="43">
        <v>667</v>
      </c>
      <c r="BL62" s="43">
        <v>94</v>
      </c>
      <c r="BM62" s="43">
        <v>54</v>
      </c>
      <c r="BN62" s="43">
        <v>700</v>
      </c>
      <c r="BO62" s="43">
        <v>659</v>
      </c>
      <c r="BP62" s="43">
        <v>90</v>
      </c>
      <c r="BQ62" s="43">
        <v>104</v>
      </c>
      <c r="BR62" s="43">
        <v>647</v>
      </c>
      <c r="BS62" s="43">
        <v>228</v>
      </c>
      <c r="BT62" s="43">
        <v>42</v>
      </c>
      <c r="BU62" s="43">
        <v>724</v>
      </c>
      <c r="BV62" s="43">
        <v>333</v>
      </c>
      <c r="BW62" s="43">
        <v>172</v>
      </c>
      <c r="BX62" s="43">
        <v>450</v>
      </c>
      <c r="BY62" s="43">
        <v>189</v>
      </c>
      <c r="BZ62" s="43">
        <v>487</v>
      </c>
      <c r="CA62" s="43">
        <v>291</v>
      </c>
      <c r="CB62" s="43">
        <v>105</v>
      </c>
      <c r="CC62" s="43">
        <v>523</v>
      </c>
      <c r="CD62" s="43">
        <v>444</v>
      </c>
      <c r="CE62" s="43">
        <v>513</v>
      </c>
      <c r="CF62" s="43">
        <v>134</v>
      </c>
      <c r="CG62" s="43">
        <v>148</v>
      </c>
      <c r="CH62" s="43">
        <v>448</v>
      </c>
      <c r="CI62" s="43">
        <v>440</v>
      </c>
      <c r="CJ62" s="43">
        <v>182</v>
      </c>
      <c r="CK62" s="43">
        <v>198</v>
      </c>
      <c r="CL62" s="43">
        <v>465</v>
      </c>
      <c r="CM62" s="43">
        <v>259</v>
      </c>
      <c r="CN62" s="43">
        <v>319</v>
      </c>
      <c r="CO62" s="43">
        <v>463</v>
      </c>
      <c r="CP62" s="43">
        <v>195</v>
      </c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43">
        <v>558</v>
      </c>
      <c r="FZ62" s="43">
        <v>207</v>
      </c>
      <c r="GA62" s="53"/>
      <c r="GB62" s="53"/>
      <c r="GC62" s="53"/>
      <c r="GD62" s="53"/>
      <c r="GE62" s="53"/>
      <c r="GF62" s="53"/>
      <c r="GG62" s="53"/>
      <c r="GH62" s="53"/>
      <c r="GI62" s="43"/>
      <c r="GJ62" s="53"/>
      <c r="GK62" s="53"/>
      <c r="GL62" s="53"/>
      <c r="GM62" s="53"/>
      <c r="GN62" s="53"/>
      <c r="GO62" s="43">
        <v>498</v>
      </c>
      <c r="GP62" s="43">
        <v>249</v>
      </c>
      <c r="GQ62" s="43">
        <v>584</v>
      </c>
      <c r="GR62" s="43">
        <v>163</v>
      </c>
    </row>
    <row r="63" spans="1:200">
      <c r="A63" s="5">
        <v>710</v>
      </c>
      <c r="B63" s="1" t="s">
        <v>191</v>
      </c>
      <c r="C63" s="33">
        <v>586</v>
      </c>
      <c r="D63" s="34">
        <v>346</v>
      </c>
      <c r="E63" s="19">
        <f t="shared" si="0"/>
        <v>0.59044368600682595</v>
      </c>
      <c r="F63" s="62">
        <v>322</v>
      </c>
      <c r="G63" s="43">
        <v>1</v>
      </c>
      <c r="H63" s="43">
        <v>3</v>
      </c>
      <c r="I63" s="43">
        <v>1</v>
      </c>
      <c r="J63" s="55">
        <v>13</v>
      </c>
      <c r="K63" s="6">
        <v>0</v>
      </c>
      <c r="L63" s="6">
        <v>0</v>
      </c>
      <c r="M63" s="43">
        <v>0</v>
      </c>
      <c r="N63" s="25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  <c r="V63" s="43">
        <v>0</v>
      </c>
      <c r="W63" s="43">
        <v>0</v>
      </c>
      <c r="X63" s="43">
        <v>0</v>
      </c>
      <c r="Y63" s="43">
        <v>0</v>
      </c>
      <c r="Z63" s="43">
        <v>0</v>
      </c>
      <c r="AA63" s="44">
        <v>0</v>
      </c>
      <c r="AB63" s="44">
        <v>0</v>
      </c>
      <c r="AC63" s="44">
        <v>5</v>
      </c>
      <c r="AD63" s="44">
        <v>3</v>
      </c>
      <c r="AE63" s="44">
        <v>30</v>
      </c>
      <c r="AF63" s="44">
        <v>0</v>
      </c>
      <c r="AG63" s="44">
        <v>0</v>
      </c>
      <c r="AH63" s="44">
        <v>278</v>
      </c>
      <c r="AI63" s="44">
        <v>40</v>
      </c>
      <c r="AJ63" s="44">
        <v>1</v>
      </c>
      <c r="AK63" s="44">
        <v>0</v>
      </c>
      <c r="AL63" s="44">
        <v>281</v>
      </c>
      <c r="AM63" s="48"/>
      <c r="AN63" s="48"/>
      <c r="AO63" s="48"/>
      <c r="AP63" s="48"/>
      <c r="AQ63" s="48"/>
      <c r="AR63" s="51"/>
      <c r="AS63" s="51"/>
      <c r="AT63" s="51"/>
      <c r="AU63" s="51"/>
      <c r="AV63" s="51"/>
      <c r="AW63" s="50"/>
      <c r="AX63" s="50"/>
      <c r="AY63" s="50"/>
      <c r="AZ63" s="50"/>
      <c r="BA63" s="50"/>
      <c r="BB63" s="50"/>
      <c r="BC63" s="43">
        <v>19</v>
      </c>
      <c r="BD63" s="43">
        <v>308</v>
      </c>
      <c r="BE63" s="43">
        <v>13</v>
      </c>
      <c r="BF63" s="43">
        <v>306</v>
      </c>
      <c r="BG63" s="43">
        <v>35</v>
      </c>
      <c r="BH63" s="43">
        <v>277</v>
      </c>
      <c r="BI63" s="43">
        <v>44</v>
      </c>
      <c r="BJ63" s="43">
        <v>270</v>
      </c>
      <c r="BK63" s="43">
        <v>268</v>
      </c>
      <c r="BL63" s="43">
        <v>42</v>
      </c>
      <c r="BM63" s="43">
        <v>21</v>
      </c>
      <c r="BN63" s="43">
        <v>287</v>
      </c>
      <c r="BO63" s="43">
        <v>286</v>
      </c>
      <c r="BP63" s="43">
        <v>31</v>
      </c>
      <c r="BQ63" s="43">
        <v>31</v>
      </c>
      <c r="BR63" s="43">
        <v>277</v>
      </c>
      <c r="BS63" s="43">
        <v>101</v>
      </c>
      <c r="BT63" s="43">
        <v>17</v>
      </c>
      <c r="BU63" s="43">
        <v>300</v>
      </c>
      <c r="BV63" s="43">
        <v>149</v>
      </c>
      <c r="BW63" s="43">
        <v>84</v>
      </c>
      <c r="BX63" s="43">
        <v>176</v>
      </c>
      <c r="BY63" s="43">
        <v>77</v>
      </c>
      <c r="BZ63" s="43">
        <v>202</v>
      </c>
      <c r="CA63" s="43">
        <v>121</v>
      </c>
      <c r="CB63" s="43">
        <v>41</v>
      </c>
      <c r="CC63" s="43">
        <v>216</v>
      </c>
      <c r="CD63" s="43">
        <v>169</v>
      </c>
      <c r="CE63" s="43">
        <v>213</v>
      </c>
      <c r="CF63" s="43">
        <v>46</v>
      </c>
      <c r="CG63" s="43">
        <v>57</v>
      </c>
      <c r="CH63" s="43">
        <v>183</v>
      </c>
      <c r="CI63" s="43">
        <v>181</v>
      </c>
      <c r="CJ63" s="43">
        <v>68</v>
      </c>
      <c r="CK63" s="43">
        <v>79</v>
      </c>
      <c r="CL63" s="43">
        <v>188</v>
      </c>
      <c r="CM63" s="43">
        <v>117</v>
      </c>
      <c r="CN63" s="43">
        <v>138</v>
      </c>
      <c r="CO63" s="43">
        <v>187</v>
      </c>
      <c r="CP63" s="43">
        <v>78</v>
      </c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43">
        <v>217</v>
      </c>
      <c r="FZ63" s="43">
        <v>93</v>
      </c>
      <c r="GA63" s="53"/>
      <c r="GB63" s="53"/>
      <c r="GC63" s="53"/>
      <c r="GD63" s="53"/>
      <c r="GE63" s="53"/>
      <c r="GF63" s="53"/>
      <c r="GG63" s="53"/>
      <c r="GH63" s="53"/>
      <c r="GI63" s="43"/>
      <c r="GJ63" s="53"/>
      <c r="GK63" s="53"/>
      <c r="GL63" s="53"/>
      <c r="GM63" s="53"/>
      <c r="GN63" s="53"/>
      <c r="GO63" s="43">
        <v>204</v>
      </c>
      <c r="GP63" s="43">
        <v>94</v>
      </c>
      <c r="GQ63" s="43">
        <v>240</v>
      </c>
      <c r="GR63" s="43">
        <v>67</v>
      </c>
    </row>
    <row r="64" spans="1:200">
      <c r="A64" s="5">
        <v>711</v>
      </c>
      <c r="B64" s="1" t="s">
        <v>192</v>
      </c>
      <c r="C64" s="33">
        <v>962</v>
      </c>
      <c r="D64" s="34">
        <v>655</v>
      </c>
      <c r="E64" s="19">
        <f t="shared" si="0"/>
        <v>0.68087318087318083</v>
      </c>
      <c r="F64" s="62">
        <v>609</v>
      </c>
      <c r="G64" s="43">
        <v>1</v>
      </c>
      <c r="H64" s="43">
        <v>4</v>
      </c>
      <c r="I64" s="43">
        <v>3</v>
      </c>
      <c r="J64" s="55">
        <v>30</v>
      </c>
      <c r="K64" s="6">
        <v>0</v>
      </c>
      <c r="L64" s="6">
        <v>0</v>
      </c>
      <c r="M64" s="43">
        <v>1</v>
      </c>
      <c r="N64" s="25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</v>
      </c>
      <c r="Y64" s="43">
        <v>0</v>
      </c>
      <c r="Z64" s="43">
        <v>0</v>
      </c>
      <c r="AA64" s="44">
        <v>0</v>
      </c>
      <c r="AB64" s="44">
        <v>0</v>
      </c>
      <c r="AC64" s="44">
        <v>10</v>
      </c>
      <c r="AD64" s="44">
        <v>5</v>
      </c>
      <c r="AE64" s="44">
        <v>80</v>
      </c>
      <c r="AF64" s="44">
        <v>6</v>
      </c>
      <c r="AG64" s="44">
        <v>0</v>
      </c>
      <c r="AH64" s="44">
        <v>521</v>
      </c>
      <c r="AI64" s="44">
        <v>66</v>
      </c>
      <c r="AJ64" s="44">
        <v>0</v>
      </c>
      <c r="AK64" s="44">
        <v>0</v>
      </c>
      <c r="AL64" s="44">
        <v>562</v>
      </c>
      <c r="AM64" s="48"/>
      <c r="AN64" s="48"/>
      <c r="AO64" s="48"/>
      <c r="AP64" s="48"/>
      <c r="AQ64" s="48"/>
      <c r="AR64" s="51"/>
      <c r="AS64" s="51"/>
      <c r="AT64" s="51"/>
      <c r="AU64" s="51"/>
      <c r="AV64" s="51"/>
      <c r="AW64" s="50"/>
      <c r="AX64" s="50"/>
      <c r="AY64" s="50"/>
      <c r="AZ64" s="50"/>
      <c r="BA64" s="50"/>
      <c r="BB64" s="50"/>
      <c r="BC64" s="43">
        <v>35</v>
      </c>
      <c r="BD64" s="43">
        <v>600</v>
      </c>
      <c r="BE64" s="43">
        <v>32</v>
      </c>
      <c r="BF64" s="43">
        <v>600</v>
      </c>
      <c r="BG64" s="43">
        <v>49</v>
      </c>
      <c r="BH64" s="43">
        <v>576</v>
      </c>
      <c r="BI64" s="43">
        <v>62</v>
      </c>
      <c r="BJ64" s="43">
        <v>566</v>
      </c>
      <c r="BK64" s="43">
        <v>551</v>
      </c>
      <c r="BL64" s="43">
        <v>71</v>
      </c>
      <c r="BM64" s="43">
        <v>36</v>
      </c>
      <c r="BN64" s="43">
        <v>577</v>
      </c>
      <c r="BO64" s="43">
        <v>557</v>
      </c>
      <c r="BP64" s="43">
        <v>48</v>
      </c>
      <c r="BQ64" s="43">
        <v>55</v>
      </c>
      <c r="BR64" s="43">
        <v>559</v>
      </c>
      <c r="BS64" s="43">
        <v>168</v>
      </c>
      <c r="BT64" s="43">
        <v>28</v>
      </c>
      <c r="BU64" s="43">
        <v>586</v>
      </c>
      <c r="BV64" s="43">
        <v>299</v>
      </c>
      <c r="BW64" s="43">
        <v>147</v>
      </c>
      <c r="BX64" s="43">
        <v>358</v>
      </c>
      <c r="BY64" s="43">
        <v>144</v>
      </c>
      <c r="BZ64" s="43">
        <v>415</v>
      </c>
      <c r="CA64" s="43">
        <v>251</v>
      </c>
      <c r="CB64" s="43">
        <v>88</v>
      </c>
      <c r="CC64" s="43">
        <v>422</v>
      </c>
      <c r="CD64" s="43">
        <v>347</v>
      </c>
      <c r="CE64" s="43">
        <v>408</v>
      </c>
      <c r="CF64" s="43">
        <v>113</v>
      </c>
      <c r="CG64" s="43">
        <v>115</v>
      </c>
      <c r="CH64" s="43">
        <v>372</v>
      </c>
      <c r="CI64" s="43">
        <v>384</v>
      </c>
      <c r="CJ64" s="43">
        <v>130</v>
      </c>
      <c r="CK64" s="43">
        <v>156</v>
      </c>
      <c r="CL64" s="43">
        <v>369</v>
      </c>
      <c r="CM64" s="43">
        <v>247</v>
      </c>
      <c r="CN64" s="43">
        <v>271</v>
      </c>
      <c r="CO64" s="43">
        <v>387</v>
      </c>
      <c r="CP64" s="43">
        <v>135</v>
      </c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43">
        <v>423</v>
      </c>
      <c r="FZ64" s="43">
        <v>185</v>
      </c>
      <c r="GA64" s="53"/>
      <c r="GB64" s="53"/>
      <c r="GC64" s="53"/>
      <c r="GD64" s="53"/>
      <c r="GE64" s="53"/>
      <c r="GF64" s="53"/>
      <c r="GG64" s="53"/>
      <c r="GH64" s="53"/>
      <c r="GI64" s="43"/>
      <c r="GJ64" s="53"/>
      <c r="GK64" s="53"/>
      <c r="GL64" s="53"/>
      <c r="GM64" s="53"/>
      <c r="GN64" s="53"/>
      <c r="GO64" s="43">
        <v>383</v>
      </c>
      <c r="GP64" s="43">
        <v>215</v>
      </c>
      <c r="GQ64" s="43">
        <v>460</v>
      </c>
      <c r="GR64" s="43">
        <v>145</v>
      </c>
    </row>
    <row r="65" spans="1:200">
      <c r="A65" s="5">
        <v>801</v>
      </c>
      <c r="B65" s="1" t="s">
        <v>193</v>
      </c>
      <c r="C65" s="33">
        <v>1942</v>
      </c>
      <c r="D65" s="34">
        <v>1027</v>
      </c>
      <c r="E65" s="19">
        <f t="shared" si="0"/>
        <v>0.52883625128733269</v>
      </c>
      <c r="F65" s="62">
        <v>902</v>
      </c>
      <c r="G65" s="43">
        <v>4</v>
      </c>
      <c r="H65" s="43">
        <v>14</v>
      </c>
      <c r="I65" s="43">
        <v>16</v>
      </c>
      <c r="J65" s="55">
        <v>74</v>
      </c>
      <c r="K65" s="6">
        <v>0</v>
      </c>
      <c r="L65" s="6">
        <v>0</v>
      </c>
      <c r="M65" s="43">
        <v>0</v>
      </c>
      <c r="N65" s="25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3</v>
      </c>
      <c r="X65" s="43">
        <v>0</v>
      </c>
      <c r="Y65" s="43">
        <v>0</v>
      </c>
      <c r="Z65" s="43">
        <v>0</v>
      </c>
      <c r="AA65" s="44">
        <v>0</v>
      </c>
      <c r="AB65" s="44">
        <v>0</v>
      </c>
      <c r="AC65" s="44">
        <v>14</v>
      </c>
      <c r="AD65" s="44">
        <v>26</v>
      </c>
      <c r="AE65" s="44">
        <v>157</v>
      </c>
      <c r="AF65" s="44">
        <v>8</v>
      </c>
      <c r="AG65" s="44">
        <v>0</v>
      </c>
      <c r="AH65" s="44">
        <v>775</v>
      </c>
      <c r="AI65" s="44">
        <v>106</v>
      </c>
      <c r="AJ65" s="44">
        <v>0</v>
      </c>
      <c r="AK65" s="44">
        <v>0</v>
      </c>
      <c r="AL65" s="44">
        <v>864</v>
      </c>
      <c r="AM65" s="48"/>
      <c r="AN65" s="48"/>
      <c r="AO65" s="48"/>
      <c r="AP65" s="48"/>
      <c r="AQ65" s="48"/>
      <c r="AR65" s="51"/>
      <c r="AS65" s="51"/>
      <c r="AT65" s="51"/>
      <c r="AU65" s="51"/>
      <c r="AV65" s="51"/>
      <c r="AW65" s="50"/>
      <c r="AX65" s="50"/>
      <c r="AY65" s="50"/>
      <c r="AZ65" s="50"/>
      <c r="BA65" s="43">
        <v>876</v>
      </c>
      <c r="BB65" s="43">
        <v>85</v>
      </c>
      <c r="BC65" s="50"/>
      <c r="BD65" s="50"/>
      <c r="BE65" s="43">
        <v>84</v>
      </c>
      <c r="BF65" s="43">
        <v>879</v>
      </c>
      <c r="BG65" s="43">
        <v>104</v>
      </c>
      <c r="BH65" s="43">
        <v>853</v>
      </c>
      <c r="BI65" s="43">
        <v>139</v>
      </c>
      <c r="BJ65" s="43">
        <v>832</v>
      </c>
      <c r="BK65" s="43">
        <v>829</v>
      </c>
      <c r="BL65" s="43">
        <v>145</v>
      </c>
      <c r="BM65" s="43">
        <v>95</v>
      </c>
      <c r="BN65" s="43">
        <v>857</v>
      </c>
      <c r="BO65" s="43">
        <v>834</v>
      </c>
      <c r="BP65" s="43">
        <v>112</v>
      </c>
      <c r="BQ65" s="43">
        <v>132</v>
      </c>
      <c r="BR65" s="43">
        <v>818</v>
      </c>
      <c r="BS65" s="43">
        <v>355</v>
      </c>
      <c r="BT65" s="43">
        <v>78</v>
      </c>
      <c r="BU65" s="43">
        <v>882</v>
      </c>
      <c r="BV65" s="43">
        <v>483</v>
      </c>
      <c r="BW65" s="43">
        <v>244</v>
      </c>
      <c r="BX65" s="43">
        <v>540</v>
      </c>
      <c r="BY65" s="43">
        <v>197</v>
      </c>
      <c r="BZ65" s="43">
        <v>648</v>
      </c>
      <c r="CA65" s="43">
        <v>419</v>
      </c>
      <c r="CB65" s="43">
        <v>133</v>
      </c>
      <c r="CC65" s="43">
        <v>653</v>
      </c>
      <c r="CD65" s="43">
        <v>588</v>
      </c>
      <c r="CE65" s="43">
        <v>639</v>
      </c>
      <c r="CF65" s="43">
        <v>152</v>
      </c>
      <c r="CG65" s="43">
        <v>200</v>
      </c>
      <c r="CH65" s="43">
        <v>552</v>
      </c>
      <c r="CI65" s="43">
        <v>514</v>
      </c>
      <c r="CJ65" s="43">
        <v>259</v>
      </c>
      <c r="CK65" s="43">
        <v>290</v>
      </c>
      <c r="CL65" s="43">
        <v>510</v>
      </c>
      <c r="CM65" s="43">
        <v>404</v>
      </c>
      <c r="CN65" s="43">
        <v>439</v>
      </c>
      <c r="CO65" s="43">
        <v>547</v>
      </c>
      <c r="CP65" s="43">
        <v>272</v>
      </c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43">
        <v>718</v>
      </c>
      <c r="FZ65" s="43">
        <v>242</v>
      </c>
      <c r="GA65" s="53"/>
      <c r="GB65" s="53"/>
      <c r="GC65" s="53"/>
      <c r="GD65" s="53"/>
      <c r="GE65" s="53"/>
      <c r="GF65" s="53"/>
      <c r="GG65" s="53"/>
      <c r="GH65" s="53"/>
      <c r="GI65" s="43"/>
      <c r="GJ65" s="53"/>
      <c r="GK65" s="53"/>
      <c r="GL65" s="53"/>
      <c r="GM65" s="53"/>
      <c r="GN65" s="53"/>
      <c r="GO65" s="43">
        <v>669</v>
      </c>
      <c r="GP65" s="43">
        <v>264</v>
      </c>
      <c r="GQ65" s="43">
        <v>755</v>
      </c>
      <c r="GR65" s="43">
        <v>189</v>
      </c>
    </row>
    <row r="66" spans="1:200">
      <c r="A66" s="5">
        <v>802</v>
      </c>
      <c r="B66" s="1" t="s">
        <v>194</v>
      </c>
      <c r="C66" s="33">
        <v>1083</v>
      </c>
      <c r="D66" s="34">
        <v>761</v>
      </c>
      <c r="E66" s="19">
        <f t="shared" si="0"/>
        <v>0.70267774699907659</v>
      </c>
      <c r="F66" s="62">
        <v>523</v>
      </c>
      <c r="G66" s="43">
        <v>1</v>
      </c>
      <c r="H66" s="43">
        <v>35</v>
      </c>
      <c r="I66" s="43">
        <v>6</v>
      </c>
      <c r="J66" s="55">
        <v>181</v>
      </c>
      <c r="K66" s="6">
        <v>0</v>
      </c>
      <c r="L66" s="6">
        <v>0</v>
      </c>
      <c r="M66" s="43">
        <v>0</v>
      </c>
      <c r="N66" s="25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3</v>
      </c>
      <c r="X66" s="43">
        <v>0</v>
      </c>
      <c r="Y66" s="43">
        <v>0</v>
      </c>
      <c r="Z66" s="43">
        <v>0</v>
      </c>
      <c r="AA66" s="44">
        <v>0</v>
      </c>
      <c r="AB66" s="44">
        <v>0</v>
      </c>
      <c r="AC66" s="44">
        <v>3</v>
      </c>
      <c r="AD66" s="44">
        <v>12</v>
      </c>
      <c r="AE66" s="44">
        <v>299</v>
      </c>
      <c r="AF66" s="44">
        <v>5</v>
      </c>
      <c r="AG66" s="44">
        <v>0</v>
      </c>
      <c r="AH66" s="44">
        <v>417</v>
      </c>
      <c r="AI66" s="32"/>
      <c r="AJ66" s="32"/>
      <c r="AK66" s="32"/>
      <c r="AL66" s="32"/>
      <c r="AM66" s="44">
        <v>42</v>
      </c>
      <c r="AN66" s="44">
        <v>370</v>
      </c>
      <c r="AO66" s="44">
        <v>292</v>
      </c>
      <c r="AP66" s="48"/>
      <c r="AQ66" s="48"/>
      <c r="AR66" s="51"/>
      <c r="AS66" s="51"/>
      <c r="AT66" s="51"/>
      <c r="AU66" s="51"/>
      <c r="AV66" s="51"/>
      <c r="AW66" s="50"/>
      <c r="AX66" s="50"/>
      <c r="AY66" s="50"/>
      <c r="AZ66" s="50"/>
      <c r="BA66" s="43">
        <v>458</v>
      </c>
      <c r="BB66" s="43">
        <v>242</v>
      </c>
      <c r="BC66" s="50"/>
      <c r="BD66" s="50"/>
      <c r="BE66" s="43">
        <v>219</v>
      </c>
      <c r="BF66" s="43">
        <v>482</v>
      </c>
      <c r="BG66" s="43">
        <v>245</v>
      </c>
      <c r="BH66" s="43">
        <v>461</v>
      </c>
      <c r="BI66" s="43">
        <v>287</v>
      </c>
      <c r="BJ66" s="43">
        <v>411</v>
      </c>
      <c r="BK66" s="43">
        <v>472</v>
      </c>
      <c r="BL66" s="43">
        <v>227</v>
      </c>
      <c r="BM66" s="43">
        <v>210</v>
      </c>
      <c r="BN66" s="43">
        <v>461</v>
      </c>
      <c r="BO66" s="43">
        <v>415</v>
      </c>
      <c r="BP66" s="43">
        <v>248</v>
      </c>
      <c r="BQ66" s="43">
        <v>301</v>
      </c>
      <c r="BR66" s="43">
        <v>365</v>
      </c>
      <c r="BS66" s="43">
        <v>406</v>
      </c>
      <c r="BT66" s="43">
        <v>180</v>
      </c>
      <c r="BU66" s="43">
        <v>498</v>
      </c>
      <c r="BV66" s="43">
        <v>421</v>
      </c>
      <c r="BW66" s="43">
        <v>274</v>
      </c>
      <c r="BX66" s="43">
        <v>253</v>
      </c>
      <c r="BY66" s="43">
        <v>228</v>
      </c>
      <c r="BZ66" s="43">
        <v>346</v>
      </c>
      <c r="CA66" s="43">
        <v>375</v>
      </c>
      <c r="CB66" s="43">
        <v>201</v>
      </c>
      <c r="CC66" s="43">
        <v>330</v>
      </c>
      <c r="CD66" s="43">
        <v>399</v>
      </c>
      <c r="CE66" s="43">
        <v>341</v>
      </c>
      <c r="CF66" s="43">
        <v>183</v>
      </c>
      <c r="CG66" s="43">
        <v>241</v>
      </c>
      <c r="CH66" s="43">
        <v>262</v>
      </c>
      <c r="CI66" s="43">
        <v>207</v>
      </c>
      <c r="CJ66" s="43">
        <v>310</v>
      </c>
      <c r="CK66" s="43">
        <v>257</v>
      </c>
      <c r="CL66" s="43">
        <v>261</v>
      </c>
      <c r="CM66" s="43">
        <v>342</v>
      </c>
      <c r="CN66" s="43">
        <v>349</v>
      </c>
      <c r="CO66" s="43">
        <v>239</v>
      </c>
      <c r="CP66" s="43">
        <v>272</v>
      </c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43">
        <v>466</v>
      </c>
      <c r="FZ66" s="43">
        <v>248</v>
      </c>
      <c r="GA66" s="53"/>
      <c r="GB66" s="53"/>
      <c r="GC66" s="53"/>
      <c r="GD66" s="53"/>
      <c r="GE66" s="53"/>
      <c r="GF66" s="53"/>
      <c r="GG66" s="53"/>
      <c r="GH66" s="53"/>
      <c r="GI66" s="43"/>
      <c r="GJ66" s="53"/>
      <c r="GK66" s="53"/>
      <c r="GL66" s="53"/>
      <c r="GM66" s="53"/>
      <c r="GN66" s="53"/>
      <c r="GO66" s="43">
        <v>586</v>
      </c>
      <c r="GP66" s="43">
        <v>136</v>
      </c>
      <c r="GQ66" s="43">
        <v>582</v>
      </c>
      <c r="GR66" s="43">
        <v>135</v>
      </c>
    </row>
    <row r="67" spans="1:200">
      <c r="A67" s="5">
        <v>803</v>
      </c>
      <c r="B67" s="1" t="s">
        <v>195</v>
      </c>
      <c r="C67" s="33">
        <v>1446</v>
      </c>
      <c r="D67" s="34">
        <v>1036</v>
      </c>
      <c r="E67" s="19">
        <f t="shared" si="0"/>
        <v>0.71645919778699863</v>
      </c>
      <c r="F67" s="62">
        <v>583</v>
      </c>
      <c r="G67" s="43">
        <v>0</v>
      </c>
      <c r="H67" s="43">
        <v>30</v>
      </c>
      <c r="I67" s="43">
        <v>8</v>
      </c>
      <c r="J67" s="55">
        <v>383</v>
      </c>
      <c r="K67" s="6">
        <v>0</v>
      </c>
      <c r="L67" s="6">
        <v>0</v>
      </c>
      <c r="M67" s="43">
        <v>0</v>
      </c>
      <c r="N67" s="25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3</v>
      </c>
      <c r="X67" s="43">
        <v>0</v>
      </c>
      <c r="Y67" s="43">
        <v>0</v>
      </c>
      <c r="Z67" s="43">
        <v>0</v>
      </c>
      <c r="AA67" s="44">
        <v>0</v>
      </c>
      <c r="AB67" s="44">
        <v>0</v>
      </c>
      <c r="AC67" s="44">
        <v>8</v>
      </c>
      <c r="AD67" s="44">
        <v>13</v>
      </c>
      <c r="AE67" s="44">
        <v>580</v>
      </c>
      <c r="AF67" s="44">
        <v>7</v>
      </c>
      <c r="AG67" s="44">
        <v>0</v>
      </c>
      <c r="AH67" s="44">
        <v>402</v>
      </c>
      <c r="AI67" s="32"/>
      <c r="AJ67" s="32"/>
      <c r="AK67" s="32"/>
      <c r="AL67" s="32"/>
      <c r="AM67" s="44">
        <v>41</v>
      </c>
      <c r="AN67" s="44">
        <v>392</v>
      </c>
      <c r="AO67" s="44">
        <v>544</v>
      </c>
      <c r="AP67" s="48"/>
      <c r="AQ67" s="48"/>
      <c r="AR67" s="51"/>
      <c r="AS67" s="51"/>
      <c r="AT67" s="51"/>
      <c r="AU67" s="51"/>
      <c r="AV67" s="51"/>
      <c r="AW67" s="50"/>
      <c r="AX67" s="50"/>
      <c r="AY67" s="50"/>
      <c r="AZ67" s="50"/>
      <c r="BA67" s="43">
        <v>470</v>
      </c>
      <c r="BB67" s="43">
        <v>485</v>
      </c>
      <c r="BC67" s="50"/>
      <c r="BD67" s="50"/>
      <c r="BE67" s="43">
        <v>464</v>
      </c>
      <c r="BF67" s="43">
        <v>510</v>
      </c>
      <c r="BG67" s="43">
        <v>483</v>
      </c>
      <c r="BH67" s="43">
        <v>488</v>
      </c>
      <c r="BI67" s="43">
        <v>563</v>
      </c>
      <c r="BJ67" s="43">
        <v>396</v>
      </c>
      <c r="BK67" s="43">
        <v>523</v>
      </c>
      <c r="BL67" s="43">
        <v>444</v>
      </c>
      <c r="BM67" s="43">
        <v>427</v>
      </c>
      <c r="BN67" s="43">
        <v>506</v>
      </c>
      <c r="BO67" s="43">
        <v>415</v>
      </c>
      <c r="BP67" s="43">
        <v>506</v>
      </c>
      <c r="BQ67" s="43">
        <v>567</v>
      </c>
      <c r="BR67" s="43">
        <v>364</v>
      </c>
      <c r="BS67" s="43">
        <v>639</v>
      </c>
      <c r="BT67" s="43">
        <v>384</v>
      </c>
      <c r="BU67" s="43">
        <v>558</v>
      </c>
      <c r="BV67" s="43">
        <v>633</v>
      </c>
      <c r="BW67" s="43">
        <v>418</v>
      </c>
      <c r="BX67" s="43">
        <v>327</v>
      </c>
      <c r="BY67" s="43">
        <v>424</v>
      </c>
      <c r="BZ67" s="43">
        <v>393</v>
      </c>
      <c r="CA67" s="43">
        <v>570</v>
      </c>
      <c r="CB67" s="43">
        <v>359</v>
      </c>
      <c r="CC67" s="43">
        <v>369</v>
      </c>
      <c r="CD67" s="43">
        <v>571</v>
      </c>
      <c r="CE67" s="43">
        <v>386</v>
      </c>
      <c r="CF67" s="43">
        <v>368</v>
      </c>
      <c r="CG67" s="43">
        <v>439</v>
      </c>
      <c r="CH67" s="43">
        <v>290</v>
      </c>
      <c r="CI67" s="43">
        <v>221</v>
      </c>
      <c r="CJ67" s="43">
        <v>507</v>
      </c>
      <c r="CK67" s="43">
        <v>381</v>
      </c>
      <c r="CL67" s="43">
        <v>336</v>
      </c>
      <c r="CM67" s="43">
        <v>522</v>
      </c>
      <c r="CN67" s="43">
        <v>540</v>
      </c>
      <c r="CO67" s="43">
        <v>260</v>
      </c>
      <c r="CP67" s="43">
        <v>461</v>
      </c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43">
        <v>491</v>
      </c>
      <c r="FZ67" s="43">
        <v>503</v>
      </c>
      <c r="GA67" s="53"/>
      <c r="GB67" s="53"/>
      <c r="GC67" s="53"/>
      <c r="GD67" s="53"/>
      <c r="GE67" s="53"/>
      <c r="GF67" s="53"/>
      <c r="GG67" s="53"/>
      <c r="GH67" s="53"/>
      <c r="GI67" s="43"/>
      <c r="GJ67" s="53"/>
      <c r="GK67" s="53"/>
      <c r="GL67" s="53"/>
      <c r="GM67" s="53"/>
      <c r="GN67" s="53"/>
      <c r="GO67" s="43">
        <v>724</v>
      </c>
      <c r="GP67" s="43">
        <v>277</v>
      </c>
      <c r="GQ67" s="43">
        <v>694</v>
      </c>
      <c r="GR67" s="43">
        <v>285</v>
      </c>
    </row>
    <row r="68" spans="1:200">
      <c r="A68" s="5">
        <v>804</v>
      </c>
      <c r="B68" s="1" t="s">
        <v>196</v>
      </c>
      <c r="C68" s="33">
        <v>1189</v>
      </c>
      <c r="D68" s="34">
        <v>657</v>
      </c>
      <c r="E68" s="19">
        <f t="shared" si="0"/>
        <v>0.55256518082422201</v>
      </c>
      <c r="F68" s="62">
        <v>568</v>
      </c>
      <c r="G68" s="43">
        <v>1</v>
      </c>
      <c r="H68" s="43">
        <v>20</v>
      </c>
      <c r="I68" s="43">
        <v>7</v>
      </c>
      <c r="J68" s="55">
        <v>49</v>
      </c>
      <c r="K68" s="6">
        <v>0</v>
      </c>
      <c r="L68" s="6">
        <v>0</v>
      </c>
      <c r="M68" s="43">
        <v>0</v>
      </c>
      <c r="N68" s="25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2</v>
      </c>
      <c r="X68" s="43">
        <v>0</v>
      </c>
      <c r="Y68" s="43">
        <v>0</v>
      </c>
      <c r="Z68" s="43">
        <v>0</v>
      </c>
      <c r="AA68" s="44">
        <v>0</v>
      </c>
      <c r="AB68" s="44">
        <v>0</v>
      </c>
      <c r="AC68" s="44">
        <v>16</v>
      </c>
      <c r="AD68" s="44">
        <v>14</v>
      </c>
      <c r="AE68" s="44">
        <v>107</v>
      </c>
      <c r="AF68" s="44">
        <v>4</v>
      </c>
      <c r="AG68" s="44">
        <v>0</v>
      </c>
      <c r="AH68" s="44">
        <v>477</v>
      </c>
      <c r="AI68" s="44">
        <v>105</v>
      </c>
      <c r="AJ68" s="44">
        <v>1</v>
      </c>
      <c r="AK68" s="44">
        <v>1</v>
      </c>
      <c r="AL68" s="44">
        <v>512</v>
      </c>
      <c r="AM68" s="48"/>
      <c r="AN68" s="48"/>
      <c r="AO68" s="48"/>
      <c r="AP68" s="48"/>
      <c r="AQ68" s="48"/>
      <c r="AR68" s="51"/>
      <c r="AS68" s="51"/>
      <c r="AT68" s="51"/>
      <c r="AU68" s="51"/>
      <c r="AV68" s="51"/>
      <c r="AW68" s="50"/>
      <c r="AX68" s="50"/>
      <c r="AY68" s="50"/>
      <c r="AZ68" s="50"/>
      <c r="BA68" s="43">
        <v>519</v>
      </c>
      <c r="BB68" s="43">
        <v>78</v>
      </c>
      <c r="BC68" s="50"/>
      <c r="BD68" s="50"/>
      <c r="BE68" s="43">
        <v>66</v>
      </c>
      <c r="BF68" s="43">
        <v>529</v>
      </c>
      <c r="BG68" s="43">
        <v>94</v>
      </c>
      <c r="BH68" s="43">
        <v>500</v>
      </c>
      <c r="BI68" s="43">
        <v>113</v>
      </c>
      <c r="BJ68" s="43">
        <v>479</v>
      </c>
      <c r="BK68" s="43">
        <v>498</v>
      </c>
      <c r="BL68" s="43">
        <v>98</v>
      </c>
      <c r="BM68" s="43">
        <v>84</v>
      </c>
      <c r="BN68" s="43">
        <v>507</v>
      </c>
      <c r="BO68" s="43">
        <v>490</v>
      </c>
      <c r="BP68" s="43">
        <v>84</v>
      </c>
      <c r="BQ68" s="43">
        <v>98</v>
      </c>
      <c r="BR68" s="43">
        <v>483</v>
      </c>
      <c r="BS68" s="43">
        <v>230</v>
      </c>
      <c r="BT68" s="43">
        <v>67</v>
      </c>
      <c r="BU68" s="43">
        <v>520</v>
      </c>
      <c r="BV68" s="43">
        <v>316</v>
      </c>
      <c r="BW68" s="43">
        <v>157</v>
      </c>
      <c r="BX68" s="43">
        <v>318</v>
      </c>
      <c r="BY68" s="43">
        <v>135</v>
      </c>
      <c r="BZ68" s="43">
        <v>368</v>
      </c>
      <c r="CA68" s="43">
        <v>255</v>
      </c>
      <c r="CB68" s="43">
        <v>104</v>
      </c>
      <c r="CC68" s="43">
        <v>364</v>
      </c>
      <c r="CD68" s="43">
        <v>349</v>
      </c>
      <c r="CE68" s="43">
        <v>353</v>
      </c>
      <c r="CF68" s="43">
        <v>104</v>
      </c>
      <c r="CG68" s="43">
        <v>117</v>
      </c>
      <c r="CH68" s="43">
        <v>321</v>
      </c>
      <c r="CI68" s="43">
        <v>274</v>
      </c>
      <c r="CJ68" s="43">
        <v>170</v>
      </c>
      <c r="CK68" s="43">
        <v>195</v>
      </c>
      <c r="CL68" s="43">
        <v>282</v>
      </c>
      <c r="CM68" s="43">
        <v>243</v>
      </c>
      <c r="CN68" s="43">
        <v>282</v>
      </c>
      <c r="CO68" s="43">
        <v>285</v>
      </c>
      <c r="CP68" s="43">
        <v>192</v>
      </c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43">
        <v>484</v>
      </c>
      <c r="FZ68" s="43">
        <v>128</v>
      </c>
      <c r="GA68" s="53"/>
      <c r="GB68" s="53"/>
      <c r="GC68" s="53"/>
      <c r="GD68" s="53"/>
      <c r="GE68" s="53"/>
      <c r="GF68" s="53"/>
      <c r="GG68" s="53"/>
      <c r="GH68" s="53"/>
      <c r="GI68" s="43"/>
      <c r="GJ68" s="53"/>
      <c r="GK68" s="53"/>
      <c r="GL68" s="53"/>
      <c r="GM68" s="53"/>
      <c r="GN68" s="53"/>
      <c r="GO68" s="43">
        <v>486</v>
      </c>
      <c r="GP68" s="43">
        <v>112</v>
      </c>
      <c r="GQ68" s="43">
        <v>503</v>
      </c>
      <c r="GR68" s="43">
        <v>102</v>
      </c>
    </row>
    <row r="69" spans="1:200">
      <c r="A69" s="5">
        <v>901</v>
      </c>
      <c r="B69" s="1" t="s">
        <v>197</v>
      </c>
      <c r="C69" s="33">
        <v>1112</v>
      </c>
      <c r="D69" s="34">
        <v>566</v>
      </c>
      <c r="E69" s="19">
        <f t="shared" ref="E69:E132" si="1">SUM(D69/C69)</f>
        <v>0.50899280575539574</v>
      </c>
      <c r="F69" s="62">
        <v>522</v>
      </c>
      <c r="G69" s="43">
        <v>4</v>
      </c>
      <c r="H69" s="43">
        <v>3</v>
      </c>
      <c r="I69" s="43">
        <v>5</v>
      </c>
      <c r="J69" s="55">
        <v>23</v>
      </c>
      <c r="K69" s="6">
        <v>0</v>
      </c>
      <c r="L69" s="6">
        <v>0</v>
      </c>
      <c r="M69" s="43">
        <v>0</v>
      </c>
      <c r="N69" s="25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</v>
      </c>
      <c r="AA69" s="44">
        <v>0</v>
      </c>
      <c r="AB69" s="44">
        <v>0</v>
      </c>
      <c r="AC69" s="44">
        <v>7</v>
      </c>
      <c r="AD69" s="44">
        <v>11</v>
      </c>
      <c r="AE69" s="44">
        <v>65</v>
      </c>
      <c r="AF69" s="44">
        <v>3</v>
      </c>
      <c r="AG69" s="44">
        <v>0</v>
      </c>
      <c r="AH69" s="44">
        <v>447</v>
      </c>
      <c r="AI69" s="44">
        <v>59</v>
      </c>
      <c r="AJ69" s="44">
        <v>0</v>
      </c>
      <c r="AK69" s="44">
        <v>0</v>
      </c>
      <c r="AL69" s="44">
        <v>478</v>
      </c>
      <c r="AM69" s="48"/>
      <c r="AN69" s="48"/>
      <c r="AO69" s="48"/>
      <c r="AP69" s="48"/>
      <c r="AQ69" s="48"/>
      <c r="AR69" s="51"/>
      <c r="AS69" s="51"/>
      <c r="AT69" s="51"/>
      <c r="AU69" s="51"/>
      <c r="AV69" s="51"/>
      <c r="AW69" s="50"/>
      <c r="AX69" s="50"/>
      <c r="AY69" s="43">
        <v>479</v>
      </c>
      <c r="AZ69" s="43">
        <v>44</v>
      </c>
      <c r="BA69" s="50"/>
      <c r="BB69" s="50"/>
      <c r="BC69" s="50"/>
      <c r="BD69" s="50"/>
      <c r="BE69" s="43">
        <v>34</v>
      </c>
      <c r="BF69" s="43">
        <v>491</v>
      </c>
      <c r="BG69" s="43">
        <v>49</v>
      </c>
      <c r="BH69" s="43">
        <v>475</v>
      </c>
      <c r="BI69" s="43">
        <v>90</v>
      </c>
      <c r="BJ69" s="43">
        <v>432</v>
      </c>
      <c r="BK69" s="43">
        <v>446</v>
      </c>
      <c r="BL69" s="43">
        <v>72</v>
      </c>
      <c r="BM69" s="43">
        <v>38</v>
      </c>
      <c r="BN69" s="43">
        <v>471</v>
      </c>
      <c r="BO69" s="43">
        <v>449</v>
      </c>
      <c r="BP69" s="43">
        <v>60</v>
      </c>
      <c r="BQ69" s="43">
        <v>55</v>
      </c>
      <c r="BR69" s="43">
        <v>457</v>
      </c>
      <c r="BS69" s="43">
        <v>167</v>
      </c>
      <c r="BT69" s="43">
        <v>49</v>
      </c>
      <c r="BU69" s="43">
        <v>476</v>
      </c>
      <c r="BV69" s="43">
        <v>257</v>
      </c>
      <c r="BW69" s="43">
        <v>151</v>
      </c>
      <c r="BX69" s="43">
        <v>234</v>
      </c>
      <c r="BY69" s="43">
        <v>155</v>
      </c>
      <c r="BZ69" s="43">
        <v>277</v>
      </c>
      <c r="CA69" s="43">
        <v>228</v>
      </c>
      <c r="CB69" s="43">
        <v>95</v>
      </c>
      <c r="CC69" s="43">
        <v>299</v>
      </c>
      <c r="CD69" s="43">
        <v>264</v>
      </c>
      <c r="CE69" s="43">
        <v>288</v>
      </c>
      <c r="CF69" s="43">
        <v>113</v>
      </c>
      <c r="CG69" s="43">
        <v>118</v>
      </c>
      <c r="CH69" s="43">
        <v>239</v>
      </c>
      <c r="CI69" s="43">
        <v>215</v>
      </c>
      <c r="CJ69" s="43">
        <v>164</v>
      </c>
      <c r="CK69" s="43">
        <v>202</v>
      </c>
      <c r="CL69" s="43">
        <v>204</v>
      </c>
      <c r="CM69" s="43">
        <v>218</v>
      </c>
      <c r="CN69" s="43">
        <v>250</v>
      </c>
      <c r="CO69" s="43">
        <v>235</v>
      </c>
      <c r="CP69" s="43">
        <v>176</v>
      </c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43">
        <v>392</v>
      </c>
      <c r="FZ69" s="43">
        <v>117</v>
      </c>
      <c r="GA69" s="53"/>
      <c r="GB69" s="53"/>
      <c r="GC69" s="53"/>
      <c r="GD69" s="53"/>
      <c r="GE69" s="53"/>
      <c r="GF69" s="53"/>
      <c r="GG69" s="53"/>
      <c r="GH69" s="53"/>
      <c r="GI69" s="43"/>
      <c r="GJ69" s="53"/>
      <c r="GK69" s="53"/>
      <c r="GL69" s="53"/>
      <c r="GM69" s="53"/>
      <c r="GN69" s="53"/>
      <c r="GO69" s="43">
        <v>363</v>
      </c>
      <c r="GP69" s="43">
        <v>131</v>
      </c>
      <c r="GQ69" s="43">
        <v>415</v>
      </c>
      <c r="GR69" s="43">
        <v>87</v>
      </c>
    </row>
    <row r="70" spans="1:200">
      <c r="A70" s="5">
        <v>902</v>
      </c>
      <c r="B70" s="1" t="s">
        <v>198</v>
      </c>
      <c r="C70" s="33">
        <v>1444</v>
      </c>
      <c r="D70" s="34">
        <v>982</v>
      </c>
      <c r="E70" s="19">
        <f t="shared" si="1"/>
        <v>0.68005540166204981</v>
      </c>
      <c r="F70" s="62">
        <v>751</v>
      </c>
      <c r="G70" s="43">
        <v>0</v>
      </c>
      <c r="H70" s="43">
        <v>27</v>
      </c>
      <c r="I70" s="43">
        <v>11</v>
      </c>
      <c r="J70" s="55">
        <v>159</v>
      </c>
      <c r="K70" s="6">
        <v>0</v>
      </c>
      <c r="L70" s="6">
        <v>0</v>
      </c>
      <c r="M70" s="43">
        <v>0</v>
      </c>
      <c r="N70" s="25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43">
        <v>2</v>
      </c>
      <c r="W70" s="43">
        <v>3</v>
      </c>
      <c r="X70" s="43">
        <v>0</v>
      </c>
      <c r="Y70" s="43">
        <v>0</v>
      </c>
      <c r="Z70" s="43">
        <v>0</v>
      </c>
      <c r="AA70" s="44">
        <v>0</v>
      </c>
      <c r="AB70" s="44">
        <v>0</v>
      </c>
      <c r="AC70" s="44">
        <v>8</v>
      </c>
      <c r="AD70" s="44">
        <v>29</v>
      </c>
      <c r="AE70" s="44">
        <v>298</v>
      </c>
      <c r="AF70" s="44">
        <v>6</v>
      </c>
      <c r="AG70" s="44">
        <v>0</v>
      </c>
      <c r="AH70" s="44">
        <v>604</v>
      </c>
      <c r="AI70" s="32"/>
      <c r="AJ70" s="32"/>
      <c r="AK70" s="32"/>
      <c r="AL70" s="32"/>
      <c r="AM70" s="44">
        <v>45</v>
      </c>
      <c r="AN70" s="44">
        <v>590</v>
      </c>
      <c r="AO70" s="44">
        <v>274</v>
      </c>
      <c r="AP70" s="48"/>
      <c r="AQ70" s="48"/>
      <c r="AR70" s="51"/>
      <c r="AS70" s="51"/>
      <c r="AT70" s="51"/>
      <c r="AU70" s="51"/>
      <c r="AV70" s="51"/>
      <c r="AW70" s="50"/>
      <c r="AX70" s="50"/>
      <c r="AY70" s="43">
        <v>694</v>
      </c>
      <c r="AZ70" s="43">
        <v>223</v>
      </c>
      <c r="BA70" s="50"/>
      <c r="BB70" s="50"/>
      <c r="BC70" s="50"/>
      <c r="BD70" s="50"/>
      <c r="BE70" s="43">
        <v>194</v>
      </c>
      <c r="BF70" s="43">
        <v>720</v>
      </c>
      <c r="BG70" s="43">
        <v>224</v>
      </c>
      <c r="BH70" s="43">
        <v>697</v>
      </c>
      <c r="BI70" s="43">
        <v>296</v>
      </c>
      <c r="BJ70" s="43">
        <v>612</v>
      </c>
      <c r="BK70" s="43">
        <v>688</v>
      </c>
      <c r="BL70" s="43">
        <v>218</v>
      </c>
      <c r="BM70" s="43">
        <v>192</v>
      </c>
      <c r="BN70" s="43">
        <v>699</v>
      </c>
      <c r="BO70" s="43">
        <v>625</v>
      </c>
      <c r="BP70" s="43">
        <v>249</v>
      </c>
      <c r="BQ70" s="43">
        <v>281</v>
      </c>
      <c r="BR70" s="43">
        <v>597</v>
      </c>
      <c r="BS70" s="43">
        <v>469</v>
      </c>
      <c r="BT70" s="43">
        <v>169</v>
      </c>
      <c r="BU70" s="43">
        <v>725</v>
      </c>
      <c r="BV70" s="43">
        <v>559</v>
      </c>
      <c r="BW70" s="43">
        <v>300</v>
      </c>
      <c r="BX70" s="43">
        <v>404</v>
      </c>
      <c r="BY70" s="43">
        <v>253</v>
      </c>
      <c r="BZ70" s="43">
        <v>520</v>
      </c>
      <c r="CA70" s="43">
        <v>498</v>
      </c>
      <c r="CB70" s="43">
        <v>233</v>
      </c>
      <c r="CC70" s="43">
        <v>484</v>
      </c>
      <c r="CD70" s="43">
        <v>556</v>
      </c>
      <c r="CE70" s="43">
        <v>510</v>
      </c>
      <c r="CF70" s="43">
        <v>218</v>
      </c>
      <c r="CG70" s="43">
        <v>273</v>
      </c>
      <c r="CH70" s="43">
        <v>428</v>
      </c>
      <c r="CI70" s="43">
        <v>342</v>
      </c>
      <c r="CJ70" s="43">
        <v>372</v>
      </c>
      <c r="CK70" s="43">
        <v>302</v>
      </c>
      <c r="CL70" s="43">
        <v>409</v>
      </c>
      <c r="CM70" s="43">
        <v>459</v>
      </c>
      <c r="CN70" s="43">
        <v>467</v>
      </c>
      <c r="CO70" s="43">
        <v>371</v>
      </c>
      <c r="CP70" s="43">
        <v>336</v>
      </c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43">
        <v>695</v>
      </c>
      <c r="FZ70" s="43">
        <v>244</v>
      </c>
      <c r="GA70" s="53"/>
      <c r="GB70" s="53"/>
      <c r="GC70" s="53"/>
      <c r="GD70" s="53"/>
      <c r="GE70" s="53"/>
      <c r="GF70" s="53"/>
      <c r="GG70" s="53"/>
      <c r="GH70" s="53"/>
      <c r="GI70" s="43"/>
      <c r="GJ70" s="53"/>
      <c r="GK70" s="53"/>
      <c r="GL70" s="53"/>
      <c r="GM70" s="53"/>
      <c r="GN70" s="53"/>
      <c r="GO70" s="43">
        <v>773</v>
      </c>
      <c r="GP70" s="43">
        <v>160</v>
      </c>
      <c r="GQ70" s="43">
        <v>767</v>
      </c>
      <c r="GR70" s="43">
        <v>160</v>
      </c>
    </row>
    <row r="71" spans="1:200">
      <c r="A71" s="5">
        <v>903</v>
      </c>
      <c r="B71" s="1" t="s">
        <v>199</v>
      </c>
      <c r="C71" s="33">
        <v>1401</v>
      </c>
      <c r="D71" s="34">
        <v>655</v>
      </c>
      <c r="E71" s="19">
        <f t="shared" si="1"/>
        <v>0.46752319771591722</v>
      </c>
      <c r="F71" s="62">
        <v>605</v>
      </c>
      <c r="G71" s="43">
        <v>1</v>
      </c>
      <c r="H71" s="43">
        <v>9</v>
      </c>
      <c r="I71" s="43">
        <v>4</v>
      </c>
      <c r="J71" s="55">
        <v>28</v>
      </c>
      <c r="K71" s="6">
        <v>0</v>
      </c>
      <c r="L71" s="6">
        <v>0</v>
      </c>
      <c r="M71" s="43">
        <v>0</v>
      </c>
      <c r="N71" s="25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  <c r="V71" s="43">
        <v>0</v>
      </c>
      <c r="W71" s="43">
        <v>2</v>
      </c>
      <c r="X71" s="43">
        <v>0</v>
      </c>
      <c r="Y71" s="43">
        <v>0</v>
      </c>
      <c r="Z71" s="43">
        <v>0</v>
      </c>
      <c r="AA71" s="44">
        <v>0</v>
      </c>
      <c r="AB71" s="44">
        <v>0</v>
      </c>
      <c r="AC71" s="44">
        <v>7</v>
      </c>
      <c r="AD71" s="44">
        <v>6</v>
      </c>
      <c r="AE71" s="44">
        <v>100</v>
      </c>
      <c r="AF71" s="44">
        <v>4</v>
      </c>
      <c r="AG71" s="44">
        <v>0</v>
      </c>
      <c r="AH71" s="44">
        <v>487</v>
      </c>
      <c r="AI71" s="44">
        <v>74</v>
      </c>
      <c r="AJ71" s="44">
        <v>0</v>
      </c>
      <c r="AK71" s="44">
        <v>0</v>
      </c>
      <c r="AL71" s="44">
        <v>525</v>
      </c>
      <c r="AM71" s="48"/>
      <c r="AN71" s="48"/>
      <c r="AO71" s="48"/>
      <c r="AP71" s="48"/>
      <c r="AQ71" s="48"/>
      <c r="AR71" s="51"/>
      <c r="AS71" s="51"/>
      <c r="AT71" s="51"/>
      <c r="AU71" s="51"/>
      <c r="AV71" s="51"/>
      <c r="AW71" s="50"/>
      <c r="AX71" s="50"/>
      <c r="AY71" s="43">
        <v>537</v>
      </c>
      <c r="AZ71" s="43">
        <v>59</v>
      </c>
      <c r="BA71" s="50"/>
      <c r="BB71" s="50"/>
      <c r="BC71" s="50"/>
      <c r="BD71" s="50"/>
      <c r="BE71" s="43">
        <v>46</v>
      </c>
      <c r="BF71" s="43">
        <v>550</v>
      </c>
      <c r="BG71" s="43">
        <v>56</v>
      </c>
      <c r="BH71" s="43">
        <v>532</v>
      </c>
      <c r="BI71" s="43">
        <v>83</v>
      </c>
      <c r="BJ71" s="43">
        <v>513</v>
      </c>
      <c r="BK71" s="43">
        <v>521</v>
      </c>
      <c r="BL71" s="43">
        <v>70</v>
      </c>
      <c r="BM71" s="43">
        <v>44</v>
      </c>
      <c r="BN71" s="43">
        <v>546</v>
      </c>
      <c r="BO71" s="43">
        <v>503</v>
      </c>
      <c r="BP71" s="43">
        <v>75</v>
      </c>
      <c r="BQ71" s="43">
        <v>69</v>
      </c>
      <c r="BR71" s="43">
        <v>515</v>
      </c>
      <c r="BS71" s="43">
        <v>200</v>
      </c>
      <c r="BT71" s="43">
        <v>44</v>
      </c>
      <c r="BU71" s="43">
        <v>544</v>
      </c>
      <c r="BV71" s="43">
        <v>296</v>
      </c>
      <c r="BW71" s="43">
        <v>156</v>
      </c>
      <c r="BX71" s="43">
        <v>303</v>
      </c>
      <c r="BY71" s="43">
        <v>131</v>
      </c>
      <c r="BZ71" s="43">
        <v>360</v>
      </c>
      <c r="CA71" s="43">
        <v>255</v>
      </c>
      <c r="CB71" s="43">
        <v>85</v>
      </c>
      <c r="CC71" s="43">
        <v>365</v>
      </c>
      <c r="CD71" s="43">
        <v>342</v>
      </c>
      <c r="CE71" s="43">
        <v>348</v>
      </c>
      <c r="CF71" s="43">
        <v>115</v>
      </c>
      <c r="CG71" s="43">
        <v>117</v>
      </c>
      <c r="CH71" s="43">
        <v>308</v>
      </c>
      <c r="CI71" s="43">
        <v>271</v>
      </c>
      <c r="CJ71" s="43">
        <v>175</v>
      </c>
      <c r="CK71" s="43">
        <v>179</v>
      </c>
      <c r="CL71" s="43">
        <v>284</v>
      </c>
      <c r="CM71" s="43">
        <v>243</v>
      </c>
      <c r="CN71" s="43">
        <v>277</v>
      </c>
      <c r="CO71" s="43">
        <v>288</v>
      </c>
      <c r="CP71" s="43">
        <v>178</v>
      </c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43">
        <v>488</v>
      </c>
      <c r="FZ71" s="43">
        <v>107</v>
      </c>
      <c r="GA71" s="53"/>
      <c r="GB71" s="53"/>
      <c r="GC71" s="53"/>
      <c r="GD71" s="53"/>
      <c r="GE71" s="53"/>
      <c r="GF71" s="53"/>
      <c r="GG71" s="53"/>
      <c r="GH71" s="53"/>
      <c r="GI71" s="43"/>
      <c r="GJ71" s="53"/>
      <c r="GK71" s="53"/>
      <c r="GL71" s="53"/>
      <c r="GM71" s="53"/>
      <c r="GN71" s="53"/>
      <c r="GO71" s="43">
        <v>437</v>
      </c>
      <c r="GP71" s="43">
        <v>139</v>
      </c>
      <c r="GQ71" s="43">
        <v>480</v>
      </c>
      <c r="GR71" s="43">
        <v>98</v>
      </c>
    </row>
    <row r="72" spans="1:200">
      <c r="A72" s="5">
        <v>904</v>
      </c>
      <c r="B72" s="1" t="s">
        <v>200</v>
      </c>
      <c r="C72" s="33">
        <v>1205</v>
      </c>
      <c r="D72" s="34">
        <v>633</v>
      </c>
      <c r="E72" s="19">
        <f t="shared" si="1"/>
        <v>0.5253112033195021</v>
      </c>
      <c r="F72" s="62">
        <v>599</v>
      </c>
      <c r="G72" s="43">
        <v>1</v>
      </c>
      <c r="H72" s="43">
        <v>0</v>
      </c>
      <c r="I72" s="43">
        <v>9</v>
      </c>
      <c r="J72" s="55">
        <v>16</v>
      </c>
      <c r="K72" s="6">
        <v>0</v>
      </c>
      <c r="L72" s="6">
        <v>0</v>
      </c>
      <c r="M72" s="43">
        <v>0</v>
      </c>
      <c r="N72" s="25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</v>
      </c>
      <c r="X72" s="43">
        <v>0</v>
      </c>
      <c r="Y72" s="43">
        <v>0</v>
      </c>
      <c r="Z72" s="43">
        <v>0</v>
      </c>
      <c r="AA72" s="44">
        <v>0</v>
      </c>
      <c r="AB72" s="44">
        <v>0</v>
      </c>
      <c r="AC72" s="44">
        <v>6</v>
      </c>
      <c r="AD72" s="44">
        <v>6</v>
      </c>
      <c r="AE72" s="44">
        <v>57</v>
      </c>
      <c r="AF72" s="44">
        <v>14</v>
      </c>
      <c r="AG72" s="44">
        <v>0</v>
      </c>
      <c r="AH72" s="44">
        <v>510</v>
      </c>
      <c r="AI72" s="44">
        <v>46</v>
      </c>
      <c r="AJ72" s="44">
        <v>1</v>
      </c>
      <c r="AK72" s="44">
        <v>1</v>
      </c>
      <c r="AL72" s="44">
        <v>539</v>
      </c>
      <c r="AM72" s="48"/>
      <c r="AN72" s="48"/>
      <c r="AO72" s="48"/>
      <c r="AP72" s="48"/>
      <c r="AQ72" s="48"/>
      <c r="AR72" s="51"/>
      <c r="AS72" s="51"/>
      <c r="AT72" s="51"/>
      <c r="AU72" s="51"/>
      <c r="AV72" s="51"/>
      <c r="AW72" s="50"/>
      <c r="AX72" s="50"/>
      <c r="AY72" s="43">
        <v>541</v>
      </c>
      <c r="AZ72" s="43">
        <v>34</v>
      </c>
      <c r="BA72" s="50"/>
      <c r="BB72" s="50"/>
      <c r="BC72" s="50"/>
      <c r="BD72" s="50"/>
      <c r="BE72" s="43">
        <v>24</v>
      </c>
      <c r="BF72" s="43">
        <v>557</v>
      </c>
      <c r="BG72" s="43">
        <v>40</v>
      </c>
      <c r="BH72" s="43">
        <v>539</v>
      </c>
      <c r="BI72" s="43">
        <v>75</v>
      </c>
      <c r="BJ72" s="43">
        <v>512</v>
      </c>
      <c r="BK72" s="43">
        <v>506</v>
      </c>
      <c r="BL72" s="43">
        <v>71</v>
      </c>
      <c r="BM72" s="43">
        <v>34</v>
      </c>
      <c r="BN72" s="43">
        <v>546</v>
      </c>
      <c r="BO72" s="43">
        <v>530</v>
      </c>
      <c r="BP72" s="43">
        <v>46</v>
      </c>
      <c r="BQ72" s="43">
        <v>49</v>
      </c>
      <c r="BR72" s="43">
        <v>529</v>
      </c>
      <c r="BS72" s="43">
        <v>167</v>
      </c>
      <c r="BT72" s="43">
        <v>33</v>
      </c>
      <c r="BU72" s="43">
        <v>554</v>
      </c>
      <c r="BV72" s="43">
        <v>301</v>
      </c>
      <c r="BW72" s="43">
        <v>152</v>
      </c>
      <c r="BX72" s="43">
        <v>297</v>
      </c>
      <c r="BY72" s="43">
        <v>181</v>
      </c>
      <c r="BZ72" s="43">
        <v>324</v>
      </c>
      <c r="CA72" s="43">
        <v>256</v>
      </c>
      <c r="CB72" s="43">
        <v>101</v>
      </c>
      <c r="CC72" s="43">
        <v>362</v>
      </c>
      <c r="CD72" s="43">
        <v>304</v>
      </c>
      <c r="CE72" s="43">
        <v>351</v>
      </c>
      <c r="CF72" s="43">
        <v>118</v>
      </c>
      <c r="CG72" s="43">
        <v>139</v>
      </c>
      <c r="CH72" s="43">
        <v>288</v>
      </c>
      <c r="CI72" s="43">
        <v>276</v>
      </c>
      <c r="CJ72" s="43">
        <v>167</v>
      </c>
      <c r="CK72" s="43">
        <v>189</v>
      </c>
      <c r="CL72" s="43">
        <v>293</v>
      </c>
      <c r="CM72" s="43">
        <v>242</v>
      </c>
      <c r="CN72" s="43">
        <v>294</v>
      </c>
      <c r="CO72" s="43">
        <v>304</v>
      </c>
      <c r="CP72" s="43">
        <v>188</v>
      </c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43">
        <v>453</v>
      </c>
      <c r="FZ72" s="43">
        <v>128</v>
      </c>
      <c r="GA72" s="53"/>
      <c r="GB72" s="53"/>
      <c r="GC72" s="53"/>
      <c r="GD72" s="53"/>
      <c r="GE72" s="53"/>
      <c r="GF72" s="53"/>
      <c r="GG72" s="53"/>
      <c r="GH72" s="53"/>
      <c r="GI72" s="43"/>
      <c r="GJ72" s="53"/>
      <c r="GK72" s="53"/>
      <c r="GL72" s="53"/>
      <c r="GM72" s="53"/>
      <c r="GN72" s="53"/>
      <c r="GO72" s="43">
        <v>417</v>
      </c>
      <c r="GP72" s="43">
        <v>140</v>
      </c>
      <c r="GQ72" s="43">
        <v>454</v>
      </c>
      <c r="GR72" s="43">
        <v>117</v>
      </c>
    </row>
    <row r="73" spans="1:200">
      <c r="A73" s="5">
        <v>1001</v>
      </c>
      <c r="B73" s="1" t="s">
        <v>201</v>
      </c>
      <c r="C73" s="33">
        <v>1284</v>
      </c>
      <c r="D73" s="34">
        <v>854</v>
      </c>
      <c r="E73" s="19">
        <f t="shared" si="1"/>
        <v>0.66510903426791279</v>
      </c>
      <c r="F73" s="62">
        <v>611</v>
      </c>
      <c r="G73" s="43">
        <v>0</v>
      </c>
      <c r="H73" s="43">
        <v>22</v>
      </c>
      <c r="I73" s="43">
        <v>12</v>
      </c>
      <c r="J73" s="55">
        <v>179</v>
      </c>
      <c r="K73" s="6">
        <v>0</v>
      </c>
      <c r="L73" s="6">
        <v>0</v>
      </c>
      <c r="M73" s="43">
        <v>1</v>
      </c>
      <c r="N73" s="25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14</v>
      </c>
      <c r="X73" s="43">
        <v>0</v>
      </c>
      <c r="Y73" s="43">
        <v>0</v>
      </c>
      <c r="Z73" s="43">
        <v>0</v>
      </c>
      <c r="AA73" s="44">
        <v>0</v>
      </c>
      <c r="AB73" s="44">
        <v>0</v>
      </c>
      <c r="AC73" s="44">
        <v>7</v>
      </c>
      <c r="AD73" s="44">
        <v>18</v>
      </c>
      <c r="AE73" s="44">
        <v>269</v>
      </c>
      <c r="AF73" s="44">
        <v>6</v>
      </c>
      <c r="AG73" s="44">
        <v>0</v>
      </c>
      <c r="AH73" s="44">
        <v>524</v>
      </c>
      <c r="AI73" s="44">
        <v>229</v>
      </c>
      <c r="AJ73" s="44">
        <v>5</v>
      </c>
      <c r="AK73" s="44">
        <v>0</v>
      </c>
      <c r="AL73" s="44">
        <v>590</v>
      </c>
      <c r="AM73" s="48"/>
      <c r="AN73" s="48"/>
      <c r="AO73" s="48"/>
      <c r="AP73" s="48"/>
      <c r="AQ73" s="48"/>
      <c r="AR73" s="51"/>
      <c r="AS73" s="51"/>
      <c r="AT73" s="51"/>
      <c r="AU73" s="51"/>
      <c r="AV73" s="51"/>
      <c r="AW73" s="50"/>
      <c r="AX73" s="50"/>
      <c r="AY73" s="50"/>
      <c r="AZ73" s="50"/>
      <c r="BA73" s="43">
        <v>577</v>
      </c>
      <c r="BB73" s="43">
        <v>222</v>
      </c>
      <c r="BC73" s="50"/>
      <c r="BD73" s="50"/>
      <c r="BE73" s="43">
        <v>204</v>
      </c>
      <c r="BF73" s="43">
        <v>595</v>
      </c>
      <c r="BG73" s="43">
        <v>222</v>
      </c>
      <c r="BH73" s="43">
        <v>574</v>
      </c>
      <c r="BI73" s="43">
        <v>271</v>
      </c>
      <c r="BJ73" s="43">
        <v>526</v>
      </c>
      <c r="BK73" s="43">
        <v>588</v>
      </c>
      <c r="BL73" s="43">
        <v>220</v>
      </c>
      <c r="BM73" s="43">
        <v>206</v>
      </c>
      <c r="BN73" s="43">
        <v>578</v>
      </c>
      <c r="BO73" s="43">
        <v>540</v>
      </c>
      <c r="BP73" s="43">
        <v>224</v>
      </c>
      <c r="BQ73" s="43">
        <v>261</v>
      </c>
      <c r="BR73" s="43">
        <v>510</v>
      </c>
      <c r="BS73" s="43">
        <v>375</v>
      </c>
      <c r="BT73" s="43">
        <v>193</v>
      </c>
      <c r="BU73" s="43">
        <v>593</v>
      </c>
      <c r="BV73" s="43">
        <v>421</v>
      </c>
      <c r="BW73" s="43">
        <v>268</v>
      </c>
      <c r="BX73" s="43">
        <v>361</v>
      </c>
      <c r="BY73" s="43">
        <v>243</v>
      </c>
      <c r="BZ73" s="43">
        <v>431</v>
      </c>
      <c r="CA73" s="43">
        <v>351</v>
      </c>
      <c r="CB73" s="43">
        <v>194</v>
      </c>
      <c r="CC73" s="43">
        <v>439</v>
      </c>
      <c r="CD73" s="43">
        <v>417</v>
      </c>
      <c r="CE73" s="43">
        <v>426</v>
      </c>
      <c r="CF73" s="43">
        <v>199</v>
      </c>
      <c r="CG73" s="43">
        <v>230</v>
      </c>
      <c r="CH73" s="43">
        <v>382</v>
      </c>
      <c r="CI73" s="43">
        <v>317</v>
      </c>
      <c r="CJ73" s="43">
        <v>296</v>
      </c>
      <c r="CK73" s="43">
        <v>256</v>
      </c>
      <c r="CL73" s="43">
        <v>363</v>
      </c>
      <c r="CM73" s="43">
        <v>355</v>
      </c>
      <c r="CN73" s="43">
        <v>361</v>
      </c>
      <c r="CO73" s="43">
        <v>355</v>
      </c>
      <c r="CP73" s="43">
        <v>279</v>
      </c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43">
        <v>515</v>
      </c>
      <c r="FZ73" s="43">
        <v>285</v>
      </c>
      <c r="GA73" s="53"/>
      <c r="GB73" s="53"/>
      <c r="GC73" s="53"/>
      <c r="GD73" s="53"/>
      <c r="GE73" s="53"/>
      <c r="GF73" s="53"/>
      <c r="GG73" s="53"/>
      <c r="GH73" s="53"/>
      <c r="GI73" s="43"/>
      <c r="GJ73" s="53"/>
      <c r="GK73" s="53"/>
      <c r="GL73" s="53"/>
      <c r="GM73" s="53"/>
      <c r="GN73" s="53"/>
      <c r="GO73" s="43">
        <v>554</v>
      </c>
      <c r="GP73" s="43">
        <v>239</v>
      </c>
      <c r="GQ73" s="43">
        <v>577</v>
      </c>
      <c r="GR73" s="43">
        <v>212</v>
      </c>
    </row>
    <row r="74" spans="1:200">
      <c r="A74" s="5">
        <v>1002</v>
      </c>
      <c r="B74" s="1" t="s">
        <v>202</v>
      </c>
      <c r="C74" s="33">
        <v>1111</v>
      </c>
      <c r="D74" s="34">
        <v>412</v>
      </c>
      <c r="E74" s="19">
        <f t="shared" si="1"/>
        <v>0.37083708370837082</v>
      </c>
      <c r="F74" s="62">
        <v>372</v>
      </c>
      <c r="G74" s="43">
        <v>0</v>
      </c>
      <c r="H74" s="43">
        <v>4</v>
      </c>
      <c r="I74" s="43">
        <v>7</v>
      </c>
      <c r="J74" s="55">
        <v>20</v>
      </c>
      <c r="K74" s="6">
        <v>0</v>
      </c>
      <c r="L74" s="6">
        <v>0</v>
      </c>
      <c r="M74" s="43">
        <v>0</v>
      </c>
      <c r="N74" s="25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4">
        <v>0</v>
      </c>
      <c r="AB74" s="44">
        <v>0</v>
      </c>
      <c r="AC74" s="44">
        <v>12</v>
      </c>
      <c r="AD74" s="44">
        <v>14</v>
      </c>
      <c r="AE74" s="44">
        <v>53</v>
      </c>
      <c r="AF74" s="44">
        <v>4</v>
      </c>
      <c r="AG74" s="44">
        <v>0</v>
      </c>
      <c r="AH74" s="44">
        <v>292</v>
      </c>
      <c r="AI74" s="44">
        <v>55</v>
      </c>
      <c r="AJ74" s="44">
        <v>1</v>
      </c>
      <c r="AK74" s="44">
        <v>0</v>
      </c>
      <c r="AL74" s="44">
        <v>326</v>
      </c>
      <c r="AM74" s="48"/>
      <c r="AN74" s="48"/>
      <c r="AO74" s="48"/>
      <c r="AP74" s="48"/>
      <c r="AQ74" s="48"/>
      <c r="AR74" s="51"/>
      <c r="AS74" s="51"/>
      <c r="AT74" s="51"/>
      <c r="AU74" s="51"/>
      <c r="AV74" s="51"/>
      <c r="AW74" s="50"/>
      <c r="AX74" s="50"/>
      <c r="AY74" s="50"/>
      <c r="AZ74" s="50"/>
      <c r="BA74" s="43">
        <v>333</v>
      </c>
      <c r="BB74" s="43">
        <v>35</v>
      </c>
      <c r="BC74" s="50"/>
      <c r="BD74" s="50"/>
      <c r="BE74" s="43">
        <v>30</v>
      </c>
      <c r="BF74" s="43">
        <v>349</v>
      </c>
      <c r="BG74" s="43">
        <v>40</v>
      </c>
      <c r="BH74" s="43">
        <v>334</v>
      </c>
      <c r="BI74" s="43">
        <v>74</v>
      </c>
      <c r="BJ74" s="43">
        <v>301</v>
      </c>
      <c r="BK74" s="43">
        <v>323</v>
      </c>
      <c r="BL74" s="43">
        <v>52</v>
      </c>
      <c r="BM74" s="43">
        <v>37</v>
      </c>
      <c r="BN74" s="43">
        <v>333</v>
      </c>
      <c r="BO74" s="43">
        <v>316</v>
      </c>
      <c r="BP74" s="43">
        <v>47</v>
      </c>
      <c r="BQ74" s="43">
        <v>50</v>
      </c>
      <c r="BR74" s="43">
        <v>321</v>
      </c>
      <c r="BS74" s="43">
        <v>145</v>
      </c>
      <c r="BT74" s="43">
        <v>31</v>
      </c>
      <c r="BU74" s="43">
        <v>342</v>
      </c>
      <c r="BV74" s="43">
        <v>190</v>
      </c>
      <c r="BW74" s="43">
        <v>90</v>
      </c>
      <c r="BX74" s="43">
        <v>195</v>
      </c>
      <c r="BY74" s="43">
        <v>88</v>
      </c>
      <c r="BZ74" s="43">
        <v>227</v>
      </c>
      <c r="CA74" s="43">
        <v>165</v>
      </c>
      <c r="CB74" s="43">
        <v>63</v>
      </c>
      <c r="CC74" s="43">
        <v>223</v>
      </c>
      <c r="CD74" s="43">
        <v>189</v>
      </c>
      <c r="CE74" s="43">
        <v>222</v>
      </c>
      <c r="CF74" s="43">
        <v>63</v>
      </c>
      <c r="CG74" s="43">
        <v>77</v>
      </c>
      <c r="CH74" s="43">
        <v>189</v>
      </c>
      <c r="CI74" s="43">
        <v>160</v>
      </c>
      <c r="CJ74" s="43">
        <v>121</v>
      </c>
      <c r="CK74" s="43">
        <v>128</v>
      </c>
      <c r="CL74" s="43">
        <v>163</v>
      </c>
      <c r="CM74" s="43">
        <v>162</v>
      </c>
      <c r="CN74" s="43">
        <v>179</v>
      </c>
      <c r="CO74" s="43">
        <v>177</v>
      </c>
      <c r="CP74" s="43">
        <v>112</v>
      </c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43">
        <v>290</v>
      </c>
      <c r="FZ74" s="43">
        <v>79</v>
      </c>
      <c r="GA74" s="53"/>
      <c r="GB74" s="53"/>
      <c r="GC74" s="53"/>
      <c r="GD74" s="53"/>
      <c r="GE74" s="53"/>
      <c r="GF74" s="53"/>
      <c r="GG74" s="53"/>
      <c r="GH74" s="53"/>
      <c r="GI74" s="43"/>
      <c r="GJ74" s="53"/>
      <c r="GK74" s="53"/>
      <c r="GL74" s="53"/>
      <c r="GM74" s="53"/>
      <c r="GN74" s="53"/>
      <c r="GO74" s="43">
        <v>279</v>
      </c>
      <c r="GP74" s="43">
        <v>82</v>
      </c>
      <c r="GQ74" s="43">
        <v>301</v>
      </c>
      <c r="GR74" s="43">
        <v>67</v>
      </c>
    </row>
    <row r="75" spans="1:200">
      <c r="A75" s="5">
        <v>1003</v>
      </c>
      <c r="B75" s="1" t="s">
        <v>203</v>
      </c>
      <c r="C75" s="33">
        <v>1183</v>
      </c>
      <c r="D75" s="34">
        <v>621</v>
      </c>
      <c r="E75" s="19">
        <f t="shared" si="1"/>
        <v>0.52493660185967883</v>
      </c>
      <c r="F75" s="62">
        <v>551</v>
      </c>
      <c r="G75" s="43">
        <v>1</v>
      </c>
      <c r="H75" s="43">
        <v>17</v>
      </c>
      <c r="I75" s="43">
        <v>6</v>
      </c>
      <c r="J75" s="55">
        <v>41</v>
      </c>
      <c r="K75" s="6">
        <v>0</v>
      </c>
      <c r="L75" s="6">
        <v>0</v>
      </c>
      <c r="M75" s="43">
        <v>0</v>
      </c>
      <c r="N75" s="25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4">
        <v>0</v>
      </c>
      <c r="AB75" s="44">
        <v>0</v>
      </c>
      <c r="AC75" s="44">
        <v>3</v>
      </c>
      <c r="AD75" s="44">
        <v>20</v>
      </c>
      <c r="AE75" s="44">
        <v>114</v>
      </c>
      <c r="AF75" s="44">
        <v>1</v>
      </c>
      <c r="AG75" s="44">
        <v>0</v>
      </c>
      <c r="AH75" s="44">
        <v>458</v>
      </c>
      <c r="AI75" s="44">
        <v>85</v>
      </c>
      <c r="AJ75" s="44">
        <v>0</v>
      </c>
      <c r="AK75" s="44">
        <v>0</v>
      </c>
      <c r="AL75" s="44">
        <v>510</v>
      </c>
      <c r="AM75" s="48"/>
      <c r="AN75" s="48"/>
      <c r="AO75" s="48"/>
      <c r="AP75" s="48"/>
      <c r="AQ75" s="48"/>
      <c r="AR75" s="51"/>
      <c r="AS75" s="51"/>
      <c r="AT75" s="51"/>
      <c r="AU75" s="51"/>
      <c r="AV75" s="51"/>
      <c r="AW75" s="50"/>
      <c r="AX75" s="50"/>
      <c r="AY75" s="50"/>
      <c r="AZ75" s="50"/>
      <c r="BA75" s="43">
        <v>506</v>
      </c>
      <c r="BB75" s="43">
        <v>65</v>
      </c>
      <c r="BC75" s="50"/>
      <c r="BD75" s="50"/>
      <c r="BE75" s="43">
        <v>59</v>
      </c>
      <c r="BF75" s="43">
        <v>524</v>
      </c>
      <c r="BG75" s="43">
        <v>76</v>
      </c>
      <c r="BH75" s="43">
        <v>502</v>
      </c>
      <c r="BI75" s="43">
        <v>117</v>
      </c>
      <c r="BJ75" s="43">
        <v>457</v>
      </c>
      <c r="BK75" s="43">
        <v>493</v>
      </c>
      <c r="BL75" s="43">
        <v>83</v>
      </c>
      <c r="BM75" s="43">
        <v>69</v>
      </c>
      <c r="BN75" s="43">
        <v>496</v>
      </c>
      <c r="BO75" s="43">
        <v>474</v>
      </c>
      <c r="BP75" s="43">
        <v>82</v>
      </c>
      <c r="BQ75" s="43">
        <v>95</v>
      </c>
      <c r="BR75" s="43">
        <v>472</v>
      </c>
      <c r="BS75" s="43">
        <v>235</v>
      </c>
      <c r="BT75" s="43">
        <v>61</v>
      </c>
      <c r="BU75" s="43">
        <v>505</v>
      </c>
      <c r="BV75" s="43">
        <v>274</v>
      </c>
      <c r="BW75" s="43">
        <v>133</v>
      </c>
      <c r="BX75" s="43">
        <v>316</v>
      </c>
      <c r="BY75" s="43">
        <v>110</v>
      </c>
      <c r="BZ75" s="43">
        <v>377</v>
      </c>
      <c r="CA75" s="43">
        <v>247</v>
      </c>
      <c r="CB75" s="43">
        <v>85</v>
      </c>
      <c r="CC75" s="43">
        <v>381</v>
      </c>
      <c r="CD75" s="43">
        <v>343</v>
      </c>
      <c r="CE75" s="43">
        <v>368</v>
      </c>
      <c r="CF75" s="43">
        <v>98</v>
      </c>
      <c r="CG75" s="43">
        <v>110</v>
      </c>
      <c r="CH75" s="43">
        <v>332</v>
      </c>
      <c r="CI75" s="43">
        <v>290</v>
      </c>
      <c r="CJ75" s="43">
        <v>166</v>
      </c>
      <c r="CK75" s="43">
        <v>166</v>
      </c>
      <c r="CL75" s="43">
        <v>295</v>
      </c>
      <c r="CM75" s="43">
        <v>239</v>
      </c>
      <c r="CN75" s="43">
        <v>247</v>
      </c>
      <c r="CO75" s="43">
        <v>297</v>
      </c>
      <c r="CP75" s="43">
        <v>165</v>
      </c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43">
        <v>459</v>
      </c>
      <c r="FZ75" s="43">
        <v>125</v>
      </c>
      <c r="GA75" s="53"/>
      <c r="GB75" s="53"/>
      <c r="GC75" s="53"/>
      <c r="GD75" s="53"/>
      <c r="GE75" s="53"/>
      <c r="GF75" s="53"/>
      <c r="GG75" s="53"/>
      <c r="GH75" s="53"/>
      <c r="GI75" s="43"/>
      <c r="GJ75" s="53"/>
      <c r="GK75" s="53"/>
      <c r="GL75" s="53"/>
      <c r="GM75" s="53"/>
      <c r="GN75" s="53"/>
      <c r="GO75" s="43">
        <v>466</v>
      </c>
      <c r="GP75" s="43">
        <v>109</v>
      </c>
      <c r="GQ75" s="43">
        <v>478</v>
      </c>
      <c r="GR75" s="43">
        <v>93</v>
      </c>
    </row>
    <row r="76" spans="1:200">
      <c r="A76" s="5">
        <v>1101</v>
      </c>
      <c r="B76" s="1" t="s">
        <v>204</v>
      </c>
      <c r="C76" s="33">
        <v>1580</v>
      </c>
      <c r="D76" s="34">
        <v>948</v>
      </c>
      <c r="E76" s="19">
        <f t="shared" si="1"/>
        <v>0.6</v>
      </c>
      <c r="F76" s="62">
        <v>725</v>
      </c>
      <c r="G76" s="43">
        <v>0</v>
      </c>
      <c r="H76" s="43">
        <v>34</v>
      </c>
      <c r="I76" s="43">
        <v>25</v>
      </c>
      <c r="J76" s="55">
        <v>149</v>
      </c>
      <c r="K76" s="6">
        <v>0</v>
      </c>
      <c r="L76" s="6">
        <v>0</v>
      </c>
      <c r="M76" s="43">
        <v>0</v>
      </c>
      <c r="N76" s="25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2</v>
      </c>
      <c r="X76" s="43">
        <v>0</v>
      </c>
      <c r="Y76" s="43">
        <v>0</v>
      </c>
      <c r="Z76" s="43">
        <v>0</v>
      </c>
      <c r="AA76" s="44">
        <v>0</v>
      </c>
      <c r="AB76" s="44">
        <v>0</v>
      </c>
      <c r="AC76" s="44">
        <v>4</v>
      </c>
      <c r="AD76" s="44">
        <v>52</v>
      </c>
      <c r="AE76" s="44">
        <v>211</v>
      </c>
      <c r="AF76" s="44">
        <v>12</v>
      </c>
      <c r="AG76" s="44">
        <v>0</v>
      </c>
      <c r="AH76" s="44">
        <v>639</v>
      </c>
      <c r="AI76" s="44">
        <v>197</v>
      </c>
      <c r="AJ76" s="44">
        <v>1</v>
      </c>
      <c r="AK76" s="44">
        <v>0</v>
      </c>
      <c r="AL76" s="44">
        <v>712</v>
      </c>
      <c r="AM76" s="48"/>
      <c r="AN76" s="48"/>
      <c r="AO76" s="48"/>
      <c r="AP76" s="48"/>
      <c r="AQ76" s="48"/>
      <c r="AR76" s="51"/>
      <c r="AS76" s="51"/>
      <c r="AT76" s="51"/>
      <c r="AU76" s="51"/>
      <c r="AV76" s="51"/>
      <c r="AW76" s="50"/>
      <c r="AX76" s="50"/>
      <c r="AY76" s="43">
        <v>697</v>
      </c>
      <c r="AZ76" s="43">
        <v>187</v>
      </c>
      <c r="BA76" s="50"/>
      <c r="BB76" s="50"/>
      <c r="BC76" s="50"/>
      <c r="BD76" s="50"/>
      <c r="BE76" s="43">
        <v>163</v>
      </c>
      <c r="BF76" s="43">
        <v>720</v>
      </c>
      <c r="BG76" s="43">
        <v>194</v>
      </c>
      <c r="BH76" s="43">
        <v>700</v>
      </c>
      <c r="BI76" s="43">
        <v>238</v>
      </c>
      <c r="BJ76" s="43">
        <v>643</v>
      </c>
      <c r="BK76" s="43">
        <v>697</v>
      </c>
      <c r="BL76" s="43">
        <v>186</v>
      </c>
      <c r="BM76" s="43">
        <v>141</v>
      </c>
      <c r="BN76" s="43">
        <v>735</v>
      </c>
      <c r="BO76" s="43">
        <v>681</v>
      </c>
      <c r="BP76" s="43">
        <v>178</v>
      </c>
      <c r="BQ76" s="43">
        <v>214</v>
      </c>
      <c r="BR76" s="43">
        <v>654</v>
      </c>
      <c r="BS76" s="43">
        <v>429</v>
      </c>
      <c r="BT76" s="43">
        <v>130</v>
      </c>
      <c r="BU76" s="43">
        <v>754</v>
      </c>
      <c r="BV76" s="43">
        <v>484</v>
      </c>
      <c r="BW76" s="43">
        <v>263</v>
      </c>
      <c r="BX76" s="43">
        <v>436</v>
      </c>
      <c r="BY76" s="43">
        <v>220</v>
      </c>
      <c r="BZ76" s="43">
        <v>527</v>
      </c>
      <c r="CA76" s="43">
        <v>431</v>
      </c>
      <c r="CB76" s="43">
        <v>185</v>
      </c>
      <c r="CC76" s="43">
        <v>521</v>
      </c>
      <c r="CD76" s="43">
        <v>523</v>
      </c>
      <c r="CE76" s="43">
        <v>503</v>
      </c>
      <c r="CF76" s="43">
        <v>192</v>
      </c>
      <c r="CG76" s="43">
        <v>213</v>
      </c>
      <c r="CH76" s="43">
        <v>455</v>
      </c>
      <c r="CI76" s="43">
        <v>371</v>
      </c>
      <c r="CJ76" s="43">
        <v>317</v>
      </c>
      <c r="CK76" s="43">
        <v>284</v>
      </c>
      <c r="CL76" s="43">
        <v>409</v>
      </c>
      <c r="CM76" s="43">
        <v>405</v>
      </c>
      <c r="CN76" s="43">
        <v>427</v>
      </c>
      <c r="CO76" s="43">
        <v>409</v>
      </c>
      <c r="CP76" s="43">
        <v>296</v>
      </c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43">
        <v>649</v>
      </c>
      <c r="FZ76" s="43">
        <v>248</v>
      </c>
      <c r="GA76" s="53"/>
      <c r="GB76" s="53"/>
      <c r="GC76" s="53"/>
      <c r="GD76" s="53"/>
      <c r="GE76" s="53"/>
      <c r="GF76" s="53"/>
      <c r="GG76" s="53"/>
      <c r="GH76" s="53"/>
      <c r="GI76" s="43"/>
      <c r="GJ76" s="53"/>
      <c r="GK76" s="53"/>
      <c r="GL76" s="53"/>
      <c r="GM76" s="53"/>
      <c r="GN76" s="53"/>
      <c r="GO76" s="43">
        <v>736</v>
      </c>
      <c r="GP76" s="43">
        <v>163</v>
      </c>
      <c r="GQ76" s="43">
        <v>714</v>
      </c>
      <c r="GR76" s="43">
        <v>174</v>
      </c>
    </row>
    <row r="77" spans="1:200">
      <c r="A77" s="5">
        <v>1102</v>
      </c>
      <c r="B77" s="1" t="s">
        <v>205</v>
      </c>
      <c r="C77" s="33">
        <v>1981</v>
      </c>
      <c r="D77" s="34">
        <v>1038</v>
      </c>
      <c r="E77" s="19">
        <f t="shared" si="1"/>
        <v>0.52397778899545688</v>
      </c>
      <c r="F77" s="62">
        <v>724</v>
      </c>
      <c r="G77" s="43">
        <v>0</v>
      </c>
      <c r="H77" s="43">
        <v>50</v>
      </c>
      <c r="I77" s="43">
        <v>24</v>
      </c>
      <c r="J77" s="55">
        <v>230</v>
      </c>
      <c r="K77" s="6">
        <v>0</v>
      </c>
      <c r="L77" s="6">
        <v>0</v>
      </c>
      <c r="M77" s="43">
        <v>0</v>
      </c>
      <c r="N77" s="25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1</v>
      </c>
      <c r="X77" s="43">
        <v>0</v>
      </c>
      <c r="Y77" s="43">
        <v>0</v>
      </c>
      <c r="Z77" s="43">
        <v>0</v>
      </c>
      <c r="AA77" s="44">
        <v>0</v>
      </c>
      <c r="AB77" s="44">
        <v>0</v>
      </c>
      <c r="AC77" s="44">
        <v>9</v>
      </c>
      <c r="AD77" s="44">
        <v>41</v>
      </c>
      <c r="AE77" s="44">
        <v>283</v>
      </c>
      <c r="AF77" s="44">
        <v>11</v>
      </c>
      <c r="AG77" s="44">
        <v>0</v>
      </c>
      <c r="AH77" s="44">
        <v>634</v>
      </c>
      <c r="AI77" s="44">
        <v>265</v>
      </c>
      <c r="AJ77" s="44">
        <v>3</v>
      </c>
      <c r="AK77" s="44">
        <v>0</v>
      </c>
      <c r="AL77" s="44">
        <v>680</v>
      </c>
      <c r="AM77" s="48"/>
      <c r="AN77" s="48"/>
      <c r="AO77" s="48"/>
      <c r="AP77" s="48"/>
      <c r="AQ77" s="48"/>
      <c r="AR77" s="51"/>
      <c r="AS77" s="51"/>
      <c r="AT77" s="51"/>
      <c r="AU77" s="51"/>
      <c r="AV77" s="51"/>
      <c r="AW77" s="50"/>
      <c r="AX77" s="50"/>
      <c r="AY77" s="43">
        <v>652</v>
      </c>
      <c r="AZ77" s="43">
        <v>273</v>
      </c>
      <c r="BA77" s="50"/>
      <c r="BB77" s="50"/>
      <c r="BC77" s="50"/>
      <c r="BD77" s="50"/>
      <c r="BE77" s="43">
        <v>232</v>
      </c>
      <c r="BF77" s="43">
        <v>661</v>
      </c>
      <c r="BG77" s="43">
        <v>257</v>
      </c>
      <c r="BH77" s="43">
        <v>645</v>
      </c>
      <c r="BI77" s="43">
        <v>288</v>
      </c>
      <c r="BJ77" s="43">
        <v>611</v>
      </c>
      <c r="BK77" s="43">
        <v>609</v>
      </c>
      <c r="BL77" s="43">
        <v>284</v>
      </c>
      <c r="BM77" s="43">
        <v>236</v>
      </c>
      <c r="BN77" s="43">
        <v>664</v>
      </c>
      <c r="BO77" s="43">
        <v>624</v>
      </c>
      <c r="BP77" s="43">
        <v>256</v>
      </c>
      <c r="BQ77" s="43">
        <v>263</v>
      </c>
      <c r="BR77" s="43">
        <v>622</v>
      </c>
      <c r="BS77" s="43">
        <v>573</v>
      </c>
      <c r="BT77" s="43">
        <v>229</v>
      </c>
      <c r="BU77" s="43">
        <v>659</v>
      </c>
      <c r="BV77" s="43">
        <v>612</v>
      </c>
      <c r="BW77" s="43">
        <v>274</v>
      </c>
      <c r="BX77" s="43">
        <v>437</v>
      </c>
      <c r="BY77" s="43">
        <v>259</v>
      </c>
      <c r="BZ77" s="43">
        <v>490</v>
      </c>
      <c r="CA77" s="43">
        <v>549</v>
      </c>
      <c r="CB77" s="43">
        <v>222</v>
      </c>
      <c r="CC77" s="43">
        <v>479</v>
      </c>
      <c r="CD77" s="43">
        <v>593</v>
      </c>
      <c r="CE77" s="43">
        <v>445</v>
      </c>
      <c r="CF77" s="43">
        <v>254</v>
      </c>
      <c r="CG77" s="43">
        <v>226</v>
      </c>
      <c r="CH77" s="43">
        <v>439</v>
      </c>
      <c r="CI77" s="43">
        <v>304</v>
      </c>
      <c r="CJ77" s="43">
        <v>382</v>
      </c>
      <c r="CK77" s="43">
        <v>327</v>
      </c>
      <c r="CL77" s="43">
        <v>368</v>
      </c>
      <c r="CM77" s="43">
        <v>530</v>
      </c>
      <c r="CN77" s="43">
        <v>557</v>
      </c>
      <c r="CO77" s="43">
        <v>347</v>
      </c>
      <c r="CP77" s="43">
        <v>333</v>
      </c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43">
        <v>667</v>
      </c>
      <c r="FZ77" s="43">
        <v>252</v>
      </c>
      <c r="GA77" s="53"/>
      <c r="GB77" s="53"/>
      <c r="GC77" s="53"/>
      <c r="GD77" s="53"/>
      <c r="GE77" s="53"/>
      <c r="GF77" s="53"/>
      <c r="GG77" s="53"/>
      <c r="GH77" s="53"/>
      <c r="GI77" s="43"/>
      <c r="GJ77" s="53"/>
      <c r="GK77" s="53"/>
      <c r="GL77" s="53"/>
      <c r="GM77" s="53"/>
      <c r="GN77" s="53"/>
      <c r="GO77" s="43">
        <v>739</v>
      </c>
      <c r="GP77" s="43">
        <v>183</v>
      </c>
      <c r="GQ77" s="43">
        <v>754</v>
      </c>
      <c r="GR77" s="43">
        <v>159</v>
      </c>
    </row>
    <row r="78" spans="1:200">
      <c r="A78" s="5">
        <v>1103</v>
      </c>
      <c r="B78" s="1" t="s">
        <v>206</v>
      </c>
      <c r="C78" s="33">
        <v>1712</v>
      </c>
      <c r="D78" s="34">
        <v>914</v>
      </c>
      <c r="E78" s="19">
        <f t="shared" si="1"/>
        <v>0.53387850467289721</v>
      </c>
      <c r="F78" s="62">
        <v>641</v>
      </c>
      <c r="G78" s="43">
        <v>0</v>
      </c>
      <c r="H78" s="43">
        <v>52</v>
      </c>
      <c r="I78" s="43">
        <v>16</v>
      </c>
      <c r="J78" s="55">
        <v>188</v>
      </c>
      <c r="K78" s="6">
        <v>0</v>
      </c>
      <c r="L78" s="6">
        <v>0</v>
      </c>
      <c r="M78" s="43">
        <v>0</v>
      </c>
      <c r="N78" s="25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1</v>
      </c>
      <c r="X78" s="43">
        <v>0</v>
      </c>
      <c r="Y78" s="43">
        <v>0</v>
      </c>
      <c r="Z78" s="43">
        <v>0</v>
      </c>
      <c r="AA78" s="44">
        <v>0</v>
      </c>
      <c r="AB78" s="44">
        <v>0</v>
      </c>
      <c r="AC78" s="44">
        <v>8</v>
      </c>
      <c r="AD78" s="44">
        <v>43</v>
      </c>
      <c r="AE78" s="44">
        <v>243</v>
      </c>
      <c r="AF78" s="44">
        <v>10</v>
      </c>
      <c r="AG78" s="44">
        <v>0</v>
      </c>
      <c r="AH78" s="44">
        <v>567</v>
      </c>
      <c r="AI78" s="44">
        <v>219</v>
      </c>
      <c r="AJ78" s="44">
        <v>2</v>
      </c>
      <c r="AK78" s="44">
        <v>0</v>
      </c>
      <c r="AL78" s="44">
        <v>630</v>
      </c>
      <c r="AM78" s="48"/>
      <c r="AN78" s="48"/>
      <c r="AO78" s="48"/>
      <c r="AP78" s="48"/>
      <c r="AQ78" s="48"/>
      <c r="AR78" s="51"/>
      <c r="AS78" s="51"/>
      <c r="AT78" s="51"/>
      <c r="AU78" s="51"/>
      <c r="AV78" s="51"/>
      <c r="AW78" s="50"/>
      <c r="AX78" s="50"/>
      <c r="AY78" s="43">
        <v>599</v>
      </c>
      <c r="AZ78" s="43">
        <v>219</v>
      </c>
      <c r="BA78" s="50"/>
      <c r="BB78" s="50"/>
      <c r="BC78" s="50"/>
      <c r="BD78" s="50"/>
      <c r="BE78" s="43">
        <v>191</v>
      </c>
      <c r="BF78" s="43">
        <v>590</v>
      </c>
      <c r="BG78" s="43">
        <v>222</v>
      </c>
      <c r="BH78" s="43">
        <v>561</v>
      </c>
      <c r="BI78" s="43">
        <v>230</v>
      </c>
      <c r="BJ78" s="43">
        <v>548</v>
      </c>
      <c r="BK78" s="43">
        <v>552</v>
      </c>
      <c r="BL78" s="43">
        <v>219</v>
      </c>
      <c r="BM78" s="43">
        <v>193</v>
      </c>
      <c r="BN78" s="43">
        <v>586</v>
      </c>
      <c r="BO78" s="43">
        <v>532</v>
      </c>
      <c r="BP78" s="43">
        <v>204</v>
      </c>
      <c r="BQ78" s="43">
        <v>226</v>
      </c>
      <c r="BR78" s="43">
        <v>525</v>
      </c>
      <c r="BS78" s="43">
        <v>487</v>
      </c>
      <c r="BT78" s="43">
        <v>195</v>
      </c>
      <c r="BU78" s="43">
        <v>566</v>
      </c>
      <c r="BV78" s="43">
        <v>511</v>
      </c>
      <c r="BW78" s="43">
        <v>273</v>
      </c>
      <c r="BX78" s="43">
        <v>334</v>
      </c>
      <c r="BY78" s="43">
        <v>211</v>
      </c>
      <c r="BZ78" s="43">
        <v>413</v>
      </c>
      <c r="CA78" s="43">
        <v>441</v>
      </c>
      <c r="CB78" s="43">
        <v>179</v>
      </c>
      <c r="CC78" s="43">
        <v>392</v>
      </c>
      <c r="CD78" s="43">
        <v>478</v>
      </c>
      <c r="CE78" s="43">
        <v>412</v>
      </c>
      <c r="CF78" s="43">
        <v>159</v>
      </c>
      <c r="CG78" s="43">
        <v>236</v>
      </c>
      <c r="CH78" s="43">
        <v>331</v>
      </c>
      <c r="CI78" s="43">
        <v>279</v>
      </c>
      <c r="CJ78" s="43">
        <v>298</v>
      </c>
      <c r="CK78" s="43">
        <v>277</v>
      </c>
      <c r="CL78" s="43">
        <v>301</v>
      </c>
      <c r="CM78" s="43">
        <v>427</v>
      </c>
      <c r="CN78" s="43">
        <v>443</v>
      </c>
      <c r="CO78" s="43">
        <v>296</v>
      </c>
      <c r="CP78" s="43">
        <v>290</v>
      </c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43">
        <v>602</v>
      </c>
      <c r="FZ78" s="43">
        <v>206</v>
      </c>
      <c r="GA78" s="53"/>
      <c r="GB78" s="53"/>
      <c r="GC78" s="53"/>
      <c r="GD78" s="53"/>
      <c r="GE78" s="53"/>
      <c r="GF78" s="53"/>
      <c r="GG78" s="53"/>
      <c r="GH78" s="53"/>
      <c r="GI78" s="43"/>
      <c r="GJ78" s="53"/>
      <c r="GK78" s="53"/>
      <c r="GL78" s="53"/>
      <c r="GM78" s="53"/>
      <c r="GN78" s="53"/>
      <c r="GO78" s="43">
        <v>666</v>
      </c>
      <c r="GP78" s="43">
        <v>146</v>
      </c>
      <c r="GQ78" s="43">
        <v>660</v>
      </c>
      <c r="GR78" s="43">
        <v>140</v>
      </c>
    </row>
    <row r="79" spans="1:200">
      <c r="A79" s="5">
        <v>1201</v>
      </c>
      <c r="B79" s="1" t="s">
        <v>207</v>
      </c>
      <c r="C79" s="33">
        <v>2365</v>
      </c>
      <c r="D79" s="34">
        <v>1307</v>
      </c>
      <c r="E79" s="19">
        <f t="shared" si="1"/>
        <v>0.55264270613107824</v>
      </c>
      <c r="F79" s="62">
        <v>928</v>
      </c>
      <c r="G79" s="43">
        <v>6</v>
      </c>
      <c r="H79" s="43">
        <v>59</v>
      </c>
      <c r="I79" s="43">
        <v>30</v>
      </c>
      <c r="J79" s="55">
        <v>265</v>
      </c>
      <c r="K79" s="6">
        <v>0</v>
      </c>
      <c r="L79" s="6">
        <v>0</v>
      </c>
      <c r="M79" s="43">
        <v>0</v>
      </c>
      <c r="N79" s="25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43">
        <v>0</v>
      </c>
      <c r="W79" s="43">
        <v>7</v>
      </c>
      <c r="X79" s="43">
        <v>0</v>
      </c>
      <c r="Y79" s="43">
        <v>0</v>
      </c>
      <c r="Z79" s="43">
        <v>0</v>
      </c>
      <c r="AA79" s="44">
        <v>0</v>
      </c>
      <c r="AB79" s="44">
        <v>0</v>
      </c>
      <c r="AC79" s="44">
        <v>26</v>
      </c>
      <c r="AD79" s="44">
        <v>72</v>
      </c>
      <c r="AE79" s="44">
        <v>357</v>
      </c>
      <c r="AF79" s="44">
        <v>16</v>
      </c>
      <c r="AG79" s="44">
        <v>0</v>
      </c>
      <c r="AH79" s="44">
        <v>768</v>
      </c>
      <c r="AI79" s="44">
        <v>341</v>
      </c>
      <c r="AJ79" s="44">
        <v>3</v>
      </c>
      <c r="AK79" s="44">
        <v>1</v>
      </c>
      <c r="AL79" s="44">
        <v>879</v>
      </c>
      <c r="AM79" s="48"/>
      <c r="AN79" s="48"/>
      <c r="AO79" s="48"/>
      <c r="AP79" s="48"/>
      <c r="AQ79" s="48"/>
      <c r="AR79" s="51"/>
      <c r="AS79" s="51"/>
      <c r="AT79" s="51"/>
      <c r="AU79" s="51"/>
      <c r="AV79" s="51"/>
      <c r="AW79" s="50"/>
      <c r="AX79" s="50"/>
      <c r="AY79" s="43">
        <v>855</v>
      </c>
      <c r="AZ79" s="43">
        <v>328</v>
      </c>
      <c r="BA79" s="50"/>
      <c r="BB79" s="50"/>
      <c r="BC79" s="50"/>
      <c r="BD79" s="50"/>
      <c r="BE79" s="43">
        <v>291</v>
      </c>
      <c r="BF79" s="43">
        <v>877</v>
      </c>
      <c r="BG79" s="43">
        <v>316</v>
      </c>
      <c r="BH79" s="43">
        <v>850</v>
      </c>
      <c r="BI79" s="43">
        <v>398</v>
      </c>
      <c r="BJ79" s="43">
        <v>763</v>
      </c>
      <c r="BK79" s="43">
        <v>830</v>
      </c>
      <c r="BL79" s="43">
        <v>330</v>
      </c>
      <c r="BM79" s="43">
        <v>296</v>
      </c>
      <c r="BN79" s="43">
        <v>863</v>
      </c>
      <c r="BO79" s="43">
        <v>786</v>
      </c>
      <c r="BP79" s="43">
        <v>341</v>
      </c>
      <c r="BQ79" s="43">
        <v>364</v>
      </c>
      <c r="BR79" s="43">
        <v>774</v>
      </c>
      <c r="BS79" s="43">
        <v>679</v>
      </c>
      <c r="BT79" s="43">
        <v>273</v>
      </c>
      <c r="BU79" s="43">
        <v>871</v>
      </c>
      <c r="BV79" s="43">
        <v>753</v>
      </c>
      <c r="BW79" s="43">
        <v>351</v>
      </c>
      <c r="BX79" s="43">
        <v>580</v>
      </c>
      <c r="BY79" s="43">
        <v>311</v>
      </c>
      <c r="BZ79" s="43">
        <v>664</v>
      </c>
      <c r="CA79" s="43">
        <v>690</v>
      </c>
      <c r="CB79" s="43">
        <v>274</v>
      </c>
      <c r="CC79" s="43">
        <v>639</v>
      </c>
      <c r="CD79" s="43">
        <v>773</v>
      </c>
      <c r="CE79" s="43">
        <v>622</v>
      </c>
      <c r="CF79" s="43">
        <v>295</v>
      </c>
      <c r="CG79" s="43">
        <v>295</v>
      </c>
      <c r="CH79" s="43">
        <v>569</v>
      </c>
      <c r="CI79" s="43">
        <v>457</v>
      </c>
      <c r="CJ79" s="43">
        <v>439</v>
      </c>
      <c r="CK79" s="43">
        <v>356</v>
      </c>
      <c r="CL79" s="43">
        <v>556</v>
      </c>
      <c r="CM79" s="43">
        <v>651</v>
      </c>
      <c r="CN79" s="43">
        <v>677</v>
      </c>
      <c r="CO79" s="43">
        <v>493</v>
      </c>
      <c r="CP79" s="43">
        <v>411</v>
      </c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43">
        <v>875</v>
      </c>
      <c r="FZ79" s="43">
        <v>308</v>
      </c>
      <c r="GA79" s="53"/>
      <c r="GB79" s="53"/>
      <c r="GC79" s="53"/>
      <c r="GD79" s="53"/>
      <c r="GE79" s="53"/>
      <c r="GF79" s="53"/>
      <c r="GG79" s="53"/>
      <c r="GH79" s="53"/>
      <c r="GI79" s="43"/>
      <c r="GJ79" s="53"/>
      <c r="GK79" s="53"/>
      <c r="GL79" s="53"/>
      <c r="GM79" s="53"/>
      <c r="GN79" s="53"/>
      <c r="GO79" s="43">
        <v>950</v>
      </c>
      <c r="GP79" s="43">
        <v>223</v>
      </c>
      <c r="GQ79" s="43">
        <v>978</v>
      </c>
      <c r="GR79" s="43">
        <v>205</v>
      </c>
    </row>
    <row r="80" spans="1:200">
      <c r="A80" s="5">
        <v>1202</v>
      </c>
      <c r="B80" s="1" t="s">
        <v>208</v>
      </c>
      <c r="C80" s="33">
        <v>3121</v>
      </c>
      <c r="D80" s="34">
        <v>1846</v>
      </c>
      <c r="E80" s="19">
        <f t="shared" si="1"/>
        <v>0.59147709067606535</v>
      </c>
      <c r="F80" s="62">
        <v>1196</v>
      </c>
      <c r="G80" s="43">
        <v>3</v>
      </c>
      <c r="H80" s="43">
        <v>106</v>
      </c>
      <c r="I80" s="43">
        <v>34</v>
      </c>
      <c r="J80" s="55">
        <v>485</v>
      </c>
      <c r="K80" s="6">
        <v>0</v>
      </c>
      <c r="L80" s="6">
        <v>0</v>
      </c>
      <c r="M80" s="43">
        <v>0</v>
      </c>
      <c r="N80" s="25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3</v>
      </c>
      <c r="X80" s="43">
        <v>0</v>
      </c>
      <c r="Y80" s="43">
        <v>0</v>
      </c>
      <c r="Z80" s="43">
        <v>0</v>
      </c>
      <c r="AA80" s="44">
        <v>0</v>
      </c>
      <c r="AB80" s="44">
        <v>0</v>
      </c>
      <c r="AC80" s="44">
        <v>12</v>
      </c>
      <c r="AD80" s="44">
        <v>61</v>
      </c>
      <c r="AE80" s="44">
        <v>656</v>
      </c>
      <c r="AF80" s="44">
        <v>22</v>
      </c>
      <c r="AG80" s="44">
        <v>0</v>
      </c>
      <c r="AH80" s="44">
        <v>988</v>
      </c>
      <c r="AI80" s="44">
        <v>580</v>
      </c>
      <c r="AJ80" s="44">
        <v>2</v>
      </c>
      <c r="AK80" s="44">
        <v>1</v>
      </c>
      <c r="AL80" s="44">
        <v>1074</v>
      </c>
      <c r="AM80" s="48"/>
      <c r="AN80" s="48"/>
      <c r="AO80" s="48"/>
      <c r="AP80" s="48"/>
      <c r="AQ80" s="48"/>
      <c r="AR80" s="51"/>
      <c r="AS80" s="51"/>
      <c r="AT80" s="51"/>
      <c r="AU80" s="51"/>
      <c r="AV80" s="51"/>
      <c r="AW80" s="50"/>
      <c r="AX80" s="50"/>
      <c r="AY80" s="43">
        <v>1026</v>
      </c>
      <c r="AZ80" s="43">
        <v>566</v>
      </c>
      <c r="BA80" s="50"/>
      <c r="BB80" s="50"/>
      <c r="BC80" s="50"/>
      <c r="BD80" s="50"/>
      <c r="BE80" s="43">
        <v>545</v>
      </c>
      <c r="BF80" s="43">
        <v>987</v>
      </c>
      <c r="BG80" s="43">
        <v>533</v>
      </c>
      <c r="BH80" s="43">
        <v>989</v>
      </c>
      <c r="BI80" s="43">
        <v>569</v>
      </c>
      <c r="BJ80" s="43">
        <v>948</v>
      </c>
      <c r="BK80" s="43">
        <v>979</v>
      </c>
      <c r="BL80" s="43">
        <v>536</v>
      </c>
      <c r="BM80" s="43">
        <v>542</v>
      </c>
      <c r="BN80" s="43">
        <v>998</v>
      </c>
      <c r="BO80" s="43">
        <v>947</v>
      </c>
      <c r="BP80" s="43">
        <v>518</v>
      </c>
      <c r="BQ80" s="43">
        <v>552</v>
      </c>
      <c r="BR80" s="43">
        <v>934</v>
      </c>
      <c r="BS80" s="43">
        <v>1148</v>
      </c>
      <c r="BT80" s="43">
        <v>548</v>
      </c>
      <c r="BU80" s="43">
        <v>972</v>
      </c>
      <c r="BV80" s="43">
        <v>1202</v>
      </c>
      <c r="BW80" s="43">
        <v>552</v>
      </c>
      <c r="BX80" s="43">
        <v>689</v>
      </c>
      <c r="BY80" s="43">
        <v>411</v>
      </c>
      <c r="BZ80" s="43">
        <v>864</v>
      </c>
      <c r="CA80" s="43">
        <v>1081</v>
      </c>
      <c r="CB80" s="43">
        <v>463</v>
      </c>
      <c r="CC80" s="43">
        <v>748</v>
      </c>
      <c r="CD80" s="43">
        <v>1130</v>
      </c>
      <c r="CE80" s="43">
        <v>777</v>
      </c>
      <c r="CF80" s="43">
        <v>417</v>
      </c>
      <c r="CG80" s="43">
        <v>515</v>
      </c>
      <c r="CH80" s="43">
        <v>658</v>
      </c>
      <c r="CI80" s="43">
        <v>592</v>
      </c>
      <c r="CJ80" s="43">
        <v>599</v>
      </c>
      <c r="CK80" s="43">
        <v>615</v>
      </c>
      <c r="CL80" s="43">
        <v>579</v>
      </c>
      <c r="CM80" s="43">
        <v>1063</v>
      </c>
      <c r="CN80" s="43">
        <v>1069</v>
      </c>
      <c r="CO80" s="43">
        <v>647</v>
      </c>
      <c r="CP80" s="43">
        <v>558</v>
      </c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43">
        <v>1199</v>
      </c>
      <c r="FZ80" s="43">
        <v>354</v>
      </c>
      <c r="GA80" s="53"/>
      <c r="GB80" s="53"/>
      <c r="GC80" s="53"/>
      <c r="GD80" s="53"/>
      <c r="GE80" s="53"/>
      <c r="GF80" s="53"/>
      <c r="GG80" s="53"/>
      <c r="GH80" s="53"/>
      <c r="GI80" s="43"/>
      <c r="GJ80" s="53"/>
      <c r="GK80" s="53"/>
      <c r="GL80" s="53"/>
      <c r="GM80" s="53"/>
      <c r="GN80" s="53"/>
      <c r="GO80" s="43">
        <v>1285</v>
      </c>
      <c r="GP80" s="43">
        <v>281</v>
      </c>
      <c r="GQ80" s="43">
        <v>1289</v>
      </c>
      <c r="GR80" s="43">
        <v>251</v>
      </c>
    </row>
    <row r="81" spans="1:200">
      <c r="A81" s="5">
        <v>1203</v>
      </c>
      <c r="B81" s="1" t="s">
        <v>209</v>
      </c>
      <c r="C81" s="33">
        <v>2245</v>
      </c>
      <c r="D81" s="34">
        <v>1232</v>
      </c>
      <c r="E81" s="19">
        <f t="shared" si="1"/>
        <v>0.5487750556792873</v>
      </c>
      <c r="F81" s="62">
        <v>958</v>
      </c>
      <c r="G81" s="43">
        <v>2</v>
      </c>
      <c r="H81" s="43">
        <v>57</v>
      </c>
      <c r="I81" s="43">
        <v>20</v>
      </c>
      <c r="J81" s="55">
        <v>172</v>
      </c>
      <c r="K81" s="6">
        <v>0</v>
      </c>
      <c r="L81" s="6">
        <v>0</v>
      </c>
      <c r="M81" s="43">
        <v>0</v>
      </c>
      <c r="N81" s="25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6</v>
      </c>
      <c r="X81" s="43">
        <v>0</v>
      </c>
      <c r="Y81" s="43">
        <v>0</v>
      </c>
      <c r="Z81" s="43">
        <v>0</v>
      </c>
      <c r="AA81" s="44">
        <v>0</v>
      </c>
      <c r="AB81" s="44">
        <v>0</v>
      </c>
      <c r="AC81" s="44">
        <v>9</v>
      </c>
      <c r="AD81" s="44">
        <v>39</v>
      </c>
      <c r="AE81" s="44">
        <v>294</v>
      </c>
      <c r="AF81" s="44">
        <v>13</v>
      </c>
      <c r="AG81" s="44">
        <v>0</v>
      </c>
      <c r="AH81" s="44">
        <v>803</v>
      </c>
      <c r="AI81" s="44">
        <v>243</v>
      </c>
      <c r="AJ81" s="44">
        <v>2</v>
      </c>
      <c r="AK81" s="44">
        <v>0</v>
      </c>
      <c r="AL81" s="44">
        <v>878</v>
      </c>
      <c r="AM81" s="48"/>
      <c r="AN81" s="48"/>
      <c r="AO81" s="48"/>
      <c r="AP81" s="48"/>
      <c r="AQ81" s="48"/>
      <c r="AR81" s="51"/>
      <c r="AS81" s="51"/>
      <c r="AT81" s="51"/>
      <c r="AU81" s="51"/>
      <c r="AV81" s="51"/>
      <c r="AW81" s="50"/>
      <c r="AX81" s="50"/>
      <c r="AY81" s="43">
        <v>873</v>
      </c>
      <c r="AZ81" s="43">
        <v>210</v>
      </c>
      <c r="BA81" s="50"/>
      <c r="BB81" s="50"/>
      <c r="BC81" s="50"/>
      <c r="BD81" s="50"/>
      <c r="BE81" s="43">
        <v>205</v>
      </c>
      <c r="BF81" s="43">
        <v>856</v>
      </c>
      <c r="BG81" s="43">
        <v>223</v>
      </c>
      <c r="BH81" s="43">
        <v>842</v>
      </c>
      <c r="BI81" s="43">
        <v>265</v>
      </c>
      <c r="BJ81" s="43">
        <v>796</v>
      </c>
      <c r="BK81" s="43">
        <v>827</v>
      </c>
      <c r="BL81" s="43">
        <v>237</v>
      </c>
      <c r="BM81" s="43">
        <v>208</v>
      </c>
      <c r="BN81" s="43">
        <v>851</v>
      </c>
      <c r="BO81" s="43">
        <v>800</v>
      </c>
      <c r="BP81" s="43">
        <v>227</v>
      </c>
      <c r="BQ81" s="43">
        <v>243</v>
      </c>
      <c r="BR81" s="43">
        <v>795</v>
      </c>
      <c r="BS81" s="43">
        <v>585</v>
      </c>
      <c r="BT81" s="43">
        <v>181</v>
      </c>
      <c r="BU81" s="43">
        <v>881</v>
      </c>
      <c r="BV81" s="43">
        <v>680</v>
      </c>
      <c r="BW81" s="43">
        <v>326</v>
      </c>
      <c r="BX81" s="43">
        <v>532</v>
      </c>
      <c r="BY81" s="43">
        <v>242</v>
      </c>
      <c r="BZ81" s="43">
        <v>648</v>
      </c>
      <c r="CA81" s="43">
        <v>605</v>
      </c>
      <c r="CB81" s="43">
        <v>204</v>
      </c>
      <c r="CC81" s="43">
        <v>638</v>
      </c>
      <c r="CD81" s="43">
        <v>707</v>
      </c>
      <c r="CE81" s="43">
        <v>633</v>
      </c>
      <c r="CF81" s="43">
        <v>207</v>
      </c>
      <c r="CG81" s="43">
        <v>230</v>
      </c>
      <c r="CH81" s="43">
        <v>570</v>
      </c>
      <c r="CI81" s="43">
        <v>487</v>
      </c>
      <c r="CJ81" s="43">
        <v>346</v>
      </c>
      <c r="CK81" s="43">
        <v>302</v>
      </c>
      <c r="CL81" s="43">
        <v>533</v>
      </c>
      <c r="CM81" s="43">
        <v>576</v>
      </c>
      <c r="CN81" s="43">
        <v>613</v>
      </c>
      <c r="CO81" s="43">
        <v>520</v>
      </c>
      <c r="CP81" s="43">
        <v>328</v>
      </c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43">
        <v>871</v>
      </c>
      <c r="FZ81" s="43">
        <v>242</v>
      </c>
      <c r="GA81" s="53"/>
      <c r="GB81" s="53"/>
      <c r="GC81" s="53"/>
      <c r="GD81" s="53"/>
      <c r="GE81" s="53"/>
      <c r="GF81" s="53"/>
      <c r="GG81" s="53"/>
      <c r="GH81" s="53"/>
      <c r="GI81" s="43"/>
      <c r="GJ81" s="53"/>
      <c r="GK81" s="53"/>
      <c r="GL81" s="53"/>
      <c r="GM81" s="53"/>
      <c r="GN81" s="53"/>
      <c r="GO81" s="43">
        <v>892</v>
      </c>
      <c r="GP81" s="43">
        <v>198</v>
      </c>
      <c r="GQ81" s="43">
        <v>935</v>
      </c>
      <c r="GR81" s="43">
        <v>156</v>
      </c>
    </row>
    <row r="82" spans="1:200">
      <c r="A82" s="5">
        <v>1301</v>
      </c>
      <c r="B82" s="1" t="s">
        <v>210</v>
      </c>
      <c r="C82" s="33">
        <v>1370</v>
      </c>
      <c r="D82" s="34">
        <v>642</v>
      </c>
      <c r="E82" s="19">
        <f t="shared" si="1"/>
        <v>0.46861313868613141</v>
      </c>
      <c r="F82" s="62">
        <v>618</v>
      </c>
      <c r="G82" s="43">
        <v>0</v>
      </c>
      <c r="H82" s="43">
        <v>1</v>
      </c>
      <c r="I82" s="43">
        <v>2</v>
      </c>
      <c r="J82" s="55">
        <v>8</v>
      </c>
      <c r="K82" s="6">
        <v>0</v>
      </c>
      <c r="L82" s="6">
        <v>0</v>
      </c>
      <c r="M82" s="43">
        <v>0</v>
      </c>
      <c r="N82" s="25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4">
        <v>0</v>
      </c>
      <c r="AB82" s="44">
        <v>0</v>
      </c>
      <c r="AC82" s="44">
        <v>14</v>
      </c>
      <c r="AD82" s="44">
        <v>5</v>
      </c>
      <c r="AE82" s="44">
        <v>45</v>
      </c>
      <c r="AF82" s="44">
        <v>10</v>
      </c>
      <c r="AG82" s="44">
        <v>0</v>
      </c>
      <c r="AH82" s="44">
        <v>522</v>
      </c>
      <c r="AI82" s="44">
        <v>54</v>
      </c>
      <c r="AJ82" s="44">
        <v>0</v>
      </c>
      <c r="AK82" s="44">
        <v>0</v>
      </c>
      <c r="AL82" s="44">
        <v>543</v>
      </c>
      <c r="AM82" s="48"/>
      <c r="AN82" s="48"/>
      <c r="AO82" s="48"/>
      <c r="AP82" s="48"/>
      <c r="AQ82" s="48"/>
      <c r="AR82" s="51"/>
      <c r="AS82" s="51"/>
      <c r="AT82" s="51"/>
      <c r="AU82" s="51"/>
      <c r="AV82" s="51"/>
      <c r="AW82" s="50"/>
      <c r="AX82" s="50"/>
      <c r="AY82" s="50"/>
      <c r="AZ82" s="50"/>
      <c r="BA82" s="50"/>
      <c r="BB82" s="50"/>
      <c r="BC82" s="43">
        <v>16</v>
      </c>
      <c r="BD82" s="43">
        <v>602</v>
      </c>
      <c r="BE82" s="43">
        <v>17</v>
      </c>
      <c r="BF82" s="43">
        <v>591</v>
      </c>
      <c r="BG82" s="43">
        <v>34</v>
      </c>
      <c r="BH82" s="43">
        <v>564</v>
      </c>
      <c r="BI82" s="43">
        <v>67</v>
      </c>
      <c r="BJ82" s="43">
        <v>534</v>
      </c>
      <c r="BK82" s="43">
        <v>539</v>
      </c>
      <c r="BL82" s="43">
        <v>64</v>
      </c>
      <c r="BM82" s="43">
        <v>28</v>
      </c>
      <c r="BN82" s="43">
        <v>559</v>
      </c>
      <c r="BO82" s="43">
        <v>554</v>
      </c>
      <c r="BP82" s="43">
        <v>32</v>
      </c>
      <c r="BQ82" s="43">
        <v>32</v>
      </c>
      <c r="BR82" s="43">
        <v>556</v>
      </c>
      <c r="BS82" s="43">
        <v>161</v>
      </c>
      <c r="BT82" s="43">
        <v>20</v>
      </c>
      <c r="BU82" s="43">
        <v>575</v>
      </c>
      <c r="BV82" s="43">
        <v>299</v>
      </c>
      <c r="BW82" s="43">
        <v>152</v>
      </c>
      <c r="BX82" s="43">
        <v>337</v>
      </c>
      <c r="BY82" s="43">
        <v>166</v>
      </c>
      <c r="BZ82" s="43">
        <v>358</v>
      </c>
      <c r="CA82" s="43">
        <v>252</v>
      </c>
      <c r="CB82" s="43">
        <v>105</v>
      </c>
      <c r="CC82" s="43">
        <v>399</v>
      </c>
      <c r="CD82" s="43">
        <v>333</v>
      </c>
      <c r="CE82" s="43">
        <v>387</v>
      </c>
      <c r="CF82" s="43">
        <v>108</v>
      </c>
      <c r="CG82" s="43">
        <v>142</v>
      </c>
      <c r="CH82" s="43">
        <v>321</v>
      </c>
      <c r="CI82" s="43">
        <v>304</v>
      </c>
      <c r="CJ82" s="43">
        <v>180</v>
      </c>
      <c r="CK82" s="43">
        <v>196</v>
      </c>
      <c r="CL82" s="43">
        <v>315</v>
      </c>
      <c r="CM82" s="43">
        <v>236</v>
      </c>
      <c r="CN82" s="43">
        <v>310</v>
      </c>
      <c r="CO82" s="43">
        <v>342</v>
      </c>
      <c r="CP82" s="43">
        <v>186</v>
      </c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43">
        <v>475</v>
      </c>
      <c r="FZ82" s="43">
        <v>117</v>
      </c>
      <c r="GA82" s="53"/>
      <c r="GB82" s="53"/>
      <c r="GC82" s="53"/>
      <c r="GD82" s="53"/>
      <c r="GE82" s="53"/>
      <c r="GF82" s="53"/>
      <c r="GG82" s="53"/>
      <c r="GH82" s="53"/>
      <c r="GI82" s="43"/>
      <c r="GJ82" s="53"/>
      <c r="GK82" s="53"/>
      <c r="GL82" s="53"/>
      <c r="GM82" s="53"/>
      <c r="GN82" s="53"/>
      <c r="GO82" s="43">
        <v>411</v>
      </c>
      <c r="GP82" s="43">
        <v>167</v>
      </c>
      <c r="GQ82" s="43">
        <v>460</v>
      </c>
      <c r="GR82" s="43">
        <v>119</v>
      </c>
    </row>
    <row r="83" spans="1:200">
      <c r="A83" s="5">
        <v>1302</v>
      </c>
      <c r="B83" s="1" t="s">
        <v>211</v>
      </c>
      <c r="C83" s="33">
        <v>2082</v>
      </c>
      <c r="D83" s="34">
        <v>1221</v>
      </c>
      <c r="E83" s="19">
        <f t="shared" si="1"/>
        <v>0.58645533141210371</v>
      </c>
      <c r="F83" s="62">
        <v>877</v>
      </c>
      <c r="G83" s="43">
        <v>6</v>
      </c>
      <c r="H83" s="43">
        <v>39</v>
      </c>
      <c r="I83" s="43">
        <v>13</v>
      </c>
      <c r="J83" s="55">
        <v>264</v>
      </c>
      <c r="K83" s="6">
        <v>0</v>
      </c>
      <c r="L83" s="6">
        <v>0</v>
      </c>
      <c r="M83" s="43">
        <v>0</v>
      </c>
      <c r="N83" s="25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  <c r="V83" s="43">
        <v>0</v>
      </c>
      <c r="W83" s="43">
        <v>4</v>
      </c>
      <c r="X83" s="43">
        <v>0</v>
      </c>
      <c r="Y83" s="43">
        <v>0</v>
      </c>
      <c r="Z83" s="43">
        <v>0</v>
      </c>
      <c r="AA83" s="44">
        <v>0</v>
      </c>
      <c r="AB83" s="44">
        <v>0</v>
      </c>
      <c r="AC83" s="44">
        <v>13</v>
      </c>
      <c r="AD83" s="44">
        <v>29</v>
      </c>
      <c r="AE83" s="44">
        <v>385</v>
      </c>
      <c r="AF83" s="44">
        <v>7</v>
      </c>
      <c r="AG83" s="44">
        <v>0</v>
      </c>
      <c r="AH83" s="44">
        <v>746</v>
      </c>
      <c r="AI83" s="44">
        <v>337</v>
      </c>
      <c r="AJ83" s="44">
        <v>0</v>
      </c>
      <c r="AK83" s="44">
        <v>0</v>
      </c>
      <c r="AL83" s="44">
        <v>812</v>
      </c>
      <c r="AM83" s="48"/>
      <c r="AN83" s="48"/>
      <c r="AO83" s="48"/>
      <c r="AP83" s="48"/>
      <c r="AQ83" s="48"/>
      <c r="AR83" s="51"/>
      <c r="AS83" s="51"/>
      <c r="AT83" s="51"/>
      <c r="AU83" s="51"/>
      <c r="AV83" s="51"/>
      <c r="AW83" s="50"/>
      <c r="AX83" s="50"/>
      <c r="AY83" s="50"/>
      <c r="AZ83" s="50"/>
      <c r="BA83" s="50"/>
      <c r="BB83" s="50"/>
      <c r="BC83" s="43">
        <v>338</v>
      </c>
      <c r="BD83" s="43">
        <v>787</v>
      </c>
      <c r="BE83" s="43">
        <v>309</v>
      </c>
      <c r="BF83" s="43">
        <v>789</v>
      </c>
      <c r="BG83" s="43">
        <v>303</v>
      </c>
      <c r="BH83" s="43">
        <v>814</v>
      </c>
      <c r="BI83" s="43">
        <v>351</v>
      </c>
      <c r="BJ83" s="43">
        <v>751</v>
      </c>
      <c r="BK83" s="43">
        <v>787</v>
      </c>
      <c r="BL83" s="43">
        <v>313</v>
      </c>
      <c r="BM83" s="43">
        <v>290</v>
      </c>
      <c r="BN83" s="43">
        <v>809</v>
      </c>
      <c r="BO83" s="43">
        <v>765</v>
      </c>
      <c r="BP83" s="43">
        <v>307</v>
      </c>
      <c r="BQ83" s="43">
        <v>337</v>
      </c>
      <c r="BR83" s="43">
        <v>735</v>
      </c>
      <c r="BS83" s="43">
        <v>683</v>
      </c>
      <c r="BT83" s="43">
        <v>270</v>
      </c>
      <c r="BU83" s="43">
        <v>817</v>
      </c>
      <c r="BV83" s="43">
        <v>757</v>
      </c>
      <c r="BW83" s="43">
        <v>360</v>
      </c>
      <c r="BX83" s="43">
        <v>527</v>
      </c>
      <c r="BY83" s="43">
        <v>286</v>
      </c>
      <c r="BZ83" s="43">
        <v>656</v>
      </c>
      <c r="CA83" s="43">
        <v>679</v>
      </c>
      <c r="CB83" s="43">
        <v>264</v>
      </c>
      <c r="CC83" s="43">
        <v>621</v>
      </c>
      <c r="CD83" s="43">
        <v>765</v>
      </c>
      <c r="CE83" s="43">
        <v>608</v>
      </c>
      <c r="CF83" s="43">
        <v>276</v>
      </c>
      <c r="CG83" s="43">
        <v>270</v>
      </c>
      <c r="CH83" s="43">
        <v>586</v>
      </c>
      <c r="CI83" s="43">
        <v>469</v>
      </c>
      <c r="CJ83" s="43">
        <v>410</v>
      </c>
      <c r="CK83" s="43">
        <v>382</v>
      </c>
      <c r="CL83" s="43">
        <v>512</v>
      </c>
      <c r="CM83" s="43">
        <v>635</v>
      </c>
      <c r="CN83" s="43">
        <v>649</v>
      </c>
      <c r="CO83" s="43">
        <v>504</v>
      </c>
      <c r="CP83" s="43">
        <v>391</v>
      </c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43">
        <v>815</v>
      </c>
      <c r="FZ83" s="43">
        <v>272</v>
      </c>
      <c r="GA83" s="53"/>
      <c r="GB83" s="53"/>
      <c r="GC83" s="53"/>
      <c r="GD83" s="53"/>
      <c r="GE83" s="53"/>
      <c r="GF83" s="53"/>
      <c r="GG83" s="53"/>
      <c r="GH83" s="53"/>
      <c r="GI83" s="43"/>
      <c r="GJ83" s="53"/>
      <c r="GK83" s="53"/>
      <c r="GL83" s="53"/>
      <c r="GM83" s="53"/>
      <c r="GN83" s="53"/>
      <c r="GO83" s="43">
        <v>851</v>
      </c>
      <c r="GP83" s="43">
        <v>227</v>
      </c>
      <c r="GQ83" s="43">
        <v>906</v>
      </c>
      <c r="GR83" s="43">
        <v>180</v>
      </c>
    </row>
    <row r="84" spans="1:200">
      <c r="A84" s="5">
        <v>1303</v>
      </c>
      <c r="B84" s="1" t="s">
        <v>212</v>
      </c>
      <c r="C84" s="33">
        <v>1326</v>
      </c>
      <c r="D84" s="34">
        <v>592</v>
      </c>
      <c r="E84" s="19">
        <f t="shared" si="1"/>
        <v>0.44645550527903471</v>
      </c>
      <c r="F84" s="62">
        <v>552</v>
      </c>
      <c r="G84" s="43">
        <v>0</v>
      </c>
      <c r="H84" s="43">
        <v>3</v>
      </c>
      <c r="I84" s="43">
        <v>1</v>
      </c>
      <c r="J84" s="55">
        <v>24</v>
      </c>
      <c r="K84" s="6">
        <v>0</v>
      </c>
      <c r="L84" s="6">
        <v>0</v>
      </c>
      <c r="M84" s="43">
        <v>0</v>
      </c>
      <c r="N84" s="25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4">
        <v>0</v>
      </c>
      <c r="AB84" s="44">
        <v>0</v>
      </c>
      <c r="AC84" s="44">
        <v>5</v>
      </c>
      <c r="AD84" s="44">
        <v>6</v>
      </c>
      <c r="AE84" s="44">
        <v>58</v>
      </c>
      <c r="AF84" s="44">
        <v>6</v>
      </c>
      <c r="AG84" s="44">
        <v>0</v>
      </c>
      <c r="AH84" s="44">
        <v>471</v>
      </c>
      <c r="AI84" s="44">
        <v>55</v>
      </c>
      <c r="AJ84" s="44">
        <v>0</v>
      </c>
      <c r="AK84" s="44">
        <v>0</v>
      </c>
      <c r="AL84" s="44">
        <v>505</v>
      </c>
      <c r="AM84" s="48"/>
      <c r="AN84" s="48"/>
      <c r="AO84" s="48"/>
      <c r="AP84" s="48"/>
      <c r="AQ84" s="48"/>
      <c r="AR84" s="51"/>
      <c r="AS84" s="51"/>
      <c r="AT84" s="51"/>
      <c r="AU84" s="51"/>
      <c r="AV84" s="51"/>
      <c r="AW84" s="50"/>
      <c r="AX84" s="50"/>
      <c r="AY84" s="50"/>
      <c r="AZ84" s="50"/>
      <c r="BA84" s="50"/>
      <c r="BB84" s="50"/>
      <c r="BC84" s="43">
        <v>21</v>
      </c>
      <c r="BD84" s="43">
        <v>547</v>
      </c>
      <c r="BE84" s="43">
        <v>20</v>
      </c>
      <c r="BF84" s="43">
        <v>529</v>
      </c>
      <c r="BG84" s="43">
        <v>39</v>
      </c>
      <c r="BH84" s="43">
        <v>511</v>
      </c>
      <c r="BI84" s="43">
        <v>72</v>
      </c>
      <c r="BJ84" s="43">
        <v>479</v>
      </c>
      <c r="BK84" s="43">
        <v>486</v>
      </c>
      <c r="BL84" s="43">
        <v>63</v>
      </c>
      <c r="BM84" s="43">
        <v>28</v>
      </c>
      <c r="BN84" s="43">
        <v>510</v>
      </c>
      <c r="BO84" s="43">
        <v>495</v>
      </c>
      <c r="BP84" s="43">
        <v>45</v>
      </c>
      <c r="BQ84" s="43">
        <v>48</v>
      </c>
      <c r="BR84" s="43">
        <v>489</v>
      </c>
      <c r="BS84" s="43">
        <v>154</v>
      </c>
      <c r="BT84" s="43">
        <v>33</v>
      </c>
      <c r="BU84" s="43">
        <v>516</v>
      </c>
      <c r="BV84" s="43">
        <v>277</v>
      </c>
      <c r="BW84" s="43">
        <v>126</v>
      </c>
      <c r="BX84" s="43">
        <v>298</v>
      </c>
      <c r="BY84" s="43">
        <v>139</v>
      </c>
      <c r="BZ84" s="43">
        <v>335</v>
      </c>
      <c r="CA84" s="43">
        <v>239</v>
      </c>
      <c r="CB84" s="43">
        <v>93</v>
      </c>
      <c r="CC84" s="43">
        <v>334</v>
      </c>
      <c r="CD84" s="43">
        <v>301</v>
      </c>
      <c r="CE84" s="43">
        <v>328</v>
      </c>
      <c r="CF84" s="43">
        <v>99</v>
      </c>
      <c r="CG84" s="43">
        <v>113</v>
      </c>
      <c r="CH84" s="43">
        <v>277</v>
      </c>
      <c r="CI84" s="43">
        <v>270</v>
      </c>
      <c r="CJ84" s="43">
        <v>142</v>
      </c>
      <c r="CK84" s="43">
        <v>182</v>
      </c>
      <c r="CL84" s="43">
        <v>264</v>
      </c>
      <c r="CM84" s="43">
        <v>237</v>
      </c>
      <c r="CN84" s="43">
        <v>261</v>
      </c>
      <c r="CO84" s="43">
        <v>293</v>
      </c>
      <c r="CP84" s="43">
        <v>166</v>
      </c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43">
        <v>438</v>
      </c>
      <c r="FZ84" s="43">
        <v>111</v>
      </c>
      <c r="GA84" s="53"/>
      <c r="GB84" s="53"/>
      <c r="GC84" s="53"/>
      <c r="GD84" s="53"/>
      <c r="GE84" s="53"/>
      <c r="GF84" s="53"/>
      <c r="GG84" s="53"/>
      <c r="GH84" s="53"/>
      <c r="GI84" s="43"/>
      <c r="GJ84" s="53"/>
      <c r="GK84" s="53"/>
      <c r="GL84" s="53"/>
      <c r="GM84" s="53"/>
      <c r="GN84" s="53"/>
      <c r="GO84" s="43">
        <v>371</v>
      </c>
      <c r="GP84" s="43">
        <v>148</v>
      </c>
      <c r="GQ84" s="43">
        <v>430</v>
      </c>
      <c r="GR84" s="43">
        <v>110</v>
      </c>
    </row>
    <row r="85" spans="1:200">
      <c r="A85" s="5">
        <v>1304</v>
      </c>
      <c r="B85" s="1" t="s">
        <v>213</v>
      </c>
      <c r="C85" s="33">
        <v>1178</v>
      </c>
      <c r="D85" s="34">
        <v>699</v>
      </c>
      <c r="E85" s="19">
        <f t="shared" si="1"/>
        <v>0.59337860780984719</v>
      </c>
      <c r="F85" s="62">
        <v>644</v>
      </c>
      <c r="G85" s="43">
        <v>1</v>
      </c>
      <c r="H85" s="43">
        <v>6</v>
      </c>
      <c r="I85" s="43">
        <v>3</v>
      </c>
      <c r="J85" s="55">
        <v>32</v>
      </c>
      <c r="K85" s="6">
        <v>0</v>
      </c>
      <c r="L85" s="6">
        <v>0</v>
      </c>
      <c r="M85" s="43">
        <v>0</v>
      </c>
      <c r="N85" s="25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1</v>
      </c>
      <c r="X85" s="43">
        <v>0</v>
      </c>
      <c r="Y85" s="43">
        <v>0</v>
      </c>
      <c r="Z85" s="43">
        <v>0</v>
      </c>
      <c r="AA85" s="44">
        <v>0</v>
      </c>
      <c r="AB85" s="44">
        <v>0</v>
      </c>
      <c r="AC85" s="44">
        <v>9</v>
      </c>
      <c r="AD85" s="44">
        <v>10</v>
      </c>
      <c r="AE85" s="44">
        <v>97</v>
      </c>
      <c r="AF85" s="44">
        <v>8</v>
      </c>
      <c r="AG85" s="44">
        <v>0</v>
      </c>
      <c r="AH85" s="44">
        <v>544</v>
      </c>
      <c r="AI85" s="44">
        <v>80</v>
      </c>
      <c r="AJ85" s="44">
        <v>0</v>
      </c>
      <c r="AK85" s="44">
        <v>0</v>
      </c>
      <c r="AL85" s="44">
        <v>582</v>
      </c>
      <c r="AM85" s="48"/>
      <c r="AN85" s="48"/>
      <c r="AO85" s="48"/>
      <c r="AP85" s="48"/>
      <c r="AQ85" s="48"/>
      <c r="AR85" s="51"/>
      <c r="AS85" s="51"/>
      <c r="AT85" s="51"/>
      <c r="AU85" s="51"/>
      <c r="AV85" s="51"/>
      <c r="AW85" s="50"/>
      <c r="AX85" s="50"/>
      <c r="AY85" s="50"/>
      <c r="AZ85" s="50"/>
      <c r="BA85" s="50"/>
      <c r="BB85" s="50"/>
      <c r="BC85" s="43">
        <v>38</v>
      </c>
      <c r="BD85" s="43">
        <v>643</v>
      </c>
      <c r="BE85" s="43">
        <v>31</v>
      </c>
      <c r="BF85" s="43">
        <v>631</v>
      </c>
      <c r="BG85" s="43">
        <v>64</v>
      </c>
      <c r="BH85" s="43">
        <v>597</v>
      </c>
      <c r="BI85" s="43">
        <v>96</v>
      </c>
      <c r="BJ85" s="43">
        <v>563</v>
      </c>
      <c r="BK85" s="43">
        <v>569</v>
      </c>
      <c r="BL85" s="43">
        <v>94</v>
      </c>
      <c r="BM85" s="43">
        <v>44</v>
      </c>
      <c r="BN85" s="43">
        <v>612</v>
      </c>
      <c r="BO85" s="43">
        <v>585</v>
      </c>
      <c r="BP85" s="43">
        <v>61</v>
      </c>
      <c r="BQ85" s="43">
        <v>76</v>
      </c>
      <c r="BR85" s="43">
        <v>575</v>
      </c>
      <c r="BS85" s="43">
        <v>193</v>
      </c>
      <c r="BT85" s="43">
        <v>40</v>
      </c>
      <c r="BU85" s="43">
        <v>619</v>
      </c>
      <c r="BV85" s="43">
        <v>318</v>
      </c>
      <c r="BW85" s="43">
        <v>172</v>
      </c>
      <c r="BX85" s="43">
        <v>362</v>
      </c>
      <c r="BY85" s="43">
        <v>173</v>
      </c>
      <c r="BZ85" s="43">
        <v>414</v>
      </c>
      <c r="CA85" s="43">
        <v>275</v>
      </c>
      <c r="CB85" s="43">
        <v>85</v>
      </c>
      <c r="CC85" s="43">
        <v>459</v>
      </c>
      <c r="CD85" s="43">
        <v>357</v>
      </c>
      <c r="CE85" s="43">
        <v>422</v>
      </c>
      <c r="CF85" s="43">
        <v>116</v>
      </c>
      <c r="CG85" s="43">
        <v>148</v>
      </c>
      <c r="CH85" s="43">
        <v>355</v>
      </c>
      <c r="CI85" s="43">
        <v>354</v>
      </c>
      <c r="CJ85" s="43">
        <v>179</v>
      </c>
      <c r="CK85" s="43">
        <v>223</v>
      </c>
      <c r="CL85" s="43">
        <v>343</v>
      </c>
      <c r="CM85" s="43">
        <v>247</v>
      </c>
      <c r="CN85" s="43">
        <v>300</v>
      </c>
      <c r="CO85" s="43">
        <v>373</v>
      </c>
      <c r="CP85" s="43">
        <v>187</v>
      </c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43">
        <v>507</v>
      </c>
      <c r="FZ85" s="43">
        <v>150</v>
      </c>
      <c r="GA85" s="53"/>
      <c r="GB85" s="53"/>
      <c r="GC85" s="53"/>
      <c r="GD85" s="53"/>
      <c r="GE85" s="53"/>
      <c r="GF85" s="53"/>
      <c r="GG85" s="53"/>
      <c r="GH85" s="53"/>
      <c r="GI85" s="43"/>
      <c r="GJ85" s="53"/>
      <c r="GK85" s="53"/>
      <c r="GL85" s="53"/>
      <c r="GM85" s="53"/>
      <c r="GN85" s="53"/>
      <c r="GO85" s="43">
        <v>456</v>
      </c>
      <c r="GP85" s="43">
        <v>179</v>
      </c>
      <c r="GQ85" s="43">
        <v>528</v>
      </c>
      <c r="GR85" s="43">
        <v>121</v>
      </c>
    </row>
    <row r="86" spans="1:200">
      <c r="A86" s="5">
        <v>1305</v>
      </c>
      <c r="B86" s="1" t="s">
        <v>214</v>
      </c>
      <c r="C86" s="33">
        <v>1328</v>
      </c>
      <c r="D86" s="34">
        <v>977</v>
      </c>
      <c r="E86" s="19">
        <f t="shared" si="1"/>
        <v>0.73569277108433739</v>
      </c>
      <c r="F86" s="62">
        <v>846</v>
      </c>
      <c r="G86" s="43">
        <v>2</v>
      </c>
      <c r="H86" s="43">
        <v>14</v>
      </c>
      <c r="I86" s="43">
        <v>13</v>
      </c>
      <c r="J86" s="55">
        <v>82</v>
      </c>
      <c r="K86" s="6">
        <v>0</v>
      </c>
      <c r="L86" s="6">
        <v>0</v>
      </c>
      <c r="M86" s="43">
        <v>1</v>
      </c>
      <c r="N86" s="25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1</v>
      </c>
      <c r="W86" s="43">
        <v>2</v>
      </c>
      <c r="X86" s="43">
        <v>0</v>
      </c>
      <c r="Y86" s="43">
        <v>0</v>
      </c>
      <c r="Z86" s="43">
        <v>0</v>
      </c>
      <c r="AA86" s="44">
        <v>0</v>
      </c>
      <c r="AB86" s="44">
        <v>0</v>
      </c>
      <c r="AC86" s="44">
        <v>6</v>
      </c>
      <c r="AD86" s="44">
        <v>16</v>
      </c>
      <c r="AE86" s="44">
        <v>208</v>
      </c>
      <c r="AF86" s="44">
        <v>5</v>
      </c>
      <c r="AG86" s="44">
        <v>0</v>
      </c>
      <c r="AH86" s="44">
        <v>697</v>
      </c>
      <c r="AI86" s="44">
        <v>153</v>
      </c>
      <c r="AJ86" s="44">
        <v>0</v>
      </c>
      <c r="AK86" s="44">
        <v>0</v>
      </c>
      <c r="AL86" s="44">
        <v>776</v>
      </c>
      <c r="AM86" s="48"/>
      <c r="AN86" s="48"/>
      <c r="AO86" s="48"/>
      <c r="AP86" s="48"/>
      <c r="AQ86" s="48"/>
      <c r="AR86" s="51"/>
      <c r="AS86" s="51"/>
      <c r="AT86" s="51"/>
      <c r="AU86" s="51"/>
      <c r="AV86" s="51"/>
      <c r="AW86" s="50"/>
      <c r="AX86" s="50"/>
      <c r="AY86" s="50"/>
      <c r="AZ86" s="50"/>
      <c r="BA86" s="50"/>
      <c r="BB86" s="50"/>
      <c r="BC86" s="43">
        <v>117</v>
      </c>
      <c r="BD86" s="43">
        <v>824</v>
      </c>
      <c r="BE86" s="43">
        <v>96</v>
      </c>
      <c r="BF86" s="43">
        <v>826</v>
      </c>
      <c r="BG86" s="43">
        <v>135</v>
      </c>
      <c r="BH86" s="43">
        <v>791</v>
      </c>
      <c r="BI86" s="43">
        <v>193</v>
      </c>
      <c r="BJ86" s="43">
        <v>727</v>
      </c>
      <c r="BK86" s="43">
        <v>793</v>
      </c>
      <c r="BL86" s="43">
        <v>130</v>
      </c>
      <c r="BM86" s="43">
        <v>119</v>
      </c>
      <c r="BN86" s="43">
        <v>792</v>
      </c>
      <c r="BO86" s="43">
        <v>756</v>
      </c>
      <c r="BP86" s="43">
        <v>138</v>
      </c>
      <c r="BQ86" s="43">
        <v>181</v>
      </c>
      <c r="BR86" s="43">
        <v>715</v>
      </c>
      <c r="BS86" s="43">
        <v>333</v>
      </c>
      <c r="BT86" s="43">
        <v>83</v>
      </c>
      <c r="BU86" s="43">
        <v>835</v>
      </c>
      <c r="BV86" s="43">
        <v>439</v>
      </c>
      <c r="BW86" s="43">
        <v>232</v>
      </c>
      <c r="BX86" s="43">
        <v>509</v>
      </c>
      <c r="BY86" s="43">
        <v>182</v>
      </c>
      <c r="BZ86" s="43">
        <v>622</v>
      </c>
      <c r="CA86" s="43">
        <v>395</v>
      </c>
      <c r="CB86" s="43">
        <v>143</v>
      </c>
      <c r="CC86" s="43">
        <v>623</v>
      </c>
      <c r="CD86" s="43">
        <v>564</v>
      </c>
      <c r="CE86" s="43">
        <v>611</v>
      </c>
      <c r="CF86" s="43">
        <v>156</v>
      </c>
      <c r="CG86" s="43">
        <v>183</v>
      </c>
      <c r="CH86" s="43">
        <v>543</v>
      </c>
      <c r="CI86" s="43">
        <v>493</v>
      </c>
      <c r="CJ86" s="43">
        <v>262</v>
      </c>
      <c r="CK86" s="43">
        <v>254</v>
      </c>
      <c r="CL86" s="43">
        <v>538</v>
      </c>
      <c r="CM86" s="43">
        <v>354</v>
      </c>
      <c r="CN86" s="43">
        <v>398</v>
      </c>
      <c r="CO86" s="43">
        <v>560</v>
      </c>
      <c r="CP86" s="43">
        <v>219</v>
      </c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43">
        <v>658</v>
      </c>
      <c r="FZ86" s="43">
        <v>274</v>
      </c>
      <c r="GA86" s="53"/>
      <c r="GB86" s="53"/>
      <c r="GC86" s="53"/>
      <c r="GD86" s="53"/>
      <c r="GE86" s="53"/>
      <c r="GF86" s="53"/>
      <c r="GG86" s="53"/>
      <c r="GH86" s="53"/>
      <c r="GI86" s="43"/>
      <c r="GJ86" s="53"/>
      <c r="GK86" s="53"/>
      <c r="GL86" s="53"/>
      <c r="GM86" s="53"/>
      <c r="GN86" s="53"/>
      <c r="GO86" s="43">
        <v>711</v>
      </c>
      <c r="GP86" s="43">
        <v>216</v>
      </c>
      <c r="GQ86" s="43">
        <v>773</v>
      </c>
      <c r="GR86" s="43">
        <v>152</v>
      </c>
    </row>
    <row r="87" spans="1:200">
      <c r="A87" s="5">
        <v>1306</v>
      </c>
      <c r="B87" s="1" t="s">
        <v>215</v>
      </c>
      <c r="C87" s="33">
        <v>985</v>
      </c>
      <c r="D87" s="34">
        <v>714</v>
      </c>
      <c r="E87" s="19">
        <f t="shared" si="1"/>
        <v>0.7248730964467005</v>
      </c>
      <c r="F87" s="62">
        <v>645</v>
      </c>
      <c r="G87" s="43">
        <v>2</v>
      </c>
      <c r="H87" s="43">
        <v>8</v>
      </c>
      <c r="I87" s="43">
        <v>6</v>
      </c>
      <c r="J87" s="55">
        <v>45</v>
      </c>
      <c r="K87" s="6">
        <v>0</v>
      </c>
      <c r="L87" s="6">
        <v>0</v>
      </c>
      <c r="M87" s="43">
        <v>0</v>
      </c>
      <c r="N87" s="25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  <c r="V87" s="43">
        <v>0</v>
      </c>
      <c r="W87" s="43">
        <v>1</v>
      </c>
      <c r="X87" s="43">
        <v>0</v>
      </c>
      <c r="Y87" s="43">
        <v>0</v>
      </c>
      <c r="Z87" s="43">
        <v>0</v>
      </c>
      <c r="AA87" s="44">
        <v>0</v>
      </c>
      <c r="AB87" s="44">
        <v>0</v>
      </c>
      <c r="AC87" s="44">
        <v>8</v>
      </c>
      <c r="AD87" s="44">
        <v>10</v>
      </c>
      <c r="AE87" s="44">
        <v>87</v>
      </c>
      <c r="AF87" s="44">
        <v>7</v>
      </c>
      <c r="AG87" s="44">
        <v>0</v>
      </c>
      <c r="AH87" s="44">
        <v>563</v>
      </c>
      <c r="AI87" s="44">
        <v>69</v>
      </c>
      <c r="AJ87" s="44">
        <v>0</v>
      </c>
      <c r="AK87" s="44">
        <v>0</v>
      </c>
      <c r="AL87" s="44">
        <v>610</v>
      </c>
      <c r="AM87" s="48"/>
      <c r="AN87" s="48"/>
      <c r="AO87" s="48"/>
      <c r="AP87" s="48"/>
      <c r="AQ87" s="48"/>
      <c r="AR87" s="51"/>
      <c r="AS87" s="51"/>
      <c r="AT87" s="51"/>
      <c r="AU87" s="51"/>
      <c r="AV87" s="51"/>
      <c r="AW87" s="50"/>
      <c r="AX87" s="50"/>
      <c r="AY87" s="50"/>
      <c r="AZ87" s="50"/>
      <c r="BA87" s="50"/>
      <c r="BB87" s="50"/>
      <c r="BC87" s="43">
        <v>55</v>
      </c>
      <c r="BD87" s="43">
        <v>630</v>
      </c>
      <c r="BE87" s="43">
        <v>43</v>
      </c>
      <c r="BF87" s="43">
        <v>627</v>
      </c>
      <c r="BG87" s="43">
        <v>56</v>
      </c>
      <c r="BH87" s="43">
        <v>613</v>
      </c>
      <c r="BI87" s="43">
        <v>88</v>
      </c>
      <c r="BJ87" s="43">
        <v>588</v>
      </c>
      <c r="BK87" s="43">
        <v>603</v>
      </c>
      <c r="BL87" s="43">
        <v>69</v>
      </c>
      <c r="BM87" s="43">
        <v>55</v>
      </c>
      <c r="BN87" s="43">
        <v>604</v>
      </c>
      <c r="BO87" s="43">
        <v>583</v>
      </c>
      <c r="BP87" s="43">
        <v>69</v>
      </c>
      <c r="BQ87" s="43">
        <v>97</v>
      </c>
      <c r="BR87" s="43">
        <v>557</v>
      </c>
      <c r="BS87" s="43">
        <v>214</v>
      </c>
      <c r="BT87" s="43">
        <v>29</v>
      </c>
      <c r="BU87" s="43">
        <v>643</v>
      </c>
      <c r="BV87" s="43">
        <v>283</v>
      </c>
      <c r="BW87" s="43">
        <v>156</v>
      </c>
      <c r="BX87" s="43">
        <v>368</v>
      </c>
      <c r="BY87" s="43">
        <v>137</v>
      </c>
      <c r="BZ87" s="43">
        <v>445</v>
      </c>
      <c r="CA87" s="43">
        <v>249</v>
      </c>
      <c r="CB87" s="43">
        <v>70</v>
      </c>
      <c r="CC87" s="43">
        <v>455</v>
      </c>
      <c r="CD87" s="43">
        <v>378</v>
      </c>
      <c r="CE87" s="43">
        <v>451</v>
      </c>
      <c r="CF87" s="43">
        <v>91</v>
      </c>
      <c r="CG87" s="43">
        <v>117</v>
      </c>
      <c r="CH87" s="43">
        <v>392</v>
      </c>
      <c r="CI87" s="43">
        <v>374</v>
      </c>
      <c r="CJ87" s="43">
        <v>153</v>
      </c>
      <c r="CK87" s="43">
        <v>164</v>
      </c>
      <c r="CL87" s="43">
        <v>383</v>
      </c>
      <c r="CM87" s="43">
        <v>232</v>
      </c>
      <c r="CN87" s="43">
        <v>259</v>
      </c>
      <c r="CO87" s="43">
        <v>403</v>
      </c>
      <c r="CP87" s="43">
        <v>141</v>
      </c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43">
        <v>495</v>
      </c>
      <c r="FZ87" s="43">
        <v>184</v>
      </c>
      <c r="GA87" s="53"/>
      <c r="GB87" s="53"/>
      <c r="GC87" s="53"/>
      <c r="GD87" s="53"/>
      <c r="GE87" s="53"/>
      <c r="GF87" s="53"/>
      <c r="GG87" s="53"/>
      <c r="GH87" s="53"/>
      <c r="GI87" s="43"/>
      <c r="GJ87" s="53"/>
      <c r="GK87" s="53"/>
      <c r="GL87" s="53"/>
      <c r="GM87" s="53"/>
      <c r="GN87" s="53"/>
      <c r="GO87" s="43">
        <v>499</v>
      </c>
      <c r="GP87" s="43">
        <v>168</v>
      </c>
      <c r="GQ87" s="43">
        <v>547</v>
      </c>
      <c r="GR87" s="43">
        <v>122</v>
      </c>
    </row>
    <row r="88" spans="1:200">
      <c r="A88" s="5">
        <v>1307</v>
      </c>
      <c r="B88" s="1" t="s">
        <v>216</v>
      </c>
      <c r="C88" s="33">
        <v>1526</v>
      </c>
      <c r="D88" s="34">
        <v>753</v>
      </c>
      <c r="E88" s="19">
        <f t="shared" si="1"/>
        <v>0.49344692005242463</v>
      </c>
      <c r="F88" s="62">
        <v>719</v>
      </c>
      <c r="G88" s="43">
        <v>1</v>
      </c>
      <c r="H88" s="43">
        <v>3</v>
      </c>
      <c r="I88" s="43">
        <v>3</v>
      </c>
      <c r="J88" s="55">
        <v>17</v>
      </c>
      <c r="K88" s="6">
        <v>0</v>
      </c>
      <c r="L88" s="6">
        <v>0</v>
      </c>
      <c r="M88" s="43">
        <v>0</v>
      </c>
      <c r="N88" s="25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3">
        <v>0</v>
      </c>
      <c r="Y88" s="43">
        <v>0</v>
      </c>
      <c r="Z88" s="43">
        <v>0</v>
      </c>
      <c r="AA88" s="44">
        <v>0</v>
      </c>
      <c r="AB88" s="44">
        <v>0</v>
      </c>
      <c r="AC88" s="44">
        <v>14</v>
      </c>
      <c r="AD88" s="44">
        <v>8</v>
      </c>
      <c r="AE88" s="44">
        <v>46</v>
      </c>
      <c r="AF88" s="44">
        <v>9</v>
      </c>
      <c r="AG88" s="44">
        <v>0</v>
      </c>
      <c r="AH88" s="44">
        <v>634</v>
      </c>
      <c r="AI88" s="44">
        <v>66</v>
      </c>
      <c r="AJ88" s="44">
        <v>0</v>
      </c>
      <c r="AK88" s="44">
        <v>0</v>
      </c>
      <c r="AL88" s="44">
        <v>643</v>
      </c>
      <c r="AM88" s="48"/>
      <c r="AN88" s="48"/>
      <c r="AO88" s="48"/>
      <c r="AP88" s="48"/>
      <c r="AQ88" s="48"/>
      <c r="AR88" s="51"/>
      <c r="AS88" s="51"/>
      <c r="AT88" s="51"/>
      <c r="AU88" s="51"/>
      <c r="AV88" s="51"/>
      <c r="AW88" s="50"/>
      <c r="AX88" s="50"/>
      <c r="AY88" s="50"/>
      <c r="AZ88" s="50"/>
      <c r="BA88" s="50"/>
      <c r="BB88" s="50"/>
      <c r="BC88" s="43">
        <v>21</v>
      </c>
      <c r="BD88" s="43">
        <v>707</v>
      </c>
      <c r="BE88" s="43">
        <v>22</v>
      </c>
      <c r="BF88" s="43">
        <v>686</v>
      </c>
      <c r="BG88" s="43">
        <v>38</v>
      </c>
      <c r="BH88" s="43">
        <v>671</v>
      </c>
      <c r="BI88" s="43">
        <v>79</v>
      </c>
      <c r="BJ88" s="43">
        <v>634</v>
      </c>
      <c r="BK88" s="43">
        <v>634</v>
      </c>
      <c r="BL88" s="43">
        <v>62</v>
      </c>
      <c r="BM88" s="43">
        <v>39</v>
      </c>
      <c r="BN88" s="43">
        <v>658</v>
      </c>
      <c r="BO88" s="43">
        <v>656</v>
      </c>
      <c r="BP88" s="43">
        <v>45</v>
      </c>
      <c r="BQ88" s="43">
        <v>42</v>
      </c>
      <c r="BR88" s="43">
        <v>657</v>
      </c>
      <c r="BS88" s="43">
        <v>214</v>
      </c>
      <c r="BT88" s="43">
        <v>27</v>
      </c>
      <c r="BU88" s="43">
        <v>681</v>
      </c>
      <c r="BV88" s="43">
        <v>352</v>
      </c>
      <c r="BW88" s="43">
        <v>183</v>
      </c>
      <c r="BX88" s="43">
        <v>385</v>
      </c>
      <c r="BY88" s="43">
        <v>168</v>
      </c>
      <c r="BZ88" s="43">
        <v>448</v>
      </c>
      <c r="CA88" s="43">
        <v>296</v>
      </c>
      <c r="CB88" s="43">
        <v>116</v>
      </c>
      <c r="CC88" s="43">
        <v>454</v>
      </c>
      <c r="CD88" s="43">
        <v>401</v>
      </c>
      <c r="CE88" s="43">
        <v>451</v>
      </c>
      <c r="CF88" s="43">
        <v>129</v>
      </c>
      <c r="CG88" s="43">
        <v>152</v>
      </c>
      <c r="CH88" s="43">
        <v>381</v>
      </c>
      <c r="CI88" s="43">
        <v>350</v>
      </c>
      <c r="CJ88" s="43">
        <v>206</v>
      </c>
      <c r="CK88" s="43">
        <v>221</v>
      </c>
      <c r="CL88" s="43">
        <v>360</v>
      </c>
      <c r="CM88" s="43">
        <v>296</v>
      </c>
      <c r="CN88" s="43">
        <v>352</v>
      </c>
      <c r="CO88" s="43">
        <v>380</v>
      </c>
      <c r="CP88" s="43">
        <v>203</v>
      </c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43">
        <v>539</v>
      </c>
      <c r="FZ88" s="43">
        <v>162</v>
      </c>
      <c r="GA88" s="53"/>
      <c r="GB88" s="53"/>
      <c r="GC88" s="53"/>
      <c r="GD88" s="53"/>
      <c r="GE88" s="53"/>
      <c r="GF88" s="53"/>
      <c r="GG88" s="53"/>
      <c r="GH88" s="53"/>
      <c r="GI88" s="43"/>
      <c r="GJ88" s="53"/>
      <c r="GK88" s="53"/>
      <c r="GL88" s="53"/>
      <c r="GM88" s="53"/>
      <c r="GN88" s="53"/>
      <c r="GO88" s="43">
        <v>486</v>
      </c>
      <c r="GP88" s="43">
        <v>198</v>
      </c>
      <c r="GQ88" s="43">
        <v>560</v>
      </c>
      <c r="GR88" s="43">
        <v>132</v>
      </c>
    </row>
    <row r="89" spans="1:200">
      <c r="A89" s="5">
        <v>1401</v>
      </c>
      <c r="B89" s="1" t="s">
        <v>217</v>
      </c>
      <c r="C89" s="33">
        <v>1202</v>
      </c>
      <c r="D89" s="34">
        <v>946</v>
      </c>
      <c r="E89" s="19">
        <f t="shared" si="1"/>
        <v>0.78702163061564057</v>
      </c>
      <c r="F89" s="62">
        <v>716</v>
      </c>
      <c r="G89" s="43">
        <v>0</v>
      </c>
      <c r="H89" s="43">
        <v>27</v>
      </c>
      <c r="I89" s="43">
        <v>6</v>
      </c>
      <c r="J89" s="55">
        <v>166</v>
      </c>
      <c r="K89" s="6">
        <v>0</v>
      </c>
      <c r="L89" s="6">
        <v>0</v>
      </c>
      <c r="M89" s="43">
        <v>2</v>
      </c>
      <c r="N89" s="25">
        <v>0</v>
      </c>
      <c r="O89" s="43">
        <v>0</v>
      </c>
      <c r="P89" s="43">
        <v>0</v>
      </c>
      <c r="Q89" s="43">
        <v>0</v>
      </c>
      <c r="R89" s="43">
        <v>0</v>
      </c>
      <c r="S89" s="43">
        <v>2</v>
      </c>
      <c r="T89" s="43">
        <v>0</v>
      </c>
      <c r="U89" s="43">
        <v>0</v>
      </c>
      <c r="V89" s="43">
        <v>0</v>
      </c>
      <c r="W89" s="43">
        <v>11</v>
      </c>
      <c r="X89" s="43">
        <v>0</v>
      </c>
      <c r="Y89" s="43">
        <v>0</v>
      </c>
      <c r="Z89" s="43">
        <v>0</v>
      </c>
      <c r="AA89" s="44">
        <v>0</v>
      </c>
      <c r="AB89" s="44">
        <v>0</v>
      </c>
      <c r="AC89" s="44">
        <v>16</v>
      </c>
      <c r="AD89" s="44">
        <v>22</v>
      </c>
      <c r="AE89" s="44">
        <v>273</v>
      </c>
      <c r="AF89" s="44">
        <v>9</v>
      </c>
      <c r="AG89" s="44">
        <v>0</v>
      </c>
      <c r="AH89" s="44">
        <v>593</v>
      </c>
      <c r="AI89" s="32"/>
      <c r="AJ89" s="32"/>
      <c r="AK89" s="32"/>
      <c r="AL89" s="32"/>
      <c r="AM89" s="44">
        <v>72</v>
      </c>
      <c r="AN89" s="44">
        <v>535</v>
      </c>
      <c r="AO89" s="44">
        <v>261</v>
      </c>
      <c r="AP89" s="48"/>
      <c r="AQ89" s="48"/>
      <c r="AR89" s="51"/>
      <c r="AS89" s="51"/>
      <c r="AT89" s="51"/>
      <c r="AU89" s="51"/>
      <c r="AV89" s="51"/>
      <c r="AW89" s="50"/>
      <c r="AX89" s="50"/>
      <c r="AY89" s="50"/>
      <c r="AZ89" s="50"/>
      <c r="BA89" s="50"/>
      <c r="BB89" s="50"/>
      <c r="BC89" s="43">
        <v>239</v>
      </c>
      <c r="BD89" s="43">
        <v>649</v>
      </c>
      <c r="BE89" s="43">
        <v>189</v>
      </c>
      <c r="BF89" s="43">
        <v>691</v>
      </c>
      <c r="BG89" s="43">
        <v>225</v>
      </c>
      <c r="BH89" s="43">
        <v>645</v>
      </c>
      <c r="BI89" s="43">
        <v>275</v>
      </c>
      <c r="BJ89" s="43">
        <v>598</v>
      </c>
      <c r="BK89" s="43">
        <v>642</v>
      </c>
      <c r="BL89" s="43">
        <v>227</v>
      </c>
      <c r="BM89" s="43">
        <v>184</v>
      </c>
      <c r="BN89" s="43">
        <v>686</v>
      </c>
      <c r="BO89" s="43">
        <v>613</v>
      </c>
      <c r="BP89" s="43">
        <v>236</v>
      </c>
      <c r="BQ89" s="43">
        <v>279</v>
      </c>
      <c r="BR89" s="43">
        <v>567</v>
      </c>
      <c r="BS89" s="43">
        <v>402</v>
      </c>
      <c r="BT89" s="43">
        <v>166</v>
      </c>
      <c r="BU89" s="43">
        <v>699</v>
      </c>
      <c r="BV89" s="43">
        <v>483</v>
      </c>
      <c r="BW89" s="43">
        <v>290</v>
      </c>
      <c r="BX89" s="43">
        <v>435</v>
      </c>
      <c r="BY89" s="43">
        <v>254</v>
      </c>
      <c r="BZ89" s="43">
        <v>511</v>
      </c>
      <c r="CA89" s="43">
        <v>416</v>
      </c>
      <c r="CB89" s="43">
        <v>172</v>
      </c>
      <c r="CC89" s="43">
        <v>529</v>
      </c>
      <c r="CD89" s="43">
        <v>520</v>
      </c>
      <c r="CE89" s="43">
        <v>503</v>
      </c>
      <c r="CF89" s="43">
        <v>212</v>
      </c>
      <c r="CG89" s="43">
        <v>238</v>
      </c>
      <c r="CH89" s="43">
        <v>455</v>
      </c>
      <c r="CI89" s="43">
        <v>382</v>
      </c>
      <c r="CJ89" s="43">
        <v>305</v>
      </c>
      <c r="CK89" s="43">
        <v>257</v>
      </c>
      <c r="CL89" s="43">
        <v>437</v>
      </c>
      <c r="CM89" s="43">
        <v>386</v>
      </c>
      <c r="CN89" s="43">
        <v>401</v>
      </c>
      <c r="CO89" s="43">
        <v>419</v>
      </c>
      <c r="CP89" s="43">
        <v>285</v>
      </c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43">
        <v>577</v>
      </c>
      <c r="FZ89" s="43">
        <v>331</v>
      </c>
      <c r="GA89" s="53"/>
      <c r="GB89" s="53"/>
      <c r="GC89" s="53"/>
      <c r="GD89" s="53"/>
      <c r="GE89" s="53"/>
      <c r="GF89" s="53"/>
      <c r="GG89" s="53"/>
      <c r="GH89" s="53"/>
      <c r="GI89" s="43"/>
      <c r="GJ89" s="53"/>
      <c r="GK89" s="53"/>
      <c r="GL89" s="53"/>
      <c r="GM89" s="53"/>
      <c r="GN89" s="53"/>
      <c r="GO89" s="43">
        <v>698</v>
      </c>
      <c r="GP89" s="43">
        <v>208</v>
      </c>
      <c r="GQ89" s="43">
        <v>707</v>
      </c>
      <c r="GR89" s="43">
        <v>202</v>
      </c>
    </row>
    <row r="90" spans="1:200">
      <c r="A90" s="5">
        <v>1402</v>
      </c>
      <c r="B90" s="1" t="s">
        <v>218</v>
      </c>
      <c r="C90" s="33">
        <v>1257</v>
      </c>
      <c r="D90" s="34">
        <v>874</v>
      </c>
      <c r="E90" s="19">
        <f t="shared" si="1"/>
        <v>0.69530628480509149</v>
      </c>
      <c r="F90" s="62">
        <v>801</v>
      </c>
      <c r="G90" s="43">
        <v>2</v>
      </c>
      <c r="H90" s="43">
        <v>12</v>
      </c>
      <c r="I90" s="43">
        <v>13</v>
      </c>
      <c r="J90" s="55">
        <v>38</v>
      </c>
      <c r="K90" s="6">
        <v>0</v>
      </c>
      <c r="L90" s="6">
        <v>0</v>
      </c>
      <c r="M90" s="43">
        <v>0</v>
      </c>
      <c r="N90" s="25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4">
        <v>0</v>
      </c>
      <c r="AB90" s="44">
        <v>0</v>
      </c>
      <c r="AC90" s="44">
        <v>7</v>
      </c>
      <c r="AD90" s="44">
        <v>21</v>
      </c>
      <c r="AE90" s="44">
        <v>97</v>
      </c>
      <c r="AF90" s="44">
        <v>9</v>
      </c>
      <c r="AG90" s="44">
        <v>0</v>
      </c>
      <c r="AH90" s="44">
        <v>700</v>
      </c>
      <c r="AI90" s="32"/>
      <c r="AJ90" s="32"/>
      <c r="AK90" s="32"/>
      <c r="AL90" s="32"/>
      <c r="AM90" s="44">
        <v>39</v>
      </c>
      <c r="AN90" s="44">
        <v>720</v>
      </c>
      <c r="AO90" s="44">
        <v>63</v>
      </c>
      <c r="AP90" s="48"/>
      <c r="AQ90" s="48"/>
      <c r="AR90" s="51"/>
      <c r="AS90" s="51"/>
      <c r="AT90" s="51"/>
      <c r="AU90" s="51"/>
      <c r="AV90" s="51"/>
      <c r="AW90" s="50"/>
      <c r="AX90" s="50"/>
      <c r="AY90" s="50"/>
      <c r="AZ90" s="50"/>
      <c r="BA90" s="50"/>
      <c r="BB90" s="50"/>
      <c r="BC90" s="43">
        <v>43</v>
      </c>
      <c r="BD90" s="43">
        <v>810</v>
      </c>
      <c r="BE90" s="43">
        <v>47</v>
      </c>
      <c r="BF90" s="43">
        <v>783</v>
      </c>
      <c r="BG90" s="43">
        <v>65</v>
      </c>
      <c r="BH90" s="43">
        <v>763</v>
      </c>
      <c r="BI90" s="43">
        <v>81</v>
      </c>
      <c r="BJ90" s="43">
        <v>747</v>
      </c>
      <c r="BK90" s="43">
        <v>734</v>
      </c>
      <c r="BL90" s="43">
        <v>91</v>
      </c>
      <c r="BM90" s="43">
        <v>49</v>
      </c>
      <c r="BN90" s="43">
        <v>773</v>
      </c>
      <c r="BO90" s="43">
        <v>744</v>
      </c>
      <c r="BP90" s="43">
        <v>77</v>
      </c>
      <c r="BQ90" s="43">
        <v>94</v>
      </c>
      <c r="BR90" s="43">
        <v>727</v>
      </c>
      <c r="BS90" s="43">
        <v>245</v>
      </c>
      <c r="BT90" s="43">
        <v>47</v>
      </c>
      <c r="BU90" s="43">
        <v>785</v>
      </c>
      <c r="BV90" s="43">
        <v>376</v>
      </c>
      <c r="BW90" s="43">
        <v>172</v>
      </c>
      <c r="BX90" s="43">
        <v>506</v>
      </c>
      <c r="BY90" s="43">
        <v>186</v>
      </c>
      <c r="BZ90" s="43">
        <v>552</v>
      </c>
      <c r="CA90" s="43">
        <v>308</v>
      </c>
      <c r="CB90" s="43">
        <v>94</v>
      </c>
      <c r="CC90" s="43">
        <v>594</v>
      </c>
      <c r="CD90" s="43">
        <v>515</v>
      </c>
      <c r="CE90" s="43">
        <v>564</v>
      </c>
      <c r="CF90" s="43">
        <v>122</v>
      </c>
      <c r="CG90" s="43">
        <v>153</v>
      </c>
      <c r="CH90" s="43">
        <v>503</v>
      </c>
      <c r="CI90" s="43">
        <v>493</v>
      </c>
      <c r="CJ90" s="43">
        <v>201</v>
      </c>
      <c r="CK90" s="43">
        <v>224</v>
      </c>
      <c r="CL90" s="43">
        <v>490</v>
      </c>
      <c r="CM90" s="43">
        <v>310</v>
      </c>
      <c r="CN90" s="43">
        <v>346</v>
      </c>
      <c r="CO90" s="43">
        <v>514</v>
      </c>
      <c r="CP90" s="43">
        <v>196</v>
      </c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43">
        <v>593</v>
      </c>
      <c r="FZ90" s="43">
        <v>236</v>
      </c>
      <c r="GA90" s="53"/>
      <c r="GB90" s="53"/>
      <c r="GC90" s="53"/>
      <c r="GD90" s="53"/>
      <c r="GE90" s="53"/>
      <c r="GF90" s="53"/>
      <c r="GG90" s="53"/>
      <c r="GH90" s="53"/>
      <c r="GI90" s="43"/>
      <c r="GJ90" s="53"/>
      <c r="GK90" s="53"/>
      <c r="GL90" s="53"/>
      <c r="GM90" s="53"/>
      <c r="GN90" s="53"/>
      <c r="GO90" s="43">
        <v>551</v>
      </c>
      <c r="GP90" s="43">
        <v>260</v>
      </c>
      <c r="GQ90" s="43">
        <v>626</v>
      </c>
      <c r="GR90" s="43">
        <v>183</v>
      </c>
    </row>
    <row r="91" spans="1:200">
      <c r="A91" s="5">
        <v>1403</v>
      </c>
      <c r="B91" s="1" t="s">
        <v>219</v>
      </c>
      <c r="C91" s="33">
        <v>498</v>
      </c>
      <c r="D91" s="34">
        <v>420</v>
      </c>
      <c r="E91" s="19">
        <f t="shared" si="1"/>
        <v>0.84337349397590367</v>
      </c>
      <c r="F91" s="62">
        <v>285</v>
      </c>
      <c r="G91" s="43">
        <v>0</v>
      </c>
      <c r="H91" s="43">
        <v>18</v>
      </c>
      <c r="I91" s="43">
        <v>9</v>
      </c>
      <c r="J91" s="55">
        <v>95</v>
      </c>
      <c r="K91" s="6">
        <v>0</v>
      </c>
      <c r="L91" s="6">
        <v>0</v>
      </c>
      <c r="M91" s="43">
        <v>0</v>
      </c>
      <c r="N91" s="25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  <c r="V91" s="43">
        <v>0</v>
      </c>
      <c r="W91" s="43">
        <v>2</v>
      </c>
      <c r="X91" s="43">
        <v>0</v>
      </c>
      <c r="Y91" s="43">
        <v>0</v>
      </c>
      <c r="Z91" s="43">
        <v>0</v>
      </c>
      <c r="AA91" s="44">
        <v>0</v>
      </c>
      <c r="AB91" s="44">
        <v>0</v>
      </c>
      <c r="AC91" s="44">
        <v>4</v>
      </c>
      <c r="AD91" s="44">
        <v>8</v>
      </c>
      <c r="AE91" s="44">
        <v>187</v>
      </c>
      <c r="AF91" s="44">
        <v>1</v>
      </c>
      <c r="AG91" s="44">
        <v>0</v>
      </c>
      <c r="AH91" s="44">
        <v>204</v>
      </c>
      <c r="AI91" s="32"/>
      <c r="AJ91" s="32"/>
      <c r="AK91" s="32"/>
      <c r="AL91" s="32"/>
      <c r="AM91" s="44">
        <v>27</v>
      </c>
      <c r="AN91" s="44">
        <v>180</v>
      </c>
      <c r="AO91" s="44">
        <v>165</v>
      </c>
      <c r="AP91" s="48"/>
      <c r="AQ91" s="48"/>
      <c r="AR91" s="51"/>
      <c r="AS91" s="51"/>
      <c r="AT91" s="51"/>
      <c r="AU91" s="51"/>
      <c r="AV91" s="51"/>
      <c r="AW91" s="50"/>
      <c r="AX91" s="50"/>
      <c r="AY91" s="50"/>
      <c r="AZ91" s="50"/>
      <c r="BA91" s="50"/>
      <c r="BB91" s="50"/>
      <c r="BC91" s="43">
        <v>151</v>
      </c>
      <c r="BD91" s="43">
        <v>231</v>
      </c>
      <c r="BE91" s="43">
        <v>114</v>
      </c>
      <c r="BF91" s="43">
        <v>270</v>
      </c>
      <c r="BG91" s="43">
        <v>145</v>
      </c>
      <c r="BH91" s="43">
        <v>240</v>
      </c>
      <c r="BI91" s="43">
        <v>189</v>
      </c>
      <c r="BJ91" s="43">
        <v>192</v>
      </c>
      <c r="BK91" s="43">
        <v>254</v>
      </c>
      <c r="BL91" s="43">
        <v>128</v>
      </c>
      <c r="BM91" s="43">
        <v>116</v>
      </c>
      <c r="BN91" s="43">
        <v>258</v>
      </c>
      <c r="BO91" s="43">
        <v>211</v>
      </c>
      <c r="BP91" s="43">
        <v>149</v>
      </c>
      <c r="BQ91" s="43">
        <v>165</v>
      </c>
      <c r="BR91" s="43">
        <v>198</v>
      </c>
      <c r="BS91" s="43">
        <v>216</v>
      </c>
      <c r="BT91" s="43">
        <v>95</v>
      </c>
      <c r="BU91" s="43">
        <v>273</v>
      </c>
      <c r="BV91" s="43">
        <v>212</v>
      </c>
      <c r="BW91" s="43">
        <v>190</v>
      </c>
      <c r="BX91" s="43">
        <v>135</v>
      </c>
      <c r="BY91" s="43">
        <v>142</v>
      </c>
      <c r="BZ91" s="43">
        <v>191</v>
      </c>
      <c r="CA91" s="43">
        <v>184</v>
      </c>
      <c r="CB91" s="43">
        <v>107</v>
      </c>
      <c r="CC91" s="43">
        <v>185</v>
      </c>
      <c r="CD91" s="43">
        <v>217</v>
      </c>
      <c r="CE91" s="43">
        <v>193</v>
      </c>
      <c r="CF91" s="43">
        <v>116</v>
      </c>
      <c r="CG91" s="43">
        <v>140</v>
      </c>
      <c r="CH91" s="43">
        <v>163</v>
      </c>
      <c r="CI91" s="43">
        <v>125</v>
      </c>
      <c r="CJ91" s="43">
        <v>169</v>
      </c>
      <c r="CK91" s="43">
        <v>123</v>
      </c>
      <c r="CL91" s="43">
        <v>180</v>
      </c>
      <c r="CM91" s="43">
        <v>172</v>
      </c>
      <c r="CN91" s="43">
        <v>173</v>
      </c>
      <c r="CO91" s="43">
        <v>142</v>
      </c>
      <c r="CP91" s="43">
        <v>140</v>
      </c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43">
        <v>242</v>
      </c>
      <c r="FZ91" s="43">
        <v>159</v>
      </c>
      <c r="GA91" s="53"/>
      <c r="GB91" s="53"/>
      <c r="GC91" s="53"/>
      <c r="GD91" s="53"/>
      <c r="GE91" s="53"/>
      <c r="GF91" s="53"/>
      <c r="GG91" s="53"/>
      <c r="GH91" s="53"/>
      <c r="GI91" s="43"/>
      <c r="GJ91" s="53"/>
      <c r="GK91" s="53"/>
      <c r="GL91" s="53"/>
      <c r="GM91" s="53"/>
      <c r="GN91" s="53"/>
      <c r="GO91" s="43">
        <v>326</v>
      </c>
      <c r="GP91" s="43">
        <v>79</v>
      </c>
      <c r="GQ91" s="43">
        <v>339</v>
      </c>
      <c r="GR91" s="43">
        <v>58</v>
      </c>
    </row>
    <row r="92" spans="1:200">
      <c r="A92" s="5">
        <v>1404</v>
      </c>
      <c r="B92" s="1" t="s">
        <v>220</v>
      </c>
      <c r="C92" s="33">
        <v>1487</v>
      </c>
      <c r="D92" s="34">
        <v>1111</v>
      </c>
      <c r="E92" s="19">
        <f t="shared" si="1"/>
        <v>0.74714189643577678</v>
      </c>
      <c r="F92" s="62">
        <v>930</v>
      </c>
      <c r="G92" s="43">
        <v>3</v>
      </c>
      <c r="H92" s="43">
        <v>18</v>
      </c>
      <c r="I92" s="43">
        <v>8</v>
      </c>
      <c r="J92" s="55">
        <v>128</v>
      </c>
      <c r="K92" s="6">
        <v>0</v>
      </c>
      <c r="L92" s="6">
        <v>0</v>
      </c>
      <c r="M92" s="43">
        <v>0</v>
      </c>
      <c r="N92" s="25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3</v>
      </c>
      <c r="X92" s="43">
        <v>0</v>
      </c>
      <c r="Y92" s="43">
        <v>0</v>
      </c>
      <c r="Z92" s="43">
        <v>0</v>
      </c>
      <c r="AA92" s="44">
        <v>0</v>
      </c>
      <c r="AB92" s="44">
        <v>0</v>
      </c>
      <c r="AC92" s="44">
        <v>15</v>
      </c>
      <c r="AD92" s="44">
        <v>11</v>
      </c>
      <c r="AE92" s="44">
        <v>257</v>
      </c>
      <c r="AF92" s="44">
        <v>11</v>
      </c>
      <c r="AG92" s="44">
        <v>0</v>
      </c>
      <c r="AH92" s="44">
        <v>777</v>
      </c>
      <c r="AI92" s="32"/>
      <c r="AJ92" s="32"/>
      <c r="AK92" s="32"/>
      <c r="AL92" s="32"/>
      <c r="AM92" s="44">
        <v>67</v>
      </c>
      <c r="AN92" s="44">
        <v>747</v>
      </c>
      <c r="AO92" s="44">
        <v>212</v>
      </c>
      <c r="AP92" s="48"/>
      <c r="AQ92" s="48"/>
      <c r="AR92" s="51"/>
      <c r="AS92" s="51"/>
      <c r="AT92" s="51"/>
      <c r="AU92" s="51"/>
      <c r="AV92" s="51"/>
      <c r="AW92" s="50"/>
      <c r="AX92" s="50"/>
      <c r="AY92" s="50"/>
      <c r="AZ92" s="50"/>
      <c r="BA92" s="50"/>
      <c r="BB92" s="50"/>
      <c r="BC92" s="43">
        <v>162</v>
      </c>
      <c r="BD92" s="43">
        <v>904</v>
      </c>
      <c r="BE92" s="43">
        <v>131</v>
      </c>
      <c r="BF92" s="43">
        <v>926</v>
      </c>
      <c r="BG92" s="43">
        <v>188</v>
      </c>
      <c r="BH92" s="43">
        <v>870</v>
      </c>
      <c r="BI92" s="43">
        <v>247</v>
      </c>
      <c r="BJ92" s="43">
        <v>804</v>
      </c>
      <c r="BK92" s="43">
        <v>838</v>
      </c>
      <c r="BL92" s="43">
        <v>194</v>
      </c>
      <c r="BM92" s="43">
        <v>135</v>
      </c>
      <c r="BN92" s="43">
        <v>899</v>
      </c>
      <c r="BO92" s="43">
        <v>841</v>
      </c>
      <c r="BP92" s="43">
        <v>179</v>
      </c>
      <c r="BQ92" s="43">
        <v>248</v>
      </c>
      <c r="BR92" s="43">
        <v>783</v>
      </c>
      <c r="BS92" s="43">
        <v>398</v>
      </c>
      <c r="BT92" s="43">
        <v>114</v>
      </c>
      <c r="BU92" s="43">
        <v>942</v>
      </c>
      <c r="BV92" s="43">
        <v>553</v>
      </c>
      <c r="BW92" s="43">
        <v>324</v>
      </c>
      <c r="BX92" s="43">
        <v>555</v>
      </c>
      <c r="BY92" s="43">
        <v>269</v>
      </c>
      <c r="BZ92" s="43">
        <v>688</v>
      </c>
      <c r="CA92" s="43">
        <v>480</v>
      </c>
      <c r="CB92" s="43">
        <v>180</v>
      </c>
      <c r="CC92" s="43">
        <v>688</v>
      </c>
      <c r="CD92" s="43">
        <v>650</v>
      </c>
      <c r="CE92" s="43">
        <v>678</v>
      </c>
      <c r="CF92" s="43">
        <v>216</v>
      </c>
      <c r="CG92" s="43">
        <v>262</v>
      </c>
      <c r="CH92" s="43">
        <v>574</v>
      </c>
      <c r="CI92" s="43">
        <v>529</v>
      </c>
      <c r="CJ92" s="43">
        <v>335</v>
      </c>
      <c r="CK92" s="43">
        <v>328</v>
      </c>
      <c r="CL92" s="43">
        <v>563</v>
      </c>
      <c r="CM92" s="43">
        <v>449</v>
      </c>
      <c r="CN92" s="43">
        <v>501</v>
      </c>
      <c r="CO92" s="43">
        <v>570</v>
      </c>
      <c r="CP92" s="43">
        <v>313</v>
      </c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43">
        <v>737</v>
      </c>
      <c r="FZ92" s="43">
        <v>327</v>
      </c>
      <c r="GA92" s="53"/>
      <c r="GB92" s="53"/>
      <c r="GC92" s="53"/>
      <c r="GD92" s="53"/>
      <c r="GE92" s="53"/>
      <c r="GF92" s="53"/>
      <c r="GG92" s="53"/>
      <c r="GH92" s="53"/>
      <c r="GI92" s="43"/>
      <c r="GJ92" s="53"/>
      <c r="GK92" s="53"/>
      <c r="GL92" s="53"/>
      <c r="GM92" s="53"/>
      <c r="GN92" s="53"/>
      <c r="GO92" s="43">
        <v>785</v>
      </c>
      <c r="GP92" s="43">
        <v>270</v>
      </c>
      <c r="GQ92" s="43">
        <v>867</v>
      </c>
      <c r="GR92" s="43">
        <v>194</v>
      </c>
    </row>
    <row r="93" spans="1:200">
      <c r="A93" s="5">
        <v>1405</v>
      </c>
      <c r="B93" s="1" t="s">
        <v>221</v>
      </c>
      <c r="C93" s="33">
        <v>1313</v>
      </c>
      <c r="D93" s="34">
        <v>934</v>
      </c>
      <c r="E93" s="19">
        <f t="shared" si="1"/>
        <v>0.71134805788271138</v>
      </c>
      <c r="F93" s="62">
        <v>790</v>
      </c>
      <c r="G93" s="43">
        <v>3</v>
      </c>
      <c r="H93" s="43">
        <v>11</v>
      </c>
      <c r="I93" s="43">
        <v>9</v>
      </c>
      <c r="J93" s="55">
        <v>109</v>
      </c>
      <c r="K93" s="6">
        <v>0</v>
      </c>
      <c r="L93" s="6">
        <v>0</v>
      </c>
      <c r="M93" s="43">
        <v>0</v>
      </c>
      <c r="N93" s="25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  <c r="V93" s="43">
        <v>0</v>
      </c>
      <c r="W93" s="43">
        <v>4</v>
      </c>
      <c r="X93" s="43">
        <v>0</v>
      </c>
      <c r="Y93" s="43">
        <v>0</v>
      </c>
      <c r="Z93" s="43">
        <v>0</v>
      </c>
      <c r="AA93" s="44">
        <v>0</v>
      </c>
      <c r="AB93" s="44">
        <v>0</v>
      </c>
      <c r="AC93" s="44">
        <v>3</v>
      </c>
      <c r="AD93" s="44">
        <v>18</v>
      </c>
      <c r="AE93" s="44">
        <v>183</v>
      </c>
      <c r="AF93" s="44">
        <v>4</v>
      </c>
      <c r="AG93" s="44">
        <v>0</v>
      </c>
      <c r="AH93" s="44">
        <v>694</v>
      </c>
      <c r="AI93" s="32"/>
      <c r="AJ93" s="32"/>
      <c r="AK93" s="32"/>
      <c r="AL93" s="32"/>
      <c r="AM93" s="44">
        <v>64</v>
      </c>
      <c r="AN93" s="44">
        <v>650</v>
      </c>
      <c r="AO93" s="44">
        <v>152</v>
      </c>
      <c r="AP93" s="48"/>
      <c r="AQ93" s="48"/>
      <c r="AR93" s="51"/>
      <c r="AS93" s="51"/>
      <c r="AT93" s="51"/>
      <c r="AU93" s="51"/>
      <c r="AV93" s="51"/>
      <c r="AW93" s="50"/>
      <c r="AX93" s="50"/>
      <c r="AY93" s="50"/>
      <c r="AZ93" s="50"/>
      <c r="BA93" s="50"/>
      <c r="BB93" s="50"/>
      <c r="BC93" s="43">
        <v>135</v>
      </c>
      <c r="BD93" s="43">
        <v>762</v>
      </c>
      <c r="BE93" s="43">
        <v>108</v>
      </c>
      <c r="BF93" s="43">
        <v>779</v>
      </c>
      <c r="BG93" s="43">
        <v>148</v>
      </c>
      <c r="BH93" s="43">
        <v>745</v>
      </c>
      <c r="BI93" s="43">
        <v>190</v>
      </c>
      <c r="BJ93" s="43">
        <v>692</v>
      </c>
      <c r="BK93" s="43">
        <v>731</v>
      </c>
      <c r="BL93" s="43">
        <v>152</v>
      </c>
      <c r="BM93" s="43">
        <v>101</v>
      </c>
      <c r="BN93" s="43">
        <v>777</v>
      </c>
      <c r="BO93" s="43">
        <v>711</v>
      </c>
      <c r="BP93" s="43">
        <v>147</v>
      </c>
      <c r="BQ93" s="43">
        <v>183</v>
      </c>
      <c r="BR93" s="43">
        <v>685</v>
      </c>
      <c r="BS93" s="43">
        <v>357</v>
      </c>
      <c r="BT93" s="43">
        <v>87</v>
      </c>
      <c r="BU93" s="43">
        <v>791</v>
      </c>
      <c r="BV93" s="43">
        <v>443</v>
      </c>
      <c r="BW93" s="43">
        <v>254</v>
      </c>
      <c r="BX93" s="43">
        <v>469</v>
      </c>
      <c r="BY93" s="43">
        <v>219</v>
      </c>
      <c r="BZ93" s="43">
        <v>564</v>
      </c>
      <c r="CA93" s="43">
        <v>388</v>
      </c>
      <c r="CB93" s="43">
        <v>148</v>
      </c>
      <c r="CC93" s="43">
        <v>588</v>
      </c>
      <c r="CD93" s="43">
        <v>540</v>
      </c>
      <c r="CE93" s="43">
        <v>586</v>
      </c>
      <c r="CF93" s="43">
        <v>154</v>
      </c>
      <c r="CG93" s="43">
        <v>193</v>
      </c>
      <c r="CH93" s="43">
        <v>507</v>
      </c>
      <c r="CI93" s="43">
        <v>436</v>
      </c>
      <c r="CJ93" s="43">
        <v>297</v>
      </c>
      <c r="CK93" s="43">
        <v>271</v>
      </c>
      <c r="CL93" s="43">
        <v>476</v>
      </c>
      <c r="CM93" s="43">
        <v>352</v>
      </c>
      <c r="CN93" s="43">
        <v>408</v>
      </c>
      <c r="CO93" s="43">
        <v>466</v>
      </c>
      <c r="CP93" s="43">
        <v>273</v>
      </c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43">
        <v>617</v>
      </c>
      <c r="FZ93" s="43">
        <v>267</v>
      </c>
      <c r="GA93" s="53"/>
      <c r="GB93" s="53"/>
      <c r="GC93" s="53"/>
      <c r="GD93" s="53"/>
      <c r="GE93" s="53"/>
      <c r="GF93" s="53"/>
      <c r="GG93" s="53"/>
      <c r="GH93" s="53"/>
      <c r="GI93" s="43"/>
      <c r="GJ93" s="53"/>
      <c r="GK93" s="53"/>
      <c r="GL93" s="53"/>
      <c r="GM93" s="53"/>
      <c r="GN93" s="53"/>
      <c r="GO93" s="43">
        <v>668</v>
      </c>
      <c r="GP93" s="43">
        <v>211</v>
      </c>
      <c r="GQ93" s="43">
        <v>716</v>
      </c>
      <c r="GR93" s="43">
        <v>167</v>
      </c>
    </row>
    <row r="94" spans="1:200">
      <c r="A94" s="5">
        <v>1406</v>
      </c>
      <c r="B94" s="1" t="s">
        <v>222</v>
      </c>
      <c r="C94" s="33">
        <v>958</v>
      </c>
      <c r="D94" s="34">
        <v>777</v>
      </c>
      <c r="E94" s="19">
        <f t="shared" si="1"/>
        <v>0.8110647181628392</v>
      </c>
      <c r="F94" s="62">
        <v>675</v>
      </c>
      <c r="G94" s="43">
        <v>3</v>
      </c>
      <c r="H94" s="43">
        <v>8</v>
      </c>
      <c r="I94" s="43">
        <v>4</v>
      </c>
      <c r="J94" s="55">
        <v>77</v>
      </c>
      <c r="K94" s="6">
        <v>0</v>
      </c>
      <c r="L94" s="6">
        <v>0</v>
      </c>
      <c r="M94" s="43">
        <v>0</v>
      </c>
      <c r="N94" s="25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1</v>
      </c>
      <c r="X94" s="43">
        <v>0</v>
      </c>
      <c r="Y94" s="43">
        <v>0</v>
      </c>
      <c r="Z94" s="43">
        <v>0</v>
      </c>
      <c r="AA94" s="44">
        <v>0</v>
      </c>
      <c r="AB94" s="44">
        <v>0</v>
      </c>
      <c r="AC94" s="44">
        <v>5</v>
      </c>
      <c r="AD94" s="44">
        <v>12</v>
      </c>
      <c r="AE94" s="44">
        <v>142</v>
      </c>
      <c r="AF94" s="44">
        <v>8</v>
      </c>
      <c r="AG94" s="44">
        <v>0</v>
      </c>
      <c r="AH94" s="44">
        <v>575</v>
      </c>
      <c r="AI94" s="32"/>
      <c r="AJ94" s="32"/>
      <c r="AK94" s="32"/>
      <c r="AL94" s="32"/>
      <c r="AM94" s="44">
        <v>41</v>
      </c>
      <c r="AN94" s="44">
        <v>558</v>
      </c>
      <c r="AO94" s="44">
        <v>119</v>
      </c>
      <c r="AP94" s="48"/>
      <c r="AQ94" s="48"/>
      <c r="AR94" s="51"/>
      <c r="AS94" s="51"/>
      <c r="AT94" s="51"/>
      <c r="AU94" s="51"/>
      <c r="AV94" s="51"/>
      <c r="AW94" s="50"/>
      <c r="AX94" s="50"/>
      <c r="AY94" s="50"/>
      <c r="AZ94" s="50"/>
      <c r="BA94" s="50"/>
      <c r="BB94" s="50"/>
      <c r="BC94" s="43">
        <v>94</v>
      </c>
      <c r="BD94" s="43">
        <v>654</v>
      </c>
      <c r="BE94" s="43">
        <v>87</v>
      </c>
      <c r="BF94" s="43">
        <v>660</v>
      </c>
      <c r="BG94" s="43">
        <v>112</v>
      </c>
      <c r="BH94" s="43">
        <v>631</v>
      </c>
      <c r="BI94" s="43">
        <v>157</v>
      </c>
      <c r="BJ94" s="43">
        <v>584</v>
      </c>
      <c r="BK94" s="43">
        <v>634</v>
      </c>
      <c r="BL94" s="43">
        <v>103</v>
      </c>
      <c r="BM94" s="43">
        <v>79</v>
      </c>
      <c r="BN94" s="43">
        <v>646</v>
      </c>
      <c r="BO94" s="43">
        <v>621</v>
      </c>
      <c r="BP94" s="43">
        <v>105</v>
      </c>
      <c r="BQ94" s="43">
        <v>160</v>
      </c>
      <c r="BR94" s="43">
        <v>566</v>
      </c>
      <c r="BS94" s="43">
        <v>260</v>
      </c>
      <c r="BT94" s="43">
        <v>66</v>
      </c>
      <c r="BU94" s="43">
        <v>668</v>
      </c>
      <c r="BV94" s="43">
        <v>354</v>
      </c>
      <c r="BW94" s="43">
        <v>198</v>
      </c>
      <c r="BX94" s="43">
        <v>381</v>
      </c>
      <c r="BY94" s="43">
        <v>181</v>
      </c>
      <c r="BZ94" s="43">
        <v>466</v>
      </c>
      <c r="CA94" s="43">
        <v>318</v>
      </c>
      <c r="CB94" s="43">
        <v>107</v>
      </c>
      <c r="CC94" s="43">
        <v>480</v>
      </c>
      <c r="CD94" s="43">
        <v>441</v>
      </c>
      <c r="CE94" s="43">
        <v>458</v>
      </c>
      <c r="CF94" s="43">
        <v>143</v>
      </c>
      <c r="CG94" s="43">
        <v>153</v>
      </c>
      <c r="CH94" s="43">
        <v>426</v>
      </c>
      <c r="CI94" s="43">
        <v>366</v>
      </c>
      <c r="CJ94" s="43">
        <v>228</v>
      </c>
      <c r="CK94" s="43">
        <v>222</v>
      </c>
      <c r="CL94" s="43">
        <v>382</v>
      </c>
      <c r="CM94" s="43">
        <v>279</v>
      </c>
      <c r="CN94" s="43">
        <v>312</v>
      </c>
      <c r="CO94" s="43">
        <v>409</v>
      </c>
      <c r="CP94" s="43">
        <v>196</v>
      </c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43">
        <v>480</v>
      </c>
      <c r="FZ94" s="43">
        <v>266</v>
      </c>
      <c r="GA94" s="53"/>
      <c r="GB94" s="53"/>
      <c r="GC94" s="53"/>
      <c r="GD94" s="53"/>
      <c r="GE94" s="53"/>
      <c r="GF94" s="53"/>
      <c r="GG94" s="53"/>
      <c r="GH94" s="53"/>
      <c r="GI94" s="43"/>
      <c r="GJ94" s="53"/>
      <c r="GK94" s="53"/>
      <c r="GL94" s="53"/>
      <c r="GM94" s="53"/>
      <c r="GN94" s="53"/>
      <c r="GO94" s="43">
        <v>498</v>
      </c>
      <c r="GP94" s="43">
        <v>234</v>
      </c>
      <c r="GQ94" s="43">
        <v>573</v>
      </c>
      <c r="GR94" s="43">
        <v>163</v>
      </c>
    </row>
    <row r="95" spans="1:200">
      <c r="A95" s="5">
        <v>1407</v>
      </c>
      <c r="B95" s="1" t="s">
        <v>223</v>
      </c>
      <c r="C95" s="33">
        <v>1064</v>
      </c>
      <c r="D95" s="34">
        <v>861</v>
      </c>
      <c r="E95" s="19">
        <f t="shared" si="1"/>
        <v>0.80921052631578949</v>
      </c>
      <c r="F95" s="62">
        <v>624</v>
      </c>
      <c r="G95" s="43">
        <v>6</v>
      </c>
      <c r="H95" s="43">
        <v>42</v>
      </c>
      <c r="I95" s="43">
        <v>12</v>
      </c>
      <c r="J95" s="55">
        <v>147</v>
      </c>
      <c r="K95" s="6">
        <v>0</v>
      </c>
      <c r="L95" s="6">
        <v>0</v>
      </c>
      <c r="M95" s="43">
        <v>0</v>
      </c>
      <c r="N95" s="25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11</v>
      </c>
      <c r="X95" s="43">
        <v>0</v>
      </c>
      <c r="Y95" s="43">
        <v>0</v>
      </c>
      <c r="Z95" s="43">
        <v>0</v>
      </c>
      <c r="AA95" s="44">
        <v>0</v>
      </c>
      <c r="AB95" s="44">
        <v>0</v>
      </c>
      <c r="AC95" s="44">
        <v>3</v>
      </c>
      <c r="AD95" s="44">
        <v>23</v>
      </c>
      <c r="AE95" s="44">
        <v>289</v>
      </c>
      <c r="AF95" s="44">
        <v>5</v>
      </c>
      <c r="AG95" s="44">
        <v>0</v>
      </c>
      <c r="AH95" s="44">
        <v>510</v>
      </c>
      <c r="AI95" s="32"/>
      <c r="AJ95" s="32"/>
      <c r="AK95" s="32"/>
      <c r="AL95" s="32"/>
      <c r="AM95" s="44">
        <v>65</v>
      </c>
      <c r="AN95" s="44">
        <v>447</v>
      </c>
      <c r="AO95" s="44">
        <v>283</v>
      </c>
      <c r="AP95" s="48"/>
      <c r="AQ95" s="48"/>
      <c r="AR95" s="51"/>
      <c r="AS95" s="51"/>
      <c r="AT95" s="51"/>
      <c r="AU95" s="51"/>
      <c r="AV95" s="51"/>
      <c r="AW95" s="50"/>
      <c r="AX95" s="50"/>
      <c r="AY95" s="50"/>
      <c r="AZ95" s="50"/>
      <c r="BA95" s="50"/>
      <c r="BB95" s="50"/>
      <c r="BC95" s="43">
        <v>242</v>
      </c>
      <c r="BD95" s="43">
        <v>563</v>
      </c>
      <c r="BE95" s="43">
        <v>205</v>
      </c>
      <c r="BF95" s="43">
        <v>606</v>
      </c>
      <c r="BG95" s="43">
        <v>242</v>
      </c>
      <c r="BH95" s="43">
        <v>566</v>
      </c>
      <c r="BI95" s="43">
        <v>302</v>
      </c>
      <c r="BJ95" s="43">
        <v>500</v>
      </c>
      <c r="BK95" s="43">
        <v>600</v>
      </c>
      <c r="BL95" s="43">
        <v>210</v>
      </c>
      <c r="BM95" s="43">
        <v>195</v>
      </c>
      <c r="BN95" s="43">
        <v>600</v>
      </c>
      <c r="BO95" s="43">
        <v>533</v>
      </c>
      <c r="BP95" s="43">
        <v>236</v>
      </c>
      <c r="BQ95" s="43">
        <v>288</v>
      </c>
      <c r="BR95" s="43">
        <v>479</v>
      </c>
      <c r="BS95" s="43">
        <v>431</v>
      </c>
      <c r="BT95" s="43">
        <v>176</v>
      </c>
      <c r="BU95" s="43">
        <v>607</v>
      </c>
      <c r="BV95" s="43">
        <v>488</v>
      </c>
      <c r="BW95" s="43">
        <v>294</v>
      </c>
      <c r="BX95" s="43">
        <v>359</v>
      </c>
      <c r="BY95" s="43">
        <v>262</v>
      </c>
      <c r="BZ95" s="43">
        <v>434</v>
      </c>
      <c r="CA95" s="43">
        <v>418</v>
      </c>
      <c r="CB95" s="43">
        <v>201</v>
      </c>
      <c r="CC95" s="43">
        <v>439</v>
      </c>
      <c r="CD95" s="43">
        <v>494</v>
      </c>
      <c r="CE95" s="43">
        <v>411</v>
      </c>
      <c r="CF95" s="43">
        <v>239</v>
      </c>
      <c r="CG95" s="43">
        <v>242</v>
      </c>
      <c r="CH95" s="43">
        <v>382</v>
      </c>
      <c r="CI95" s="43">
        <v>297</v>
      </c>
      <c r="CJ95" s="43">
        <v>342</v>
      </c>
      <c r="CK95" s="43">
        <v>257</v>
      </c>
      <c r="CL95" s="43">
        <v>390</v>
      </c>
      <c r="CM95" s="43">
        <v>404</v>
      </c>
      <c r="CN95" s="43">
        <v>421</v>
      </c>
      <c r="CO95" s="43">
        <v>333</v>
      </c>
      <c r="CP95" s="43">
        <v>304</v>
      </c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43">
        <v>512</v>
      </c>
      <c r="FZ95" s="43">
        <v>322</v>
      </c>
      <c r="GA95" s="53"/>
      <c r="GB95" s="53"/>
      <c r="GC95" s="53"/>
      <c r="GD95" s="53"/>
      <c r="GE95" s="53"/>
      <c r="GF95" s="53"/>
      <c r="GG95" s="53"/>
      <c r="GH95" s="53"/>
      <c r="GI95" s="43"/>
      <c r="GJ95" s="53"/>
      <c r="GK95" s="53"/>
      <c r="GL95" s="53"/>
      <c r="GM95" s="53"/>
      <c r="GN95" s="53"/>
      <c r="GO95" s="43">
        <v>632</v>
      </c>
      <c r="GP95" s="43">
        <v>196</v>
      </c>
      <c r="GQ95" s="43">
        <v>653</v>
      </c>
      <c r="GR95" s="43">
        <v>174</v>
      </c>
    </row>
    <row r="96" spans="1:200">
      <c r="A96" s="5">
        <v>1408</v>
      </c>
      <c r="B96" s="1" t="s">
        <v>224</v>
      </c>
      <c r="C96" s="33">
        <v>1244</v>
      </c>
      <c r="D96" s="34">
        <v>868</v>
      </c>
      <c r="E96" s="19">
        <f t="shared" si="1"/>
        <v>0.69774919614147912</v>
      </c>
      <c r="F96" s="62">
        <v>671</v>
      </c>
      <c r="G96" s="43">
        <v>1</v>
      </c>
      <c r="H96" s="43">
        <v>26</v>
      </c>
      <c r="I96" s="43">
        <v>8</v>
      </c>
      <c r="J96" s="55">
        <v>140</v>
      </c>
      <c r="K96" s="6">
        <v>0</v>
      </c>
      <c r="L96" s="6">
        <v>0</v>
      </c>
      <c r="M96" s="43">
        <v>0</v>
      </c>
      <c r="N96" s="25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6</v>
      </c>
      <c r="X96" s="43">
        <v>0</v>
      </c>
      <c r="Y96" s="43">
        <v>0</v>
      </c>
      <c r="Z96" s="43">
        <v>0</v>
      </c>
      <c r="AA96" s="44">
        <v>0</v>
      </c>
      <c r="AB96" s="44">
        <v>0</v>
      </c>
      <c r="AC96" s="44">
        <v>11</v>
      </c>
      <c r="AD96" s="44">
        <v>24</v>
      </c>
      <c r="AE96" s="44">
        <v>240</v>
      </c>
      <c r="AF96" s="44">
        <v>8</v>
      </c>
      <c r="AG96" s="44">
        <v>0</v>
      </c>
      <c r="AH96" s="44">
        <v>556</v>
      </c>
      <c r="AI96" s="32"/>
      <c r="AJ96" s="32"/>
      <c r="AK96" s="32"/>
      <c r="AL96" s="32"/>
      <c r="AM96" s="44">
        <v>39</v>
      </c>
      <c r="AN96" s="44">
        <v>551</v>
      </c>
      <c r="AO96" s="44">
        <v>211</v>
      </c>
      <c r="AP96" s="48"/>
      <c r="AQ96" s="48"/>
      <c r="AR96" s="51"/>
      <c r="AS96" s="51"/>
      <c r="AT96" s="51"/>
      <c r="AU96" s="51"/>
      <c r="AV96" s="51"/>
      <c r="AW96" s="50"/>
      <c r="AX96" s="50"/>
      <c r="AY96" s="50"/>
      <c r="AZ96" s="50"/>
      <c r="BA96" s="50"/>
      <c r="BB96" s="50"/>
      <c r="BC96" s="43">
        <v>178</v>
      </c>
      <c r="BD96" s="43">
        <v>640</v>
      </c>
      <c r="BE96" s="43">
        <v>156</v>
      </c>
      <c r="BF96" s="43">
        <v>650</v>
      </c>
      <c r="BG96" s="43">
        <v>196</v>
      </c>
      <c r="BH96" s="43">
        <v>607</v>
      </c>
      <c r="BI96" s="43">
        <v>264</v>
      </c>
      <c r="BJ96" s="43">
        <v>536</v>
      </c>
      <c r="BK96" s="43">
        <v>601</v>
      </c>
      <c r="BL96" s="43">
        <v>203</v>
      </c>
      <c r="BM96" s="43">
        <v>153</v>
      </c>
      <c r="BN96" s="43">
        <v>639</v>
      </c>
      <c r="BO96" s="43">
        <v>574</v>
      </c>
      <c r="BP96" s="43">
        <v>199</v>
      </c>
      <c r="BQ96" s="43">
        <v>230</v>
      </c>
      <c r="BR96" s="43">
        <v>549</v>
      </c>
      <c r="BS96" s="43">
        <v>405</v>
      </c>
      <c r="BT96" s="43">
        <v>142</v>
      </c>
      <c r="BU96" s="43">
        <v>636</v>
      </c>
      <c r="BV96" s="43">
        <v>459</v>
      </c>
      <c r="BW96" s="43">
        <v>276</v>
      </c>
      <c r="BX96" s="43">
        <v>363</v>
      </c>
      <c r="BY96" s="43">
        <v>245</v>
      </c>
      <c r="BZ96" s="43">
        <v>447</v>
      </c>
      <c r="CA96" s="43">
        <v>418</v>
      </c>
      <c r="CB96" s="43">
        <v>173</v>
      </c>
      <c r="CC96" s="43">
        <v>454</v>
      </c>
      <c r="CD96" s="43">
        <v>485</v>
      </c>
      <c r="CE96" s="43">
        <v>441</v>
      </c>
      <c r="CF96" s="43">
        <v>182</v>
      </c>
      <c r="CG96" s="43">
        <v>228</v>
      </c>
      <c r="CH96" s="43">
        <v>381</v>
      </c>
      <c r="CI96" s="43">
        <v>310</v>
      </c>
      <c r="CJ96" s="43">
        <v>317</v>
      </c>
      <c r="CK96" s="43">
        <v>256</v>
      </c>
      <c r="CL96" s="43">
        <v>392</v>
      </c>
      <c r="CM96" s="43">
        <v>377</v>
      </c>
      <c r="CN96" s="43">
        <v>406</v>
      </c>
      <c r="CO96" s="43">
        <v>340</v>
      </c>
      <c r="CP96" s="43">
        <v>295</v>
      </c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43">
        <v>571</v>
      </c>
      <c r="FZ96" s="43">
        <v>258</v>
      </c>
      <c r="GA96" s="53"/>
      <c r="GB96" s="53"/>
      <c r="GC96" s="53"/>
      <c r="GD96" s="53"/>
      <c r="GE96" s="53"/>
      <c r="GF96" s="53"/>
      <c r="GG96" s="53"/>
      <c r="GH96" s="53"/>
      <c r="GI96" s="43"/>
      <c r="GJ96" s="53"/>
      <c r="GK96" s="53"/>
      <c r="GL96" s="53"/>
      <c r="GM96" s="53"/>
      <c r="GN96" s="53"/>
      <c r="GO96" s="43">
        <v>656</v>
      </c>
      <c r="GP96" s="43">
        <v>173</v>
      </c>
      <c r="GQ96" s="43">
        <v>684</v>
      </c>
      <c r="GR96" s="43">
        <v>142</v>
      </c>
    </row>
    <row r="97" spans="1:200">
      <c r="A97" s="5">
        <v>1409</v>
      </c>
      <c r="B97" s="1" t="s">
        <v>225</v>
      </c>
      <c r="C97" s="33">
        <v>1403</v>
      </c>
      <c r="D97" s="34">
        <v>962</v>
      </c>
      <c r="E97" s="19">
        <f t="shared" si="1"/>
        <v>0.68567355666429075</v>
      </c>
      <c r="F97" s="62">
        <v>731</v>
      </c>
      <c r="G97" s="43">
        <v>2</v>
      </c>
      <c r="H97" s="43">
        <v>26</v>
      </c>
      <c r="I97" s="43">
        <v>14</v>
      </c>
      <c r="J97" s="55">
        <v>179</v>
      </c>
      <c r="K97" s="6">
        <v>0</v>
      </c>
      <c r="L97" s="6">
        <v>0</v>
      </c>
      <c r="M97" s="43">
        <v>0</v>
      </c>
      <c r="N97" s="25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1</v>
      </c>
      <c r="X97" s="43">
        <v>1</v>
      </c>
      <c r="Y97" s="43">
        <v>0</v>
      </c>
      <c r="Z97" s="43">
        <v>0</v>
      </c>
      <c r="AA97" s="44">
        <v>0</v>
      </c>
      <c r="AB97" s="44">
        <v>0</v>
      </c>
      <c r="AC97" s="44">
        <v>8</v>
      </c>
      <c r="AD97" s="44">
        <v>20</v>
      </c>
      <c r="AE97" s="44">
        <v>264</v>
      </c>
      <c r="AF97" s="44">
        <v>16</v>
      </c>
      <c r="AG97" s="44">
        <v>0</v>
      </c>
      <c r="AH97" s="44">
        <v>621</v>
      </c>
      <c r="AI97" s="32"/>
      <c r="AJ97" s="32"/>
      <c r="AK97" s="32"/>
      <c r="AL97" s="32"/>
      <c r="AM97" s="44">
        <v>66</v>
      </c>
      <c r="AN97" s="44">
        <v>587</v>
      </c>
      <c r="AO97" s="44">
        <v>239</v>
      </c>
      <c r="AP97" s="48"/>
      <c r="AQ97" s="48"/>
      <c r="AR97" s="51"/>
      <c r="AS97" s="51"/>
      <c r="AT97" s="51"/>
      <c r="AU97" s="51"/>
      <c r="AV97" s="51"/>
      <c r="AW97" s="50"/>
      <c r="AX97" s="50"/>
      <c r="AY97" s="50"/>
      <c r="AZ97" s="50"/>
      <c r="BA97" s="50"/>
      <c r="BB97" s="50"/>
      <c r="BC97" s="43">
        <v>200</v>
      </c>
      <c r="BD97" s="43">
        <v>708</v>
      </c>
      <c r="BE97" s="43">
        <v>164</v>
      </c>
      <c r="BF97" s="43">
        <v>736</v>
      </c>
      <c r="BG97" s="43">
        <v>214</v>
      </c>
      <c r="BH97" s="43">
        <v>698</v>
      </c>
      <c r="BI97" s="43">
        <v>274</v>
      </c>
      <c r="BJ97" s="43">
        <v>633</v>
      </c>
      <c r="BK97" s="43">
        <v>686</v>
      </c>
      <c r="BL97" s="43">
        <v>214</v>
      </c>
      <c r="BM97" s="43">
        <v>158</v>
      </c>
      <c r="BN97" s="43">
        <v>740</v>
      </c>
      <c r="BO97" s="43">
        <v>662</v>
      </c>
      <c r="BP97" s="43">
        <v>214</v>
      </c>
      <c r="BQ97" s="43">
        <v>252</v>
      </c>
      <c r="BR97" s="43">
        <v>620</v>
      </c>
      <c r="BS97" s="43">
        <v>418</v>
      </c>
      <c r="BT97" s="43">
        <v>143</v>
      </c>
      <c r="BU97" s="43">
        <v>744</v>
      </c>
      <c r="BV97" s="43">
        <v>498</v>
      </c>
      <c r="BW97" s="43">
        <v>271</v>
      </c>
      <c r="BX97" s="43">
        <v>477</v>
      </c>
      <c r="BY97" s="43">
        <v>273</v>
      </c>
      <c r="BZ97" s="43">
        <v>529</v>
      </c>
      <c r="CA97" s="43">
        <v>425</v>
      </c>
      <c r="CB97" s="43">
        <v>176</v>
      </c>
      <c r="CC97" s="43">
        <v>562</v>
      </c>
      <c r="CD97" s="43">
        <v>541</v>
      </c>
      <c r="CE97" s="43">
        <v>539</v>
      </c>
      <c r="CF97" s="43">
        <v>206</v>
      </c>
      <c r="CG97" s="43">
        <v>214</v>
      </c>
      <c r="CH97" s="43">
        <v>489</v>
      </c>
      <c r="CI97" s="43">
        <v>400</v>
      </c>
      <c r="CJ97" s="43">
        <v>332</v>
      </c>
      <c r="CK97" s="43">
        <v>277</v>
      </c>
      <c r="CL97" s="43">
        <v>464</v>
      </c>
      <c r="CM97" s="43">
        <v>398</v>
      </c>
      <c r="CN97" s="43">
        <v>443</v>
      </c>
      <c r="CO97" s="43">
        <v>449</v>
      </c>
      <c r="CP97" s="43">
        <v>284</v>
      </c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43">
        <v>606</v>
      </c>
      <c r="FZ97" s="43">
        <v>318</v>
      </c>
      <c r="GA97" s="53"/>
      <c r="GB97" s="53"/>
      <c r="GC97" s="53"/>
      <c r="GD97" s="53"/>
      <c r="GE97" s="53"/>
      <c r="GF97" s="53"/>
      <c r="GG97" s="53"/>
      <c r="GH97" s="53"/>
      <c r="GI97" s="43"/>
      <c r="GJ97" s="53"/>
      <c r="GK97" s="53"/>
      <c r="GL97" s="53"/>
      <c r="GM97" s="53"/>
      <c r="GN97" s="53"/>
      <c r="GO97" s="43">
        <v>677</v>
      </c>
      <c r="GP97" s="43">
        <v>236</v>
      </c>
      <c r="GQ97" s="43">
        <v>725</v>
      </c>
      <c r="GR97" s="43">
        <v>196</v>
      </c>
    </row>
    <row r="98" spans="1:200">
      <c r="A98" s="5">
        <v>1501</v>
      </c>
      <c r="B98" s="1" t="s">
        <v>226</v>
      </c>
      <c r="C98" s="33">
        <v>1483</v>
      </c>
      <c r="D98" s="34">
        <v>989</v>
      </c>
      <c r="E98" s="19">
        <f t="shared" si="1"/>
        <v>0.66689143627781522</v>
      </c>
      <c r="F98" s="62">
        <v>800</v>
      </c>
      <c r="G98" s="43">
        <v>6</v>
      </c>
      <c r="H98" s="43">
        <v>33</v>
      </c>
      <c r="I98" s="43">
        <v>29</v>
      </c>
      <c r="J98" s="55">
        <v>109</v>
      </c>
      <c r="K98" s="6">
        <v>0</v>
      </c>
      <c r="L98" s="6">
        <v>0</v>
      </c>
      <c r="M98" s="43">
        <v>0</v>
      </c>
      <c r="N98" s="25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4</v>
      </c>
      <c r="X98" s="43">
        <v>0</v>
      </c>
      <c r="Y98" s="43">
        <v>0</v>
      </c>
      <c r="Z98" s="43">
        <v>0</v>
      </c>
      <c r="AA98" s="44">
        <v>0</v>
      </c>
      <c r="AB98" s="44">
        <v>0</v>
      </c>
      <c r="AC98" s="44">
        <v>16</v>
      </c>
      <c r="AD98" s="44">
        <v>47</v>
      </c>
      <c r="AE98" s="44">
        <v>161</v>
      </c>
      <c r="AF98" s="44">
        <v>7</v>
      </c>
      <c r="AG98" s="44">
        <v>0</v>
      </c>
      <c r="AH98" s="44">
        <v>737</v>
      </c>
      <c r="AI98" s="44">
        <v>166</v>
      </c>
      <c r="AJ98" s="44">
        <v>2</v>
      </c>
      <c r="AK98" s="44">
        <v>0</v>
      </c>
      <c r="AL98" s="44">
        <v>788</v>
      </c>
      <c r="AM98" s="48"/>
      <c r="AN98" s="48"/>
      <c r="AO98" s="48"/>
      <c r="AP98" s="48"/>
      <c r="AQ98" s="48"/>
      <c r="AR98" s="51"/>
      <c r="AS98" s="51"/>
      <c r="AT98" s="51"/>
      <c r="AU98" s="51"/>
      <c r="AV98" s="51"/>
      <c r="AW98" s="50"/>
      <c r="AX98" s="50"/>
      <c r="AY98" s="43">
        <v>815</v>
      </c>
      <c r="AZ98" s="43">
        <v>121</v>
      </c>
      <c r="BA98" s="50"/>
      <c r="BB98" s="50"/>
      <c r="BC98" s="50"/>
      <c r="BD98" s="50"/>
      <c r="BE98" s="43">
        <v>111</v>
      </c>
      <c r="BF98" s="43">
        <v>818</v>
      </c>
      <c r="BG98" s="43">
        <v>149</v>
      </c>
      <c r="BH98" s="43">
        <v>789</v>
      </c>
      <c r="BI98" s="43">
        <v>199</v>
      </c>
      <c r="BJ98" s="43">
        <v>726</v>
      </c>
      <c r="BK98" s="43">
        <v>791</v>
      </c>
      <c r="BL98" s="43">
        <v>148</v>
      </c>
      <c r="BM98" s="43">
        <v>117</v>
      </c>
      <c r="BN98" s="43">
        <v>801</v>
      </c>
      <c r="BO98" s="43">
        <v>759</v>
      </c>
      <c r="BP98" s="43">
        <v>152</v>
      </c>
      <c r="BQ98" s="43">
        <v>170</v>
      </c>
      <c r="BR98" s="43">
        <v>742</v>
      </c>
      <c r="BS98" s="43">
        <v>384</v>
      </c>
      <c r="BT98" s="43">
        <v>115</v>
      </c>
      <c r="BU98" s="43">
        <v>823</v>
      </c>
      <c r="BV98" s="43">
        <v>497</v>
      </c>
      <c r="BW98" s="43">
        <v>258</v>
      </c>
      <c r="BX98" s="43">
        <v>494</v>
      </c>
      <c r="BY98" s="43">
        <v>201</v>
      </c>
      <c r="BZ98" s="43">
        <v>597</v>
      </c>
      <c r="CA98" s="43">
        <v>409</v>
      </c>
      <c r="CB98" s="43">
        <v>134</v>
      </c>
      <c r="CC98" s="43">
        <v>619</v>
      </c>
      <c r="CD98" s="43">
        <v>569</v>
      </c>
      <c r="CE98" s="43">
        <v>601</v>
      </c>
      <c r="CF98" s="43">
        <v>144</v>
      </c>
      <c r="CG98" s="43">
        <v>195</v>
      </c>
      <c r="CH98" s="43">
        <v>543</v>
      </c>
      <c r="CI98" s="43">
        <v>466</v>
      </c>
      <c r="CJ98" s="43">
        <v>272</v>
      </c>
      <c r="CK98" s="43">
        <v>257</v>
      </c>
      <c r="CL98" s="43">
        <v>498</v>
      </c>
      <c r="CM98" s="43">
        <v>395</v>
      </c>
      <c r="CN98" s="43">
        <v>425</v>
      </c>
      <c r="CO98" s="43">
        <v>501</v>
      </c>
      <c r="CP98" s="43">
        <v>244</v>
      </c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43">
        <v>765</v>
      </c>
      <c r="FZ98" s="43">
        <v>198</v>
      </c>
      <c r="GA98" s="53"/>
      <c r="GB98" s="53"/>
      <c r="GC98" s="53"/>
      <c r="GD98" s="53"/>
      <c r="GE98" s="53"/>
      <c r="GF98" s="53"/>
      <c r="GG98" s="53"/>
      <c r="GH98" s="53"/>
      <c r="GI98" s="43"/>
      <c r="GJ98" s="53"/>
      <c r="GK98" s="53"/>
      <c r="GL98" s="53"/>
      <c r="GM98" s="53"/>
      <c r="GN98" s="53"/>
      <c r="GO98" s="43">
        <v>798</v>
      </c>
      <c r="GP98" s="43">
        <v>150</v>
      </c>
      <c r="GQ98" s="43">
        <v>825</v>
      </c>
      <c r="GR98" s="43">
        <v>127</v>
      </c>
    </row>
    <row r="99" spans="1:200">
      <c r="A99" s="5">
        <v>1502</v>
      </c>
      <c r="B99" s="1" t="s">
        <v>227</v>
      </c>
      <c r="C99" s="33">
        <v>1604</v>
      </c>
      <c r="D99" s="34">
        <v>1110</v>
      </c>
      <c r="E99" s="19">
        <f t="shared" si="1"/>
        <v>0.69201995012468831</v>
      </c>
      <c r="F99" s="62">
        <v>920</v>
      </c>
      <c r="G99" s="43">
        <v>0</v>
      </c>
      <c r="H99" s="43">
        <v>26</v>
      </c>
      <c r="I99" s="43">
        <v>21</v>
      </c>
      <c r="J99" s="55">
        <v>125</v>
      </c>
      <c r="K99" s="6">
        <v>0</v>
      </c>
      <c r="L99" s="6">
        <v>0</v>
      </c>
      <c r="M99" s="43">
        <v>1</v>
      </c>
      <c r="N99" s="25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1</v>
      </c>
      <c r="W99" s="43">
        <v>5</v>
      </c>
      <c r="X99" s="43">
        <v>0</v>
      </c>
      <c r="Y99" s="43">
        <v>0</v>
      </c>
      <c r="Z99" s="43">
        <v>0</v>
      </c>
      <c r="AA99" s="44">
        <v>0</v>
      </c>
      <c r="AB99" s="44">
        <v>0</v>
      </c>
      <c r="AC99" s="44">
        <v>12</v>
      </c>
      <c r="AD99" s="44">
        <v>58</v>
      </c>
      <c r="AE99" s="44">
        <v>227</v>
      </c>
      <c r="AF99" s="44">
        <v>3</v>
      </c>
      <c r="AG99" s="44">
        <v>0</v>
      </c>
      <c r="AH99" s="44">
        <v>776</v>
      </c>
      <c r="AI99" s="44">
        <v>198</v>
      </c>
      <c r="AJ99" s="44">
        <v>1</v>
      </c>
      <c r="AK99" s="44">
        <v>0</v>
      </c>
      <c r="AL99" s="44">
        <v>864</v>
      </c>
      <c r="AM99" s="48"/>
      <c r="AN99" s="48"/>
      <c r="AO99" s="48"/>
      <c r="AP99" s="48"/>
      <c r="AQ99" s="48"/>
      <c r="AR99" s="51"/>
      <c r="AS99" s="51"/>
      <c r="AT99" s="51"/>
      <c r="AU99" s="51"/>
      <c r="AV99" s="51"/>
      <c r="AW99" s="50"/>
      <c r="AX99" s="50"/>
      <c r="AY99" s="43">
        <v>878</v>
      </c>
      <c r="AZ99" s="43">
        <v>173</v>
      </c>
      <c r="BA99" s="50"/>
      <c r="BB99" s="50"/>
      <c r="BC99" s="50"/>
      <c r="BD99" s="50"/>
      <c r="BE99" s="43">
        <v>135</v>
      </c>
      <c r="BF99" s="43">
        <v>896</v>
      </c>
      <c r="BG99" s="43">
        <v>164</v>
      </c>
      <c r="BH99" s="43">
        <v>882</v>
      </c>
      <c r="BI99" s="43">
        <v>224</v>
      </c>
      <c r="BJ99" s="43">
        <v>810</v>
      </c>
      <c r="BK99" s="43">
        <v>857</v>
      </c>
      <c r="BL99" s="43">
        <v>182</v>
      </c>
      <c r="BM99" s="43">
        <v>130</v>
      </c>
      <c r="BN99" s="43">
        <v>887</v>
      </c>
      <c r="BO99" s="43">
        <v>828</v>
      </c>
      <c r="BP99" s="43">
        <v>176</v>
      </c>
      <c r="BQ99" s="43">
        <v>230</v>
      </c>
      <c r="BR99" s="43">
        <v>777</v>
      </c>
      <c r="BS99" s="43">
        <v>434</v>
      </c>
      <c r="BT99" s="43">
        <v>111</v>
      </c>
      <c r="BU99" s="43">
        <v>916</v>
      </c>
      <c r="BV99" s="43">
        <v>535</v>
      </c>
      <c r="BW99" s="43">
        <v>284</v>
      </c>
      <c r="BX99" s="43">
        <v>533</v>
      </c>
      <c r="BY99" s="43">
        <v>219</v>
      </c>
      <c r="BZ99" s="43">
        <v>672</v>
      </c>
      <c r="CA99" s="43">
        <v>465</v>
      </c>
      <c r="CB99" s="43">
        <v>143</v>
      </c>
      <c r="CC99" s="43">
        <v>675</v>
      </c>
      <c r="CD99" s="43">
        <v>587</v>
      </c>
      <c r="CE99" s="43">
        <v>643</v>
      </c>
      <c r="CF99" s="43">
        <v>187</v>
      </c>
      <c r="CG99" s="43">
        <v>218</v>
      </c>
      <c r="CH99" s="43">
        <v>576</v>
      </c>
      <c r="CI99" s="43">
        <v>497</v>
      </c>
      <c r="CJ99" s="43">
        <v>315</v>
      </c>
      <c r="CK99" s="43">
        <v>289</v>
      </c>
      <c r="CL99" s="43">
        <v>552</v>
      </c>
      <c r="CM99" s="43">
        <v>422</v>
      </c>
      <c r="CN99" s="43">
        <v>457</v>
      </c>
      <c r="CO99" s="43">
        <v>539</v>
      </c>
      <c r="CP99" s="43">
        <v>282</v>
      </c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43">
        <v>767</v>
      </c>
      <c r="FZ99" s="43">
        <v>276</v>
      </c>
      <c r="GA99" s="53"/>
      <c r="GB99" s="53"/>
      <c r="GC99" s="53"/>
      <c r="GD99" s="53"/>
      <c r="GE99" s="53"/>
      <c r="GF99" s="53"/>
      <c r="GG99" s="53"/>
      <c r="GH99" s="53"/>
      <c r="GI99" s="43"/>
      <c r="GJ99" s="53"/>
      <c r="GK99" s="53"/>
      <c r="GL99" s="53"/>
      <c r="GM99" s="53"/>
      <c r="GN99" s="53"/>
      <c r="GO99" s="43">
        <v>851</v>
      </c>
      <c r="GP99" s="43">
        <v>191</v>
      </c>
      <c r="GQ99" s="43">
        <v>897</v>
      </c>
      <c r="GR99" s="43">
        <v>142</v>
      </c>
    </row>
    <row r="100" spans="1:200">
      <c r="A100" s="5">
        <v>1503</v>
      </c>
      <c r="B100" s="1" t="s">
        <v>228</v>
      </c>
      <c r="C100" s="33">
        <v>1064</v>
      </c>
      <c r="D100" s="34">
        <v>493</v>
      </c>
      <c r="E100" s="19">
        <f t="shared" si="1"/>
        <v>0.46334586466165412</v>
      </c>
      <c r="F100" s="62">
        <v>455</v>
      </c>
      <c r="G100" s="43">
        <v>0</v>
      </c>
      <c r="H100" s="43">
        <v>4</v>
      </c>
      <c r="I100" s="43">
        <v>4</v>
      </c>
      <c r="J100" s="55">
        <v>15</v>
      </c>
      <c r="K100" s="6">
        <v>0</v>
      </c>
      <c r="L100" s="6">
        <v>0</v>
      </c>
      <c r="M100" s="43">
        <v>0</v>
      </c>
      <c r="N100" s="25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  <c r="V100" s="43">
        <v>0</v>
      </c>
      <c r="W100" s="43">
        <v>0</v>
      </c>
      <c r="X100" s="43">
        <v>0</v>
      </c>
      <c r="Y100" s="43">
        <v>0</v>
      </c>
      <c r="Z100" s="43">
        <v>0</v>
      </c>
      <c r="AA100" s="44">
        <v>0</v>
      </c>
      <c r="AB100" s="44">
        <v>0</v>
      </c>
      <c r="AC100" s="44">
        <v>5</v>
      </c>
      <c r="AD100" s="44">
        <v>7</v>
      </c>
      <c r="AE100" s="44">
        <v>48</v>
      </c>
      <c r="AF100" s="44">
        <v>6</v>
      </c>
      <c r="AG100" s="44">
        <v>0</v>
      </c>
      <c r="AH100" s="44">
        <v>396</v>
      </c>
      <c r="AI100" s="44">
        <v>46</v>
      </c>
      <c r="AJ100" s="44">
        <v>0</v>
      </c>
      <c r="AK100" s="44">
        <v>0</v>
      </c>
      <c r="AL100" s="44">
        <v>414</v>
      </c>
      <c r="AM100" s="48"/>
      <c r="AN100" s="48"/>
      <c r="AO100" s="48"/>
      <c r="AP100" s="48"/>
      <c r="AQ100" s="48"/>
      <c r="AR100" s="51"/>
      <c r="AS100" s="51"/>
      <c r="AT100" s="51"/>
      <c r="AU100" s="51"/>
      <c r="AV100" s="51"/>
      <c r="AW100" s="50"/>
      <c r="AX100" s="50"/>
      <c r="AY100" s="43">
        <v>427</v>
      </c>
      <c r="AZ100" s="43">
        <v>29</v>
      </c>
      <c r="BA100" s="50"/>
      <c r="BB100" s="50"/>
      <c r="BC100" s="50"/>
      <c r="BD100" s="50"/>
      <c r="BE100" s="43">
        <v>23</v>
      </c>
      <c r="BF100" s="43">
        <v>434</v>
      </c>
      <c r="BG100" s="43">
        <v>38</v>
      </c>
      <c r="BH100" s="43">
        <v>415</v>
      </c>
      <c r="BI100" s="43">
        <v>48</v>
      </c>
      <c r="BJ100" s="43">
        <v>403</v>
      </c>
      <c r="BK100" s="43">
        <v>400</v>
      </c>
      <c r="BL100" s="43">
        <v>59</v>
      </c>
      <c r="BM100" s="43">
        <v>23</v>
      </c>
      <c r="BN100" s="43">
        <v>430</v>
      </c>
      <c r="BO100" s="43">
        <v>416</v>
      </c>
      <c r="BP100" s="43">
        <v>40</v>
      </c>
      <c r="BQ100" s="43">
        <v>42</v>
      </c>
      <c r="BR100" s="43">
        <v>411</v>
      </c>
      <c r="BS100" s="43">
        <v>138</v>
      </c>
      <c r="BT100" s="43">
        <v>30</v>
      </c>
      <c r="BU100" s="43">
        <v>428</v>
      </c>
      <c r="BV100" s="43">
        <v>220</v>
      </c>
      <c r="BW100" s="43">
        <v>112</v>
      </c>
      <c r="BX100" s="43">
        <v>254</v>
      </c>
      <c r="BY100" s="43">
        <v>107</v>
      </c>
      <c r="BZ100" s="43">
        <v>283</v>
      </c>
      <c r="CA100" s="43">
        <v>189</v>
      </c>
      <c r="CB100" s="43">
        <v>77</v>
      </c>
      <c r="CC100" s="43">
        <v>299</v>
      </c>
      <c r="CD100" s="43">
        <v>249</v>
      </c>
      <c r="CE100" s="43">
        <v>284</v>
      </c>
      <c r="CF100" s="43">
        <v>85</v>
      </c>
      <c r="CG100" s="43">
        <v>91</v>
      </c>
      <c r="CH100" s="43">
        <v>257</v>
      </c>
      <c r="CI100" s="43">
        <v>242</v>
      </c>
      <c r="CJ100" s="43">
        <v>130</v>
      </c>
      <c r="CK100" s="43">
        <v>143</v>
      </c>
      <c r="CL100" s="43">
        <v>244</v>
      </c>
      <c r="CM100" s="43">
        <v>188</v>
      </c>
      <c r="CN100" s="43">
        <v>213</v>
      </c>
      <c r="CO100" s="43">
        <v>259</v>
      </c>
      <c r="CP100" s="43">
        <v>125</v>
      </c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43">
        <v>347</v>
      </c>
      <c r="FZ100" s="43">
        <v>119</v>
      </c>
      <c r="GA100" s="53"/>
      <c r="GB100" s="53"/>
      <c r="GC100" s="53"/>
      <c r="GD100" s="53"/>
      <c r="GE100" s="53"/>
      <c r="GF100" s="53"/>
      <c r="GG100" s="53"/>
      <c r="GH100" s="53"/>
      <c r="GI100" s="43"/>
      <c r="GJ100" s="53"/>
      <c r="GK100" s="53"/>
      <c r="GL100" s="53"/>
      <c r="GM100" s="53"/>
      <c r="GN100" s="53"/>
      <c r="GO100" s="43">
        <v>319</v>
      </c>
      <c r="GP100" s="43">
        <v>130</v>
      </c>
      <c r="GQ100" s="43">
        <v>349</v>
      </c>
      <c r="GR100" s="43">
        <v>99</v>
      </c>
    </row>
    <row r="101" spans="1:200">
      <c r="A101" s="5">
        <v>1504</v>
      </c>
      <c r="B101" s="1" t="s">
        <v>229</v>
      </c>
      <c r="C101" s="33">
        <v>868</v>
      </c>
      <c r="D101" s="34">
        <v>577</v>
      </c>
      <c r="E101" s="19">
        <f t="shared" si="1"/>
        <v>0.66474654377880182</v>
      </c>
      <c r="F101" s="62">
        <v>538</v>
      </c>
      <c r="G101" s="43">
        <v>2</v>
      </c>
      <c r="H101" s="43">
        <v>6</v>
      </c>
      <c r="I101" s="43">
        <v>5</v>
      </c>
      <c r="J101" s="55">
        <v>20</v>
      </c>
      <c r="K101" s="6">
        <v>0</v>
      </c>
      <c r="L101" s="6">
        <v>0</v>
      </c>
      <c r="M101" s="43">
        <v>0</v>
      </c>
      <c r="N101" s="25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4">
        <v>0</v>
      </c>
      <c r="AB101" s="44">
        <v>0</v>
      </c>
      <c r="AC101" s="44">
        <v>7</v>
      </c>
      <c r="AD101" s="44">
        <v>6</v>
      </c>
      <c r="AE101" s="44">
        <v>65</v>
      </c>
      <c r="AF101" s="44">
        <v>3</v>
      </c>
      <c r="AG101" s="44">
        <v>0</v>
      </c>
      <c r="AH101" s="44">
        <v>471</v>
      </c>
      <c r="AI101" s="44">
        <v>54</v>
      </c>
      <c r="AJ101" s="44">
        <v>0</v>
      </c>
      <c r="AK101" s="44">
        <v>0</v>
      </c>
      <c r="AL101" s="44">
        <v>501</v>
      </c>
      <c r="AM101" s="48"/>
      <c r="AN101" s="48"/>
      <c r="AO101" s="48"/>
      <c r="AP101" s="48"/>
      <c r="AQ101" s="48"/>
      <c r="AR101" s="51"/>
      <c r="AS101" s="51"/>
      <c r="AT101" s="51"/>
      <c r="AU101" s="51"/>
      <c r="AV101" s="51"/>
      <c r="AW101" s="50"/>
      <c r="AX101" s="50"/>
      <c r="AY101" s="43">
        <v>508</v>
      </c>
      <c r="AZ101" s="43">
        <v>32</v>
      </c>
      <c r="BA101" s="50"/>
      <c r="BB101" s="50"/>
      <c r="BC101" s="50"/>
      <c r="BD101" s="50"/>
      <c r="BE101" s="43">
        <v>26</v>
      </c>
      <c r="BF101" s="43">
        <v>524</v>
      </c>
      <c r="BG101" s="43">
        <v>45</v>
      </c>
      <c r="BH101" s="43">
        <v>502</v>
      </c>
      <c r="BI101" s="43">
        <v>61</v>
      </c>
      <c r="BJ101" s="43">
        <v>484</v>
      </c>
      <c r="BK101" s="43">
        <v>478</v>
      </c>
      <c r="BL101" s="43">
        <v>60</v>
      </c>
      <c r="BM101" s="43">
        <v>35</v>
      </c>
      <c r="BN101" s="43">
        <v>509</v>
      </c>
      <c r="BO101" s="43">
        <v>491</v>
      </c>
      <c r="BP101" s="43">
        <v>47</v>
      </c>
      <c r="BQ101" s="43">
        <v>55</v>
      </c>
      <c r="BR101" s="43">
        <v>483</v>
      </c>
      <c r="BS101" s="43">
        <v>133</v>
      </c>
      <c r="BT101" s="43">
        <v>19</v>
      </c>
      <c r="BU101" s="43">
        <v>524</v>
      </c>
      <c r="BV101" s="43">
        <v>233</v>
      </c>
      <c r="BW101" s="43">
        <v>124</v>
      </c>
      <c r="BX101" s="43">
        <v>307</v>
      </c>
      <c r="BY101" s="43">
        <v>123</v>
      </c>
      <c r="BZ101" s="43">
        <v>360</v>
      </c>
      <c r="CA101" s="43">
        <v>191</v>
      </c>
      <c r="CB101" s="43">
        <v>67</v>
      </c>
      <c r="CC101" s="43">
        <v>371</v>
      </c>
      <c r="CD101" s="43">
        <v>308</v>
      </c>
      <c r="CE101" s="43">
        <v>374</v>
      </c>
      <c r="CF101" s="43">
        <v>65</v>
      </c>
      <c r="CG101" s="43">
        <v>90</v>
      </c>
      <c r="CH101" s="43">
        <v>311</v>
      </c>
      <c r="CI101" s="43">
        <v>323</v>
      </c>
      <c r="CJ101" s="43">
        <v>118</v>
      </c>
      <c r="CK101" s="43">
        <v>147</v>
      </c>
      <c r="CL101" s="43">
        <v>313</v>
      </c>
      <c r="CM101" s="43">
        <v>179</v>
      </c>
      <c r="CN101" s="43">
        <v>215</v>
      </c>
      <c r="CO101" s="43">
        <v>352</v>
      </c>
      <c r="CP101" s="43">
        <v>114</v>
      </c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43">
        <v>405</v>
      </c>
      <c r="FZ101" s="43">
        <v>143</v>
      </c>
      <c r="GA101" s="53"/>
      <c r="GB101" s="53"/>
      <c r="GC101" s="53"/>
      <c r="GD101" s="53"/>
      <c r="GE101" s="53"/>
      <c r="GF101" s="53"/>
      <c r="GG101" s="53"/>
      <c r="GH101" s="53"/>
      <c r="GI101" s="43"/>
      <c r="GJ101" s="53"/>
      <c r="GK101" s="53"/>
      <c r="GL101" s="53"/>
      <c r="GM101" s="53"/>
      <c r="GN101" s="53"/>
      <c r="GO101" s="43">
        <v>351</v>
      </c>
      <c r="GP101" s="43">
        <v>188</v>
      </c>
      <c r="GQ101" s="43">
        <v>438</v>
      </c>
      <c r="GR101" s="43">
        <v>104</v>
      </c>
    </row>
    <row r="102" spans="1:200">
      <c r="A102" s="5">
        <v>1505</v>
      </c>
      <c r="B102" s="1" t="s">
        <v>230</v>
      </c>
      <c r="C102" s="33">
        <v>1447</v>
      </c>
      <c r="D102" s="34">
        <v>1013</v>
      </c>
      <c r="E102" s="19">
        <f t="shared" si="1"/>
        <v>0.70006910850034554</v>
      </c>
      <c r="F102" s="62">
        <v>853</v>
      </c>
      <c r="G102" s="43">
        <v>2</v>
      </c>
      <c r="H102" s="43">
        <v>15</v>
      </c>
      <c r="I102" s="43">
        <v>22</v>
      </c>
      <c r="J102" s="55">
        <v>105</v>
      </c>
      <c r="K102" s="6">
        <v>0</v>
      </c>
      <c r="L102" s="6">
        <v>0</v>
      </c>
      <c r="M102" s="43">
        <v>0</v>
      </c>
      <c r="N102" s="25">
        <v>0</v>
      </c>
      <c r="O102" s="43">
        <v>0</v>
      </c>
      <c r="P102" s="43">
        <v>1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2</v>
      </c>
      <c r="X102" s="43">
        <v>0</v>
      </c>
      <c r="Y102" s="43">
        <v>0</v>
      </c>
      <c r="Z102" s="43">
        <v>0</v>
      </c>
      <c r="AA102" s="44">
        <v>0</v>
      </c>
      <c r="AB102" s="44">
        <v>0</v>
      </c>
      <c r="AC102" s="44">
        <v>8</v>
      </c>
      <c r="AD102" s="44">
        <v>46</v>
      </c>
      <c r="AE102" s="44">
        <v>174</v>
      </c>
      <c r="AF102" s="44">
        <v>5</v>
      </c>
      <c r="AG102" s="44">
        <v>0</v>
      </c>
      <c r="AH102" s="44">
        <v>748</v>
      </c>
      <c r="AI102" s="44">
        <v>153</v>
      </c>
      <c r="AJ102" s="44">
        <v>2</v>
      </c>
      <c r="AK102" s="44">
        <v>0</v>
      </c>
      <c r="AL102" s="44">
        <v>817</v>
      </c>
      <c r="AM102" s="48"/>
      <c r="AN102" s="48"/>
      <c r="AO102" s="48"/>
      <c r="AP102" s="48"/>
      <c r="AQ102" s="48"/>
      <c r="AR102" s="51"/>
      <c r="AS102" s="51"/>
      <c r="AT102" s="51"/>
      <c r="AU102" s="51"/>
      <c r="AV102" s="51"/>
      <c r="AW102" s="50"/>
      <c r="AX102" s="50"/>
      <c r="AY102" s="43">
        <v>805</v>
      </c>
      <c r="AZ102" s="43">
        <v>146</v>
      </c>
      <c r="BA102" s="50"/>
      <c r="BB102" s="50"/>
      <c r="BC102" s="50"/>
      <c r="BD102" s="50"/>
      <c r="BE102" s="43">
        <v>121</v>
      </c>
      <c r="BF102" s="43">
        <v>825</v>
      </c>
      <c r="BG102" s="43">
        <v>137</v>
      </c>
      <c r="BH102" s="43">
        <v>808</v>
      </c>
      <c r="BI102" s="43">
        <v>194</v>
      </c>
      <c r="BJ102" s="43">
        <v>729</v>
      </c>
      <c r="BK102" s="43">
        <v>791</v>
      </c>
      <c r="BL102" s="43">
        <v>154</v>
      </c>
      <c r="BM102" s="43">
        <v>133</v>
      </c>
      <c r="BN102" s="43">
        <v>795</v>
      </c>
      <c r="BO102" s="43">
        <v>741</v>
      </c>
      <c r="BP102" s="43">
        <v>162</v>
      </c>
      <c r="BQ102" s="43">
        <v>206</v>
      </c>
      <c r="BR102" s="43">
        <v>711</v>
      </c>
      <c r="BS102" s="43">
        <v>430</v>
      </c>
      <c r="BT102" s="43">
        <v>113</v>
      </c>
      <c r="BU102" s="43">
        <v>823</v>
      </c>
      <c r="BV102" s="43">
        <v>510</v>
      </c>
      <c r="BW102" s="43">
        <v>259</v>
      </c>
      <c r="BX102" s="43">
        <v>460</v>
      </c>
      <c r="BY102" s="43">
        <v>171</v>
      </c>
      <c r="BZ102" s="43">
        <v>609</v>
      </c>
      <c r="CA102" s="43">
        <v>446</v>
      </c>
      <c r="CB102" s="43">
        <v>135</v>
      </c>
      <c r="CC102" s="43">
        <v>580</v>
      </c>
      <c r="CD102" s="43">
        <v>578</v>
      </c>
      <c r="CE102" s="43">
        <v>575</v>
      </c>
      <c r="CF102" s="43">
        <v>138</v>
      </c>
      <c r="CG102" s="43">
        <v>200</v>
      </c>
      <c r="CH102" s="43">
        <v>494</v>
      </c>
      <c r="CI102" s="43">
        <v>417</v>
      </c>
      <c r="CJ102" s="43">
        <v>289</v>
      </c>
      <c r="CK102" s="43">
        <v>210</v>
      </c>
      <c r="CL102" s="43">
        <v>539</v>
      </c>
      <c r="CM102" s="43">
        <v>423</v>
      </c>
      <c r="CN102" s="43">
        <v>433</v>
      </c>
      <c r="CO102" s="43">
        <v>449</v>
      </c>
      <c r="CP102" s="43">
        <v>267</v>
      </c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43">
        <v>752</v>
      </c>
      <c r="FZ102" s="43">
        <v>208</v>
      </c>
      <c r="GA102" s="53"/>
      <c r="GB102" s="53"/>
      <c r="GC102" s="53"/>
      <c r="GD102" s="53"/>
      <c r="GE102" s="53"/>
      <c r="GF102" s="53"/>
      <c r="GG102" s="53"/>
      <c r="GH102" s="53"/>
      <c r="GI102" s="43"/>
      <c r="GJ102" s="53"/>
      <c r="GK102" s="53"/>
      <c r="GL102" s="53"/>
      <c r="GM102" s="53"/>
      <c r="GN102" s="53"/>
      <c r="GO102" s="43">
        <v>859</v>
      </c>
      <c r="GP102" s="43">
        <v>106</v>
      </c>
      <c r="GQ102" s="43">
        <v>862</v>
      </c>
      <c r="GR102" s="43">
        <v>101</v>
      </c>
    </row>
    <row r="103" spans="1:200">
      <c r="A103" s="5">
        <v>1506</v>
      </c>
      <c r="B103" s="1" t="s">
        <v>231</v>
      </c>
      <c r="C103" s="33">
        <v>606</v>
      </c>
      <c r="D103" s="34">
        <v>427</v>
      </c>
      <c r="E103" s="19">
        <f t="shared" si="1"/>
        <v>0.70462046204620465</v>
      </c>
      <c r="F103" s="62">
        <v>328</v>
      </c>
      <c r="G103" s="43">
        <v>0</v>
      </c>
      <c r="H103" s="43">
        <v>6</v>
      </c>
      <c r="I103" s="43">
        <v>7</v>
      </c>
      <c r="J103" s="55">
        <v>76</v>
      </c>
      <c r="K103" s="6">
        <v>0</v>
      </c>
      <c r="L103" s="6">
        <v>0</v>
      </c>
      <c r="M103" s="43">
        <v>0</v>
      </c>
      <c r="N103" s="25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>
        <v>0</v>
      </c>
      <c r="AA103" s="44">
        <v>0</v>
      </c>
      <c r="AB103" s="44">
        <v>0</v>
      </c>
      <c r="AC103" s="44">
        <v>5</v>
      </c>
      <c r="AD103" s="44">
        <v>12</v>
      </c>
      <c r="AE103" s="44">
        <v>119</v>
      </c>
      <c r="AF103" s="44">
        <v>2</v>
      </c>
      <c r="AG103" s="44">
        <v>0</v>
      </c>
      <c r="AH103" s="44">
        <v>269</v>
      </c>
      <c r="AI103" s="44">
        <v>113</v>
      </c>
      <c r="AJ103" s="44">
        <v>1</v>
      </c>
      <c r="AK103" s="44">
        <v>0</v>
      </c>
      <c r="AL103" s="44">
        <v>300</v>
      </c>
      <c r="AM103" s="48"/>
      <c r="AN103" s="48"/>
      <c r="AO103" s="48"/>
      <c r="AP103" s="48"/>
      <c r="AQ103" s="48"/>
      <c r="AR103" s="51"/>
      <c r="AS103" s="51"/>
      <c r="AT103" s="51"/>
      <c r="AU103" s="51"/>
      <c r="AV103" s="51"/>
      <c r="AW103" s="50"/>
      <c r="AX103" s="50"/>
      <c r="AY103" s="43">
        <v>300</v>
      </c>
      <c r="AZ103" s="43">
        <v>97</v>
      </c>
      <c r="BA103" s="50"/>
      <c r="BB103" s="50"/>
      <c r="BC103" s="50"/>
      <c r="BD103" s="50"/>
      <c r="BE103" s="43">
        <v>65</v>
      </c>
      <c r="BF103" s="43">
        <v>331</v>
      </c>
      <c r="BG103" s="43">
        <v>96</v>
      </c>
      <c r="BH103" s="43">
        <v>303</v>
      </c>
      <c r="BI103" s="43">
        <v>133</v>
      </c>
      <c r="BJ103" s="43">
        <v>267</v>
      </c>
      <c r="BK103" s="43">
        <v>309</v>
      </c>
      <c r="BL103" s="43">
        <v>89</v>
      </c>
      <c r="BM103" s="43">
        <v>72</v>
      </c>
      <c r="BN103" s="43">
        <v>316</v>
      </c>
      <c r="BO103" s="43">
        <v>282</v>
      </c>
      <c r="BP103" s="43">
        <v>106</v>
      </c>
      <c r="BQ103" s="43">
        <v>119</v>
      </c>
      <c r="BR103" s="43">
        <v>263</v>
      </c>
      <c r="BS103" s="43">
        <v>177</v>
      </c>
      <c r="BT103" s="43">
        <v>62</v>
      </c>
      <c r="BU103" s="43">
        <v>333</v>
      </c>
      <c r="BV103" s="43">
        <v>209</v>
      </c>
      <c r="BW103" s="43">
        <v>126</v>
      </c>
      <c r="BX103" s="43">
        <v>188</v>
      </c>
      <c r="BY103" s="43">
        <v>115</v>
      </c>
      <c r="BZ103" s="43">
        <v>224</v>
      </c>
      <c r="CA103" s="43">
        <v>190</v>
      </c>
      <c r="CB103" s="43">
        <v>85</v>
      </c>
      <c r="CC103" s="43">
        <v>222</v>
      </c>
      <c r="CD103" s="43">
        <v>244</v>
      </c>
      <c r="CE103" s="43">
        <v>206</v>
      </c>
      <c r="CF103" s="43">
        <v>114</v>
      </c>
      <c r="CG103" s="43">
        <v>109</v>
      </c>
      <c r="CH103" s="43">
        <v>188</v>
      </c>
      <c r="CI103" s="43">
        <v>154</v>
      </c>
      <c r="CJ103" s="43">
        <v>157</v>
      </c>
      <c r="CK103" s="43">
        <v>116</v>
      </c>
      <c r="CL103" s="43">
        <v>208</v>
      </c>
      <c r="CM103" s="43">
        <v>179</v>
      </c>
      <c r="CN103" s="43">
        <v>188</v>
      </c>
      <c r="CO103" s="43">
        <v>173</v>
      </c>
      <c r="CP103" s="43">
        <v>153</v>
      </c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43">
        <v>281</v>
      </c>
      <c r="FZ103" s="43">
        <v>120</v>
      </c>
      <c r="GA103" s="53"/>
      <c r="GB103" s="53"/>
      <c r="GC103" s="53"/>
      <c r="GD103" s="53"/>
      <c r="GE103" s="53"/>
      <c r="GF103" s="53"/>
      <c r="GG103" s="53"/>
      <c r="GH103" s="53"/>
      <c r="GI103" s="43"/>
      <c r="GJ103" s="53"/>
      <c r="GK103" s="53"/>
      <c r="GL103" s="53"/>
      <c r="GM103" s="53"/>
      <c r="GN103" s="53"/>
      <c r="GO103" s="43">
        <v>317</v>
      </c>
      <c r="GP103" s="43">
        <v>74</v>
      </c>
      <c r="GQ103" s="43">
        <v>337</v>
      </c>
      <c r="GR103" s="43">
        <v>58</v>
      </c>
    </row>
    <row r="104" spans="1:200">
      <c r="A104" s="5">
        <v>1507</v>
      </c>
      <c r="B104" s="1" t="s">
        <v>232</v>
      </c>
      <c r="C104" s="33">
        <v>672</v>
      </c>
      <c r="D104" s="34">
        <v>469</v>
      </c>
      <c r="E104" s="19">
        <f t="shared" si="1"/>
        <v>0.69791666666666663</v>
      </c>
      <c r="F104" s="62">
        <v>380</v>
      </c>
      <c r="G104" s="43">
        <v>1</v>
      </c>
      <c r="H104" s="43">
        <v>9</v>
      </c>
      <c r="I104" s="43">
        <v>5</v>
      </c>
      <c r="J104" s="55">
        <v>61</v>
      </c>
      <c r="K104" s="6">
        <v>0</v>
      </c>
      <c r="L104" s="6">
        <v>0</v>
      </c>
      <c r="M104" s="43">
        <v>0</v>
      </c>
      <c r="N104" s="25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  <c r="V104" s="43">
        <v>0</v>
      </c>
      <c r="W104" s="43">
        <v>2</v>
      </c>
      <c r="X104" s="43">
        <v>0</v>
      </c>
      <c r="Y104" s="43">
        <v>0</v>
      </c>
      <c r="Z104" s="43">
        <v>0</v>
      </c>
      <c r="AA104" s="44">
        <v>0</v>
      </c>
      <c r="AB104" s="44">
        <v>0</v>
      </c>
      <c r="AC104" s="44">
        <v>3</v>
      </c>
      <c r="AD104" s="44">
        <v>10</v>
      </c>
      <c r="AE104" s="44">
        <v>100</v>
      </c>
      <c r="AF104" s="44">
        <v>2</v>
      </c>
      <c r="AG104" s="44">
        <v>0</v>
      </c>
      <c r="AH104" s="44">
        <v>335</v>
      </c>
      <c r="AI104" s="44">
        <v>97</v>
      </c>
      <c r="AJ104" s="44">
        <v>1</v>
      </c>
      <c r="AK104" s="44">
        <v>0</v>
      </c>
      <c r="AL104" s="44">
        <v>355</v>
      </c>
      <c r="AM104" s="48"/>
      <c r="AN104" s="48"/>
      <c r="AO104" s="48"/>
      <c r="AP104" s="48"/>
      <c r="AQ104" s="48"/>
      <c r="AR104" s="51"/>
      <c r="AS104" s="51"/>
      <c r="AT104" s="51"/>
      <c r="AU104" s="51"/>
      <c r="AV104" s="51"/>
      <c r="AW104" s="50"/>
      <c r="AX104" s="50"/>
      <c r="AY104" s="43">
        <v>358</v>
      </c>
      <c r="AZ104" s="43">
        <v>86</v>
      </c>
      <c r="BA104" s="50"/>
      <c r="BB104" s="50"/>
      <c r="BC104" s="50"/>
      <c r="BD104" s="50"/>
      <c r="BE104" s="43">
        <v>73</v>
      </c>
      <c r="BF104" s="43">
        <v>378</v>
      </c>
      <c r="BG104" s="43">
        <v>81</v>
      </c>
      <c r="BH104" s="43">
        <v>368</v>
      </c>
      <c r="BI104" s="43">
        <v>124</v>
      </c>
      <c r="BJ104" s="43">
        <v>313</v>
      </c>
      <c r="BK104" s="43">
        <v>355</v>
      </c>
      <c r="BL104" s="43">
        <v>89</v>
      </c>
      <c r="BM104" s="43">
        <v>70</v>
      </c>
      <c r="BN104" s="43">
        <v>364</v>
      </c>
      <c r="BO104" s="43">
        <v>345</v>
      </c>
      <c r="BP104" s="43">
        <v>88</v>
      </c>
      <c r="BQ104" s="43">
        <v>122</v>
      </c>
      <c r="BR104" s="43">
        <v>313</v>
      </c>
      <c r="BS104" s="43">
        <v>178</v>
      </c>
      <c r="BT104" s="43">
        <v>64</v>
      </c>
      <c r="BU104" s="43">
        <v>377</v>
      </c>
      <c r="BV104" s="43">
        <v>217</v>
      </c>
      <c r="BW104" s="43">
        <v>145</v>
      </c>
      <c r="BX104" s="43">
        <v>209</v>
      </c>
      <c r="BY104" s="43">
        <v>119</v>
      </c>
      <c r="BZ104" s="43">
        <v>260</v>
      </c>
      <c r="CA104" s="43">
        <v>186</v>
      </c>
      <c r="CB104" s="43">
        <v>88</v>
      </c>
      <c r="CC104" s="43">
        <v>260</v>
      </c>
      <c r="CD104" s="43">
        <v>256</v>
      </c>
      <c r="CE104" s="43">
        <v>262</v>
      </c>
      <c r="CF104" s="43">
        <v>88</v>
      </c>
      <c r="CG104" s="43">
        <v>102</v>
      </c>
      <c r="CH104" s="43">
        <v>230</v>
      </c>
      <c r="CI104" s="43">
        <v>186</v>
      </c>
      <c r="CJ104" s="43">
        <v>158</v>
      </c>
      <c r="CK104" s="43">
        <v>111</v>
      </c>
      <c r="CL104" s="43">
        <v>244</v>
      </c>
      <c r="CM104" s="43">
        <v>175</v>
      </c>
      <c r="CN104" s="43">
        <v>186</v>
      </c>
      <c r="CO104" s="43">
        <v>212</v>
      </c>
      <c r="CP104" s="43">
        <v>128</v>
      </c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43">
        <v>294</v>
      </c>
      <c r="FZ104" s="43">
        <v>160</v>
      </c>
      <c r="GA104" s="53"/>
      <c r="GB104" s="53"/>
      <c r="GC104" s="53"/>
      <c r="GD104" s="53"/>
      <c r="GE104" s="53"/>
      <c r="GF104" s="53"/>
      <c r="GG104" s="53"/>
      <c r="GH104" s="53"/>
      <c r="GI104" s="43"/>
      <c r="GJ104" s="53"/>
      <c r="GK104" s="53"/>
      <c r="GL104" s="53"/>
      <c r="GM104" s="53"/>
      <c r="GN104" s="53"/>
      <c r="GO104" s="43">
        <v>340</v>
      </c>
      <c r="GP104" s="43">
        <v>109</v>
      </c>
      <c r="GQ104" s="43">
        <v>359</v>
      </c>
      <c r="GR104" s="43">
        <v>93</v>
      </c>
    </row>
    <row r="105" spans="1:200">
      <c r="A105" s="5">
        <v>1508</v>
      </c>
      <c r="B105" s="1" t="s">
        <v>233</v>
      </c>
      <c r="C105" s="33">
        <v>1114</v>
      </c>
      <c r="D105" s="34">
        <v>925</v>
      </c>
      <c r="E105" s="19">
        <f t="shared" si="1"/>
        <v>0.83034111310592462</v>
      </c>
      <c r="F105" s="62">
        <v>712</v>
      </c>
      <c r="G105" s="43">
        <v>0</v>
      </c>
      <c r="H105" s="43">
        <v>19</v>
      </c>
      <c r="I105" s="43">
        <v>8</v>
      </c>
      <c r="J105" s="55">
        <v>165</v>
      </c>
      <c r="K105" s="6">
        <v>0</v>
      </c>
      <c r="L105" s="6">
        <v>0</v>
      </c>
      <c r="M105" s="43">
        <v>0</v>
      </c>
      <c r="N105" s="25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4</v>
      </c>
      <c r="X105" s="43">
        <v>0</v>
      </c>
      <c r="Y105" s="43">
        <v>0</v>
      </c>
      <c r="Z105" s="43">
        <v>0</v>
      </c>
      <c r="AA105" s="44">
        <v>0</v>
      </c>
      <c r="AB105" s="44">
        <v>0</v>
      </c>
      <c r="AC105" s="44">
        <v>1</v>
      </c>
      <c r="AD105" s="44">
        <v>20</v>
      </c>
      <c r="AE105" s="44">
        <v>279</v>
      </c>
      <c r="AF105" s="44">
        <v>0</v>
      </c>
      <c r="AG105" s="44">
        <v>0</v>
      </c>
      <c r="AH105" s="44">
        <v>609</v>
      </c>
      <c r="AI105" s="44">
        <v>239</v>
      </c>
      <c r="AJ105" s="44">
        <v>1</v>
      </c>
      <c r="AK105" s="44">
        <v>0</v>
      </c>
      <c r="AL105" s="44">
        <v>669</v>
      </c>
      <c r="AM105" s="48"/>
      <c r="AN105" s="48"/>
      <c r="AO105" s="48"/>
      <c r="AP105" s="48"/>
      <c r="AQ105" s="48"/>
      <c r="AR105" s="51"/>
      <c r="AS105" s="51"/>
      <c r="AT105" s="51"/>
      <c r="AU105" s="51"/>
      <c r="AV105" s="51"/>
      <c r="AW105" s="50"/>
      <c r="AX105" s="50"/>
      <c r="AY105" s="43">
        <v>670</v>
      </c>
      <c r="AZ105" s="43">
        <v>217</v>
      </c>
      <c r="BA105" s="50"/>
      <c r="BB105" s="50"/>
      <c r="BC105" s="50"/>
      <c r="BD105" s="50"/>
      <c r="BE105" s="43">
        <v>193</v>
      </c>
      <c r="BF105" s="43">
        <v>703</v>
      </c>
      <c r="BG105" s="43">
        <v>221</v>
      </c>
      <c r="BH105" s="43">
        <v>674</v>
      </c>
      <c r="BI105" s="43">
        <v>262</v>
      </c>
      <c r="BJ105" s="43">
        <v>611</v>
      </c>
      <c r="BK105" s="43">
        <v>684</v>
      </c>
      <c r="BL105" s="43">
        <v>206</v>
      </c>
      <c r="BM105" s="43">
        <v>179</v>
      </c>
      <c r="BN105" s="43">
        <v>686</v>
      </c>
      <c r="BO105" s="43">
        <v>626</v>
      </c>
      <c r="BP105" s="43">
        <v>223</v>
      </c>
      <c r="BQ105" s="43">
        <v>274</v>
      </c>
      <c r="BR105" s="43">
        <v>591</v>
      </c>
      <c r="BS105" s="43">
        <v>412</v>
      </c>
      <c r="BT105" s="43">
        <v>147</v>
      </c>
      <c r="BU105" s="43">
        <v>733</v>
      </c>
      <c r="BV105" s="43">
        <v>464</v>
      </c>
      <c r="BW105" s="43">
        <v>257</v>
      </c>
      <c r="BX105" s="43">
        <v>464</v>
      </c>
      <c r="BY105" s="43">
        <v>212</v>
      </c>
      <c r="BZ105" s="43">
        <v>563</v>
      </c>
      <c r="CA105" s="43">
        <v>410</v>
      </c>
      <c r="CB105" s="43">
        <v>184</v>
      </c>
      <c r="CC105" s="43">
        <v>526</v>
      </c>
      <c r="CD105" s="43">
        <v>533</v>
      </c>
      <c r="CE105" s="43">
        <v>538</v>
      </c>
      <c r="CF105" s="43">
        <v>188</v>
      </c>
      <c r="CG105" s="43">
        <v>206</v>
      </c>
      <c r="CH105" s="43">
        <v>483</v>
      </c>
      <c r="CI105" s="43">
        <v>402</v>
      </c>
      <c r="CJ105" s="43">
        <v>289</v>
      </c>
      <c r="CK105" s="43">
        <v>191</v>
      </c>
      <c r="CL105" s="43">
        <v>563</v>
      </c>
      <c r="CM105" s="43">
        <v>358</v>
      </c>
      <c r="CN105" s="43">
        <v>384</v>
      </c>
      <c r="CO105" s="43">
        <v>438</v>
      </c>
      <c r="CP105" s="43">
        <v>255</v>
      </c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43">
        <v>566</v>
      </c>
      <c r="FZ105" s="43">
        <v>334</v>
      </c>
      <c r="GA105" s="53"/>
      <c r="GB105" s="53"/>
      <c r="GC105" s="53"/>
      <c r="GD105" s="53"/>
      <c r="GE105" s="53"/>
      <c r="GF105" s="53"/>
      <c r="GG105" s="53"/>
      <c r="GH105" s="53"/>
      <c r="GI105" s="43"/>
      <c r="GJ105" s="53"/>
      <c r="GK105" s="53"/>
      <c r="GL105" s="53"/>
      <c r="GM105" s="53"/>
      <c r="GN105" s="53"/>
      <c r="GO105" s="43">
        <v>731</v>
      </c>
      <c r="GP105" s="43">
        <v>167</v>
      </c>
      <c r="GQ105" s="43">
        <v>729</v>
      </c>
      <c r="GR105" s="43">
        <v>170</v>
      </c>
    </row>
    <row r="106" spans="1:200">
      <c r="A106" s="5">
        <v>1509</v>
      </c>
      <c r="B106" s="1" t="s">
        <v>234</v>
      </c>
      <c r="C106" s="33">
        <v>1022</v>
      </c>
      <c r="D106" s="34">
        <v>694</v>
      </c>
      <c r="E106" s="19">
        <f t="shared" si="1"/>
        <v>0.67906066536203524</v>
      </c>
      <c r="F106" s="62">
        <v>566</v>
      </c>
      <c r="G106" s="43">
        <v>0</v>
      </c>
      <c r="H106" s="43">
        <v>25</v>
      </c>
      <c r="I106" s="43">
        <v>12</v>
      </c>
      <c r="J106" s="55">
        <v>77</v>
      </c>
      <c r="K106" s="6">
        <v>0</v>
      </c>
      <c r="L106" s="6">
        <v>0</v>
      </c>
      <c r="M106" s="43">
        <v>0</v>
      </c>
      <c r="N106" s="25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  <c r="V106" s="43">
        <v>0</v>
      </c>
      <c r="W106" s="43">
        <v>1</v>
      </c>
      <c r="X106" s="43">
        <v>0</v>
      </c>
      <c r="Y106" s="43">
        <v>0</v>
      </c>
      <c r="Z106" s="43">
        <v>0</v>
      </c>
      <c r="AA106" s="44">
        <v>0</v>
      </c>
      <c r="AB106" s="44">
        <v>0</v>
      </c>
      <c r="AC106" s="44">
        <v>1</v>
      </c>
      <c r="AD106" s="44">
        <v>24</v>
      </c>
      <c r="AE106" s="44">
        <v>139</v>
      </c>
      <c r="AF106" s="44">
        <v>5</v>
      </c>
      <c r="AG106" s="44">
        <v>0</v>
      </c>
      <c r="AH106" s="44">
        <v>498</v>
      </c>
      <c r="AI106" s="44">
        <v>131</v>
      </c>
      <c r="AJ106" s="44">
        <v>2</v>
      </c>
      <c r="AK106" s="44">
        <v>0</v>
      </c>
      <c r="AL106" s="44">
        <v>531</v>
      </c>
      <c r="AM106" s="48"/>
      <c r="AN106" s="48"/>
      <c r="AO106" s="48"/>
      <c r="AP106" s="48"/>
      <c r="AQ106" s="48"/>
      <c r="AR106" s="51"/>
      <c r="AS106" s="51"/>
      <c r="AT106" s="51"/>
      <c r="AU106" s="51"/>
      <c r="AV106" s="51"/>
      <c r="AW106" s="50"/>
      <c r="AX106" s="50"/>
      <c r="AY106" s="43">
        <v>535</v>
      </c>
      <c r="AZ106" s="43">
        <v>113</v>
      </c>
      <c r="BA106" s="50"/>
      <c r="BB106" s="50"/>
      <c r="BC106" s="50"/>
      <c r="BD106" s="50"/>
      <c r="BE106" s="43">
        <v>92</v>
      </c>
      <c r="BF106" s="43">
        <v>553</v>
      </c>
      <c r="BG106" s="43">
        <v>114</v>
      </c>
      <c r="BH106" s="43">
        <v>537</v>
      </c>
      <c r="BI106" s="43">
        <v>163</v>
      </c>
      <c r="BJ106" s="43">
        <v>477</v>
      </c>
      <c r="BK106" s="43">
        <v>512</v>
      </c>
      <c r="BL106" s="43">
        <v>133</v>
      </c>
      <c r="BM106" s="43">
        <v>100</v>
      </c>
      <c r="BN106" s="43">
        <v>542</v>
      </c>
      <c r="BO106" s="43">
        <v>509</v>
      </c>
      <c r="BP106" s="43">
        <v>119</v>
      </c>
      <c r="BQ106" s="43">
        <v>158</v>
      </c>
      <c r="BR106" s="43">
        <v>474</v>
      </c>
      <c r="BS106" s="43">
        <v>310</v>
      </c>
      <c r="BT106" s="43">
        <v>73</v>
      </c>
      <c r="BU106" s="43">
        <v>573</v>
      </c>
      <c r="BV106" s="43">
        <v>349</v>
      </c>
      <c r="BW106" s="43">
        <v>204</v>
      </c>
      <c r="BX106" s="43">
        <v>306</v>
      </c>
      <c r="BY106" s="43">
        <v>154</v>
      </c>
      <c r="BZ106" s="43">
        <v>398</v>
      </c>
      <c r="CA106" s="43">
        <v>307</v>
      </c>
      <c r="CB106" s="43">
        <v>113</v>
      </c>
      <c r="CC106" s="43">
        <v>407</v>
      </c>
      <c r="CD106" s="43">
        <v>387</v>
      </c>
      <c r="CE106" s="43">
        <v>386</v>
      </c>
      <c r="CF106" s="43">
        <v>124</v>
      </c>
      <c r="CG106" s="43">
        <v>139</v>
      </c>
      <c r="CH106" s="43">
        <v>336</v>
      </c>
      <c r="CI106" s="43">
        <v>268</v>
      </c>
      <c r="CJ106" s="43">
        <v>242</v>
      </c>
      <c r="CK106" s="43">
        <v>193</v>
      </c>
      <c r="CL106" s="43">
        <v>342</v>
      </c>
      <c r="CM106" s="43">
        <v>278</v>
      </c>
      <c r="CN106" s="43">
        <v>297</v>
      </c>
      <c r="CO106" s="43">
        <v>303</v>
      </c>
      <c r="CP106" s="43">
        <v>201</v>
      </c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43">
        <v>471</v>
      </c>
      <c r="FZ106" s="43">
        <v>177</v>
      </c>
      <c r="GA106" s="53"/>
      <c r="GB106" s="53"/>
      <c r="GC106" s="53"/>
      <c r="GD106" s="53"/>
      <c r="GE106" s="53"/>
      <c r="GF106" s="53"/>
      <c r="GG106" s="53"/>
      <c r="GH106" s="53"/>
      <c r="GI106" s="43"/>
      <c r="GJ106" s="53"/>
      <c r="GK106" s="53"/>
      <c r="GL106" s="53"/>
      <c r="GM106" s="53"/>
      <c r="GN106" s="53"/>
      <c r="GO106" s="43">
        <v>566</v>
      </c>
      <c r="GP106" s="43">
        <v>87</v>
      </c>
      <c r="GQ106" s="43">
        <v>564</v>
      </c>
      <c r="GR106" s="43">
        <v>88</v>
      </c>
    </row>
    <row r="107" spans="1:200">
      <c r="A107" s="5">
        <v>1510</v>
      </c>
      <c r="B107" s="1" t="s">
        <v>235</v>
      </c>
      <c r="C107" s="33">
        <v>885</v>
      </c>
      <c r="D107" s="34">
        <v>511</v>
      </c>
      <c r="E107" s="19">
        <f t="shared" si="1"/>
        <v>0.57740112994350279</v>
      </c>
      <c r="F107" s="62">
        <v>485</v>
      </c>
      <c r="G107" s="43">
        <v>1</v>
      </c>
      <c r="H107" s="43">
        <v>2</v>
      </c>
      <c r="I107" s="43">
        <v>4</v>
      </c>
      <c r="J107" s="55">
        <v>14</v>
      </c>
      <c r="K107" s="6">
        <v>0</v>
      </c>
      <c r="L107" s="6">
        <v>0</v>
      </c>
      <c r="M107" s="43">
        <v>0</v>
      </c>
      <c r="N107" s="25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4">
        <v>0</v>
      </c>
      <c r="AB107" s="44">
        <v>0</v>
      </c>
      <c r="AC107" s="44">
        <v>3</v>
      </c>
      <c r="AD107" s="44">
        <v>9</v>
      </c>
      <c r="AE107" s="44">
        <v>39</v>
      </c>
      <c r="AF107" s="44">
        <v>2</v>
      </c>
      <c r="AG107" s="44">
        <v>0</v>
      </c>
      <c r="AH107" s="44">
        <v>435</v>
      </c>
      <c r="AI107" s="44">
        <v>46</v>
      </c>
      <c r="AJ107" s="44">
        <v>1</v>
      </c>
      <c r="AK107" s="44">
        <v>0</v>
      </c>
      <c r="AL107" s="44">
        <v>441</v>
      </c>
      <c r="AM107" s="48"/>
      <c r="AN107" s="48"/>
      <c r="AO107" s="48"/>
      <c r="AP107" s="48"/>
      <c r="AQ107" s="48"/>
      <c r="AR107" s="51"/>
      <c r="AS107" s="51"/>
      <c r="AT107" s="51"/>
      <c r="AU107" s="51"/>
      <c r="AV107" s="51"/>
      <c r="AW107" s="50"/>
      <c r="AX107" s="50"/>
      <c r="AY107" s="43">
        <v>446</v>
      </c>
      <c r="AZ107" s="43">
        <v>30</v>
      </c>
      <c r="BA107" s="50"/>
      <c r="BB107" s="50"/>
      <c r="BC107" s="50"/>
      <c r="BD107" s="50"/>
      <c r="BE107" s="43">
        <v>17</v>
      </c>
      <c r="BF107" s="43">
        <v>468</v>
      </c>
      <c r="BG107" s="43">
        <v>33</v>
      </c>
      <c r="BH107" s="43">
        <v>455</v>
      </c>
      <c r="BI107" s="43">
        <v>54</v>
      </c>
      <c r="BJ107" s="43">
        <v>429</v>
      </c>
      <c r="BK107" s="43">
        <v>421</v>
      </c>
      <c r="BL107" s="43">
        <v>55</v>
      </c>
      <c r="BM107" s="43">
        <v>21</v>
      </c>
      <c r="BN107" s="43">
        <v>453</v>
      </c>
      <c r="BO107" s="43">
        <v>442</v>
      </c>
      <c r="BP107" s="43">
        <v>42</v>
      </c>
      <c r="BQ107" s="43">
        <v>44</v>
      </c>
      <c r="BR107" s="43">
        <v>438</v>
      </c>
      <c r="BS107" s="43">
        <v>150</v>
      </c>
      <c r="BT107" s="43">
        <v>18</v>
      </c>
      <c r="BU107" s="43">
        <v>465</v>
      </c>
      <c r="BV107" s="43">
        <v>239</v>
      </c>
      <c r="BW107" s="43">
        <v>135</v>
      </c>
      <c r="BX107" s="43">
        <v>233</v>
      </c>
      <c r="BY107" s="43">
        <v>133</v>
      </c>
      <c r="BZ107" s="43">
        <v>272</v>
      </c>
      <c r="CA107" s="43">
        <v>200</v>
      </c>
      <c r="CB107" s="43">
        <v>78</v>
      </c>
      <c r="CC107" s="43">
        <v>285</v>
      </c>
      <c r="CD107" s="43">
        <v>247</v>
      </c>
      <c r="CE107" s="43">
        <v>284</v>
      </c>
      <c r="CF107" s="43">
        <v>102</v>
      </c>
      <c r="CG107" s="43">
        <v>106</v>
      </c>
      <c r="CH107" s="43">
        <v>235</v>
      </c>
      <c r="CI107" s="43">
        <v>228</v>
      </c>
      <c r="CJ107" s="43">
        <v>140</v>
      </c>
      <c r="CK107" s="43">
        <v>167</v>
      </c>
      <c r="CL107" s="43">
        <v>214</v>
      </c>
      <c r="CM107" s="43">
        <v>194</v>
      </c>
      <c r="CN107" s="43">
        <v>230</v>
      </c>
      <c r="CO107" s="43">
        <v>247</v>
      </c>
      <c r="CP107" s="43">
        <v>136</v>
      </c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43">
        <v>356</v>
      </c>
      <c r="FZ107" s="43">
        <v>110</v>
      </c>
      <c r="GA107" s="53"/>
      <c r="GB107" s="53"/>
      <c r="GC107" s="53"/>
      <c r="GD107" s="53"/>
      <c r="GE107" s="53"/>
      <c r="GF107" s="53"/>
      <c r="GG107" s="53"/>
      <c r="GH107" s="53"/>
      <c r="GI107" s="43"/>
      <c r="GJ107" s="53"/>
      <c r="GK107" s="53"/>
      <c r="GL107" s="53"/>
      <c r="GM107" s="53"/>
      <c r="GN107" s="53"/>
      <c r="GO107" s="43">
        <v>297</v>
      </c>
      <c r="GP107" s="43">
        <v>151</v>
      </c>
      <c r="GQ107" s="43">
        <v>362</v>
      </c>
      <c r="GR107" s="43">
        <v>97</v>
      </c>
    </row>
    <row r="108" spans="1:200">
      <c r="A108" s="5">
        <v>1601</v>
      </c>
      <c r="B108" s="1" t="s">
        <v>236</v>
      </c>
      <c r="C108" s="33">
        <v>1304</v>
      </c>
      <c r="D108" s="34">
        <v>626</v>
      </c>
      <c r="E108" s="19">
        <f t="shared" si="1"/>
        <v>0.48006134969325154</v>
      </c>
      <c r="F108" s="62">
        <v>478</v>
      </c>
      <c r="G108" s="43">
        <v>2</v>
      </c>
      <c r="H108" s="43">
        <v>17</v>
      </c>
      <c r="I108" s="43">
        <v>2</v>
      </c>
      <c r="J108" s="55">
        <v>110</v>
      </c>
      <c r="K108" s="6">
        <v>0</v>
      </c>
      <c r="L108" s="6">
        <v>0</v>
      </c>
      <c r="M108" s="43">
        <v>0</v>
      </c>
      <c r="N108" s="25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4">
        <v>0</v>
      </c>
      <c r="AB108" s="44">
        <v>0</v>
      </c>
      <c r="AC108" s="44">
        <v>17</v>
      </c>
      <c r="AD108" s="44">
        <v>15</v>
      </c>
      <c r="AE108" s="44">
        <v>174</v>
      </c>
      <c r="AF108" s="44">
        <v>3</v>
      </c>
      <c r="AG108" s="44">
        <v>0</v>
      </c>
      <c r="AH108" s="44">
        <v>378</v>
      </c>
      <c r="AI108" s="44">
        <v>160</v>
      </c>
      <c r="AJ108" s="44">
        <v>0</v>
      </c>
      <c r="AK108" s="44">
        <v>0</v>
      </c>
      <c r="AL108" s="44">
        <v>412</v>
      </c>
      <c r="AM108" s="48"/>
      <c r="AN108" s="48"/>
      <c r="AO108" s="48"/>
      <c r="AP108" s="48"/>
      <c r="AQ108" s="48"/>
      <c r="AR108" s="51"/>
      <c r="AS108" s="51"/>
      <c r="AT108" s="51"/>
      <c r="AU108" s="51"/>
      <c r="AV108" s="51"/>
      <c r="AW108" s="50"/>
      <c r="AX108" s="50"/>
      <c r="AY108" s="50"/>
      <c r="AZ108" s="50"/>
      <c r="BA108" s="43">
        <v>411</v>
      </c>
      <c r="BB108" s="43">
        <v>129</v>
      </c>
      <c r="BC108" s="50"/>
      <c r="BD108" s="50"/>
      <c r="BE108" s="43">
        <v>125</v>
      </c>
      <c r="BF108" s="43">
        <v>419</v>
      </c>
      <c r="BG108" s="43">
        <v>139</v>
      </c>
      <c r="BH108" s="43">
        <v>412</v>
      </c>
      <c r="BI108" s="43">
        <v>173</v>
      </c>
      <c r="BJ108" s="43">
        <v>368</v>
      </c>
      <c r="BK108" s="43">
        <v>396</v>
      </c>
      <c r="BL108" s="43">
        <v>157</v>
      </c>
      <c r="BM108" s="43">
        <v>112</v>
      </c>
      <c r="BN108" s="43">
        <v>425</v>
      </c>
      <c r="BO108" s="43">
        <v>391</v>
      </c>
      <c r="BP108" s="43">
        <v>133</v>
      </c>
      <c r="BQ108" s="43">
        <v>153</v>
      </c>
      <c r="BR108" s="43">
        <v>377</v>
      </c>
      <c r="BS108" s="43">
        <v>244</v>
      </c>
      <c r="BT108" s="43">
        <v>107</v>
      </c>
      <c r="BU108" s="43">
        <v>419</v>
      </c>
      <c r="BV108" s="43">
        <v>305</v>
      </c>
      <c r="BW108" s="43">
        <v>197</v>
      </c>
      <c r="BX108" s="43">
        <v>226</v>
      </c>
      <c r="BY108" s="43">
        <v>198</v>
      </c>
      <c r="BZ108" s="43">
        <v>267</v>
      </c>
      <c r="CA108" s="43">
        <v>270</v>
      </c>
      <c r="CB108" s="43">
        <v>125</v>
      </c>
      <c r="CC108" s="43">
        <v>302</v>
      </c>
      <c r="CD108" s="43">
        <v>298</v>
      </c>
      <c r="CE108" s="43">
        <v>293</v>
      </c>
      <c r="CF108" s="43">
        <v>137</v>
      </c>
      <c r="CG108" s="43">
        <v>160</v>
      </c>
      <c r="CH108" s="43">
        <v>247</v>
      </c>
      <c r="CI108" s="43">
        <v>196</v>
      </c>
      <c r="CJ108" s="43">
        <v>218</v>
      </c>
      <c r="CK108" s="43">
        <v>222</v>
      </c>
      <c r="CL108" s="43">
        <v>214</v>
      </c>
      <c r="CM108" s="43">
        <v>255</v>
      </c>
      <c r="CN108" s="43">
        <v>279</v>
      </c>
      <c r="CO108" s="43">
        <v>207</v>
      </c>
      <c r="CP108" s="43">
        <v>236</v>
      </c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43">
        <v>359</v>
      </c>
      <c r="FZ108" s="43">
        <v>196</v>
      </c>
      <c r="GA108" s="53"/>
      <c r="GB108" s="53"/>
      <c r="GC108" s="53"/>
      <c r="GD108" s="53"/>
      <c r="GE108" s="53"/>
      <c r="GF108" s="53"/>
      <c r="GG108" s="53"/>
      <c r="GH108" s="53"/>
      <c r="GI108" s="43"/>
      <c r="GJ108" s="53"/>
      <c r="GK108" s="53"/>
      <c r="GL108" s="53"/>
      <c r="GM108" s="53"/>
      <c r="GN108" s="53"/>
      <c r="GO108" s="43">
        <v>395</v>
      </c>
      <c r="GP108" s="43">
        <v>152</v>
      </c>
      <c r="GQ108" s="43">
        <v>399</v>
      </c>
      <c r="GR108" s="43">
        <v>142</v>
      </c>
    </row>
    <row r="109" spans="1:200">
      <c r="A109" s="5">
        <v>1701</v>
      </c>
      <c r="B109" s="1" t="s">
        <v>237</v>
      </c>
      <c r="C109" s="33">
        <v>1667</v>
      </c>
      <c r="D109" s="34">
        <v>946</v>
      </c>
      <c r="E109" s="19">
        <f t="shared" si="1"/>
        <v>0.5674865026994601</v>
      </c>
      <c r="F109" s="62">
        <v>909</v>
      </c>
      <c r="G109" s="43">
        <v>0</v>
      </c>
      <c r="H109" s="43">
        <v>1</v>
      </c>
      <c r="I109" s="43">
        <v>7</v>
      </c>
      <c r="J109" s="55">
        <v>15</v>
      </c>
      <c r="K109" s="6">
        <v>0</v>
      </c>
      <c r="L109" s="6">
        <v>0</v>
      </c>
      <c r="M109" s="43">
        <v>0</v>
      </c>
      <c r="N109" s="25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4">
        <v>0</v>
      </c>
      <c r="AB109" s="44">
        <v>0</v>
      </c>
      <c r="AC109" s="44">
        <v>19</v>
      </c>
      <c r="AD109" s="44">
        <v>14</v>
      </c>
      <c r="AE109" s="44">
        <v>55</v>
      </c>
      <c r="AF109" s="44">
        <v>9</v>
      </c>
      <c r="AG109" s="44">
        <v>0</v>
      </c>
      <c r="AH109" s="44">
        <v>786</v>
      </c>
      <c r="AI109" s="44">
        <v>61</v>
      </c>
      <c r="AJ109" s="44">
        <v>1</v>
      </c>
      <c r="AK109" s="44">
        <v>0</v>
      </c>
      <c r="AL109" s="44">
        <v>825</v>
      </c>
      <c r="AM109" s="48"/>
      <c r="AN109" s="48"/>
      <c r="AO109" s="48"/>
      <c r="AP109" s="48"/>
      <c r="AQ109" s="48"/>
      <c r="AR109" s="51"/>
      <c r="AS109" s="51"/>
      <c r="AT109" s="51"/>
      <c r="AU109" s="51"/>
      <c r="AV109" s="51"/>
      <c r="AW109" s="50"/>
      <c r="AX109" s="50"/>
      <c r="AY109" s="50"/>
      <c r="AZ109" s="50"/>
      <c r="BA109" s="43">
        <v>843</v>
      </c>
      <c r="BB109" s="43">
        <v>32</v>
      </c>
      <c r="BC109" s="50"/>
      <c r="BD109" s="50"/>
      <c r="BE109" s="43">
        <v>27</v>
      </c>
      <c r="BF109" s="43">
        <v>854</v>
      </c>
      <c r="BG109" s="43">
        <v>40</v>
      </c>
      <c r="BH109" s="43">
        <v>833</v>
      </c>
      <c r="BI109" s="43">
        <v>87</v>
      </c>
      <c r="BJ109" s="43">
        <v>779</v>
      </c>
      <c r="BK109" s="43">
        <v>782</v>
      </c>
      <c r="BL109" s="43">
        <v>84</v>
      </c>
      <c r="BM109" s="43">
        <v>33</v>
      </c>
      <c r="BN109" s="43">
        <v>822</v>
      </c>
      <c r="BO109" s="43">
        <v>805</v>
      </c>
      <c r="BP109" s="43">
        <v>51</v>
      </c>
      <c r="BQ109" s="43">
        <v>36</v>
      </c>
      <c r="BR109" s="43">
        <v>808</v>
      </c>
      <c r="BS109" s="43">
        <v>224</v>
      </c>
      <c r="BT109" s="43">
        <v>29</v>
      </c>
      <c r="BU109" s="43">
        <v>839</v>
      </c>
      <c r="BV109" s="43">
        <v>387</v>
      </c>
      <c r="BW109" s="43">
        <v>206</v>
      </c>
      <c r="BX109" s="43">
        <v>486</v>
      </c>
      <c r="BY109" s="43">
        <v>207</v>
      </c>
      <c r="BZ109" s="43">
        <v>536</v>
      </c>
      <c r="CA109" s="43">
        <v>340</v>
      </c>
      <c r="CB109" s="43">
        <v>106</v>
      </c>
      <c r="CC109" s="43">
        <v>580</v>
      </c>
      <c r="CD109" s="43">
        <v>484</v>
      </c>
      <c r="CE109" s="43">
        <v>569</v>
      </c>
      <c r="CF109" s="43">
        <v>124</v>
      </c>
      <c r="CG109" s="43">
        <v>156</v>
      </c>
      <c r="CH109" s="43">
        <v>484</v>
      </c>
      <c r="CI109" s="43">
        <v>433</v>
      </c>
      <c r="CJ109" s="43">
        <v>245</v>
      </c>
      <c r="CK109" s="43">
        <v>252</v>
      </c>
      <c r="CL109" s="43">
        <v>473</v>
      </c>
      <c r="CM109" s="43">
        <v>317</v>
      </c>
      <c r="CN109" s="43">
        <v>396</v>
      </c>
      <c r="CO109" s="43">
        <v>498</v>
      </c>
      <c r="CP109" s="43">
        <v>211</v>
      </c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43">
        <v>729</v>
      </c>
      <c r="FZ109" s="43">
        <v>126</v>
      </c>
      <c r="GA109" s="53"/>
      <c r="GB109" s="53"/>
      <c r="GC109" s="53"/>
      <c r="GD109" s="53"/>
      <c r="GE109" s="53"/>
      <c r="GF109" s="53"/>
      <c r="GG109" s="53"/>
      <c r="GH109" s="53"/>
      <c r="GI109" s="43"/>
      <c r="GJ109" s="53"/>
      <c r="GK109" s="53"/>
      <c r="GL109" s="53"/>
      <c r="GM109" s="53"/>
      <c r="GN109" s="53"/>
      <c r="GO109" s="43">
        <v>614</v>
      </c>
      <c r="GP109" s="43">
        <v>197</v>
      </c>
      <c r="GQ109" s="43">
        <v>708</v>
      </c>
      <c r="GR109" s="43">
        <v>139</v>
      </c>
    </row>
    <row r="110" spans="1:200">
      <c r="A110" s="5">
        <v>1702</v>
      </c>
      <c r="B110" s="1" t="s">
        <v>238</v>
      </c>
      <c r="C110" s="33">
        <v>1494</v>
      </c>
      <c r="D110" s="34">
        <v>650</v>
      </c>
      <c r="E110" s="19">
        <f t="shared" si="1"/>
        <v>0.43507362784471221</v>
      </c>
      <c r="F110" s="62">
        <v>509</v>
      </c>
      <c r="G110" s="43">
        <v>3</v>
      </c>
      <c r="H110" s="43">
        <v>29</v>
      </c>
      <c r="I110" s="43">
        <v>5</v>
      </c>
      <c r="J110" s="55">
        <v>89</v>
      </c>
      <c r="K110" s="6">
        <v>0</v>
      </c>
      <c r="L110" s="6">
        <v>0</v>
      </c>
      <c r="M110" s="43">
        <v>0</v>
      </c>
      <c r="N110" s="25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2</v>
      </c>
      <c r="X110" s="43">
        <v>0</v>
      </c>
      <c r="Y110" s="43">
        <v>0</v>
      </c>
      <c r="Z110" s="43">
        <v>0</v>
      </c>
      <c r="AA110" s="44">
        <v>0</v>
      </c>
      <c r="AB110" s="44">
        <v>0</v>
      </c>
      <c r="AC110" s="44">
        <v>5</v>
      </c>
      <c r="AD110" s="44">
        <v>17</v>
      </c>
      <c r="AE110" s="44">
        <v>189</v>
      </c>
      <c r="AF110" s="44">
        <v>1</v>
      </c>
      <c r="AG110" s="44">
        <v>0</v>
      </c>
      <c r="AH110" s="44">
        <v>398</v>
      </c>
      <c r="AI110" s="44">
        <v>159</v>
      </c>
      <c r="AJ110" s="44">
        <v>0</v>
      </c>
      <c r="AK110" s="44">
        <v>0</v>
      </c>
      <c r="AL110" s="44">
        <v>441</v>
      </c>
      <c r="AM110" s="48"/>
      <c r="AN110" s="48"/>
      <c r="AO110" s="48"/>
      <c r="AP110" s="48"/>
      <c r="AQ110" s="48"/>
      <c r="AR110" s="51"/>
      <c r="AS110" s="51"/>
      <c r="AT110" s="51"/>
      <c r="AU110" s="51"/>
      <c r="AV110" s="51"/>
      <c r="AW110" s="50"/>
      <c r="AX110" s="50"/>
      <c r="AY110" s="50"/>
      <c r="AZ110" s="50"/>
      <c r="BA110" s="43">
        <v>447</v>
      </c>
      <c r="BB110" s="43">
        <v>130</v>
      </c>
      <c r="BC110" s="50"/>
      <c r="BD110" s="50"/>
      <c r="BE110" s="43">
        <v>127</v>
      </c>
      <c r="BF110" s="43">
        <v>455</v>
      </c>
      <c r="BG110" s="43">
        <v>134</v>
      </c>
      <c r="BH110" s="43">
        <v>454</v>
      </c>
      <c r="BI110" s="43">
        <v>194</v>
      </c>
      <c r="BJ110" s="43">
        <v>395</v>
      </c>
      <c r="BK110" s="43">
        <v>462</v>
      </c>
      <c r="BL110" s="43">
        <v>139</v>
      </c>
      <c r="BM110" s="43">
        <v>135</v>
      </c>
      <c r="BN110" s="43">
        <v>441</v>
      </c>
      <c r="BO110" s="43">
        <v>400</v>
      </c>
      <c r="BP110" s="43">
        <v>155</v>
      </c>
      <c r="BQ110" s="43">
        <v>173</v>
      </c>
      <c r="BR110" s="43">
        <v>387</v>
      </c>
      <c r="BS110" s="43">
        <v>272</v>
      </c>
      <c r="BT110" s="43">
        <v>112</v>
      </c>
      <c r="BU110" s="43">
        <v>450</v>
      </c>
      <c r="BV110" s="43">
        <v>317</v>
      </c>
      <c r="BW110" s="43">
        <v>201</v>
      </c>
      <c r="BX110" s="43">
        <v>262</v>
      </c>
      <c r="BY110" s="43">
        <v>174</v>
      </c>
      <c r="BZ110" s="43">
        <v>321</v>
      </c>
      <c r="CA110" s="43">
        <v>281</v>
      </c>
      <c r="CB110" s="43">
        <v>131</v>
      </c>
      <c r="CC110" s="43">
        <v>325</v>
      </c>
      <c r="CD110" s="43">
        <v>346</v>
      </c>
      <c r="CE110" s="43">
        <v>320</v>
      </c>
      <c r="CF110" s="43">
        <v>138</v>
      </c>
      <c r="CG110" s="43">
        <v>141</v>
      </c>
      <c r="CH110" s="43">
        <v>297</v>
      </c>
      <c r="CI110" s="43">
        <v>236</v>
      </c>
      <c r="CJ110" s="43">
        <v>214</v>
      </c>
      <c r="CK110" s="43">
        <v>191</v>
      </c>
      <c r="CL110" s="43">
        <v>271</v>
      </c>
      <c r="CM110" s="43">
        <v>279</v>
      </c>
      <c r="CN110" s="43">
        <v>298</v>
      </c>
      <c r="CO110" s="43">
        <v>255</v>
      </c>
      <c r="CP110" s="43">
        <v>209</v>
      </c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43">
        <v>458</v>
      </c>
      <c r="FZ110" s="43">
        <v>141</v>
      </c>
      <c r="GA110" s="53"/>
      <c r="GB110" s="53"/>
      <c r="GC110" s="53"/>
      <c r="GD110" s="53"/>
      <c r="GE110" s="53"/>
      <c r="GF110" s="53"/>
      <c r="GG110" s="53"/>
      <c r="GH110" s="53"/>
      <c r="GI110" s="43"/>
      <c r="GJ110" s="53"/>
      <c r="GK110" s="53"/>
      <c r="GL110" s="53"/>
      <c r="GM110" s="53"/>
      <c r="GN110" s="53"/>
      <c r="GO110" s="43">
        <v>485</v>
      </c>
      <c r="GP110" s="43">
        <v>108</v>
      </c>
      <c r="GQ110" s="43">
        <v>506</v>
      </c>
      <c r="GR110" s="43">
        <v>98</v>
      </c>
    </row>
    <row r="111" spans="1:200">
      <c r="A111" s="5">
        <v>1703</v>
      </c>
      <c r="B111" s="1" t="s">
        <v>239</v>
      </c>
      <c r="C111" s="33">
        <v>1229</v>
      </c>
      <c r="D111" s="34">
        <v>710</v>
      </c>
      <c r="E111" s="19">
        <f t="shared" si="1"/>
        <v>0.57770545158665587</v>
      </c>
      <c r="F111" s="62">
        <v>636</v>
      </c>
      <c r="G111" s="43">
        <v>1</v>
      </c>
      <c r="H111" s="43">
        <v>12</v>
      </c>
      <c r="I111" s="43">
        <v>5</v>
      </c>
      <c r="J111" s="55">
        <v>43</v>
      </c>
      <c r="K111" s="6">
        <v>0</v>
      </c>
      <c r="L111" s="6">
        <v>0</v>
      </c>
      <c r="M111" s="43">
        <v>0</v>
      </c>
      <c r="N111" s="25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4">
        <v>0</v>
      </c>
      <c r="AB111" s="44">
        <v>0</v>
      </c>
      <c r="AC111" s="44">
        <v>6</v>
      </c>
      <c r="AD111" s="44">
        <v>10</v>
      </c>
      <c r="AE111" s="44">
        <v>96</v>
      </c>
      <c r="AF111" s="44">
        <v>6</v>
      </c>
      <c r="AG111" s="44">
        <v>0</v>
      </c>
      <c r="AH111" s="44">
        <v>559</v>
      </c>
      <c r="AI111" s="44">
        <v>94</v>
      </c>
      <c r="AJ111" s="44">
        <v>2</v>
      </c>
      <c r="AK111" s="44">
        <v>0</v>
      </c>
      <c r="AL111" s="44">
        <v>578</v>
      </c>
      <c r="AM111" s="48"/>
      <c r="AN111" s="48"/>
      <c r="AO111" s="48"/>
      <c r="AP111" s="48"/>
      <c r="AQ111" s="48"/>
      <c r="AR111" s="51"/>
      <c r="AS111" s="51"/>
      <c r="AT111" s="51"/>
      <c r="AU111" s="51"/>
      <c r="AV111" s="51"/>
      <c r="AW111" s="50"/>
      <c r="AX111" s="50"/>
      <c r="AY111" s="50"/>
      <c r="AZ111" s="50"/>
      <c r="BA111" s="43">
        <v>598</v>
      </c>
      <c r="BB111" s="43">
        <v>68</v>
      </c>
      <c r="BC111" s="50"/>
      <c r="BD111" s="50"/>
      <c r="BE111" s="43">
        <v>59</v>
      </c>
      <c r="BF111" s="43">
        <v>600</v>
      </c>
      <c r="BG111" s="43">
        <v>68</v>
      </c>
      <c r="BH111" s="43">
        <v>585</v>
      </c>
      <c r="BI111" s="43">
        <v>107</v>
      </c>
      <c r="BJ111" s="43">
        <v>539</v>
      </c>
      <c r="BK111" s="43">
        <v>560</v>
      </c>
      <c r="BL111" s="43">
        <v>86</v>
      </c>
      <c r="BM111" s="43">
        <v>56</v>
      </c>
      <c r="BN111" s="43">
        <v>593</v>
      </c>
      <c r="BO111" s="43">
        <v>570</v>
      </c>
      <c r="BP111" s="43">
        <v>65</v>
      </c>
      <c r="BQ111" s="43">
        <v>85</v>
      </c>
      <c r="BR111" s="43">
        <v>558</v>
      </c>
      <c r="BS111" s="43">
        <v>245</v>
      </c>
      <c r="BT111" s="43">
        <v>43</v>
      </c>
      <c r="BU111" s="43">
        <v>597</v>
      </c>
      <c r="BV111" s="43">
        <v>328</v>
      </c>
      <c r="BW111" s="43">
        <v>164</v>
      </c>
      <c r="BX111" s="43">
        <v>355</v>
      </c>
      <c r="BY111" s="43">
        <v>165</v>
      </c>
      <c r="BZ111" s="43">
        <v>389</v>
      </c>
      <c r="CA111" s="43">
        <v>288</v>
      </c>
      <c r="CB111" s="43">
        <v>103</v>
      </c>
      <c r="CC111" s="43">
        <v>426</v>
      </c>
      <c r="CD111" s="43">
        <v>370</v>
      </c>
      <c r="CE111" s="43">
        <v>408</v>
      </c>
      <c r="CF111" s="43">
        <v>127</v>
      </c>
      <c r="CG111" s="43">
        <v>142</v>
      </c>
      <c r="CH111" s="43">
        <v>353</v>
      </c>
      <c r="CI111" s="43">
        <v>310</v>
      </c>
      <c r="CJ111" s="43">
        <v>206</v>
      </c>
      <c r="CK111" s="43">
        <v>211</v>
      </c>
      <c r="CL111" s="43">
        <v>329</v>
      </c>
      <c r="CM111" s="43">
        <v>269</v>
      </c>
      <c r="CN111" s="43">
        <v>316</v>
      </c>
      <c r="CO111" s="43">
        <v>344</v>
      </c>
      <c r="CP111" s="43">
        <v>189</v>
      </c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43">
        <v>494</v>
      </c>
      <c r="FZ111" s="43">
        <v>158</v>
      </c>
      <c r="GA111" s="53"/>
      <c r="GB111" s="53"/>
      <c r="GC111" s="53"/>
      <c r="GD111" s="53"/>
      <c r="GE111" s="53"/>
      <c r="GF111" s="53"/>
      <c r="GG111" s="53"/>
      <c r="GH111" s="53"/>
      <c r="GI111" s="43"/>
      <c r="GJ111" s="53"/>
      <c r="GK111" s="53"/>
      <c r="GL111" s="53"/>
      <c r="GM111" s="53"/>
      <c r="GN111" s="53"/>
      <c r="GO111" s="43">
        <v>477</v>
      </c>
      <c r="GP111" s="43">
        <v>161</v>
      </c>
      <c r="GQ111" s="43">
        <v>517</v>
      </c>
      <c r="GR111" s="43">
        <v>127</v>
      </c>
    </row>
    <row r="112" spans="1:200">
      <c r="A112" s="5">
        <v>1801</v>
      </c>
      <c r="B112" s="1" t="s">
        <v>240</v>
      </c>
      <c r="C112" s="33">
        <v>1082</v>
      </c>
      <c r="D112" s="34">
        <v>510</v>
      </c>
      <c r="E112" s="19">
        <f t="shared" si="1"/>
        <v>0.4713493530499076</v>
      </c>
      <c r="F112" s="62">
        <v>459</v>
      </c>
      <c r="G112" s="43">
        <v>3</v>
      </c>
      <c r="H112" s="43">
        <v>6</v>
      </c>
      <c r="I112" s="43">
        <v>7</v>
      </c>
      <c r="J112" s="55">
        <v>27</v>
      </c>
      <c r="K112" s="6">
        <v>0</v>
      </c>
      <c r="L112" s="6">
        <v>0</v>
      </c>
      <c r="M112" s="43">
        <v>0</v>
      </c>
      <c r="N112" s="25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>
        <v>0</v>
      </c>
      <c r="AA112" s="44">
        <v>0</v>
      </c>
      <c r="AB112" s="44">
        <v>0</v>
      </c>
      <c r="AC112" s="44">
        <v>9</v>
      </c>
      <c r="AD112" s="44">
        <v>12</v>
      </c>
      <c r="AE112" s="44">
        <v>52</v>
      </c>
      <c r="AF112" s="44">
        <v>12</v>
      </c>
      <c r="AG112" s="44">
        <v>0</v>
      </c>
      <c r="AH112" s="44">
        <v>405</v>
      </c>
      <c r="AI112" s="44">
        <v>64</v>
      </c>
      <c r="AJ112" s="44">
        <v>0</v>
      </c>
      <c r="AK112" s="44">
        <v>0</v>
      </c>
      <c r="AL112" s="44">
        <v>418</v>
      </c>
      <c r="AM112" s="48"/>
      <c r="AN112" s="48"/>
      <c r="AO112" s="48"/>
      <c r="AP112" s="48"/>
      <c r="AQ112" s="48"/>
      <c r="AR112" s="51"/>
      <c r="AS112" s="51"/>
      <c r="AT112" s="51"/>
      <c r="AU112" s="51"/>
      <c r="AV112" s="51"/>
      <c r="AW112" s="50"/>
      <c r="AX112" s="50"/>
      <c r="AY112" s="50"/>
      <c r="AZ112" s="50"/>
      <c r="BA112" s="43">
        <v>440</v>
      </c>
      <c r="BB112" s="43">
        <v>37</v>
      </c>
      <c r="BC112" s="50"/>
      <c r="BD112" s="50"/>
      <c r="BE112" s="43">
        <v>31</v>
      </c>
      <c r="BF112" s="43">
        <v>442</v>
      </c>
      <c r="BG112" s="43">
        <v>42</v>
      </c>
      <c r="BH112" s="43">
        <v>420</v>
      </c>
      <c r="BI112" s="43">
        <v>71</v>
      </c>
      <c r="BJ112" s="43">
        <v>406</v>
      </c>
      <c r="BK112" s="43">
        <v>404</v>
      </c>
      <c r="BL112" s="43">
        <v>70</v>
      </c>
      <c r="BM112" s="43">
        <v>31</v>
      </c>
      <c r="BN112" s="43">
        <v>442</v>
      </c>
      <c r="BO112" s="43">
        <v>419</v>
      </c>
      <c r="BP112" s="43">
        <v>51</v>
      </c>
      <c r="BQ112" s="43">
        <v>51</v>
      </c>
      <c r="BR112" s="43">
        <v>426</v>
      </c>
      <c r="BS112" s="43">
        <v>146</v>
      </c>
      <c r="BT112" s="43">
        <v>31</v>
      </c>
      <c r="BU112" s="43">
        <v>436</v>
      </c>
      <c r="BV112" s="43">
        <v>216</v>
      </c>
      <c r="BW112" s="43">
        <v>120</v>
      </c>
      <c r="BX112" s="43">
        <v>244</v>
      </c>
      <c r="BY112" s="43">
        <v>132</v>
      </c>
      <c r="BZ112" s="43">
        <v>269</v>
      </c>
      <c r="CA112" s="43">
        <v>181</v>
      </c>
      <c r="CB112" s="43">
        <v>83</v>
      </c>
      <c r="CC112" s="43">
        <v>276</v>
      </c>
      <c r="CD112" s="43">
        <v>238</v>
      </c>
      <c r="CE112" s="43">
        <v>282</v>
      </c>
      <c r="CF112" s="43">
        <v>83</v>
      </c>
      <c r="CG112" s="43">
        <v>101</v>
      </c>
      <c r="CH112" s="43">
        <v>235</v>
      </c>
      <c r="CI112" s="43">
        <v>208</v>
      </c>
      <c r="CJ112" s="43">
        <v>148</v>
      </c>
      <c r="CK112" s="43">
        <v>167</v>
      </c>
      <c r="CL112" s="43">
        <v>210</v>
      </c>
      <c r="CM112" s="43">
        <v>180</v>
      </c>
      <c r="CN112" s="43">
        <v>204</v>
      </c>
      <c r="CO112" s="43">
        <v>229</v>
      </c>
      <c r="CP112" s="43">
        <v>154</v>
      </c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43">
        <v>352</v>
      </c>
      <c r="FZ112" s="43">
        <v>120</v>
      </c>
      <c r="GA112" s="53"/>
      <c r="GB112" s="53"/>
      <c r="GC112" s="53"/>
      <c r="GD112" s="53"/>
      <c r="GE112" s="53"/>
      <c r="GF112" s="53"/>
      <c r="GG112" s="53"/>
      <c r="GH112" s="53"/>
      <c r="GI112" s="43"/>
      <c r="GJ112" s="53"/>
      <c r="GK112" s="53"/>
      <c r="GL112" s="53"/>
      <c r="GM112" s="53"/>
      <c r="GN112" s="53"/>
      <c r="GO112" s="43">
        <v>328</v>
      </c>
      <c r="GP112" s="43">
        <v>122</v>
      </c>
      <c r="GQ112" s="43">
        <v>370</v>
      </c>
      <c r="GR112" s="43">
        <v>89</v>
      </c>
    </row>
    <row r="113" spans="1:200">
      <c r="A113" s="5">
        <v>1802</v>
      </c>
      <c r="B113" s="1" t="s">
        <v>241</v>
      </c>
      <c r="C113" s="33">
        <v>774</v>
      </c>
      <c r="D113" s="34">
        <v>339</v>
      </c>
      <c r="E113" s="19">
        <f t="shared" si="1"/>
        <v>0.43798449612403101</v>
      </c>
      <c r="F113" s="62">
        <v>311</v>
      </c>
      <c r="G113" s="43">
        <v>2</v>
      </c>
      <c r="H113" s="43">
        <v>1</v>
      </c>
      <c r="I113" s="43">
        <v>2</v>
      </c>
      <c r="J113" s="55">
        <v>11</v>
      </c>
      <c r="K113" s="6">
        <v>0</v>
      </c>
      <c r="L113" s="6">
        <v>0</v>
      </c>
      <c r="M113" s="43">
        <v>0</v>
      </c>
      <c r="N113" s="25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3">
        <v>0</v>
      </c>
      <c r="X113" s="43">
        <v>0</v>
      </c>
      <c r="Y113" s="43">
        <v>0</v>
      </c>
      <c r="Z113" s="43">
        <v>0</v>
      </c>
      <c r="AA113" s="44">
        <v>0</v>
      </c>
      <c r="AB113" s="44">
        <v>0</v>
      </c>
      <c r="AC113" s="44">
        <v>18</v>
      </c>
      <c r="AD113" s="44">
        <v>5</v>
      </c>
      <c r="AE113" s="44">
        <v>24</v>
      </c>
      <c r="AF113" s="44">
        <v>7</v>
      </c>
      <c r="AG113" s="44">
        <v>0</v>
      </c>
      <c r="AH113" s="44">
        <v>253</v>
      </c>
      <c r="AI113" s="44">
        <v>34</v>
      </c>
      <c r="AJ113" s="44">
        <v>0</v>
      </c>
      <c r="AK113" s="44">
        <v>0</v>
      </c>
      <c r="AL113" s="44">
        <v>266</v>
      </c>
      <c r="AM113" s="48"/>
      <c r="AN113" s="48"/>
      <c r="AO113" s="48"/>
      <c r="AP113" s="48"/>
      <c r="AQ113" s="48"/>
      <c r="AR113" s="51"/>
      <c r="AS113" s="51"/>
      <c r="AT113" s="51"/>
      <c r="AU113" s="51"/>
      <c r="AV113" s="51"/>
      <c r="AW113" s="50"/>
      <c r="AX113" s="50"/>
      <c r="AY113" s="50"/>
      <c r="AZ113" s="50"/>
      <c r="BA113" s="43">
        <v>266</v>
      </c>
      <c r="BB113" s="43">
        <v>26</v>
      </c>
      <c r="BC113" s="50"/>
      <c r="BD113" s="50"/>
      <c r="BE113" s="43">
        <v>22</v>
      </c>
      <c r="BF113" s="43">
        <v>270</v>
      </c>
      <c r="BG113" s="43">
        <v>24</v>
      </c>
      <c r="BH113" s="43">
        <v>269</v>
      </c>
      <c r="BI113" s="43">
        <v>44</v>
      </c>
      <c r="BJ113" s="43">
        <v>248</v>
      </c>
      <c r="BK113" s="43">
        <v>248</v>
      </c>
      <c r="BL113" s="43">
        <v>43</v>
      </c>
      <c r="BM113" s="43">
        <v>22</v>
      </c>
      <c r="BN113" s="43">
        <v>273</v>
      </c>
      <c r="BO113" s="43">
        <v>257</v>
      </c>
      <c r="BP113" s="43">
        <v>35</v>
      </c>
      <c r="BQ113" s="43">
        <v>25</v>
      </c>
      <c r="BR113" s="43">
        <v>267</v>
      </c>
      <c r="BS113" s="43">
        <v>90</v>
      </c>
      <c r="BT113" s="43">
        <v>22</v>
      </c>
      <c r="BU113" s="43">
        <v>270</v>
      </c>
      <c r="BV113" s="43">
        <v>150</v>
      </c>
      <c r="BW113" s="43">
        <v>85</v>
      </c>
      <c r="BX113" s="43">
        <v>144</v>
      </c>
      <c r="BY113" s="43">
        <v>89</v>
      </c>
      <c r="BZ113" s="43">
        <v>159</v>
      </c>
      <c r="CA113" s="43">
        <v>126</v>
      </c>
      <c r="CB113" s="43">
        <v>57</v>
      </c>
      <c r="CC113" s="43">
        <v>174</v>
      </c>
      <c r="CD113" s="43">
        <v>173</v>
      </c>
      <c r="CE113" s="43">
        <v>165</v>
      </c>
      <c r="CF113" s="43">
        <v>66</v>
      </c>
      <c r="CG113" s="43">
        <v>71</v>
      </c>
      <c r="CH113" s="43">
        <v>142</v>
      </c>
      <c r="CI113" s="43">
        <v>121</v>
      </c>
      <c r="CJ113" s="43">
        <v>98</v>
      </c>
      <c r="CK113" s="43">
        <v>114</v>
      </c>
      <c r="CL113" s="43">
        <v>116</v>
      </c>
      <c r="CM113" s="43">
        <v>134</v>
      </c>
      <c r="CN113" s="43">
        <v>148</v>
      </c>
      <c r="CO113" s="43">
        <v>141</v>
      </c>
      <c r="CP113" s="43">
        <v>96</v>
      </c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43">
        <v>215</v>
      </c>
      <c r="FZ113" s="43">
        <v>60</v>
      </c>
      <c r="GA113" s="53"/>
      <c r="GB113" s="53"/>
      <c r="GC113" s="53"/>
      <c r="GD113" s="53"/>
      <c r="GE113" s="53"/>
      <c r="GF113" s="53"/>
      <c r="GG113" s="53"/>
      <c r="GH113" s="53"/>
      <c r="GI113" s="43"/>
      <c r="GJ113" s="53"/>
      <c r="GK113" s="53"/>
      <c r="GL113" s="53"/>
      <c r="GM113" s="53"/>
      <c r="GN113" s="53"/>
      <c r="GO113" s="43">
        <v>199</v>
      </c>
      <c r="GP113" s="43">
        <v>70</v>
      </c>
      <c r="GQ113" s="43">
        <v>210</v>
      </c>
      <c r="GR113" s="43">
        <v>60</v>
      </c>
    </row>
    <row r="114" spans="1:200">
      <c r="A114" s="5">
        <v>1901</v>
      </c>
      <c r="B114" s="1" t="s">
        <v>242</v>
      </c>
      <c r="C114" s="33">
        <v>967</v>
      </c>
      <c r="D114" s="34">
        <v>618</v>
      </c>
      <c r="E114" s="19">
        <f t="shared" si="1"/>
        <v>0.63908996897621506</v>
      </c>
      <c r="F114" s="62">
        <v>192</v>
      </c>
      <c r="G114" s="43">
        <v>3</v>
      </c>
      <c r="H114" s="43">
        <v>16</v>
      </c>
      <c r="I114" s="43">
        <v>7</v>
      </c>
      <c r="J114" s="55">
        <v>392</v>
      </c>
      <c r="K114" s="6">
        <v>0</v>
      </c>
      <c r="L114" s="6">
        <v>0</v>
      </c>
      <c r="M114" s="43">
        <v>0</v>
      </c>
      <c r="N114" s="25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  <c r="V114" s="43">
        <v>0</v>
      </c>
      <c r="W114" s="43">
        <v>2</v>
      </c>
      <c r="X114" s="43">
        <v>0</v>
      </c>
      <c r="Y114" s="43">
        <v>0</v>
      </c>
      <c r="Z114" s="43">
        <v>0</v>
      </c>
      <c r="AA114" s="44">
        <v>0</v>
      </c>
      <c r="AB114" s="44">
        <v>0</v>
      </c>
      <c r="AC114" s="44">
        <v>20</v>
      </c>
      <c r="AD114" s="44">
        <v>18</v>
      </c>
      <c r="AE114" s="44">
        <v>392</v>
      </c>
      <c r="AF114" s="44">
        <v>6</v>
      </c>
      <c r="AG114" s="44">
        <v>0</v>
      </c>
      <c r="AH114" s="44">
        <v>148</v>
      </c>
      <c r="AI114" s="44">
        <v>402</v>
      </c>
      <c r="AJ114" s="44">
        <v>0</v>
      </c>
      <c r="AK114" s="44">
        <v>0</v>
      </c>
      <c r="AL114" s="44">
        <v>181</v>
      </c>
      <c r="AM114" s="48"/>
      <c r="AN114" s="48"/>
      <c r="AO114" s="48"/>
      <c r="AP114" s="44">
        <v>205</v>
      </c>
      <c r="AQ114" s="44">
        <v>345</v>
      </c>
      <c r="AR114" s="51"/>
      <c r="AS114" s="51"/>
      <c r="AT114" s="51"/>
      <c r="AU114" s="51"/>
      <c r="AV114" s="43">
        <v>378</v>
      </c>
      <c r="AW114" s="50"/>
      <c r="AX114" s="50"/>
      <c r="AY114" s="50"/>
      <c r="AZ114" s="50"/>
      <c r="BA114" s="50"/>
      <c r="BB114" s="50"/>
      <c r="BC114" s="50"/>
      <c r="BD114" s="50"/>
      <c r="BE114" s="43">
        <v>306</v>
      </c>
      <c r="BF114" s="43">
        <v>262</v>
      </c>
      <c r="BG114" s="43">
        <v>382</v>
      </c>
      <c r="BH114" s="43">
        <v>190</v>
      </c>
      <c r="BI114" s="43">
        <v>417</v>
      </c>
      <c r="BJ114" s="43">
        <v>153</v>
      </c>
      <c r="BK114" s="43">
        <v>200</v>
      </c>
      <c r="BL114" s="43">
        <v>366</v>
      </c>
      <c r="BM114" s="43">
        <v>178</v>
      </c>
      <c r="BN114" s="43">
        <v>395</v>
      </c>
      <c r="BO114" s="43">
        <v>170</v>
      </c>
      <c r="BP114" s="43">
        <v>375</v>
      </c>
      <c r="BQ114" s="43">
        <v>401</v>
      </c>
      <c r="BR114" s="43">
        <v>154</v>
      </c>
      <c r="BS114" s="43">
        <v>398</v>
      </c>
      <c r="BT114" s="43">
        <v>269</v>
      </c>
      <c r="BU114" s="43">
        <v>272</v>
      </c>
      <c r="BV114" s="43">
        <v>378</v>
      </c>
      <c r="BW114" s="43">
        <v>238</v>
      </c>
      <c r="BX114" s="43">
        <v>196</v>
      </c>
      <c r="BY114" s="43">
        <v>341</v>
      </c>
      <c r="BZ114" s="43">
        <v>151</v>
      </c>
      <c r="CA114" s="43">
        <v>333</v>
      </c>
      <c r="CB114" s="43">
        <v>254</v>
      </c>
      <c r="CC114" s="43">
        <v>165</v>
      </c>
      <c r="CD114" s="43">
        <v>316</v>
      </c>
      <c r="CE114" s="43">
        <v>156</v>
      </c>
      <c r="CF114" s="43">
        <v>311</v>
      </c>
      <c r="CG114" s="43">
        <v>308</v>
      </c>
      <c r="CH114" s="43">
        <v>109</v>
      </c>
      <c r="CI114" s="43">
        <v>91</v>
      </c>
      <c r="CJ114" s="43">
        <v>346</v>
      </c>
      <c r="CK114" s="43">
        <v>323</v>
      </c>
      <c r="CL114" s="43">
        <v>129</v>
      </c>
      <c r="CM114" s="43">
        <v>319</v>
      </c>
      <c r="CN114" s="43">
        <v>323</v>
      </c>
      <c r="CO114" s="43">
        <v>130</v>
      </c>
      <c r="CP114" s="43">
        <v>303</v>
      </c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43">
        <v>184</v>
      </c>
      <c r="FZ114" s="43">
        <v>392</v>
      </c>
      <c r="GA114" s="53"/>
      <c r="GB114" s="53"/>
      <c r="GC114" s="53"/>
      <c r="GD114" s="53"/>
      <c r="GE114" s="53"/>
      <c r="GF114" s="53"/>
      <c r="GG114" s="53"/>
      <c r="GH114" s="53"/>
      <c r="GI114" s="43"/>
      <c r="GJ114" s="53"/>
      <c r="GK114" s="53"/>
      <c r="GL114" s="53"/>
      <c r="GM114" s="53"/>
      <c r="GN114" s="53"/>
      <c r="GO114" s="43">
        <v>337</v>
      </c>
      <c r="GP114" s="43">
        <v>243</v>
      </c>
      <c r="GQ114" s="43">
        <v>315</v>
      </c>
      <c r="GR114" s="43">
        <v>261</v>
      </c>
    </row>
    <row r="115" spans="1:200">
      <c r="A115" s="5">
        <v>1902</v>
      </c>
      <c r="B115" s="1" t="s">
        <v>243</v>
      </c>
      <c r="C115" s="33">
        <v>1205</v>
      </c>
      <c r="D115" s="34">
        <v>874</v>
      </c>
      <c r="E115" s="19">
        <f t="shared" si="1"/>
        <v>0.72531120331950205</v>
      </c>
      <c r="F115" s="62">
        <v>284</v>
      </c>
      <c r="G115" s="43">
        <v>1</v>
      </c>
      <c r="H115" s="43">
        <v>31</v>
      </c>
      <c r="I115" s="43">
        <v>4</v>
      </c>
      <c r="J115" s="55">
        <v>537</v>
      </c>
      <c r="K115" s="6">
        <v>0</v>
      </c>
      <c r="L115" s="6">
        <v>0</v>
      </c>
      <c r="M115" s="43">
        <v>0</v>
      </c>
      <c r="N115" s="25">
        <v>0</v>
      </c>
      <c r="O115" s="43">
        <v>0</v>
      </c>
      <c r="P115" s="43">
        <v>0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  <c r="V115" s="43">
        <v>0</v>
      </c>
      <c r="W115" s="43">
        <v>0</v>
      </c>
      <c r="X115" s="43">
        <v>0</v>
      </c>
      <c r="Y115" s="43">
        <v>0</v>
      </c>
      <c r="Z115" s="43">
        <v>0</v>
      </c>
      <c r="AA115" s="44">
        <v>0</v>
      </c>
      <c r="AB115" s="44">
        <v>0</v>
      </c>
      <c r="AC115" s="44">
        <v>9</v>
      </c>
      <c r="AD115" s="44">
        <v>23</v>
      </c>
      <c r="AE115" s="44">
        <v>586</v>
      </c>
      <c r="AF115" s="44">
        <v>13</v>
      </c>
      <c r="AG115" s="44">
        <v>0</v>
      </c>
      <c r="AH115" s="44">
        <v>210</v>
      </c>
      <c r="AI115" s="44">
        <v>581</v>
      </c>
      <c r="AJ115" s="44">
        <v>0</v>
      </c>
      <c r="AK115" s="44">
        <v>0</v>
      </c>
      <c r="AL115" s="44">
        <v>267</v>
      </c>
      <c r="AM115" s="48"/>
      <c r="AN115" s="48"/>
      <c r="AO115" s="48"/>
      <c r="AP115" s="44">
        <v>285</v>
      </c>
      <c r="AQ115" s="44">
        <v>502</v>
      </c>
      <c r="AR115" s="51"/>
      <c r="AS115" s="51"/>
      <c r="AT115" s="51"/>
      <c r="AU115" s="51"/>
      <c r="AV115" s="43">
        <v>540</v>
      </c>
      <c r="AW115" s="50"/>
      <c r="AX115" s="50"/>
      <c r="AY115" s="50"/>
      <c r="AZ115" s="50"/>
      <c r="BA115" s="50"/>
      <c r="BB115" s="50"/>
      <c r="BC115" s="50"/>
      <c r="BD115" s="50"/>
      <c r="BE115" s="43">
        <v>414</v>
      </c>
      <c r="BF115" s="43">
        <v>394</v>
      </c>
      <c r="BG115" s="43">
        <v>531</v>
      </c>
      <c r="BH115" s="43">
        <v>294</v>
      </c>
      <c r="BI115" s="43">
        <v>578</v>
      </c>
      <c r="BJ115" s="43">
        <v>238</v>
      </c>
      <c r="BK115" s="43">
        <v>295</v>
      </c>
      <c r="BL115" s="43">
        <v>519</v>
      </c>
      <c r="BM115" s="43">
        <v>250</v>
      </c>
      <c r="BN115" s="43">
        <v>599</v>
      </c>
      <c r="BO115" s="43">
        <v>255</v>
      </c>
      <c r="BP115" s="43">
        <v>534</v>
      </c>
      <c r="BQ115" s="43">
        <v>580</v>
      </c>
      <c r="BR115" s="43">
        <v>220</v>
      </c>
      <c r="BS115" s="43">
        <v>567</v>
      </c>
      <c r="BT115" s="43">
        <v>360</v>
      </c>
      <c r="BU115" s="43">
        <v>433</v>
      </c>
      <c r="BV115" s="43">
        <v>542</v>
      </c>
      <c r="BW115" s="43">
        <v>373</v>
      </c>
      <c r="BX115" s="43">
        <v>276</v>
      </c>
      <c r="BY115" s="43">
        <v>512</v>
      </c>
      <c r="BZ115" s="43">
        <v>204</v>
      </c>
      <c r="CA115" s="43">
        <v>496</v>
      </c>
      <c r="CB115" s="43">
        <v>422</v>
      </c>
      <c r="CC115" s="43">
        <v>220</v>
      </c>
      <c r="CD115" s="43">
        <v>448</v>
      </c>
      <c r="CE115" s="43">
        <v>200</v>
      </c>
      <c r="CF115" s="43">
        <v>486</v>
      </c>
      <c r="CG115" s="43">
        <v>448</v>
      </c>
      <c r="CH115" s="43">
        <v>183</v>
      </c>
      <c r="CI115" s="43">
        <v>118</v>
      </c>
      <c r="CJ115" s="43">
        <v>534</v>
      </c>
      <c r="CK115" s="43">
        <v>485</v>
      </c>
      <c r="CL115" s="43">
        <v>184</v>
      </c>
      <c r="CM115" s="43">
        <v>475</v>
      </c>
      <c r="CN115" s="43">
        <v>461</v>
      </c>
      <c r="CO115" s="43">
        <v>180</v>
      </c>
      <c r="CP115" s="43">
        <v>466</v>
      </c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43">
        <v>274</v>
      </c>
      <c r="FZ115" s="43">
        <v>564</v>
      </c>
      <c r="GA115" s="53"/>
      <c r="GB115" s="53"/>
      <c r="GC115" s="53"/>
      <c r="GD115" s="53"/>
      <c r="GE115" s="53"/>
      <c r="GF115" s="53"/>
      <c r="GG115" s="53"/>
      <c r="GH115" s="53"/>
      <c r="GI115" s="43"/>
      <c r="GJ115" s="53"/>
      <c r="GK115" s="53"/>
      <c r="GL115" s="53"/>
      <c r="GM115" s="53"/>
      <c r="GN115" s="53"/>
      <c r="GO115" s="43">
        <v>502</v>
      </c>
      <c r="GP115" s="43">
        <v>342</v>
      </c>
      <c r="GQ115" s="43">
        <v>465</v>
      </c>
      <c r="GR115" s="43">
        <v>371</v>
      </c>
    </row>
    <row r="116" spans="1:200">
      <c r="A116" s="5">
        <v>1903</v>
      </c>
      <c r="B116" s="1" t="s">
        <v>244</v>
      </c>
      <c r="C116" s="33">
        <v>1290</v>
      </c>
      <c r="D116" s="34">
        <v>763</v>
      </c>
      <c r="E116" s="19">
        <f t="shared" si="1"/>
        <v>0.59147286821705425</v>
      </c>
      <c r="F116" s="62">
        <v>304</v>
      </c>
      <c r="G116" s="43">
        <v>4</v>
      </c>
      <c r="H116" s="43">
        <v>32</v>
      </c>
      <c r="I116" s="43">
        <v>3</v>
      </c>
      <c r="J116" s="55">
        <v>411</v>
      </c>
      <c r="K116" s="6">
        <v>0</v>
      </c>
      <c r="L116" s="6">
        <v>0</v>
      </c>
      <c r="M116" s="43">
        <v>0</v>
      </c>
      <c r="N116" s="25">
        <v>0</v>
      </c>
      <c r="O116" s="43">
        <v>0</v>
      </c>
      <c r="P116" s="43">
        <v>0</v>
      </c>
      <c r="Q116" s="43">
        <v>0</v>
      </c>
      <c r="R116" s="43">
        <v>0</v>
      </c>
      <c r="S116" s="43">
        <v>0</v>
      </c>
      <c r="T116" s="43">
        <v>0</v>
      </c>
      <c r="U116" s="43">
        <v>0</v>
      </c>
      <c r="V116" s="43">
        <v>0</v>
      </c>
      <c r="W116" s="43">
        <v>0</v>
      </c>
      <c r="X116" s="43">
        <v>0</v>
      </c>
      <c r="Y116" s="43">
        <v>0</v>
      </c>
      <c r="Z116" s="43">
        <v>0</v>
      </c>
      <c r="AA116" s="44">
        <v>0</v>
      </c>
      <c r="AB116" s="44">
        <v>0</v>
      </c>
      <c r="AC116" s="44">
        <v>17</v>
      </c>
      <c r="AD116" s="44">
        <v>20</v>
      </c>
      <c r="AE116" s="44">
        <v>450</v>
      </c>
      <c r="AF116" s="44">
        <v>12</v>
      </c>
      <c r="AG116" s="44">
        <v>0</v>
      </c>
      <c r="AH116" s="44">
        <v>238</v>
      </c>
      <c r="AI116" s="44">
        <v>450</v>
      </c>
      <c r="AJ116" s="44">
        <v>1</v>
      </c>
      <c r="AK116" s="44">
        <v>0</v>
      </c>
      <c r="AL116" s="44">
        <v>287</v>
      </c>
      <c r="AM116" s="48"/>
      <c r="AN116" s="48"/>
      <c r="AO116" s="48"/>
      <c r="AP116" s="44">
        <v>304</v>
      </c>
      <c r="AQ116" s="44">
        <v>379</v>
      </c>
      <c r="AR116" s="51"/>
      <c r="AS116" s="51"/>
      <c r="AT116" s="51"/>
      <c r="AU116" s="51"/>
      <c r="AV116" s="43">
        <v>436</v>
      </c>
      <c r="AW116" s="50"/>
      <c r="AX116" s="50"/>
      <c r="AY116" s="50"/>
      <c r="AZ116" s="50"/>
      <c r="BA116" s="50"/>
      <c r="BB116" s="50"/>
      <c r="BC116" s="50"/>
      <c r="BD116" s="50"/>
      <c r="BE116" s="43">
        <v>306</v>
      </c>
      <c r="BF116" s="43">
        <v>405</v>
      </c>
      <c r="BG116" s="43">
        <v>410</v>
      </c>
      <c r="BH116" s="43">
        <v>304</v>
      </c>
      <c r="BI116" s="43">
        <v>464</v>
      </c>
      <c r="BJ116" s="43">
        <v>241</v>
      </c>
      <c r="BK116" s="43">
        <v>300</v>
      </c>
      <c r="BL116" s="43">
        <v>409</v>
      </c>
      <c r="BM116" s="43">
        <v>285</v>
      </c>
      <c r="BN116" s="43">
        <v>422</v>
      </c>
      <c r="BO116" s="43">
        <v>275</v>
      </c>
      <c r="BP116" s="43">
        <v>414</v>
      </c>
      <c r="BQ116" s="43">
        <v>435</v>
      </c>
      <c r="BR116" s="43">
        <v>263</v>
      </c>
      <c r="BS116" s="43">
        <v>470</v>
      </c>
      <c r="BT116" s="43">
        <v>298</v>
      </c>
      <c r="BU116" s="43">
        <v>387</v>
      </c>
      <c r="BV116" s="43">
        <v>450</v>
      </c>
      <c r="BW116" s="43">
        <v>306</v>
      </c>
      <c r="BX116" s="43">
        <v>249</v>
      </c>
      <c r="BY116" s="43">
        <v>411</v>
      </c>
      <c r="BZ116" s="43">
        <v>207</v>
      </c>
      <c r="CA116" s="43">
        <v>406</v>
      </c>
      <c r="CB116" s="43">
        <v>290</v>
      </c>
      <c r="CC116" s="43">
        <v>243</v>
      </c>
      <c r="CD116" s="43">
        <v>401</v>
      </c>
      <c r="CE116" s="43">
        <v>201</v>
      </c>
      <c r="CF116" s="43">
        <v>366</v>
      </c>
      <c r="CG116" s="43">
        <v>319</v>
      </c>
      <c r="CH116" s="43">
        <v>202</v>
      </c>
      <c r="CI116" s="43">
        <v>139</v>
      </c>
      <c r="CJ116" s="43">
        <v>401</v>
      </c>
      <c r="CK116" s="43">
        <v>335</v>
      </c>
      <c r="CL116" s="43">
        <v>219</v>
      </c>
      <c r="CM116" s="43">
        <v>401</v>
      </c>
      <c r="CN116" s="43">
        <v>378</v>
      </c>
      <c r="CO116" s="43">
        <v>195</v>
      </c>
      <c r="CP116" s="43">
        <v>338</v>
      </c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43">
        <v>281</v>
      </c>
      <c r="FZ116" s="43">
        <v>437</v>
      </c>
      <c r="GA116" s="53"/>
      <c r="GB116" s="53"/>
      <c r="GC116" s="53"/>
      <c r="GD116" s="53"/>
      <c r="GE116" s="53"/>
      <c r="GF116" s="53"/>
      <c r="GG116" s="53"/>
      <c r="GH116" s="53"/>
      <c r="GI116" s="43"/>
      <c r="GJ116" s="53"/>
      <c r="GK116" s="53"/>
      <c r="GL116" s="53"/>
      <c r="GM116" s="53"/>
      <c r="GN116" s="53"/>
      <c r="GO116" s="43">
        <v>477</v>
      </c>
      <c r="GP116" s="43">
        <v>255</v>
      </c>
      <c r="GQ116" s="43">
        <v>436</v>
      </c>
      <c r="GR116" s="43">
        <v>288</v>
      </c>
    </row>
    <row r="117" spans="1:200">
      <c r="A117" s="5">
        <v>1904</v>
      </c>
      <c r="B117" s="1" t="s">
        <v>245</v>
      </c>
      <c r="C117" s="33">
        <v>441</v>
      </c>
      <c r="D117" s="34">
        <v>135</v>
      </c>
      <c r="E117" s="19">
        <f t="shared" si="1"/>
        <v>0.30612244897959184</v>
      </c>
      <c r="F117" s="62">
        <v>90</v>
      </c>
      <c r="G117" s="43">
        <v>1</v>
      </c>
      <c r="H117" s="43">
        <v>1</v>
      </c>
      <c r="I117" s="43">
        <v>1</v>
      </c>
      <c r="J117" s="55">
        <v>39</v>
      </c>
      <c r="K117" s="6">
        <v>0</v>
      </c>
      <c r="L117" s="6">
        <v>0</v>
      </c>
      <c r="M117" s="43">
        <v>0</v>
      </c>
      <c r="N117" s="25">
        <v>0</v>
      </c>
      <c r="O117" s="43">
        <v>0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4">
        <v>0</v>
      </c>
      <c r="AB117" s="44">
        <v>0</v>
      </c>
      <c r="AC117" s="44">
        <v>2</v>
      </c>
      <c r="AD117" s="44">
        <v>2</v>
      </c>
      <c r="AE117" s="44">
        <v>49</v>
      </c>
      <c r="AF117" s="44">
        <v>2</v>
      </c>
      <c r="AG117" s="44">
        <v>0</v>
      </c>
      <c r="AH117" s="44">
        <v>70</v>
      </c>
      <c r="AI117" s="44">
        <v>48</v>
      </c>
      <c r="AJ117" s="44">
        <v>0</v>
      </c>
      <c r="AK117" s="44">
        <v>0</v>
      </c>
      <c r="AL117" s="44">
        <v>72</v>
      </c>
      <c r="AM117" s="48"/>
      <c r="AN117" s="48"/>
      <c r="AO117" s="48"/>
      <c r="AP117" s="44">
        <v>79</v>
      </c>
      <c r="AQ117" s="44">
        <v>36</v>
      </c>
      <c r="AR117" s="51"/>
      <c r="AS117" s="51"/>
      <c r="AT117" s="51"/>
      <c r="AU117" s="51"/>
      <c r="AV117" s="43">
        <v>52</v>
      </c>
      <c r="AW117" s="50"/>
      <c r="AX117" s="50"/>
      <c r="AY117" s="50"/>
      <c r="AZ117" s="50"/>
      <c r="BA117" s="50"/>
      <c r="BB117" s="50"/>
      <c r="BC117" s="50"/>
      <c r="BD117" s="50"/>
      <c r="BE117" s="43">
        <v>23</v>
      </c>
      <c r="BF117" s="43">
        <v>96</v>
      </c>
      <c r="BG117" s="43">
        <v>40</v>
      </c>
      <c r="BH117" s="43">
        <v>80</v>
      </c>
      <c r="BI117" s="43">
        <v>51</v>
      </c>
      <c r="BJ117" s="43">
        <v>68</v>
      </c>
      <c r="BK117" s="43">
        <v>79</v>
      </c>
      <c r="BL117" s="43">
        <v>40</v>
      </c>
      <c r="BM117" s="43">
        <v>29</v>
      </c>
      <c r="BN117" s="43">
        <v>89</v>
      </c>
      <c r="BO117" s="43">
        <v>72</v>
      </c>
      <c r="BP117" s="43">
        <v>42</v>
      </c>
      <c r="BQ117" s="43">
        <v>34</v>
      </c>
      <c r="BR117" s="43">
        <v>79</v>
      </c>
      <c r="BS117" s="43">
        <v>56</v>
      </c>
      <c r="BT117" s="43">
        <v>29</v>
      </c>
      <c r="BU117" s="43">
        <v>87</v>
      </c>
      <c r="BV117" s="43">
        <v>64</v>
      </c>
      <c r="BW117" s="43">
        <v>53</v>
      </c>
      <c r="BX117" s="43">
        <v>43</v>
      </c>
      <c r="BY117" s="43">
        <v>61</v>
      </c>
      <c r="BZ117" s="43">
        <v>43</v>
      </c>
      <c r="CA117" s="43">
        <v>61</v>
      </c>
      <c r="CB117" s="43">
        <v>41</v>
      </c>
      <c r="CC117" s="43">
        <v>53</v>
      </c>
      <c r="CD117" s="43">
        <v>65</v>
      </c>
      <c r="CE117" s="43">
        <v>53</v>
      </c>
      <c r="CF117" s="43">
        <v>43</v>
      </c>
      <c r="CG117" s="43">
        <v>45</v>
      </c>
      <c r="CH117" s="43">
        <v>47</v>
      </c>
      <c r="CI117" s="43">
        <v>33</v>
      </c>
      <c r="CJ117" s="43">
        <v>63</v>
      </c>
      <c r="CK117" s="43">
        <v>52</v>
      </c>
      <c r="CL117" s="43">
        <v>43</v>
      </c>
      <c r="CM117" s="43">
        <v>61</v>
      </c>
      <c r="CN117" s="43">
        <v>67</v>
      </c>
      <c r="CO117" s="43">
        <v>40</v>
      </c>
      <c r="CP117" s="43">
        <v>54</v>
      </c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43">
        <v>80</v>
      </c>
      <c r="FZ117" s="43">
        <v>40</v>
      </c>
      <c r="GA117" s="53"/>
      <c r="GB117" s="53"/>
      <c r="GC117" s="53"/>
      <c r="GD117" s="53"/>
      <c r="GE117" s="53"/>
      <c r="GF117" s="53"/>
      <c r="GG117" s="53"/>
      <c r="GH117" s="53"/>
      <c r="GI117" s="43"/>
      <c r="GJ117" s="53"/>
      <c r="GK117" s="53"/>
      <c r="GL117" s="53"/>
      <c r="GM117" s="53"/>
      <c r="GN117" s="53"/>
      <c r="GO117" s="43">
        <v>75</v>
      </c>
      <c r="GP117" s="43">
        <v>43</v>
      </c>
      <c r="GQ117" s="43">
        <v>89</v>
      </c>
      <c r="GR117" s="43">
        <v>31</v>
      </c>
    </row>
    <row r="118" spans="1:200">
      <c r="A118" s="5">
        <v>2001</v>
      </c>
      <c r="B118" s="1" t="s">
        <v>246</v>
      </c>
      <c r="C118" s="33">
        <v>1295</v>
      </c>
      <c r="D118" s="34">
        <v>598</v>
      </c>
      <c r="E118" s="19">
        <f t="shared" si="1"/>
        <v>0.46177606177606179</v>
      </c>
      <c r="F118" s="62">
        <v>404</v>
      </c>
      <c r="G118" s="43">
        <v>3</v>
      </c>
      <c r="H118" s="43">
        <v>14</v>
      </c>
      <c r="I118" s="43">
        <v>9</v>
      </c>
      <c r="J118" s="55">
        <v>156</v>
      </c>
      <c r="K118" s="6">
        <v>0</v>
      </c>
      <c r="L118" s="6">
        <v>0</v>
      </c>
      <c r="M118" s="43">
        <v>0</v>
      </c>
      <c r="N118" s="25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1</v>
      </c>
      <c r="X118" s="43">
        <v>0</v>
      </c>
      <c r="Y118" s="43">
        <v>0</v>
      </c>
      <c r="Z118" s="43">
        <v>0</v>
      </c>
      <c r="AA118" s="44">
        <v>0</v>
      </c>
      <c r="AB118" s="44">
        <v>0</v>
      </c>
      <c r="AC118" s="44">
        <v>11</v>
      </c>
      <c r="AD118" s="44">
        <v>15</v>
      </c>
      <c r="AE118" s="44">
        <v>189</v>
      </c>
      <c r="AF118" s="44">
        <v>9</v>
      </c>
      <c r="AG118" s="44">
        <v>0</v>
      </c>
      <c r="AH118" s="44">
        <v>352</v>
      </c>
      <c r="AI118" s="44">
        <v>199</v>
      </c>
      <c r="AJ118" s="44">
        <v>0</v>
      </c>
      <c r="AK118" s="44">
        <v>0</v>
      </c>
      <c r="AL118" s="44">
        <v>382</v>
      </c>
      <c r="AM118" s="48"/>
      <c r="AN118" s="48"/>
      <c r="AO118" s="48"/>
      <c r="AP118" s="44">
        <v>399</v>
      </c>
      <c r="AQ118" s="44">
        <v>161</v>
      </c>
      <c r="AR118" s="51"/>
      <c r="AS118" s="51"/>
      <c r="AT118" s="51"/>
      <c r="AU118" s="51"/>
      <c r="AV118" s="43">
        <v>260</v>
      </c>
      <c r="AW118" s="50"/>
      <c r="AX118" s="50"/>
      <c r="AY118" s="50"/>
      <c r="AZ118" s="50"/>
      <c r="BA118" s="50"/>
      <c r="BB118" s="50"/>
      <c r="BC118" s="50"/>
      <c r="BD118" s="50"/>
      <c r="BE118" s="43">
        <v>126</v>
      </c>
      <c r="BF118" s="43">
        <v>440</v>
      </c>
      <c r="BG118" s="43">
        <v>167</v>
      </c>
      <c r="BH118" s="43">
        <v>400</v>
      </c>
      <c r="BI118" s="43">
        <v>217</v>
      </c>
      <c r="BJ118" s="43">
        <v>336</v>
      </c>
      <c r="BK118" s="43">
        <v>373</v>
      </c>
      <c r="BL118" s="43">
        <v>198</v>
      </c>
      <c r="BM118" s="43">
        <v>109</v>
      </c>
      <c r="BN118" s="43">
        <v>452</v>
      </c>
      <c r="BO118" s="43">
        <v>368</v>
      </c>
      <c r="BP118" s="43">
        <v>188</v>
      </c>
      <c r="BQ118" s="43">
        <v>184</v>
      </c>
      <c r="BR118" s="43">
        <v>368</v>
      </c>
      <c r="BS118" s="43">
        <v>268</v>
      </c>
      <c r="BT118" s="43">
        <v>124</v>
      </c>
      <c r="BU118" s="43">
        <v>425</v>
      </c>
      <c r="BV118" s="43">
        <v>307</v>
      </c>
      <c r="BW118" s="43">
        <v>201</v>
      </c>
      <c r="BX118" s="43">
        <v>254</v>
      </c>
      <c r="BY118" s="43">
        <v>250</v>
      </c>
      <c r="BZ118" s="43">
        <v>243</v>
      </c>
      <c r="CA118" s="43">
        <v>297</v>
      </c>
      <c r="CB118" s="43">
        <v>184</v>
      </c>
      <c r="CC118" s="43">
        <v>273</v>
      </c>
      <c r="CD118" s="43">
        <v>317</v>
      </c>
      <c r="CE118" s="43">
        <v>256</v>
      </c>
      <c r="CF118" s="43">
        <v>197</v>
      </c>
      <c r="CG118" s="43">
        <v>193</v>
      </c>
      <c r="CH118" s="43">
        <v>238</v>
      </c>
      <c r="CI118" s="43">
        <v>188</v>
      </c>
      <c r="CJ118" s="43">
        <v>265</v>
      </c>
      <c r="CK118" s="43">
        <v>240</v>
      </c>
      <c r="CL118" s="43">
        <v>219</v>
      </c>
      <c r="CM118" s="43">
        <v>274</v>
      </c>
      <c r="CN118" s="43">
        <v>292</v>
      </c>
      <c r="CO118" s="43">
        <v>207</v>
      </c>
      <c r="CP118" s="43">
        <v>244</v>
      </c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43">
        <v>341</v>
      </c>
      <c r="FZ118" s="43">
        <v>219</v>
      </c>
      <c r="GA118" s="53"/>
      <c r="GB118" s="53"/>
      <c r="GC118" s="53"/>
      <c r="GD118" s="53"/>
      <c r="GE118" s="53"/>
      <c r="GF118" s="53"/>
      <c r="GG118" s="53"/>
      <c r="GH118" s="53"/>
      <c r="GI118" s="43"/>
      <c r="GJ118" s="53"/>
      <c r="GK118" s="53"/>
      <c r="GL118" s="53"/>
      <c r="GM118" s="53"/>
      <c r="GN118" s="53"/>
      <c r="GO118" s="43">
        <v>381</v>
      </c>
      <c r="GP118" s="43">
        <v>176</v>
      </c>
      <c r="GQ118" s="43">
        <v>389</v>
      </c>
      <c r="GR118" s="43">
        <v>166</v>
      </c>
    </row>
    <row r="119" spans="1:200">
      <c r="A119" s="5">
        <v>2002</v>
      </c>
      <c r="B119" s="1" t="s">
        <v>247</v>
      </c>
      <c r="C119" s="33">
        <v>1065</v>
      </c>
      <c r="D119" s="34">
        <v>552</v>
      </c>
      <c r="E119" s="19">
        <f t="shared" si="1"/>
        <v>0.51830985915492955</v>
      </c>
      <c r="F119" s="62">
        <v>377</v>
      </c>
      <c r="G119" s="43">
        <v>3</v>
      </c>
      <c r="H119" s="43">
        <v>13</v>
      </c>
      <c r="I119" s="43">
        <v>10</v>
      </c>
      <c r="J119" s="55">
        <v>135</v>
      </c>
      <c r="K119" s="6">
        <v>0</v>
      </c>
      <c r="L119" s="6">
        <v>0</v>
      </c>
      <c r="M119" s="43">
        <v>0</v>
      </c>
      <c r="N119" s="25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7</v>
      </c>
      <c r="X119" s="43">
        <v>0</v>
      </c>
      <c r="Y119" s="43">
        <v>0</v>
      </c>
      <c r="Z119" s="43">
        <v>0</v>
      </c>
      <c r="AA119" s="44">
        <v>0</v>
      </c>
      <c r="AB119" s="44">
        <v>0</v>
      </c>
      <c r="AC119" s="44">
        <v>13</v>
      </c>
      <c r="AD119" s="44">
        <v>18</v>
      </c>
      <c r="AE119" s="44">
        <v>174</v>
      </c>
      <c r="AF119" s="44">
        <v>3</v>
      </c>
      <c r="AG119" s="44">
        <v>0</v>
      </c>
      <c r="AH119" s="44">
        <v>318</v>
      </c>
      <c r="AI119" s="44">
        <v>175</v>
      </c>
      <c r="AJ119" s="44">
        <v>1</v>
      </c>
      <c r="AK119" s="44">
        <v>0</v>
      </c>
      <c r="AL119" s="44">
        <v>343</v>
      </c>
      <c r="AM119" s="48"/>
      <c r="AN119" s="48"/>
      <c r="AO119" s="48"/>
      <c r="AP119" s="44">
        <v>357</v>
      </c>
      <c r="AQ119" s="44">
        <v>147</v>
      </c>
      <c r="AR119" s="51"/>
      <c r="AS119" s="51"/>
      <c r="AT119" s="51"/>
      <c r="AU119" s="51"/>
      <c r="AV119" s="43">
        <v>209</v>
      </c>
      <c r="AW119" s="50"/>
      <c r="AX119" s="50"/>
      <c r="AY119" s="50"/>
      <c r="AZ119" s="50"/>
      <c r="BA119" s="50"/>
      <c r="BB119" s="50"/>
      <c r="BC119" s="50"/>
      <c r="BD119" s="50"/>
      <c r="BE119" s="43">
        <v>127</v>
      </c>
      <c r="BF119" s="43">
        <v>389</v>
      </c>
      <c r="BG119" s="43">
        <v>161</v>
      </c>
      <c r="BH119" s="43">
        <v>354</v>
      </c>
      <c r="BI119" s="43">
        <v>190</v>
      </c>
      <c r="BJ119" s="43">
        <v>318</v>
      </c>
      <c r="BK119" s="43">
        <v>349</v>
      </c>
      <c r="BL119" s="43">
        <v>162</v>
      </c>
      <c r="BM119" s="43">
        <v>117</v>
      </c>
      <c r="BN119" s="43">
        <v>397</v>
      </c>
      <c r="BO119" s="43">
        <v>327</v>
      </c>
      <c r="BP119" s="43">
        <v>172</v>
      </c>
      <c r="BQ119" s="43">
        <v>174</v>
      </c>
      <c r="BR119" s="43">
        <v>335</v>
      </c>
      <c r="BS119" s="43">
        <v>238</v>
      </c>
      <c r="BT119" s="43">
        <v>120</v>
      </c>
      <c r="BU119" s="43">
        <v>380</v>
      </c>
      <c r="BV119" s="43">
        <v>259</v>
      </c>
      <c r="BW119" s="43">
        <v>181</v>
      </c>
      <c r="BX119" s="43">
        <v>231</v>
      </c>
      <c r="BY119" s="43">
        <v>195</v>
      </c>
      <c r="BZ119" s="43">
        <v>252</v>
      </c>
      <c r="CA119" s="43">
        <v>242</v>
      </c>
      <c r="CB119" s="43">
        <v>142</v>
      </c>
      <c r="CC119" s="43">
        <v>268</v>
      </c>
      <c r="CD119" s="43">
        <v>276</v>
      </c>
      <c r="CE119" s="43">
        <v>260</v>
      </c>
      <c r="CF119" s="43">
        <v>173</v>
      </c>
      <c r="CG119" s="43">
        <v>168</v>
      </c>
      <c r="CH119" s="43">
        <v>232</v>
      </c>
      <c r="CI119" s="43">
        <v>194</v>
      </c>
      <c r="CJ119" s="43">
        <v>222</v>
      </c>
      <c r="CK119" s="43">
        <v>203</v>
      </c>
      <c r="CL119" s="43">
        <v>226</v>
      </c>
      <c r="CM119" s="43">
        <v>240</v>
      </c>
      <c r="CN119" s="43">
        <v>246</v>
      </c>
      <c r="CO119" s="43">
        <v>229</v>
      </c>
      <c r="CP119" s="43">
        <v>183</v>
      </c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43">
        <v>308</v>
      </c>
      <c r="FZ119" s="43">
        <v>215</v>
      </c>
      <c r="GA119" s="53"/>
      <c r="GB119" s="53"/>
      <c r="GC119" s="53"/>
      <c r="GD119" s="53"/>
      <c r="GE119" s="53"/>
      <c r="GF119" s="53"/>
      <c r="GG119" s="53"/>
      <c r="GH119" s="53"/>
      <c r="GI119" s="43"/>
      <c r="GJ119" s="53"/>
      <c r="GK119" s="53"/>
      <c r="GL119" s="53"/>
      <c r="GM119" s="53"/>
      <c r="GN119" s="53"/>
      <c r="GO119" s="43">
        <v>357</v>
      </c>
      <c r="GP119" s="43">
        <v>152</v>
      </c>
      <c r="GQ119" s="43">
        <v>370</v>
      </c>
      <c r="GR119" s="43">
        <v>146</v>
      </c>
    </row>
    <row r="120" spans="1:200">
      <c r="A120" s="5">
        <v>2003</v>
      </c>
      <c r="B120" s="1" t="s">
        <v>248</v>
      </c>
      <c r="C120" s="33">
        <v>1488</v>
      </c>
      <c r="D120" s="34">
        <v>868</v>
      </c>
      <c r="E120" s="19">
        <f t="shared" si="1"/>
        <v>0.58333333333333337</v>
      </c>
      <c r="F120" s="62">
        <v>503</v>
      </c>
      <c r="G120" s="43">
        <v>3</v>
      </c>
      <c r="H120" s="43">
        <v>21</v>
      </c>
      <c r="I120" s="43">
        <v>19</v>
      </c>
      <c r="J120" s="55">
        <v>310</v>
      </c>
      <c r="K120" s="6">
        <v>0</v>
      </c>
      <c r="L120" s="6">
        <v>0</v>
      </c>
      <c r="M120" s="43">
        <v>0</v>
      </c>
      <c r="N120" s="25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2</v>
      </c>
      <c r="X120" s="43">
        <v>0</v>
      </c>
      <c r="Y120" s="43">
        <v>0</v>
      </c>
      <c r="Z120" s="43">
        <v>0</v>
      </c>
      <c r="AA120" s="44">
        <v>0</v>
      </c>
      <c r="AB120" s="44">
        <v>0</v>
      </c>
      <c r="AC120" s="44">
        <v>14</v>
      </c>
      <c r="AD120" s="44">
        <v>30</v>
      </c>
      <c r="AE120" s="44">
        <v>351</v>
      </c>
      <c r="AF120" s="44">
        <v>9</v>
      </c>
      <c r="AG120" s="44">
        <v>0</v>
      </c>
      <c r="AH120" s="44">
        <v>439</v>
      </c>
      <c r="AI120" s="44">
        <v>337</v>
      </c>
      <c r="AJ120" s="44">
        <v>1</v>
      </c>
      <c r="AK120" s="44">
        <v>1</v>
      </c>
      <c r="AL120" s="44">
        <v>496</v>
      </c>
      <c r="AM120" s="48"/>
      <c r="AN120" s="48"/>
      <c r="AO120" s="48"/>
      <c r="AP120" s="44">
        <v>517</v>
      </c>
      <c r="AQ120" s="44">
        <v>292</v>
      </c>
      <c r="AR120" s="51"/>
      <c r="AS120" s="51"/>
      <c r="AT120" s="51"/>
      <c r="AU120" s="51"/>
      <c r="AV120" s="43">
        <v>378</v>
      </c>
      <c r="AW120" s="50"/>
      <c r="AX120" s="50"/>
      <c r="AY120" s="50"/>
      <c r="AZ120" s="50"/>
      <c r="BA120" s="50"/>
      <c r="BB120" s="50"/>
      <c r="BC120" s="50"/>
      <c r="BD120" s="50"/>
      <c r="BE120" s="43">
        <v>250</v>
      </c>
      <c r="BF120" s="43">
        <v>577</v>
      </c>
      <c r="BG120" s="43">
        <v>310</v>
      </c>
      <c r="BH120" s="43">
        <v>522</v>
      </c>
      <c r="BI120" s="43">
        <v>378</v>
      </c>
      <c r="BJ120" s="43">
        <v>440</v>
      </c>
      <c r="BK120" s="43">
        <v>517</v>
      </c>
      <c r="BL120" s="43">
        <v>311</v>
      </c>
      <c r="BM120" s="43">
        <v>234</v>
      </c>
      <c r="BN120" s="43">
        <v>577</v>
      </c>
      <c r="BO120" s="43">
        <v>476</v>
      </c>
      <c r="BP120" s="43">
        <v>308</v>
      </c>
      <c r="BQ120" s="43">
        <v>350</v>
      </c>
      <c r="BR120" s="43">
        <v>460</v>
      </c>
      <c r="BS120" s="43">
        <v>409</v>
      </c>
      <c r="BT120" s="43">
        <v>235</v>
      </c>
      <c r="BU120" s="43">
        <v>572</v>
      </c>
      <c r="BV120" s="43">
        <v>451</v>
      </c>
      <c r="BW120" s="43">
        <v>311</v>
      </c>
      <c r="BX120" s="43">
        <v>358</v>
      </c>
      <c r="BY120" s="43">
        <v>352</v>
      </c>
      <c r="BZ120" s="43">
        <v>381</v>
      </c>
      <c r="CA120" s="43">
        <v>412</v>
      </c>
      <c r="CB120" s="43">
        <v>246</v>
      </c>
      <c r="CC120" s="43">
        <v>405</v>
      </c>
      <c r="CD120" s="43">
        <v>453</v>
      </c>
      <c r="CE120" s="43">
        <v>364</v>
      </c>
      <c r="CF120" s="43">
        <v>316</v>
      </c>
      <c r="CG120" s="43">
        <v>304</v>
      </c>
      <c r="CH120" s="43">
        <v>311</v>
      </c>
      <c r="CI120" s="43">
        <v>258</v>
      </c>
      <c r="CJ120" s="43">
        <v>396</v>
      </c>
      <c r="CK120" s="43">
        <v>329</v>
      </c>
      <c r="CL120" s="43">
        <v>350</v>
      </c>
      <c r="CM120" s="43">
        <v>386</v>
      </c>
      <c r="CN120" s="43">
        <v>395</v>
      </c>
      <c r="CO120" s="43">
        <v>309</v>
      </c>
      <c r="CP120" s="43">
        <v>338</v>
      </c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43">
        <v>466</v>
      </c>
      <c r="FZ120" s="43">
        <v>360</v>
      </c>
      <c r="GA120" s="53"/>
      <c r="GB120" s="53"/>
      <c r="GC120" s="53"/>
      <c r="GD120" s="53"/>
      <c r="GE120" s="53"/>
      <c r="GF120" s="53"/>
      <c r="GG120" s="53"/>
      <c r="GH120" s="53"/>
      <c r="GI120" s="43"/>
      <c r="GJ120" s="53"/>
      <c r="GK120" s="53"/>
      <c r="GL120" s="53"/>
      <c r="GM120" s="53"/>
      <c r="GN120" s="53"/>
      <c r="GO120" s="43">
        <v>579</v>
      </c>
      <c r="GP120" s="43">
        <v>251</v>
      </c>
      <c r="GQ120" s="43">
        <v>570</v>
      </c>
      <c r="GR120" s="43">
        <v>260</v>
      </c>
    </row>
    <row r="121" spans="1:200">
      <c r="A121" s="5">
        <v>2004</v>
      </c>
      <c r="B121" s="1" t="s">
        <v>249</v>
      </c>
      <c r="C121" s="33">
        <v>1482</v>
      </c>
      <c r="D121" s="34">
        <v>783</v>
      </c>
      <c r="E121" s="19">
        <f t="shared" si="1"/>
        <v>0.52834008097165996</v>
      </c>
      <c r="F121" s="62">
        <v>539</v>
      </c>
      <c r="G121" s="43">
        <v>0</v>
      </c>
      <c r="H121" s="43">
        <v>20</v>
      </c>
      <c r="I121" s="43">
        <v>7</v>
      </c>
      <c r="J121" s="55">
        <v>203</v>
      </c>
      <c r="K121" s="6">
        <v>0</v>
      </c>
      <c r="L121" s="6">
        <v>0</v>
      </c>
      <c r="M121" s="43">
        <v>0</v>
      </c>
      <c r="N121" s="25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v>2</v>
      </c>
      <c r="X121" s="43">
        <v>0</v>
      </c>
      <c r="Y121" s="43">
        <v>0</v>
      </c>
      <c r="Z121" s="43">
        <v>0</v>
      </c>
      <c r="AA121" s="44">
        <v>0</v>
      </c>
      <c r="AB121" s="44">
        <v>0</v>
      </c>
      <c r="AC121" s="44">
        <v>8</v>
      </c>
      <c r="AD121" s="44">
        <v>14</v>
      </c>
      <c r="AE121" s="44">
        <v>273</v>
      </c>
      <c r="AF121" s="44">
        <v>13</v>
      </c>
      <c r="AG121" s="44">
        <v>0</v>
      </c>
      <c r="AH121" s="44">
        <v>443</v>
      </c>
      <c r="AI121" s="44">
        <v>276</v>
      </c>
      <c r="AJ121" s="44">
        <v>0</v>
      </c>
      <c r="AK121" s="44">
        <v>0</v>
      </c>
      <c r="AL121" s="44">
        <v>474</v>
      </c>
      <c r="AM121" s="48"/>
      <c r="AN121" s="48"/>
      <c r="AO121" s="48"/>
      <c r="AP121" s="44">
        <v>510</v>
      </c>
      <c r="AQ121" s="44">
        <v>218</v>
      </c>
      <c r="AR121" s="51"/>
      <c r="AS121" s="51"/>
      <c r="AT121" s="51"/>
      <c r="AU121" s="51"/>
      <c r="AV121" s="43">
        <v>336</v>
      </c>
      <c r="AW121" s="50"/>
      <c r="AX121" s="50"/>
      <c r="AY121" s="50"/>
      <c r="AZ121" s="50"/>
      <c r="BA121" s="50"/>
      <c r="BB121" s="50"/>
      <c r="BC121" s="50"/>
      <c r="BD121" s="50"/>
      <c r="BE121" s="43">
        <v>183</v>
      </c>
      <c r="BF121" s="43">
        <v>557</v>
      </c>
      <c r="BG121" s="43">
        <v>231</v>
      </c>
      <c r="BH121" s="43">
        <v>508</v>
      </c>
      <c r="BI121" s="43">
        <v>301</v>
      </c>
      <c r="BJ121" s="43">
        <v>427</v>
      </c>
      <c r="BK121" s="43">
        <v>488</v>
      </c>
      <c r="BL121" s="43">
        <v>253</v>
      </c>
      <c r="BM121" s="43">
        <v>157</v>
      </c>
      <c r="BN121" s="43">
        <v>563</v>
      </c>
      <c r="BO121" s="43">
        <v>463</v>
      </c>
      <c r="BP121" s="43">
        <v>254</v>
      </c>
      <c r="BQ121" s="43">
        <v>264</v>
      </c>
      <c r="BR121" s="43">
        <v>455</v>
      </c>
      <c r="BS121" s="43">
        <v>379</v>
      </c>
      <c r="BT121" s="43">
        <v>159</v>
      </c>
      <c r="BU121" s="43">
        <v>563</v>
      </c>
      <c r="BV121" s="43">
        <v>438</v>
      </c>
      <c r="BW121" s="43">
        <v>282</v>
      </c>
      <c r="BX121" s="43">
        <v>329</v>
      </c>
      <c r="BY121" s="43">
        <v>306</v>
      </c>
      <c r="BZ121" s="43">
        <v>354</v>
      </c>
      <c r="CA121" s="43">
        <v>392</v>
      </c>
      <c r="CB121" s="43">
        <v>241</v>
      </c>
      <c r="CC121" s="43">
        <v>356</v>
      </c>
      <c r="CD121" s="43">
        <v>418</v>
      </c>
      <c r="CE121" s="43">
        <v>349</v>
      </c>
      <c r="CF121" s="43">
        <v>270</v>
      </c>
      <c r="CG121" s="43">
        <v>258</v>
      </c>
      <c r="CH121" s="43">
        <v>313</v>
      </c>
      <c r="CI121" s="43">
        <v>233</v>
      </c>
      <c r="CJ121" s="43">
        <v>360</v>
      </c>
      <c r="CK121" s="43">
        <v>328</v>
      </c>
      <c r="CL121" s="43">
        <v>282</v>
      </c>
      <c r="CM121" s="43">
        <v>371</v>
      </c>
      <c r="CN121" s="43">
        <v>397</v>
      </c>
      <c r="CO121" s="43">
        <v>272</v>
      </c>
      <c r="CP121" s="43">
        <v>334</v>
      </c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43">
        <v>455</v>
      </c>
      <c r="FZ121" s="43">
        <v>296</v>
      </c>
      <c r="GA121" s="53"/>
      <c r="GB121" s="53"/>
      <c r="GC121" s="53"/>
      <c r="GD121" s="53"/>
      <c r="GE121" s="53"/>
      <c r="GF121" s="53"/>
      <c r="GG121" s="53"/>
      <c r="GH121" s="53"/>
      <c r="GI121" s="43"/>
      <c r="GJ121" s="53"/>
      <c r="GK121" s="53"/>
      <c r="GL121" s="53"/>
      <c r="GM121" s="53"/>
      <c r="GN121" s="53"/>
      <c r="GO121" s="43">
        <v>520</v>
      </c>
      <c r="GP121" s="43">
        <v>216</v>
      </c>
      <c r="GQ121" s="43">
        <v>541</v>
      </c>
      <c r="GR121" s="43">
        <v>195</v>
      </c>
    </row>
    <row r="122" spans="1:200">
      <c r="A122" s="5">
        <v>2005</v>
      </c>
      <c r="B122" s="1" t="s">
        <v>250</v>
      </c>
      <c r="C122" s="33">
        <v>1241</v>
      </c>
      <c r="D122" s="34">
        <v>487</v>
      </c>
      <c r="E122" s="19">
        <f t="shared" si="1"/>
        <v>0.39242546333601935</v>
      </c>
      <c r="F122" s="62">
        <v>369</v>
      </c>
      <c r="G122" s="43">
        <v>2</v>
      </c>
      <c r="H122" s="43">
        <v>3</v>
      </c>
      <c r="I122" s="43">
        <v>5</v>
      </c>
      <c r="J122" s="55">
        <v>98</v>
      </c>
      <c r="K122" s="6">
        <v>0</v>
      </c>
      <c r="L122" s="6">
        <v>0</v>
      </c>
      <c r="M122" s="43">
        <v>0</v>
      </c>
      <c r="N122" s="25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  <c r="V122" s="43">
        <v>1</v>
      </c>
      <c r="W122" s="43">
        <v>0</v>
      </c>
      <c r="X122" s="43">
        <v>0</v>
      </c>
      <c r="Y122" s="43">
        <v>0</v>
      </c>
      <c r="Z122" s="43">
        <v>0</v>
      </c>
      <c r="AA122" s="44">
        <v>0</v>
      </c>
      <c r="AB122" s="44">
        <v>0</v>
      </c>
      <c r="AC122" s="44">
        <v>11</v>
      </c>
      <c r="AD122" s="44">
        <v>9</v>
      </c>
      <c r="AE122" s="44">
        <v>123</v>
      </c>
      <c r="AF122" s="44">
        <v>6</v>
      </c>
      <c r="AG122" s="44">
        <v>0</v>
      </c>
      <c r="AH122" s="44">
        <v>315</v>
      </c>
      <c r="AI122" s="44">
        <v>134</v>
      </c>
      <c r="AJ122" s="44">
        <v>0</v>
      </c>
      <c r="AK122" s="44">
        <v>0</v>
      </c>
      <c r="AL122" s="44">
        <v>327</v>
      </c>
      <c r="AM122" s="48"/>
      <c r="AN122" s="48"/>
      <c r="AO122" s="48"/>
      <c r="AP122" s="44">
        <v>346</v>
      </c>
      <c r="AQ122" s="44">
        <v>95</v>
      </c>
      <c r="AR122" s="51"/>
      <c r="AS122" s="51"/>
      <c r="AT122" s="51"/>
      <c r="AU122" s="51"/>
      <c r="AV122" s="43">
        <v>174</v>
      </c>
      <c r="AW122" s="50"/>
      <c r="AX122" s="50"/>
      <c r="AY122" s="50"/>
      <c r="AZ122" s="50"/>
      <c r="BA122" s="50"/>
      <c r="BB122" s="50"/>
      <c r="BC122" s="50"/>
      <c r="BD122" s="50"/>
      <c r="BE122" s="43">
        <v>74</v>
      </c>
      <c r="BF122" s="43">
        <v>371</v>
      </c>
      <c r="BG122" s="43">
        <v>114</v>
      </c>
      <c r="BH122" s="43">
        <v>335</v>
      </c>
      <c r="BI122" s="43">
        <v>133</v>
      </c>
      <c r="BJ122" s="43">
        <v>310</v>
      </c>
      <c r="BK122" s="43">
        <v>324</v>
      </c>
      <c r="BL122" s="43">
        <v>134</v>
      </c>
      <c r="BM122" s="43">
        <v>84</v>
      </c>
      <c r="BN122" s="43">
        <v>366</v>
      </c>
      <c r="BO122" s="43">
        <v>321</v>
      </c>
      <c r="BP122" s="43">
        <v>117</v>
      </c>
      <c r="BQ122" s="43">
        <v>120</v>
      </c>
      <c r="BR122" s="43">
        <v>321</v>
      </c>
      <c r="BS122" s="43">
        <v>186</v>
      </c>
      <c r="BT122" s="43">
        <v>82</v>
      </c>
      <c r="BU122" s="43">
        <v>361</v>
      </c>
      <c r="BV122" s="43">
        <v>237</v>
      </c>
      <c r="BW122" s="43">
        <v>143</v>
      </c>
      <c r="BX122" s="43">
        <v>216</v>
      </c>
      <c r="BY122" s="43">
        <v>181</v>
      </c>
      <c r="BZ122" s="43">
        <v>210</v>
      </c>
      <c r="CA122" s="43">
        <v>222</v>
      </c>
      <c r="CB122" s="43">
        <v>116</v>
      </c>
      <c r="CC122" s="43">
        <v>239</v>
      </c>
      <c r="CD122" s="43">
        <v>255</v>
      </c>
      <c r="CE122" s="43">
        <v>231</v>
      </c>
      <c r="CF122" s="43">
        <v>138</v>
      </c>
      <c r="CG122" s="43">
        <v>141</v>
      </c>
      <c r="CH122" s="43">
        <v>198</v>
      </c>
      <c r="CI122" s="43">
        <v>165</v>
      </c>
      <c r="CJ122" s="43">
        <v>183</v>
      </c>
      <c r="CK122" s="43">
        <v>182</v>
      </c>
      <c r="CL122" s="43">
        <v>200</v>
      </c>
      <c r="CM122" s="43">
        <v>214</v>
      </c>
      <c r="CN122" s="43">
        <v>215</v>
      </c>
      <c r="CO122" s="43">
        <v>187</v>
      </c>
      <c r="CP122" s="43">
        <v>169</v>
      </c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43">
        <v>272</v>
      </c>
      <c r="FZ122" s="43">
        <v>161</v>
      </c>
      <c r="GA122" s="53"/>
      <c r="GB122" s="53"/>
      <c r="GC122" s="53"/>
      <c r="GD122" s="53"/>
      <c r="GE122" s="53"/>
      <c r="GF122" s="53"/>
      <c r="GG122" s="53"/>
      <c r="GH122" s="53"/>
      <c r="GI122" s="43"/>
      <c r="GJ122" s="53"/>
      <c r="GK122" s="53"/>
      <c r="GL122" s="53"/>
      <c r="GM122" s="53"/>
      <c r="GN122" s="53"/>
      <c r="GO122" s="43">
        <v>289</v>
      </c>
      <c r="GP122" s="43">
        <v>141</v>
      </c>
      <c r="GQ122" s="43">
        <v>306</v>
      </c>
      <c r="GR122" s="43">
        <v>129</v>
      </c>
    </row>
    <row r="123" spans="1:200">
      <c r="A123" s="5">
        <v>2101</v>
      </c>
      <c r="B123" s="1" t="s">
        <v>251</v>
      </c>
      <c r="C123" s="33">
        <v>610</v>
      </c>
      <c r="D123" s="34">
        <v>312</v>
      </c>
      <c r="E123" s="19">
        <f t="shared" si="1"/>
        <v>0.51147540983606554</v>
      </c>
      <c r="F123" s="62">
        <v>257</v>
      </c>
      <c r="G123" s="43">
        <v>0</v>
      </c>
      <c r="H123" s="43">
        <v>3</v>
      </c>
      <c r="I123" s="43">
        <v>2</v>
      </c>
      <c r="J123" s="55">
        <v>43</v>
      </c>
      <c r="K123" s="6">
        <v>0</v>
      </c>
      <c r="L123" s="6">
        <v>0</v>
      </c>
      <c r="M123" s="43">
        <v>0</v>
      </c>
      <c r="N123" s="25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1</v>
      </c>
      <c r="W123" s="43">
        <v>1</v>
      </c>
      <c r="X123" s="43">
        <v>0</v>
      </c>
      <c r="Y123" s="43">
        <v>0</v>
      </c>
      <c r="Z123" s="43">
        <v>0</v>
      </c>
      <c r="AA123" s="44">
        <v>0</v>
      </c>
      <c r="AB123" s="44">
        <v>0</v>
      </c>
      <c r="AC123" s="44">
        <v>4</v>
      </c>
      <c r="AD123" s="44">
        <v>12</v>
      </c>
      <c r="AE123" s="44">
        <v>71</v>
      </c>
      <c r="AF123" s="44">
        <v>3</v>
      </c>
      <c r="AG123" s="44">
        <v>0</v>
      </c>
      <c r="AH123" s="44">
        <v>214</v>
      </c>
      <c r="AI123" s="44">
        <v>81</v>
      </c>
      <c r="AJ123" s="44">
        <v>0</v>
      </c>
      <c r="AK123" s="44">
        <v>1</v>
      </c>
      <c r="AL123" s="44">
        <v>216</v>
      </c>
      <c r="AM123" s="48"/>
      <c r="AN123" s="48"/>
      <c r="AO123" s="48"/>
      <c r="AP123" s="44"/>
      <c r="AQ123" s="44"/>
      <c r="AR123" s="51"/>
      <c r="AS123" s="51"/>
      <c r="AT123" s="51"/>
      <c r="AU123" s="51"/>
      <c r="AV123" s="51"/>
      <c r="AW123" s="50"/>
      <c r="AX123" s="50"/>
      <c r="AY123" s="50"/>
      <c r="AZ123" s="50"/>
      <c r="BA123" s="43">
        <v>235</v>
      </c>
      <c r="BB123" s="43">
        <v>61</v>
      </c>
      <c r="BC123" s="50"/>
      <c r="BD123" s="50"/>
      <c r="BE123" s="43">
        <v>47</v>
      </c>
      <c r="BF123" s="43">
        <v>254</v>
      </c>
      <c r="BG123" s="43">
        <v>61</v>
      </c>
      <c r="BH123" s="43">
        <v>242</v>
      </c>
      <c r="BI123" s="43">
        <v>74</v>
      </c>
      <c r="BJ123" s="43">
        <v>223</v>
      </c>
      <c r="BK123" s="43">
        <v>227</v>
      </c>
      <c r="BL123" s="43">
        <v>74</v>
      </c>
      <c r="BM123" s="43">
        <v>44</v>
      </c>
      <c r="BN123" s="43">
        <v>248</v>
      </c>
      <c r="BO123" s="43">
        <v>226</v>
      </c>
      <c r="BP123" s="43">
        <v>69</v>
      </c>
      <c r="BQ123" s="43">
        <v>75</v>
      </c>
      <c r="BR123" s="43">
        <v>214</v>
      </c>
      <c r="BS123" s="43">
        <v>120</v>
      </c>
      <c r="BT123" s="43">
        <v>40</v>
      </c>
      <c r="BU123" s="43">
        <v>251</v>
      </c>
      <c r="BV123" s="43">
        <v>155</v>
      </c>
      <c r="BW123" s="43">
        <v>100</v>
      </c>
      <c r="BX123" s="43">
        <v>123</v>
      </c>
      <c r="BY123" s="43">
        <v>103</v>
      </c>
      <c r="BZ123" s="43">
        <v>148</v>
      </c>
      <c r="CA123" s="43">
        <v>135</v>
      </c>
      <c r="CB123" s="43">
        <v>65</v>
      </c>
      <c r="CC123" s="43">
        <v>155</v>
      </c>
      <c r="CD123" s="43">
        <v>152</v>
      </c>
      <c r="CE123" s="43">
        <v>145</v>
      </c>
      <c r="CF123" s="43">
        <v>82</v>
      </c>
      <c r="CG123" s="43">
        <v>89</v>
      </c>
      <c r="CH123" s="43">
        <v>113</v>
      </c>
      <c r="CI123" s="43">
        <v>85</v>
      </c>
      <c r="CJ123" s="43">
        <v>130</v>
      </c>
      <c r="CK123" s="43">
        <v>123</v>
      </c>
      <c r="CL123" s="43">
        <v>108</v>
      </c>
      <c r="CM123" s="43">
        <v>132</v>
      </c>
      <c r="CN123" s="43">
        <v>147</v>
      </c>
      <c r="CO123" s="43">
        <v>112</v>
      </c>
      <c r="CP123" s="43">
        <v>116</v>
      </c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43">
        <v>178</v>
      </c>
      <c r="FZ123" s="43">
        <v>107</v>
      </c>
      <c r="GA123" s="53"/>
      <c r="GB123" s="53"/>
      <c r="GC123" s="53"/>
      <c r="GD123" s="53"/>
      <c r="GE123" s="53"/>
      <c r="GF123" s="53"/>
      <c r="GG123" s="53"/>
      <c r="GH123" s="53"/>
      <c r="GI123" s="43"/>
      <c r="GJ123" s="53"/>
      <c r="GK123" s="53"/>
      <c r="GL123" s="53"/>
      <c r="GM123" s="53"/>
      <c r="GN123" s="53"/>
      <c r="GO123" s="43">
        <v>175</v>
      </c>
      <c r="GP123" s="43">
        <v>104</v>
      </c>
      <c r="GQ123" s="43">
        <v>205</v>
      </c>
      <c r="GR123" s="43">
        <v>77</v>
      </c>
    </row>
    <row r="124" spans="1:200">
      <c r="A124" s="5">
        <v>2102</v>
      </c>
      <c r="B124" s="1" t="s">
        <v>252</v>
      </c>
      <c r="C124" s="33">
        <v>922</v>
      </c>
      <c r="D124" s="34">
        <v>344</v>
      </c>
      <c r="E124" s="19">
        <f t="shared" si="1"/>
        <v>0.37310195227765725</v>
      </c>
      <c r="F124" s="62">
        <v>280</v>
      </c>
      <c r="G124" s="43">
        <v>2</v>
      </c>
      <c r="H124" s="43">
        <v>5</v>
      </c>
      <c r="I124" s="43">
        <v>2</v>
      </c>
      <c r="J124" s="55">
        <v>53</v>
      </c>
      <c r="K124" s="6">
        <v>0</v>
      </c>
      <c r="L124" s="6">
        <v>0</v>
      </c>
      <c r="M124" s="43">
        <v>0</v>
      </c>
      <c r="N124" s="25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4">
        <v>0</v>
      </c>
      <c r="AB124" s="44">
        <v>0</v>
      </c>
      <c r="AC124" s="44">
        <v>10</v>
      </c>
      <c r="AD124" s="44">
        <v>9</v>
      </c>
      <c r="AE124" s="44">
        <v>71</v>
      </c>
      <c r="AF124" s="44">
        <v>2</v>
      </c>
      <c r="AG124" s="44">
        <v>0</v>
      </c>
      <c r="AH124" s="44">
        <v>230</v>
      </c>
      <c r="AI124" s="44">
        <v>69</v>
      </c>
      <c r="AJ124" s="44">
        <v>1</v>
      </c>
      <c r="AK124" s="44">
        <v>0</v>
      </c>
      <c r="AL124" s="44">
        <v>250</v>
      </c>
      <c r="AM124" s="48"/>
      <c r="AN124" s="48"/>
      <c r="AO124" s="48"/>
      <c r="AP124" s="44"/>
      <c r="AQ124" s="44"/>
      <c r="AR124" s="51"/>
      <c r="AS124" s="51"/>
      <c r="AT124" s="51"/>
      <c r="AU124" s="51"/>
      <c r="AV124" s="51"/>
      <c r="AW124" s="50"/>
      <c r="AX124" s="50"/>
      <c r="AY124" s="50"/>
      <c r="AZ124" s="50"/>
      <c r="BA124" s="43">
        <v>266</v>
      </c>
      <c r="BB124" s="43">
        <v>52</v>
      </c>
      <c r="BC124" s="50"/>
      <c r="BD124" s="50"/>
      <c r="BE124" s="43">
        <v>42</v>
      </c>
      <c r="BF124" s="43">
        <v>276</v>
      </c>
      <c r="BG124" s="43">
        <v>64</v>
      </c>
      <c r="BH124" s="43">
        <v>255</v>
      </c>
      <c r="BI124" s="43">
        <v>71</v>
      </c>
      <c r="BJ124" s="43">
        <v>249</v>
      </c>
      <c r="BK124" s="43">
        <v>258</v>
      </c>
      <c r="BL124" s="43">
        <v>65</v>
      </c>
      <c r="BM124" s="43">
        <v>43</v>
      </c>
      <c r="BN124" s="43">
        <v>278</v>
      </c>
      <c r="BO124" s="43">
        <v>256</v>
      </c>
      <c r="BP124" s="43">
        <v>55</v>
      </c>
      <c r="BQ124" s="43">
        <v>60</v>
      </c>
      <c r="BR124" s="43">
        <v>258</v>
      </c>
      <c r="BS124" s="43">
        <v>132</v>
      </c>
      <c r="BT124" s="43">
        <v>43</v>
      </c>
      <c r="BU124" s="43">
        <v>281</v>
      </c>
      <c r="BV124" s="43">
        <v>181</v>
      </c>
      <c r="BW124" s="43">
        <v>93</v>
      </c>
      <c r="BX124" s="43">
        <v>176</v>
      </c>
      <c r="BY124" s="43">
        <v>103</v>
      </c>
      <c r="BZ124" s="43">
        <v>176</v>
      </c>
      <c r="CA124" s="43">
        <v>159</v>
      </c>
      <c r="CB124" s="43">
        <v>80</v>
      </c>
      <c r="CC124" s="43">
        <v>186</v>
      </c>
      <c r="CD124" s="43">
        <v>189</v>
      </c>
      <c r="CE124" s="43">
        <v>179</v>
      </c>
      <c r="CF124" s="43">
        <v>83</v>
      </c>
      <c r="CG124" s="43">
        <v>91</v>
      </c>
      <c r="CH124" s="43">
        <v>166</v>
      </c>
      <c r="CI124" s="43">
        <v>150</v>
      </c>
      <c r="CJ124" s="43">
        <v>115</v>
      </c>
      <c r="CK124" s="43">
        <v>113</v>
      </c>
      <c r="CL124" s="43">
        <v>154</v>
      </c>
      <c r="CM124" s="43">
        <v>152</v>
      </c>
      <c r="CN124" s="43">
        <v>176</v>
      </c>
      <c r="CO124" s="43">
        <v>148</v>
      </c>
      <c r="CP124" s="43">
        <v>119</v>
      </c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43">
        <v>223</v>
      </c>
      <c r="FZ124" s="43">
        <v>99</v>
      </c>
      <c r="GA124" s="53"/>
      <c r="GB124" s="53"/>
      <c r="GC124" s="53"/>
      <c r="GD124" s="53"/>
      <c r="GE124" s="53"/>
      <c r="GF124" s="53"/>
      <c r="GG124" s="53"/>
      <c r="GH124" s="53"/>
      <c r="GI124" s="43"/>
      <c r="GJ124" s="53"/>
      <c r="GK124" s="53"/>
      <c r="GL124" s="53"/>
      <c r="GM124" s="53"/>
      <c r="GN124" s="53"/>
      <c r="GO124" s="43">
        <v>208</v>
      </c>
      <c r="GP124" s="43">
        <v>110</v>
      </c>
      <c r="GQ124" s="43">
        <v>232</v>
      </c>
      <c r="GR124" s="43">
        <v>92</v>
      </c>
    </row>
    <row r="125" spans="1:200">
      <c r="A125" s="5">
        <v>2103</v>
      </c>
      <c r="B125" s="1" t="s">
        <v>253</v>
      </c>
      <c r="C125" s="33">
        <v>1176</v>
      </c>
      <c r="D125" s="34">
        <v>571</v>
      </c>
      <c r="E125" s="19">
        <f t="shared" si="1"/>
        <v>0.48554421768707484</v>
      </c>
      <c r="F125" s="62">
        <v>448</v>
      </c>
      <c r="G125" s="43">
        <v>3</v>
      </c>
      <c r="H125" s="43">
        <v>7</v>
      </c>
      <c r="I125" s="43">
        <v>4</v>
      </c>
      <c r="J125" s="55">
        <v>96</v>
      </c>
      <c r="K125" s="6">
        <v>0</v>
      </c>
      <c r="L125" s="6">
        <v>0</v>
      </c>
      <c r="M125" s="43">
        <v>0</v>
      </c>
      <c r="N125" s="25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2</v>
      </c>
      <c r="X125" s="43">
        <v>0</v>
      </c>
      <c r="Y125" s="43">
        <v>0</v>
      </c>
      <c r="Z125" s="43">
        <v>0</v>
      </c>
      <c r="AA125" s="44">
        <v>0</v>
      </c>
      <c r="AB125" s="44">
        <v>0</v>
      </c>
      <c r="AC125" s="44">
        <v>12</v>
      </c>
      <c r="AD125" s="44">
        <v>9</v>
      </c>
      <c r="AE125" s="44">
        <v>142</v>
      </c>
      <c r="AF125" s="44">
        <v>4</v>
      </c>
      <c r="AG125" s="44">
        <v>0</v>
      </c>
      <c r="AH125" s="44">
        <v>369</v>
      </c>
      <c r="AI125" s="44">
        <v>143</v>
      </c>
      <c r="AJ125" s="44">
        <v>0</v>
      </c>
      <c r="AK125" s="44">
        <v>0</v>
      </c>
      <c r="AL125" s="44">
        <v>403</v>
      </c>
      <c r="AM125" s="48"/>
      <c r="AN125" s="48"/>
      <c r="AO125" s="48"/>
      <c r="AP125" s="44"/>
      <c r="AQ125" s="44"/>
      <c r="AR125" s="51"/>
      <c r="AS125" s="51"/>
      <c r="AT125" s="51"/>
      <c r="AU125" s="51"/>
      <c r="AV125" s="51"/>
      <c r="AW125" s="50"/>
      <c r="AX125" s="50"/>
      <c r="AY125" s="50"/>
      <c r="AZ125" s="50"/>
      <c r="BA125" s="43">
        <v>426</v>
      </c>
      <c r="BB125" s="43">
        <v>101</v>
      </c>
      <c r="BC125" s="50"/>
      <c r="BD125" s="50"/>
      <c r="BE125" s="43">
        <v>75</v>
      </c>
      <c r="BF125" s="43">
        <v>460</v>
      </c>
      <c r="BG125" s="43">
        <v>131</v>
      </c>
      <c r="BH125" s="43">
        <v>404</v>
      </c>
      <c r="BI125" s="43">
        <v>172</v>
      </c>
      <c r="BJ125" s="43">
        <v>360</v>
      </c>
      <c r="BK125" s="43">
        <v>389</v>
      </c>
      <c r="BL125" s="43">
        <v>148</v>
      </c>
      <c r="BM125" s="43">
        <v>79</v>
      </c>
      <c r="BN125" s="43">
        <v>453</v>
      </c>
      <c r="BO125" s="43">
        <v>385</v>
      </c>
      <c r="BP125" s="43">
        <v>138</v>
      </c>
      <c r="BQ125" s="43">
        <v>135</v>
      </c>
      <c r="BR125" s="43">
        <v>391</v>
      </c>
      <c r="BS125" s="43">
        <v>233</v>
      </c>
      <c r="BT125" s="43">
        <v>78</v>
      </c>
      <c r="BU125" s="43">
        <v>446</v>
      </c>
      <c r="BV125" s="43">
        <v>287</v>
      </c>
      <c r="BW125" s="43">
        <v>183</v>
      </c>
      <c r="BX125" s="43">
        <v>252</v>
      </c>
      <c r="BY125" s="43">
        <v>194</v>
      </c>
      <c r="BZ125" s="43">
        <v>272</v>
      </c>
      <c r="CA125" s="43">
        <v>249</v>
      </c>
      <c r="CB125" s="43">
        <v>117</v>
      </c>
      <c r="CC125" s="43">
        <v>315</v>
      </c>
      <c r="CD125" s="43">
        <v>327</v>
      </c>
      <c r="CE125" s="43">
        <v>298</v>
      </c>
      <c r="CF125" s="43">
        <v>156</v>
      </c>
      <c r="CG125" s="43">
        <v>153</v>
      </c>
      <c r="CH125" s="43">
        <v>270</v>
      </c>
      <c r="CI125" s="43">
        <v>203</v>
      </c>
      <c r="CJ125" s="43">
        <v>227</v>
      </c>
      <c r="CK125" s="43">
        <v>211</v>
      </c>
      <c r="CL125" s="43">
        <v>238</v>
      </c>
      <c r="CM125" s="43">
        <v>253</v>
      </c>
      <c r="CN125" s="43">
        <v>273</v>
      </c>
      <c r="CO125" s="43">
        <v>249</v>
      </c>
      <c r="CP125" s="43">
        <v>205</v>
      </c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43">
        <v>354</v>
      </c>
      <c r="FZ125" s="43">
        <v>178</v>
      </c>
      <c r="GA125" s="53"/>
      <c r="GB125" s="53"/>
      <c r="GC125" s="53"/>
      <c r="GD125" s="53"/>
      <c r="GE125" s="53"/>
      <c r="GF125" s="53"/>
      <c r="GG125" s="53"/>
      <c r="GH125" s="53"/>
      <c r="GI125" s="43"/>
      <c r="GJ125" s="53"/>
      <c r="GK125" s="53"/>
      <c r="GL125" s="53"/>
      <c r="GM125" s="53"/>
      <c r="GN125" s="53"/>
      <c r="GO125" s="43">
        <v>356</v>
      </c>
      <c r="GP125" s="43">
        <v>167</v>
      </c>
      <c r="GQ125" s="43">
        <v>358</v>
      </c>
      <c r="GR125" s="43">
        <v>166</v>
      </c>
    </row>
    <row r="126" spans="1:200">
      <c r="A126" s="5">
        <v>2104</v>
      </c>
      <c r="B126" s="1" t="s">
        <v>254</v>
      </c>
      <c r="C126" s="33">
        <v>957</v>
      </c>
      <c r="D126" s="34">
        <v>422</v>
      </c>
      <c r="E126" s="19">
        <f t="shared" si="1"/>
        <v>0.44096133751306166</v>
      </c>
      <c r="F126" s="62">
        <v>283</v>
      </c>
      <c r="G126" s="43">
        <v>2</v>
      </c>
      <c r="H126" s="43">
        <v>9</v>
      </c>
      <c r="I126" s="43">
        <v>3</v>
      </c>
      <c r="J126" s="55">
        <v>118</v>
      </c>
      <c r="K126" s="6">
        <v>0</v>
      </c>
      <c r="L126" s="6">
        <v>0</v>
      </c>
      <c r="M126" s="43">
        <v>0</v>
      </c>
      <c r="N126" s="25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4">
        <v>0</v>
      </c>
      <c r="AB126" s="44">
        <v>0</v>
      </c>
      <c r="AC126" s="44">
        <v>10</v>
      </c>
      <c r="AD126" s="44">
        <v>7</v>
      </c>
      <c r="AE126" s="44">
        <v>145</v>
      </c>
      <c r="AF126" s="44">
        <v>12</v>
      </c>
      <c r="AG126" s="44">
        <v>0</v>
      </c>
      <c r="AH126" s="44">
        <v>233</v>
      </c>
      <c r="AI126" s="44">
        <v>148</v>
      </c>
      <c r="AJ126" s="44">
        <v>0</v>
      </c>
      <c r="AK126" s="44">
        <v>0</v>
      </c>
      <c r="AL126" s="44">
        <v>252</v>
      </c>
      <c r="AM126" s="48"/>
      <c r="AN126" s="48"/>
      <c r="AO126" s="48"/>
      <c r="AP126" s="44"/>
      <c r="AQ126" s="44"/>
      <c r="AR126" s="51"/>
      <c r="AS126" s="51"/>
      <c r="AT126" s="51"/>
      <c r="AU126" s="51"/>
      <c r="AV126" s="51"/>
      <c r="AW126" s="50"/>
      <c r="AX126" s="50"/>
      <c r="AY126" s="50"/>
      <c r="AZ126" s="50"/>
      <c r="BA126" s="43">
        <v>279</v>
      </c>
      <c r="BB126" s="43">
        <v>115</v>
      </c>
      <c r="BC126" s="50"/>
      <c r="BD126" s="50"/>
      <c r="BE126" s="43">
        <v>95</v>
      </c>
      <c r="BF126" s="43">
        <v>297</v>
      </c>
      <c r="BG126" s="43">
        <v>129</v>
      </c>
      <c r="BH126" s="43">
        <v>270</v>
      </c>
      <c r="BI126" s="43">
        <v>156</v>
      </c>
      <c r="BJ126" s="43">
        <v>242</v>
      </c>
      <c r="BK126" s="43">
        <v>258</v>
      </c>
      <c r="BL126" s="43">
        <v>135</v>
      </c>
      <c r="BM126" s="43">
        <v>98</v>
      </c>
      <c r="BN126" s="43">
        <v>298</v>
      </c>
      <c r="BO126" s="43">
        <v>252</v>
      </c>
      <c r="BP126" s="43">
        <v>134</v>
      </c>
      <c r="BQ126" s="43">
        <v>142</v>
      </c>
      <c r="BR126" s="43">
        <v>245</v>
      </c>
      <c r="BS126" s="43">
        <v>210</v>
      </c>
      <c r="BT126" s="43">
        <v>97</v>
      </c>
      <c r="BU126" s="43">
        <v>295</v>
      </c>
      <c r="BV126" s="43">
        <v>238</v>
      </c>
      <c r="BW126" s="43">
        <v>144</v>
      </c>
      <c r="BX126" s="43">
        <v>186</v>
      </c>
      <c r="BY126" s="43">
        <v>158</v>
      </c>
      <c r="BZ126" s="43">
        <v>196</v>
      </c>
      <c r="CA126" s="43">
        <v>216</v>
      </c>
      <c r="CB126" s="43">
        <v>123</v>
      </c>
      <c r="CC126" s="43">
        <v>205</v>
      </c>
      <c r="CD126" s="43">
        <v>241</v>
      </c>
      <c r="CE126" s="43">
        <v>191</v>
      </c>
      <c r="CF126" s="43">
        <v>145</v>
      </c>
      <c r="CG126" s="43">
        <v>137</v>
      </c>
      <c r="CH126" s="43">
        <v>173</v>
      </c>
      <c r="CI126" s="43">
        <v>149</v>
      </c>
      <c r="CJ126" s="43">
        <v>181</v>
      </c>
      <c r="CK126" s="43">
        <v>178</v>
      </c>
      <c r="CL126" s="43">
        <v>156</v>
      </c>
      <c r="CM126" s="43">
        <v>207</v>
      </c>
      <c r="CN126" s="43">
        <v>222</v>
      </c>
      <c r="CO126" s="43">
        <v>164</v>
      </c>
      <c r="CP126" s="43">
        <v>168</v>
      </c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43">
        <v>240</v>
      </c>
      <c r="FZ126" s="43">
        <v>155</v>
      </c>
      <c r="GA126" s="53"/>
      <c r="GB126" s="53"/>
      <c r="GC126" s="53"/>
      <c r="GD126" s="53"/>
      <c r="GE126" s="53"/>
      <c r="GF126" s="53"/>
      <c r="GG126" s="53"/>
      <c r="GH126" s="53"/>
      <c r="GI126" s="43"/>
      <c r="GJ126" s="53"/>
      <c r="GK126" s="53"/>
      <c r="GL126" s="53"/>
      <c r="GM126" s="53"/>
      <c r="GN126" s="53"/>
      <c r="GO126" s="43">
        <v>264</v>
      </c>
      <c r="GP126" s="43">
        <v>126</v>
      </c>
      <c r="GQ126" s="43">
        <v>287</v>
      </c>
      <c r="GR126" s="43">
        <v>103</v>
      </c>
    </row>
    <row r="127" spans="1:200">
      <c r="A127" s="5">
        <v>2105</v>
      </c>
      <c r="B127" s="1" t="s">
        <v>255</v>
      </c>
      <c r="C127" s="33">
        <v>923</v>
      </c>
      <c r="D127" s="34">
        <v>398</v>
      </c>
      <c r="E127" s="19">
        <f t="shared" si="1"/>
        <v>0.43120260021668472</v>
      </c>
      <c r="F127" s="62">
        <v>378</v>
      </c>
      <c r="G127" s="43">
        <v>3</v>
      </c>
      <c r="H127" s="43">
        <v>2</v>
      </c>
      <c r="I127" s="43">
        <v>5</v>
      </c>
      <c r="J127" s="55">
        <v>9</v>
      </c>
      <c r="K127" s="6">
        <v>0</v>
      </c>
      <c r="L127" s="6">
        <v>0</v>
      </c>
      <c r="M127" s="43">
        <v>0</v>
      </c>
      <c r="N127" s="25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43">
        <v>0</v>
      </c>
      <c r="Z127" s="43">
        <v>0</v>
      </c>
      <c r="AA127" s="44">
        <v>0</v>
      </c>
      <c r="AB127" s="44">
        <v>0</v>
      </c>
      <c r="AC127" s="44">
        <v>9</v>
      </c>
      <c r="AD127" s="44">
        <v>4</v>
      </c>
      <c r="AE127" s="44">
        <v>29</v>
      </c>
      <c r="AF127" s="44">
        <v>5</v>
      </c>
      <c r="AG127" s="44">
        <v>0</v>
      </c>
      <c r="AH127" s="44">
        <v>327</v>
      </c>
      <c r="AI127" s="44">
        <v>39</v>
      </c>
      <c r="AJ127" s="44">
        <v>0</v>
      </c>
      <c r="AK127" s="44">
        <v>0</v>
      </c>
      <c r="AL127" s="44">
        <v>337</v>
      </c>
      <c r="AM127" s="48"/>
      <c r="AN127" s="48"/>
      <c r="AO127" s="48"/>
      <c r="AP127" s="44"/>
      <c r="AQ127" s="44"/>
      <c r="AR127" s="51"/>
      <c r="AS127" s="51"/>
      <c r="AT127" s="51"/>
      <c r="AU127" s="51"/>
      <c r="AV127" s="51"/>
      <c r="AW127" s="50"/>
      <c r="AX127" s="50"/>
      <c r="AY127" s="50"/>
      <c r="AZ127" s="50"/>
      <c r="BA127" s="43">
        <v>348</v>
      </c>
      <c r="BB127" s="43">
        <v>13</v>
      </c>
      <c r="BC127" s="50"/>
      <c r="BD127" s="50"/>
      <c r="BE127" s="43">
        <v>14</v>
      </c>
      <c r="BF127" s="43">
        <v>349</v>
      </c>
      <c r="BG127" s="43">
        <v>29</v>
      </c>
      <c r="BH127" s="43">
        <v>339</v>
      </c>
      <c r="BI127" s="43">
        <v>45</v>
      </c>
      <c r="BJ127" s="43">
        <v>319</v>
      </c>
      <c r="BK127" s="43">
        <v>334</v>
      </c>
      <c r="BL127" s="43">
        <v>38</v>
      </c>
      <c r="BM127" s="43">
        <v>19</v>
      </c>
      <c r="BN127" s="43">
        <v>349</v>
      </c>
      <c r="BO127" s="43">
        <v>344</v>
      </c>
      <c r="BP127" s="43">
        <v>19</v>
      </c>
      <c r="BQ127" s="43">
        <v>25</v>
      </c>
      <c r="BR127" s="43">
        <v>339</v>
      </c>
      <c r="BS127" s="43">
        <v>99</v>
      </c>
      <c r="BT127" s="43">
        <v>15</v>
      </c>
      <c r="BU127" s="43">
        <v>348</v>
      </c>
      <c r="BV127" s="43">
        <v>171</v>
      </c>
      <c r="BW127" s="43">
        <v>93</v>
      </c>
      <c r="BX127" s="43">
        <v>209</v>
      </c>
      <c r="BY127" s="43">
        <v>88</v>
      </c>
      <c r="BZ127" s="43">
        <v>248</v>
      </c>
      <c r="CA127" s="43">
        <v>135</v>
      </c>
      <c r="CB127" s="43">
        <v>55</v>
      </c>
      <c r="CC127" s="43">
        <v>261</v>
      </c>
      <c r="CD127" s="43">
        <v>207</v>
      </c>
      <c r="CE127" s="43">
        <v>253</v>
      </c>
      <c r="CF127" s="43">
        <v>65</v>
      </c>
      <c r="CG127" s="43">
        <v>62</v>
      </c>
      <c r="CH127" s="43">
        <v>228</v>
      </c>
      <c r="CI127" s="43">
        <v>212</v>
      </c>
      <c r="CJ127" s="43">
        <v>89</v>
      </c>
      <c r="CK127" s="43">
        <v>109</v>
      </c>
      <c r="CL127" s="43">
        <v>212</v>
      </c>
      <c r="CM127" s="43">
        <v>125</v>
      </c>
      <c r="CN127" s="43">
        <v>154</v>
      </c>
      <c r="CO127" s="43">
        <v>229</v>
      </c>
      <c r="CP127" s="43">
        <v>89</v>
      </c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43">
        <v>292</v>
      </c>
      <c r="FZ127" s="43">
        <v>75</v>
      </c>
      <c r="GA127" s="53"/>
      <c r="GB127" s="53"/>
      <c r="GC127" s="53"/>
      <c r="GD127" s="53"/>
      <c r="GE127" s="53"/>
      <c r="GF127" s="53"/>
      <c r="GG127" s="53"/>
      <c r="GH127" s="53"/>
      <c r="GI127" s="43"/>
      <c r="GJ127" s="53"/>
      <c r="GK127" s="53"/>
      <c r="GL127" s="53"/>
      <c r="GM127" s="53"/>
      <c r="GN127" s="53"/>
      <c r="GO127" s="43">
        <v>246</v>
      </c>
      <c r="GP127" s="43">
        <v>112</v>
      </c>
      <c r="GQ127" s="43">
        <v>284</v>
      </c>
      <c r="GR127" s="43">
        <v>74</v>
      </c>
    </row>
    <row r="128" spans="1:200">
      <c r="A128" s="5">
        <v>2201</v>
      </c>
      <c r="B128" s="1" t="s">
        <v>256</v>
      </c>
      <c r="C128" s="33">
        <v>1390</v>
      </c>
      <c r="D128" s="34">
        <v>883</v>
      </c>
      <c r="E128" s="19">
        <f t="shared" si="1"/>
        <v>0.6352517985611511</v>
      </c>
      <c r="F128" s="62">
        <v>726</v>
      </c>
      <c r="G128" s="43">
        <v>0</v>
      </c>
      <c r="H128" s="43">
        <v>14</v>
      </c>
      <c r="I128" s="43">
        <v>27</v>
      </c>
      <c r="J128" s="55">
        <v>100</v>
      </c>
      <c r="K128" s="6">
        <v>0</v>
      </c>
      <c r="L128" s="6">
        <v>0</v>
      </c>
      <c r="M128" s="43">
        <v>0</v>
      </c>
      <c r="N128" s="25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3</v>
      </c>
      <c r="X128" s="43">
        <v>0</v>
      </c>
      <c r="Y128" s="43">
        <v>0</v>
      </c>
      <c r="Z128" s="43">
        <v>0</v>
      </c>
      <c r="AA128" s="44">
        <v>0</v>
      </c>
      <c r="AB128" s="44">
        <v>0</v>
      </c>
      <c r="AC128" s="44">
        <v>8</v>
      </c>
      <c r="AD128" s="44">
        <v>41</v>
      </c>
      <c r="AE128" s="44">
        <v>152</v>
      </c>
      <c r="AF128" s="44">
        <v>6</v>
      </c>
      <c r="AG128" s="44">
        <v>0</v>
      </c>
      <c r="AH128" s="44">
        <v>646</v>
      </c>
      <c r="AI128" s="44">
        <v>137</v>
      </c>
      <c r="AJ128" s="44">
        <v>3</v>
      </c>
      <c r="AK128" s="44">
        <v>0</v>
      </c>
      <c r="AL128" s="44">
        <v>711</v>
      </c>
      <c r="AM128" s="48"/>
      <c r="AN128" s="48"/>
      <c r="AO128" s="48"/>
      <c r="AP128" s="44"/>
      <c r="AQ128" s="44"/>
      <c r="AR128" s="51"/>
      <c r="AS128" s="51"/>
      <c r="AT128" s="51"/>
      <c r="AU128" s="51"/>
      <c r="AV128" s="51"/>
      <c r="AW128" s="50"/>
      <c r="AX128" s="50"/>
      <c r="AY128" s="50"/>
      <c r="AZ128" s="50"/>
      <c r="BA128" s="43">
        <v>723</v>
      </c>
      <c r="BB128" s="43">
        <v>107</v>
      </c>
      <c r="BC128" s="50"/>
      <c r="BD128" s="50"/>
      <c r="BE128" s="43">
        <v>99</v>
      </c>
      <c r="BF128" s="43">
        <v>737</v>
      </c>
      <c r="BG128" s="43">
        <v>139</v>
      </c>
      <c r="BH128" s="43">
        <v>695</v>
      </c>
      <c r="BI128" s="43">
        <v>174</v>
      </c>
      <c r="BJ128" s="43">
        <v>659</v>
      </c>
      <c r="BK128" s="43">
        <v>697</v>
      </c>
      <c r="BL128" s="43">
        <v>138</v>
      </c>
      <c r="BM128" s="43">
        <v>91</v>
      </c>
      <c r="BN128" s="43">
        <v>736</v>
      </c>
      <c r="BO128" s="43">
        <v>672</v>
      </c>
      <c r="BP128" s="43">
        <v>143</v>
      </c>
      <c r="BQ128" s="43">
        <v>139</v>
      </c>
      <c r="BR128" s="43">
        <v>678</v>
      </c>
      <c r="BS128" s="43">
        <v>319</v>
      </c>
      <c r="BT128" s="43">
        <v>90</v>
      </c>
      <c r="BU128" s="43">
        <v>732</v>
      </c>
      <c r="BV128" s="43">
        <v>411</v>
      </c>
      <c r="BW128" s="43">
        <v>212</v>
      </c>
      <c r="BX128" s="43">
        <v>462</v>
      </c>
      <c r="BY128" s="43">
        <v>205</v>
      </c>
      <c r="BZ128" s="43">
        <v>524</v>
      </c>
      <c r="CA128" s="43">
        <v>358</v>
      </c>
      <c r="CB128" s="43">
        <v>155</v>
      </c>
      <c r="CC128" s="43">
        <v>518</v>
      </c>
      <c r="CD128" s="43">
        <v>481</v>
      </c>
      <c r="CE128" s="43">
        <v>516</v>
      </c>
      <c r="CF128" s="43">
        <v>162</v>
      </c>
      <c r="CG128" s="43">
        <v>176</v>
      </c>
      <c r="CH128" s="43">
        <v>464</v>
      </c>
      <c r="CI128" s="43">
        <v>422</v>
      </c>
      <c r="CJ128" s="43">
        <v>246</v>
      </c>
      <c r="CK128" s="43">
        <v>240</v>
      </c>
      <c r="CL128" s="43">
        <v>430</v>
      </c>
      <c r="CM128" s="43">
        <v>330</v>
      </c>
      <c r="CN128" s="43">
        <v>361</v>
      </c>
      <c r="CO128" s="43">
        <v>427</v>
      </c>
      <c r="CP128" s="43">
        <v>244</v>
      </c>
      <c r="CQ128" s="6"/>
      <c r="CR128" s="6"/>
      <c r="CS128" s="43">
        <v>339</v>
      </c>
      <c r="CT128" s="43">
        <v>470</v>
      </c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43">
        <v>615</v>
      </c>
      <c r="FZ128" s="43">
        <v>223</v>
      </c>
      <c r="GA128" s="53"/>
      <c r="GB128" s="53"/>
      <c r="GC128" s="53"/>
      <c r="GD128" s="53"/>
      <c r="GE128" s="53"/>
      <c r="GF128" s="53"/>
      <c r="GG128" s="53"/>
      <c r="GH128" s="53"/>
      <c r="GI128" s="43"/>
      <c r="GJ128" s="53"/>
      <c r="GK128" s="53"/>
      <c r="GL128" s="53"/>
      <c r="GM128" s="53"/>
      <c r="GN128" s="53"/>
      <c r="GO128" s="43">
        <v>648</v>
      </c>
      <c r="GP128" s="43">
        <v>184</v>
      </c>
      <c r="GQ128" s="43">
        <v>669</v>
      </c>
      <c r="GR128" s="43">
        <v>161</v>
      </c>
    </row>
    <row r="129" spans="1:200">
      <c r="A129" s="5">
        <v>2202</v>
      </c>
      <c r="B129" s="1" t="s">
        <v>257</v>
      </c>
      <c r="C129" s="33">
        <v>1197</v>
      </c>
      <c r="D129" s="34">
        <v>531</v>
      </c>
      <c r="E129" s="19">
        <f t="shared" si="1"/>
        <v>0.44360902255639095</v>
      </c>
      <c r="F129" s="62">
        <v>438</v>
      </c>
      <c r="G129" s="43">
        <v>2</v>
      </c>
      <c r="H129" s="43">
        <v>11</v>
      </c>
      <c r="I129" s="43">
        <v>4</v>
      </c>
      <c r="J129" s="55">
        <v>71</v>
      </c>
      <c r="K129" s="6">
        <v>0</v>
      </c>
      <c r="L129" s="6">
        <v>0</v>
      </c>
      <c r="M129" s="43">
        <v>0</v>
      </c>
      <c r="N129" s="25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  <c r="V129" s="43">
        <v>0</v>
      </c>
      <c r="W129" s="43">
        <v>0</v>
      </c>
      <c r="X129" s="43">
        <v>0</v>
      </c>
      <c r="Y129" s="43">
        <v>0</v>
      </c>
      <c r="Z129" s="43">
        <v>0</v>
      </c>
      <c r="AA129" s="44">
        <v>0</v>
      </c>
      <c r="AB129" s="44">
        <v>0</v>
      </c>
      <c r="AC129" s="44">
        <v>8</v>
      </c>
      <c r="AD129" s="44">
        <v>10</v>
      </c>
      <c r="AE129" s="44">
        <v>108</v>
      </c>
      <c r="AF129" s="44">
        <v>9</v>
      </c>
      <c r="AG129" s="44">
        <v>0</v>
      </c>
      <c r="AH129" s="44">
        <v>370</v>
      </c>
      <c r="AI129" s="44">
        <v>110</v>
      </c>
      <c r="AJ129" s="44">
        <v>0</v>
      </c>
      <c r="AK129" s="44">
        <v>0</v>
      </c>
      <c r="AL129" s="44">
        <v>395</v>
      </c>
      <c r="AM129" s="48"/>
      <c r="AN129" s="48"/>
      <c r="AO129" s="48"/>
      <c r="AP129" s="44"/>
      <c r="AQ129" s="44"/>
      <c r="AR129" s="51"/>
      <c r="AS129" s="51"/>
      <c r="AT129" s="51"/>
      <c r="AU129" s="51"/>
      <c r="AV129" s="51"/>
      <c r="AW129" s="50"/>
      <c r="AX129" s="50"/>
      <c r="AY129" s="50"/>
      <c r="AZ129" s="50"/>
      <c r="BA129" s="43">
        <v>429</v>
      </c>
      <c r="BB129" s="43">
        <v>65</v>
      </c>
      <c r="BC129" s="50"/>
      <c r="BD129" s="50"/>
      <c r="BE129" s="43">
        <v>56</v>
      </c>
      <c r="BF129" s="43">
        <v>434</v>
      </c>
      <c r="BG129" s="43">
        <v>93</v>
      </c>
      <c r="BH129" s="43">
        <v>399</v>
      </c>
      <c r="BI129" s="43">
        <v>103</v>
      </c>
      <c r="BJ129" s="43">
        <v>386</v>
      </c>
      <c r="BK129" s="43">
        <v>395</v>
      </c>
      <c r="BL129" s="43">
        <v>95</v>
      </c>
      <c r="BM129" s="43">
        <v>62</v>
      </c>
      <c r="BN129" s="43">
        <v>428</v>
      </c>
      <c r="BO129" s="43">
        <v>411</v>
      </c>
      <c r="BP129" s="43">
        <v>73</v>
      </c>
      <c r="BQ129" s="43">
        <v>79</v>
      </c>
      <c r="BR129" s="43">
        <v>410</v>
      </c>
      <c r="BS129" s="43">
        <v>192</v>
      </c>
      <c r="BT129" s="43">
        <v>62</v>
      </c>
      <c r="BU129" s="43">
        <v>431</v>
      </c>
      <c r="BV129" s="43">
        <v>256</v>
      </c>
      <c r="BW129" s="43">
        <v>148</v>
      </c>
      <c r="BX129" s="43">
        <v>255</v>
      </c>
      <c r="BY129" s="43">
        <v>143</v>
      </c>
      <c r="BZ129" s="43">
        <v>286</v>
      </c>
      <c r="CA129" s="43">
        <v>224</v>
      </c>
      <c r="CB129" s="43">
        <v>107</v>
      </c>
      <c r="CC129" s="43">
        <v>294</v>
      </c>
      <c r="CD129" s="43">
        <v>288</v>
      </c>
      <c r="CE129" s="43">
        <v>290</v>
      </c>
      <c r="CF129" s="43">
        <v>110</v>
      </c>
      <c r="CG129" s="43">
        <v>116</v>
      </c>
      <c r="CH129" s="43">
        <v>261</v>
      </c>
      <c r="CI129" s="43">
        <v>235</v>
      </c>
      <c r="CJ129" s="43">
        <v>156</v>
      </c>
      <c r="CK129" s="43">
        <v>145</v>
      </c>
      <c r="CL129" s="43">
        <v>266</v>
      </c>
      <c r="CM129" s="43">
        <v>215</v>
      </c>
      <c r="CN129" s="43">
        <v>231</v>
      </c>
      <c r="CO129" s="43">
        <v>260</v>
      </c>
      <c r="CP129" s="43">
        <v>153</v>
      </c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43">
        <v>347</v>
      </c>
      <c r="FZ129" s="43">
        <v>147</v>
      </c>
      <c r="GA129" s="53"/>
      <c r="GB129" s="53"/>
      <c r="GC129" s="53"/>
      <c r="GD129" s="53"/>
      <c r="GE129" s="53"/>
      <c r="GF129" s="53"/>
      <c r="GG129" s="53"/>
      <c r="GH129" s="53"/>
      <c r="GI129" s="43"/>
      <c r="GJ129" s="53"/>
      <c r="GK129" s="53"/>
      <c r="GL129" s="53"/>
      <c r="GM129" s="53"/>
      <c r="GN129" s="53"/>
      <c r="GO129" s="43">
        <v>329</v>
      </c>
      <c r="GP129" s="43">
        <v>148</v>
      </c>
      <c r="GQ129" s="43">
        <v>369</v>
      </c>
      <c r="GR129" s="43">
        <v>119</v>
      </c>
    </row>
    <row r="130" spans="1:200">
      <c r="A130" s="5">
        <v>2203</v>
      </c>
      <c r="B130" s="1" t="s">
        <v>258</v>
      </c>
      <c r="C130" s="33">
        <v>1571</v>
      </c>
      <c r="D130" s="34">
        <v>673</v>
      </c>
      <c r="E130" s="19">
        <f t="shared" si="1"/>
        <v>0.42838956078930618</v>
      </c>
      <c r="F130" s="62">
        <v>640</v>
      </c>
      <c r="G130" s="43">
        <v>1</v>
      </c>
      <c r="H130" s="43">
        <v>0</v>
      </c>
      <c r="I130" s="43">
        <v>3</v>
      </c>
      <c r="J130" s="55">
        <v>22</v>
      </c>
      <c r="K130" s="6">
        <v>0</v>
      </c>
      <c r="L130" s="6">
        <v>0</v>
      </c>
      <c r="M130" s="43">
        <v>0</v>
      </c>
      <c r="N130" s="25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0</v>
      </c>
      <c r="Z130" s="43">
        <v>0</v>
      </c>
      <c r="AA130" s="44">
        <v>0</v>
      </c>
      <c r="AB130" s="44">
        <v>0</v>
      </c>
      <c r="AC130" s="44">
        <v>14</v>
      </c>
      <c r="AD130" s="44">
        <v>9</v>
      </c>
      <c r="AE130" s="44">
        <v>50</v>
      </c>
      <c r="AF130" s="44">
        <v>6</v>
      </c>
      <c r="AG130" s="44">
        <v>0</v>
      </c>
      <c r="AH130" s="44">
        <v>566</v>
      </c>
      <c r="AI130" s="44">
        <v>69</v>
      </c>
      <c r="AJ130" s="44">
        <v>0</v>
      </c>
      <c r="AK130" s="44">
        <v>0</v>
      </c>
      <c r="AL130" s="44">
        <v>573</v>
      </c>
      <c r="AM130" s="48"/>
      <c r="AN130" s="48"/>
      <c r="AO130" s="48"/>
      <c r="AP130" s="44"/>
      <c r="AQ130" s="44"/>
      <c r="AR130" s="51"/>
      <c r="AS130" s="51"/>
      <c r="AT130" s="51"/>
      <c r="AU130" s="51"/>
      <c r="AV130" s="51"/>
      <c r="AW130" s="50"/>
      <c r="AX130" s="50"/>
      <c r="AY130" s="50"/>
      <c r="AZ130" s="50"/>
      <c r="BA130" s="43">
        <v>611</v>
      </c>
      <c r="BB130" s="43">
        <v>28</v>
      </c>
      <c r="BC130" s="50"/>
      <c r="BD130" s="50"/>
      <c r="BE130" s="43">
        <v>27</v>
      </c>
      <c r="BF130" s="43">
        <v>618</v>
      </c>
      <c r="BG130" s="43">
        <v>49</v>
      </c>
      <c r="BH130" s="43">
        <v>585</v>
      </c>
      <c r="BI130" s="43">
        <v>76</v>
      </c>
      <c r="BJ130" s="43">
        <v>554</v>
      </c>
      <c r="BK130" s="43">
        <v>553</v>
      </c>
      <c r="BL130" s="43">
        <v>79</v>
      </c>
      <c r="BM130" s="43">
        <v>35</v>
      </c>
      <c r="BN130" s="43">
        <v>602</v>
      </c>
      <c r="BO130" s="43">
        <v>573</v>
      </c>
      <c r="BP130" s="43">
        <v>53</v>
      </c>
      <c r="BQ130" s="43">
        <v>47</v>
      </c>
      <c r="BR130" s="43">
        <v>587</v>
      </c>
      <c r="BS130" s="43">
        <v>198</v>
      </c>
      <c r="BT130" s="43">
        <v>29</v>
      </c>
      <c r="BU130" s="43">
        <v>618</v>
      </c>
      <c r="BV130" s="43">
        <v>324</v>
      </c>
      <c r="BW130" s="43">
        <v>172</v>
      </c>
      <c r="BX130" s="43">
        <v>367</v>
      </c>
      <c r="BY130" s="43">
        <v>144</v>
      </c>
      <c r="BZ130" s="43">
        <v>434</v>
      </c>
      <c r="CA130" s="43">
        <v>288</v>
      </c>
      <c r="CB130" s="43">
        <v>107</v>
      </c>
      <c r="CC130" s="43">
        <v>433</v>
      </c>
      <c r="CD130" s="43">
        <v>394</v>
      </c>
      <c r="CE130" s="43">
        <v>433</v>
      </c>
      <c r="CF130" s="43">
        <v>120</v>
      </c>
      <c r="CG130" s="43">
        <v>143</v>
      </c>
      <c r="CH130" s="43">
        <v>376</v>
      </c>
      <c r="CI130" s="43">
        <v>318</v>
      </c>
      <c r="CJ130" s="43">
        <v>213</v>
      </c>
      <c r="CK130" s="43">
        <v>219</v>
      </c>
      <c r="CL130" s="43">
        <v>337</v>
      </c>
      <c r="CM130" s="43">
        <v>281</v>
      </c>
      <c r="CN130" s="43">
        <v>330</v>
      </c>
      <c r="CO130" s="43">
        <v>336</v>
      </c>
      <c r="CP130" s="43">
        <v>214</v>
      </c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43">
        <v>503</v>
      </c>
      <c r="FZ130" s="43">
        <v>128</v>
      </c>
      <c r="GA130" s="53"/>
      <c r="GB130" s="53"/>
      <c r="GC130" s="53"/>
      <c r="GD130" s="53"/>
      <c r="GE130" s="53"/>
      <c r="GF130" s="53"/>
      <c r="GG130" s="53"/>
      <c r="GH130" s="53"/>
      <c r="GI130" s="43"/>
      <c r="GJ130" s="53"/>
      <c r="GK130" s="53"/>
      <c r="GL130" s="53"/>
      <c r="GM130" s="53"/>
      <c r="GN130" s="53"/>
      <c r="GO130" s="43">
        <v>434</v>
      </c>
      <c r="GP130" s="43">
        <v>178</v>
      </c>
      <c r="GQ130" s="43">
        <v>500</v>
      </c>
      <c r="GR130" s="43">
        <v>122</v>
      </c>
    </row>
    <row r="131" spans="1:200">
      <c r="A131" s="5">
        <v>2301</v>
      </c>
      <c r="B131" s="1" t="s">
        <v>259</v>
      </c>
      <c r="C131" s="33">
        <v>1556</v>
      </c>
      <c r="D131" s="34">
        <v>1044</v>
      </c>
      <c r="E131" s="19">
        <f t="shared" si="1"/>
        <v>0.6709511568123393</v>
      </c>
      <c r="F131" s="62">
        <v>839</v>
      </c>
      <c r="G131" s="43">
        <v>2</v>
      </c>
      <c r="H131" s="43">
        <v>31</v>
      </c>
      <c r="I131" s="43">
        <v>12</v>
      </c>
      <c r="J131" s="55">
        <v>144</v>
      </c>
      <c r="K131" s="6">
        <v>0</v>
      </c>
      <c r="L131" s="6">
        <v>0</v>
      </c>
      <c r="M131" s="43">
        <v>0</v>
      </c>
      <c r="N131" s="25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  <c r="V131" s="43">
        <v>0</v>
      </c>
      <c r="W131" s="43">
        <v>1</v>
      </c>
      <c r="X131" s="43">
        <v>0</v>
      </c>
      <c r="Y131" s="43">
        <v>0</v>
      </c>
      <c r="Z131" s="43">
        <v>0</v>
      </c>
      <c r="AA131" s="44">
        <v>0</v>
      </c>
      <c r="AB131" s="44">
        <v>0</v>
      </c>
      <c r="AC131" s="44">
        <v>13</v>
      </c>
      <c r="AD131" s="44">
        <v>25</v>
      </c>
      <c r="AE131" s="44">
        <v>209</v>
      </c>
      <c r="AF131" s="44">
        <v>13</v>
      </c>
      <c r="AG131" s="44">
        <v>0</v>
      </c>
      <c r="AH131" s="44">
        <v>748</v>
      </c>
      <c r="AI131" s="44">
        <v>209</v>
      </c>
      <c r="AJ131" s="44">
        <v>5</v>
      </c>
      <c r="AK131" s="44">
        <v>0</v>
      </c>
      <c r="AL131" s="44">
        <v>797</v>
      </c>
      <c r="AM131" s="48"/>
      <c r="AN131" s="48"/>
      <c r="AO131" s="48"/>
      <c r="AP131" s="44"/>
      <c r="AQ131" s="44"/>
      <c r="AR131" s="51"/>
      <c r="AS131" s="51"/>
      <c r="AT131" s="51"/>
      <c r="AU131" s="51"/>
      <c r="AV131" s="51"/>
      <c r="AW131" s="50"/>
      <c r="AX131" s="50"/>
      <c r="AY131" s="50"/>
      <c r="AZ131" s="50"/>
      <c r="BA131" s="43">
        <v>811</v>
      </c>
      <c r="BB131" s="43">
        <v>167</v>
      </c>
      <c r="BC131" s="50"/>
      <c r="BD131" s="50"/>
      <c r="BE131" s="43">
        <v>141</v>
      </c>
      <c r="BF131" s="43">
        <v>852</v>
      </c>
      <c r="BG131" s="43">
        <v>173</v>
      </c>
      <c r="BH131" s="43">
        <v>818</v>
      </c>
      <c r="BI131" s="43">
        <v>248</v>
      </c>
      <c r="BJ131" s="43">
        <v>734</v>
      </c>
      <c r="BK131" s="43">
        <v>806</v>
      </c>
      <c r="BL131" s="43">
        <v>184</v>
      </c>
      <c r="BM131" s="43">
        <v>130</v>
      </c>
      <c r="BN131" s="43">
        <v>852</v>
      </c>
      <c r="BO131" s="43">
        <v>779</v>
      </c>
      <c r="BP131" s="43">
        <v>199</v>
      </c>
      <c r="BQ131" s="43">
        <v>219</v>
      </c>
      <c r="BR131" s="43">
        <v>754</v>
      </c>
      <c r="BS131" s="43">
        <v>388</v>
      </c>
      <c r="BT131" s="43">
        <v>100</v>
      </c>
      <c r="BU131" s="43">
        <v>882</v>
      </c>
      <c r="BV131" s="43">
        <v>492</v>
      </c>
      <c r="BW131" s="43">
        <v>308</v>
      </c>
      <c r="BX131" s="43">
        <v>491</v>
      </c>
      <c r="BY131" s="43">
        <v>257</v>
      </c>
      <c r="BZ131" s="43">
        <v>604</v>
      </c>
      <c r="CA131" s="43">
        <v>444</v>
      </c>
      <c r="CB131" s="43">
        <v>167</v>
      </c>
      <c r="CC131" s="43">
        <v>631</v>
      </c>
      <c r="CD131" s="43">
        <v>587</v>
      </c>
      <c r="CE131" s="43">
        <v>597</v>
      </c>
      <c r="CF131" s="43">
        <v>217</v>
      </c>
      <c r="CG131" s="43">
        <v>235</v>
      </c>
      <c r="CH131" s="43">
        <v>535</v>
      </c>
      <c r="CI131" s="43">
        <v>444</v>
      </c>
      <c r="CJ131" s="43">
        <v>358</v>
      </c>
      <c r="CK131" s="43">
        <v>327</v>
      </c>
      <c r="CL131" s="43">
        <v>499</v>
      </c>
      <c r="CM131" s="43">
        <v>409</v>
      </c>
      <c r="CN131" s="43">
        <v>455</v>
      </c>
      <c r="CO131" s="43">
        <v>454</v>
      </c>
      <c r="CP131" s="43">
        <v>344</v>
      </c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43">
        <v>671</v>
      </c>
      <c r="FZ131" s="43">
        <v>318</v>
      </c>
      <c r="GA131" s="53"/>
      <c r="GB131" s="53"/>
      <c r="GC131" s="53"/>
      <c r="GD131" s="53"/>
      <c r="GE131" s="53"/>
      <c r="GF131" s="53"/>
      <c r="GG131" s="53"/>
      <c r="GH131" s="53"/>
      <c r="GI131" s="43"/>
      <c r="GJ131" s="53"/>
      <c r="GK131" s="53"/>
      <c r="GL131" s="53"/>
      <c r="GM131" s="53"/>
      <c r="GN131" s="53"/>
      <c r="GO131" s="43">
        <v>756</v>
      </c>
      <c r="GP131" s="43">
        <v>218</v>
      </c>
      <c r="GQ131" s="43">
        <v>769</v>
      </c>
      <c r="GR131" s="43">
        <v>205</v>
      </c>
    </row>
    <row r="132" spans="1:200">
      <c r="A132" s="5">
        <v>2302</v>
      </c>
      <c r="B132" s="1" t="s">
        <v>260</v>
      </c>
      <c r="C132" s="33">
        <v>1711</v>
      </c>
      <c r="D132" s="34">
        <v>815</v>
      </c>
      <c r="E132" s="19">
        <f t="shared" si="1"/>
        <v>0.47632963179427235</v>
      </c>
      <c r="F132" s="62">
        <v>735</v>
      </c>
      <c r="G132" s="43">
        <v>4</v>
      </c>
      <c r="H132" s="43">
        <v>6</v>
      </c>
      <c r="I132" s="43">
        <v>12</v>
      </c>
      <c r="J132" s="55">
        <v>51</v>
      </c>
      <c r="K132" s="6">
        <v>0</v>
      </c>
      <c r="L132" s="6">
        <v>0</v>
      </c>
      <c r="M132" s="43">
        <v>0</v>
      </c>
      <c r="N132" s="25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0</v>
      </c>
      <c r="Y132" s="43">
        <v>0</v>
      </c>
      <c r="Z132" s="43">
        <v>0</v>
      </c>
      <c r="AA132" s="44">
        <v>0</v>
      </c>
      <c r="AB132" s="44">
        <v>0</v>
      </c>
      <c r="AC132" s="44">
        <v>18</v>
      </c>
      <c r="AD132" s="44">
        <v>11</v>
      </c>
      <c r="AE132" s="44">
        <v>92</v>
      </c>
      <c r="AF132" s="44">
        <v>9</v>
      </c>
      <c r="AG132" s="44">
        <v>0</v>
      </c>
      <c r="AH132" s="44">
        <v>649</v>
      </c>
      <c r="AI132" s="44">
        <v>109</v>
      </c>
      <c r="AJ132" s="44">
        <v>0</v>
      </c>
      <c r="AK132" s="44">
        <v>0</v>
      </c>
      <c r="AL132" s="44">
        <v>672</v>
      </c>
      <c r="AM132" s="48"/>
      <c r="AN132" s="48"/>
      <c r="AO132" s="48"/>
      <c r="AP132" s="44"/>
      <c r="AQ132" s="44"/>
      <c r="AR132" s="51"/>
      <c r="AS132" s="51"/>
      <c r="AT132" s="51"/>
      <c r="AU132" s="51"/>
      <c r="AV132" s="51"/>
      <c r="AW132" s="50"/>
      <c r="AX132" s="50"/>
      <c r="AY132" s="50"/>
      <c r="AZ132" s="50"/>
      <c r="BA132" s="43">
        <v>696</v>
      </c>
      <c r="BB132" s="43">
        <v>66</v>
      </c>
      <c r="BC132" s="50"/>
      <c r="BD132" s="50"/>
      <c r="BE132" s="43">
        <v>58</v>
      </c>
      <c r="BF132" s="43">
        <v>716</v>
      </c>
      <c r="BG132" s="43">
        <v>83</v>
      </c>
      <c r="BH132" s="43">
        <v>682</v>
      </c>
      <c r="BI132" s="43">
        <v>126</v>
      </c>
      <c r="BJ132" s="43">
        <v>639</v>
      </c>
      <c r="BK132" s="43">
        <v>648</v>
      </c>
      <c r="BL132" s="43">
        <v>122</v>
      </c>
      <c r="BM132" s="43">
        <v>55</v>
      </c>
      <c r="BN132" s="43">
        <v>712</v>
      </c>
      <c r="BO132" s="43">
        <v>681</v>
      </c>
      <c r="BP132" s="43">
        <v>75</v>
      </c>
      <c r="BQ132" s="43">
        <v>73</v>
      </c>
      <c r="BR132" s="43">
        <v>691</v>
      </c>
      <c r="BS132" s="43">
        <v>257</v>
      </c>
      <c r="BT132" s="43">
        <v>53</v>
      </c>
      <c r="BU132" s="43">
        <v>719</v>
      </c>
      <c r="BV132" s="43">
        <v>403</v>
      </c>
      <c r="BW132" s="43">
        <v>206</v>
      </c>
      <c r="BX132" s="43">
        <v>436</v>
      </c>
      <c r="BY132" s="43">
        <v>203</v>
      </c>
      <c r="BZ132" s="43">
        <v>483</v>
      </c>
      <c r="CA132" s="43">
        <v>349</v>
      </c>
      <c r="CB132" s="43">
        <v>122</v>
      </c>
      <c r="CC132" s="43">
        <v>530</v>
      </c>
      <c r="CD132" s="43">
        <v>451</v>
      </c>
      <c r="CE132" s="43">
        <v>510</v>
      </c>
      <c r="CF132" s="43">
        <v>143</v>
      </c>
      <c r="CG132" s="43">
        <v>172</v>
      </c>
      <c r="CH132" s="43">
        <v>442</v>
      </c>
      <c r="CI132" s="43">
        <v>393</v>
      </c>
      <c r="CJ132" s="43">
        <v>255</v>
      </c>
      <c r="CK132" s="43">
        <v>265</v>
      </c>
      <c r="CL132" s="43">
        <v>399</v>
      </c>
      <c r="CM132" s="43">
        <v>336</v>
      </c>
      <c r="CN132" s="43">
        <v>378</v>
      </c>
      <c r="CO132" s="43">
        <v>408</v>
      </c>
      <c r="CP132" s="43">
        <v>255</v>
      </c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43">
        <v>562</v>
      </c>
      <c r="FZ132" s="43">
        <v>195</v>
      </c>
      <c r="GA132" s="53"/>
      <c r="GB132" s="53"/>
      <c r="GC132" s="53"/>
      <c r="GD132" s="53"/>
      <c r="GE132" s="53"/>
      <c r="GF132" s="53"/>
      <c r="GG132" s="53"/>
      <c r="GH132" s="53"/>
      <c r="GI132" s="43"/>
      <c r="GJ132" s="53"/>
      <c r="GK132" s="53"/>
      <c r="GL132" s="53"/>
      <c r="GM132" s="53"/>
      <c r="GN132" s="53"/>
      <c r="GO132" s="43">
        <v>574</v>
      </c>
      <c r="GP132" s="43">
        <v>176</v>
      </c>
      <c r="GQ132" s="43">
        <v>625</v>
      </c>
      <c r="GR132" s="43">
        <v>133</v>
      </c>
    </row>
    <row r="133" spans="1:200">
      <c r="A133" s="5">
        <v>2303</v>
      </c>
      <c r="B133" s="1" t="s">
        <v>261</v>
      </c>
      <c r="C133" s="33">
        <v>487</v>
      </c>
      <c r="D133" s="34">
        <v>360</v>
      </c>
      <c r="E133" s="19">
        <f t="shared" ref="E133:E196" si="2">SUM(D133/C133)</f>
        <v>0.73921971252566732</v>
      </c>
      <c r="F133" s="62">
        <v>311</v>
      </c>
      <c r="G133" s="43">
        <v>1</v>
      </c>
      <c r="H133" s="43">
        <v>3</v>
      </c>
      <c r="I133" s="43">
        <v>13</v>
      </c>
      <c r="J133" s="55">
        <v>30</v>
      </c>
      <c r="K133" s="6">
        <v>0</v>
      </c>
      <c r="L133" s="6">
        <v>0</v>
      </c>
      <c r="M133" s="43">
        <v>0</v>
      </c>
      <c r="N133" s="25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0</v>
      </c>
      <c r="Y133" s="43">
        <v>0</v>
      </c>
      <c r="Z133" s="43">
        <v>0</v>
      </c>
      <c r="AA133" s="44">
        <v>0</v>
      </c>
      <c r="AB133" s="44">
        <v>0</v>
      </c>
      <c r="AC133" s="44">
        <v>4</v>
      </c>
      <c r="AD133" s="44">
        <v>14</v>
      </c>
      <c r="AE133" s="44">
        <v>42</v>
      </c>
      <c r="AF133" s="44">
        <v>3</v>
      </c>
      <c r="AG133" s="44">
        <v>0</v>
      </c>
      <c r="AH133" s="44">
        <v>292</v>
      </c>
      <c r="AI133" s="44">
        <v>40</v>
      </c>
      <c r="AJ133" s="44">
        <v>2</v>
      </c>
      <c r="AK133" s="44">
        <v>0</v>
      </c>
      <c r="AL133" s="44">
        <v>312</v>
      </c>
      <c r="AM133" s="48"/>
      <c r="AN133" s="48"/>
      <c r="AO133" s="48"/>
      <c r="AP133" s="44"/>
      <c r="AQ133" s="44"/>
      <c r="AR133" s="51"/>
      <c r="AS133" s="51"/>
      <c r="AT133" s="51"/>
      <c r="AU133" s="51"/>
      <c r="AV133" s="51"/>
      <c r="AW133" s="50"/>
      <c r="AX133" s="50"/>
      <c r="AY133" s="50"/>
      <c r="AZ133" s="50"/>
      <c r="BA133" s="43">
        <v>317</v>
      </c>
      <c r="BB133" s="43">
        <v>29</v>
      </c>
      <c r="BC133" s="50"/>
      <c r="BD133" s="50"/>
      <c r="BE133" s="43">
        <v>31</v>
      </c>
      <c r="BF133" s="43">
        <v>317</v>
      </c>
      <c r="BG133" s="43">
        <v>33</v>
      </c>
      <c r="BH133" s="43">
        <v>314</v>
      </c>
      <c r="BI133" s="43">
        <v>48</v>
      </c>
      <c r="BJ133" s="43">
        <v>292</v>
      </c>
      <c r="BK133" s="43">
        <v>304</v>
      </c>
      <c r="BL133" s="43">
        <v>42</v>
      </c>
      <c r="BM133" s="43">
        <v>26</v>
      </c>
      <c r="BN133" s="43">
        <v>314</v>
      </c>
      <c r="BO133" s="43">
        <v>307</v>
      </c>
      <c r="BP133" s="43">
        <v>31</v>
      </c>
      <c r="BQ133" s="43">
        <v>48</v>
      </c>
      <c r="BR133" s="43">
        <v>293</v>
      </c>
      <c r="BS133" s="43">
        <v>108</v>
      </c>
      <c r="BT133" s="43">
        <v>22</v>
      </c>
      <c r="BU133" s="43">
        <v>322</v>
      </c>
      <c r="BV133" s="43">
        <v>130</v>
      </c>
      <c r="BW133" s="43">
        <v>90</v>
      </c>
      <c r="BX133" s="43">
        <v>193</v>
      </c>
      <c r="BY133" s="43">
        <v>46</v>
      </c>
      <c r="BZ133" s="43">
        <v>261</v>
      </c>
      <c r="CA133" s="43">
        <v>117</v>
      </c>
      <c r="CB133" s="43">
        <v>45</v>
      </c>
      <c r="CC133" s="43">
        <v>244</v>
      </c>
      <c r="CD133" s="43">
        <v>189</v>
      </c>
      <c r="CE133" s="43">
        <v>237</v>
      </c>
      <c r="CF133" s="43">
        <v>53</v>
      </c>
      <c r="CG133" s="43">
        <v>59</v>
      </c>
      <c r="CH133" s="43">
        <v>222</v>
      </c>
      <c r="CI133" s="43">
        <v>192</v>
      </c>
      <c r="CJ133" s="43">
        <v>92</v>
      </c>
      <c r="CK133" s="43">
        <v>93</v>
      </c>
      <c r="CL133" s="43">
        <v>198</v>
      </c>
      <c r="CM133" s="43">
        <v>110</v>
      </c>
      <c r="CN133" s="43">
        <v>123</v>
      </c>
      <c r="CO133" s="43">
        <v>194</v>
      </c>
      <c r="CP133" s="43">
        <v>92</v>
      </c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43">
        <v>268</v>
      </c>
      <c r="FZ133" s="43">
        <v>82</v>
      </c>
      <c r="GA133" s="53"/>
      <c r="GB133" s="53"/>
      <c r="GC133" s="53"/>
      <c r="GD133" s="53"/>
      <c r="GE133" s="53"/>
      <c r="GF133" s="53"/>
      <c r="GG133" s="53"/>
      <c r="GH133" s="53"/>
      <c r="GI133" s="43"/>
      <c r="GJ133" s="53"/>
      <c r="GK133" s="53"/>
      <c r="GL133" s="53"/>
      <c r="GM133" s="53"/>
      <c r="GN133" s="53"/>
      <c r="GO133" s="43">
        <v>279</v>
      </c>
      <c r="GP133" s="43">
        <v>65</v>
      </c>
      <c r="GQ133" s="43">
        <v>291</v>
      </c>
      <c r="GR133" s="43">
        <v>58</v>
      </c>
    </row>
    <row r="134" spans="1:200">
      <c r="A134" s="5">
        <v>2304</v>
      </c>
      <c r="B134" s="1" t="s">
        <v>262</v>
      </c>
      <c r="C134" s="33">
        <v>1352</v>
      </c>
      <c r="D134" s="34">
        <v>983</v>
      </c>
      <c r="E134" s="19">
        <f t="shared" si="2"/>
        <v>0.72707100591715978</v>
      </c>
      <c r="F134" s="62">
        <v>841</v>
      </c>
      <c r="G134" s="43">
        <v>3</v>
      </c>
      <c r="H134" s="43">
        <v>20</v>
      </c>
      <c r="I134" s="43">
        <v>31</v>
      </c>
      <c r="J134" s="55">
        <v>79</v>
      </c>
      <c r="K134" s="6">
        <v>0</v>
      </c>
      <c r="L134" s="6">
        <v>0</v>
      </c>
      <c r="M134" s="43">
        <v>1</v>
      </c>
      <c r="N134" s="25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2</v>
      </c>
      <c r="X134" s="43">
        <v>0</v>
      </c>
      <c r="Y134" s="43">
        <v>0</v>
      </c>
      <c r="Z134" s="43">
        <v>0</v>
      </c>
      <c r="AA134" s="44">
        <v>0</v>
      </c>
      <c r="AB134" s="44">
        <v>0</v>
      </c>
      <c r="AC134" s="44">
        <v>5</v>
      </c>
      <c r="AD134" s="44">
        <v>53</v>
      </c>
      <c r="AE134" s="44">
        <v>158</v>
      </c>
      <c r="AF134" s="44">
        <v>4</v>
      </c>
      <c r="AG134" s="44">
        <v>0</v>
      </c>
      <c r="AH134" s="44">
        <v>744</v>
      </c>
      <c r="AI134" s="44">
        <v>123</v>
      </c>
      <c r="AJ134" s="44">
        <v>3</v>
      </c>
      <c r="AK134" s="44">
        <v>0</v>
      </c>
      <c r="AL134" s="44">
        <v>835</v>
      </c>
      <c r="AM134" s="48"/>
      <c r="AN134" s="48"/>
      <c r="AO134" s="48"/>
      <c r="AP134" s="44"/>
      <c r="AQ134" s="44"/>
      <c r="AR134" s="51"/>
      <c r="AS134" s="51"/>
      <c r="AT134" s="51"/>
      <c r="AU134" s="51"/>
      <c r="AV134" s="51"/>
      <c r="AW134" s="50"/>
      <c r="AX134" s="50"/>
      <c r="AY134" s="50"/>
      <c r="AZ134" s="50"/>
      <c r="BA134" s="43">
        <v>835</v>
      </c>
      <c r="BB134" s="43">
        <v>106</v>
      </c>
      <c r="BC134" s="50"/>
      <c r="BD134" s="50"/>
      <c r="BE134" s="43">
        <v>88</v>
      </c>
      <c r="BF134" s="43">
        <v>853</v>
      </c>
      <c r="BG134" s="43">
        <v>125</v>
      </c>
      <c r="BH134" s="43">
        <v>817</v>
      </c>
      <c r="BI134" s="43">
        <v>182</v>
      </c>
      <c r="BJ134" s="43">
        <v>754</v>
      </c>
      <c r="BK134" s="43">
        <v>813</v>
      </c>
      <c r="BL134" s="43">
        <v>124</v>
      </c>
      <c r="BM134" s="43">
        <v>96</v>
      </c>
      <c r="BN134" s="43">
        <v>827</v>
      </c>
      <c r="BO134" s="43">
        <v>781</v>
      </c>
      <c r="BP134" s="43">
        <v>127</v>
      </c>
      <c r="BQ134" s="43">
        <v>147</v>
      </c>
      <c r="BR134" s="43">
        <v>768</v>
      </c>
      <c r="BS134" s="43">
        <v>339</v>
      </c>
      <c r="BT134" s="43">
        <v>75</v>
      </c>
      <c r="BU134" s="43">
        <v>847</v>
      </c>
      <c r="BV134" s="43">
        <v>431</v>
      </c>
      <c r="BW134" s="43">
        <v>211</v>
      </c>
      <c r="BX134" s="43">
        <v>563</v>
      </c>
      <c r="BY134" s="43">
        <v>167</v>
      </c>
      <c r="BZ134" s="43">
        <v>664</v>
      </c>
      <c r="CA134" s="43">
        <v>353</v>
      </c>
      <c r="CB134" s="43">
        <v>119</v>
      </c>
      <c r="CC134" s="43">
        <v>658</v>
      </c>
      <c r="CD134" s="43">
        <v>546</v>
      </c>
      <c r="CE134" s="43">
        <v>644</v>
      </c>
      <c r="CF134" s="43">
        <v>146</v>
      </c>
      <c r="CG134" s="43">
        <v>156</v>
      </c>
      <c r="CH134" s="43">
        <v>604</v>
      </c>
      <c r="CI134" s="43">
        <v>522</v>
      </c>
      <c r="CJ134" s="43">
        <v>262</v>
      </c>
      <c r="CK134" s="43">
        <v>229</v>
      </c>
      <c r="CL134" s="43">
        <v>556</v>
      </c>
      <c r="CM134" s="43">
        <v>327</v>
      </c>
      <c r="CN134" s="43">
        <v>354</v>
      </c>
      <c r="CO134" s="43">
        <v>531</v>
      </c>
      <c r="CP134" s="43">
        <v>253</v>
      </c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43">
        <v>747</v>
      </c>
      <c r="FZ134" s="43">
        <v>217</v>
      </c>
      <c r="GA134" s="53"/>
      <c r="GB134" s="53"/>
      <c r="GC134" s="53"/>
      <c r="GD134" s="53"/>
      <c r="GE134" s="53"/>
      <c r="GF134" s="53"/>
      <c r="GG134" s="53"/>
      <c r="GH134" s="53"/>
      <c r="GI134" s="43"/>
      <c r="GJ134" s="53"/>
      <c r="GK134" s="53"/>
      <c r="GL134" s="53"/>
      <c r="GM134" s="53"/>
      <c r="GN134" s="53"/>
      <c r="GO134" s="43">
        <v>822</v>
      </c>
      <c r="GP134" s="43">
        <v>137</v>
      </c>
      <c r="GQ134" s="43">
        <v>830</v>
      </c>
      <c r="GR134" s="43">
        <v>131</v>
      </c>
    </row>
    <row r="135" spans="1:200">
      <c r="A135" s="5">
        <v>2305</v>
      </c>
      <c r="B135" s="1" t="s">
        <v>263</v>
      </c>
      <c r="C135" s="33">
        <v>1127</v>
      </c>
      <c r="D135" s="34">
        <v>742</v>
      </c>
      <c r="E135" s="19">
        <f t="shared" si="2"/>
        <v>0.65838509316770188</v>
      </c>
      <c r="F135" s="62">
        <v>705</v>
      </c>
      <c r="G135" s="43">
        <v>2</v>
      </c>
      <c r="H135" s="43">
        <v>4</v>
      </c>
      <c r="I135" s="43">
        <v>5</v>
      </c>
      <c r="J135" s="55">
        <v>16</v>
      </c>
      <c r="K135" s="6">
        <v>0</v>
      </c>
      <c r="L135" s="6">
        <v>0</v>
      </c>
      <c r="M135" s="43">
        <v>0</v>
      </c>
      <c r="N135" s="25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43">
        <v>0</v>
      </c>
      <c r="Z135" s="43">
        <v>0</v>
      </c>
      <c r="AA135" s="44">
        <v>0</v>
      </c>
      <c r="AB135" s="44">
        <v>0</v>
      </c>
      <c r="AC135" s="44">
        <v>8</v>
      </c>
      <c r="AD135" s="44">
        <v>10</v>
      </c>
      <c r="AE135" s="44">
        <v>71</v>
      </c>
      <c r="AF135" s="44">
        <v>8</v>
      </c>
      <c r="AG135" s="44">
        <v>0</v>
      </c>
      <c r="AH135" s="44">
        <v>608</v>
      </c>
      <c r="AI135" s="44">
        <v>69</v>
      </c>
      <c r="AJ135" s="44">
        <v>0</v>
      </c>
      <c r="AK135" s="44">
        <v>0</v>
      </c>
      <c r="AL135" s="44">
        <v>638</v>
      </c>
      <c r="AM135" s="48"/>
      <c r="AN135" s="48"/>
      <c r="AO135" s="48"/>
      <c r="AP135" s="44"/>
      <c r="AQ135" s="44"/>
      <c r="AR135" s="51"/>
      <c r="AS135" s="51"/>
      <c r="AT135" s="51"/>
      <c r="AU135" s="51"/>
      <c r="AV135" s="51"/>
      <c r="AW135" s="50"/>
      <c r="AX135" s="50"/>
      <c r="AY135" s="50"/>
      <c r="AZ135" s="50"/>
      <c r="BA135" s="43">
        <v>672</v>
      </c>
      <c r="BB135" s="43">
        <v>33</v>
      </c>
      <c r="BC135" s="50"/>
      <c r="BD135" s="50"/>
      <c r="BE135" s="43">
        <v>21</v>
      </c>
      <c r="BF135" s="43">
        <v>685</v>
      </c>
      <c r="BG135" s="43">
        <v>52</v>
      </c>
      <c r="BH135" s="43">
        <v>649</v>
      </c>
      <c r="BI135" s="43">
        <v>89</v>
      </c>
      <c r="BJ135" s="43">
        <v>612</v>
      </c>
      <c r="BK135" s="43">
        <v>620</v>
      </c>
      <c r="BL135" s="43">
        <v>92</v>
      </c>
      <c r="BM135" s="43">
        <v>24</v>
      </c>
      <c r="BN135" s="43">
        <v>671</v>
      </c>
      <c r="BO135" s="43">
        <v>640</v>
      </c>
      <c r="BP135" s="43">
        <v>57</v>
      </c>
      <c r="BQ135" s="43">
        <v>78</v>
      </c>
      <c r="BR135" s="43">
        <v>620</v>
      </c>
      <c r="BS135" s="43">
        <v>220</v>
      </c>
      <c r="BT135" s="43">
        <v>25</v>
      </c>
      <c r="BU135" s="43">
        <v>686</v>
      </c>
      <c r="BV135" s="43">
        <v>334</v>
      </c>
      <c r="BW135" s="43">
        <v>187</v>
      </c>
      <c r="BX135" s="43">
        <v>402</v>
      </c>
      <c r="BY135" s="43">
        <v>188</v>
      </c>
      <c r="BZ135" s="43">
        <v>436</v>
      </c>
      <c r="CA135" s="43">
        <v>298</v>
      </c>
      <c r="CB135" s="43">
        <v>92</v>
      </c>
      <c r="CC135" s="43">
        <v>483</v>
      </c>
      <c r="CD135" s="43">
        <v>397</v>
      </c>
      <c r="CE135" s="43">
        <v>469</v>
      </c>
      <c r="CF135" s="43">
        <v>114</v>
      </c>
      <c r="CG135" s="43">
        <v>125</v>
      </c>
      <c r="CH135" s="43">
        <v>415</v>
      </c>
      <c r="CI135" s="43">
        <v>409</v>
      </c>
      <c r="CJ135" s="43">
        <v>168</v>
      </c>
      <c r="CK135" s="43">
        <v>218</v>
      </c>
      <c r="CL135" s="43">
        <v>377</v>
      </c>
      <c r="CM135" s="43">
        <v>287</v>
      </c>
      <c r="CN135" s="43">
        <v>327</v>
      </c>
      <c r="CO135" s="43">
        <v>423</v>
      </c>
      <c r="CP135" s="43">
        <v>186</v>
      </c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43">
        <v>509</v>
      </c>
      <c r="FZ135" s="43">
        <v>187</v>
      </c>
      <c r="GA135" s="53"/>
      <c r="GB135" s="53"/>
      <c r="GC135" s="53"/>
      <c r="GD135" s="53"/>
      <c r="GE135" s="53"/>
      <c r="GF135" s="53"/>
      <c r="GG135" s="53"/>
      <c r="GH135" s="53"/>
      <c r="GI135" s="43"/>
      <c r="GJ135" s="53"/>
      <c r="GK135" s="53"/>
      <c r="GL135" s="53"/>
      <c r="GM135" s="53"/>
      <c r="GN135" s="53"/>
      <c r="GO135" s="43">
        <v>443</v>
      </c>
      <c r="GP135" s="43">
        <v>227</v>
      </c>
      <c r="GQ135" s="43">
        <v>528</v>
      </c>
      <c r="GR135" s="43">
        <v>154</v>
      </c>
    </row>
    <row r="136" spans="1:200">
      <c r="A136" s="5">
        <v>2306</v>
      </c>
      <c r="B136" s="1" t="s">
        <v>264</v>
      </c>
      <c r="C136" s="33">
        <v>1266</v>
      </c>
      <c r="D136" s="34">
        <v>906</v>
      </c>
      <c r="E136" s="19">
        <f t="shared" si="2"/>
        <v>0.71563981042654023</v>
      </c>
      <c r="F136" s="62">
        <v>714</v>
      </c>
      <c r="G136" s="43">
        <v>2</v>
      </c>
      <c r="H136" s="43">
        <v>20</v>
      </c>
      <c r="I136" s="43">
        <v>6</v>
      </c>
      <c r="J136" s="55">
        <v>146</v>
      </c>
      <c r="K136" s="6">
        <v>0</v>
      </c>
      <c r="L136" s="6">
        <v>0</v>
      </c>
      <c r="M136" s="43">
        <v>0</v>
      </c>
      <c r="N136" s="25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4</v>
      </c>
      <c r="X136" s="43">
        <v>0</v>
      </c>
      <c r="Y136" s="43">
        <v>0</v>
      </c>
      <c r="Z136" s="43">
        <v>0</v>
      </c>
      <c r="AA136" s="44">
        <v>0</v>
      </c>
      <c r="AB136" s="44">
        <v>0</v>
      </c>
      <c r="AC136" s="44">
        <v>12</v>
      </c>
      <c r="AD136" s="44">
        <v>9</v>
      </c>
      <c r="AE136" s="44">
        <v>247</v>
      </c>
      <c r="AF136" s="44">
        <v>6</v>
      </c>
      <c r="AG136" s="44">
        <v>0</v>
      </c>
      <c r="AH136" s="44">
        <v>609</v>
      </c>
      <c r="AI136" s="44">
        <v>222</v>
      </c>
      <c r="AJ136" s="44">
        <v>0</v>
      </c>
      <c r="AK136" s="44">
        <v>0</v>
      </c>
      <c r="AL136" s="44">
        <v>656</v>
      </c>
      <c r="AM136" s="48"/>
      <c r="AN136" s="48"/>
      <c r="AO136" s="48"/>
      <c r="AP136" s="44"/>
      <c r="AQ136" s="44"/>
      <c r="AR136" s="51"/>
      <c r="AS136" s="51"/>
      <c r="AT136" s="51"/>
      <c r="AU136" s="51"/>
      <c r="AV136" s="51"/>
      <c r="AW136" s="50"/>
      <c r="AX136" s="50"/>
      <c r="AY136" s="50"/>
      <c r="AZ136" s="50"/>
      <c r="BA136" s="43">
        <v>682</v>
      </c>
      <c r="BB136" s="43">
        <v>167</v>
      </c>
      <c r="BC136" s="50"/>
      <c r="BD136" s="50"/>
      <c r="BE136" s="43">
        <v>151</v>
      </c>
      <c r="BF136" s="43">
        <v>711</v>
      </c>
      <c r="BG136" s="43">
        <v>192</v>
      </c>
      <c r="BH136" s="43">
        <v>667</v>
      </c>
      <c r="BI136" s="43">
        <v>237</v>
      </c>
      <c r="BJ136" s="43">
        <v>620</v>
      </c>
      <c r="BK136" s="43">
        <v>659</v>
      </c>
      <c r="BL136" s="43">
        <v>200</v>
      </c>
      <c r="BM136" s="43">
        <v>134</v>
      </c>
      <c r="BN136" s="43">
        <v>725</v>
      </c>
      <c r="BO136" s="43">
        <v>656</v>
      </c>
      <c r="BP136" s="43">
        <v>192</v>
      </c>
      <c r="BQ136" s="43">
        <v>213</v>
      </c>
      <c r="BR136" s="43">
        <v>631</v>
      </c>
      <c r="BS136" s="43">
        <v>376</v>
      </c>
      <c r="BT136" s="43">
        <v>113</v>
      </c>
      <c r="BU136" s="43">
        <v>736</v>
      </c>
      <c r="BV136" s="43">
        <v>474</v>
      </c>
      <c r="BW136" s="43">
        <v>263</v>
      </c>
      <c r="BX136" s="43">
        <v>438</v>
      </c>
      <c r="BY136" s="43">
        <v>282</v>
      </c>
      <c r="BZ136" s="43">
        <v>491</v>
      </c>
      <c r="CA136" s="43">
        <v>393</v>
      </c>
      <c r="CB136" s="43">
        <v>188</v>
      </c>
      <c r="CC136" s="43">
        <v>517</v>
      </c>
      <c r="CD136" s="43">
        <v>520</v>
      </c>
      <c r="CE136" s="43">
        <v>500</v>
      </c>
      <c r="CF136" s="43">
        <v>220</v>
      </c>
      <c r="CG136" s="43">
        <v>221</v>
      </c>
      <c r="CH136" s="43">
        <v>467</v>
      </c>
      <c r="CI136" s="43">
        <v>414</v>
      </c>
      <c r="CJ136" s="43">
        <v>288</v>
      </c>
      <c r="CK136" s="43">
        <v>300</v>
      </c>
      <c r="CL136" s="43">
        <v>425</v>
      </c>
      <c r="CM136" s="43">
        <v>395</v>
      </c>
      <c r="CN136" s="43">
        <v>432</v>
      </c>
      <c r="CO136" s="43">
        <v>440</v>
      </c>
      <c r="CP136" s="43">
        <v>287</v>
      </c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43">
        <v>587</v>
      </c>
      <c r="FZ136" s="43">
        <v>282</v>
      </c>
      <c r="GA136" s="53"/>
      <c r="GB136" s="53"/>
      <c r="GC136" s="53"/>
      <c r="GD136" s="53"/>
      <c r="GE136" s="53"/>
      <c r="GF136" s="53"/>
      <c r="GG136" s="53"/>
      <c r="GH136" s="53"/>
      <c r="GI136" s="43"/>
      <c r="GJ136" s="53"/>
      <c r="GK136" s="53"/>
      <c r="GL136" s="53"/>
      <c r="GM136" s="53"/>
      <c r="GN136" s="53"/>
      <c r="GO136" s="43">
        <v>624</v>
      </c>
      <c r="GP136" s="43">
        <v>228</v>
      </c>
      <c r="GQ136" s="43">
        <v>674</v>
      </c>
      <c r="GR136" s="43">
        <v>187</v>
      </c>
    </row>
    <row r="137" spans="1:200">
      <c r="A137" s="5">
        <v>2307</v>
      </c>
      <c r="B137" s="1" t="s">
        <v>265</v>
      </c>
      <c r="C137" s="33">
        <v>598</v>
      </c>
      <c r="D137" s="34">
        <v>422</v>
      </c>
      <c r="E137" s="19">
        <f t="shared" si="2"/>
        <v>0.70568561872909696</v>
      </c>
      <c r="F137" s="62">
        <v>384</v>
      </c>
      <c r="G137" s="43">
        <v>0</v>
      </c>
      <c r="H137" s="43">
        <v>5</v>
      </c>
      <c r="I137" s="43">
        <v>0</v>
      </c>
      <c r="J137" s="55">
        <v>30</v>
      </c>
      <c r="K137" s="6">
        <v>0</v>
      </c>
      <c r="L137" s="6">
        <v>0</v>
      </c>
      <c r="M137" s="43">
        <v>0</v>
      </c>
      <c r="N137" s="25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  <c r="V137" s="43">
        <v>0</v>
      </c>
      <c r="W137" s="43">
        <v>0</v>
      </c>
      <c r="X137" s="43">
        <v>0</v>
      </c>
      <c r="Y137" s="43">
        <v>0</v>
      </c>
      <c r="Z137" s="43">
        <v>0</v>
      </c>
      <c r="AA137" s="44">
        <v>0</v>
      </c>
      <c r="AB137" s="44">
        <v>0</v>
      </c>
      <c r="AC137" s="44">
        <v>4</v>
      </c>
      <c r="AD137" s="44">
        <v>4</v>
      </c>
      <c r="AE137" s="44">
        <v>58</v>
      </c>
      <c r="AF137" s="44">
        <v>5</v>
      </c>
      <c r="AG137" s="44">
        <v>0</v>
      </c>
      <c r="AH137" s="44">
        <v>333</v>
      </c>
      <c r="AI137" s="44">
        <v>64</v>
      </c>
      <c r="AJ137" s="44">
        <v>0</v>
      </c>
      <c r="AK137" s="44">
        <v>0</v>
      </c>
      <c r="AL137" s="44">
        <v>340</v>
      </c>
      <c r="AM137" s="48"/>
      <c r="AN137" s="48"/>
      <c r="AO137" s="48"/>
      <c r="AP137" s="44"/>
      <c r="AQ137" s="44"/>
      <c r="AR137" s="51"/>
      <c r="AS137" s="51"/>
      <c r="AT137" s="51"/>
      <c r="AU137" s="51"/>
      <c r="AV137" s="51"/>
      <c r="AW137" s="50"/>
      <c r="AX137" s="50"/>
      <c r="AY137" s="50"/>
      <c r="AZ137" s="50"/>
      <c r="BA137" s="43">
        <v>359</v>
      </c>
      <c r="BB137" s="43">
        <v>35</v>
      </c>
      <c r="BC137" s="50"/>
      <c r="BD137" s="50"/>
      <c r="BE137" s="43">
        <v>27</v>
      </c>
      <c r="BF137" s="43">
        <v>370</v>
      </c>
      <c r="BG137" s="43">
        <v>37</v>
      </c>
      <c r="BH137" s="43">
        <v>356</v>
      </c>
      <c r="BI137" s="43">
        <v>66</v>
      </c>
      <c r="BJ137" s="43">
        <v>331</v>
      </c>
      <c r="BK137" s="43">
        <v>341</v>
      </c>
      <c r="BL137" s="43">
        <v>56</v>
      </c>
      <c r="BM137" s="43">
        <v>30</v>
      </c>
      <c r="BN137" s="43">
        <v>369</v>
      </c>
      <c r="BO137" s="43">
        <v>347</v>
      </c>
      <c r="BP137" s="43">
        <v>44</v>
      </c>
      <c r="BQ137" s="43">
        <v>50</v>
      </c>
      <c r="BR137" s="43">
        <v>341</v>
      </c>
      <c r="BS137" s="43">
        <v>144</v>
      </c>
      <c r="BT137" s="43">
        <v>24</v>
      </c>
      <c r="BU137" s="43">
        <v>372</v>
      </c>
      <c r="BV137" s="43">
        <v>205</v>
      </c>
      <c r="BW137" s="43">
        <v>126</v>
      </c>
      <c r="BX137" s="43">
        <v>209</v>
      </c>
      <c r="BY137" s="43">
        <v>106</v>
      </c>
      <c r="BZ137" s="43">
        <v>250</v>
      </c>
      <c r="CA137" s="43">
        <v>189</v>
      </c>
      <c r="CB137" s="43">
        <v>67</v>
      </c>
      <c r="CC137" s="43">
        <v>270</v>
      </c>
      <c r="CD137" s="43">
        <v>244</v>
      </c>
      <c r="CE137" s="43">
        <v>261</v>
      </c>
      <c r="CF137" s="43">
        <v>77</v>
      </c>
      <c r="CG137" s="43">
        <v>94</v>
      </c>
      <c r="CH137" s="43">
        <v>223</v>
      </c>
      <c r="CI137" s="43">
        <v>211</v>
      </c>
      <c r="CJ137" s="43">
        <v>125</v>
      </c>
      <c r="CK137" s="43">
        <v>151</v>
      </c>
      <c r="CL137" s="43">
        <v>203</v>
      </c>
      <c r="CM137" s="43">
        <v>187</v>
      </c>
      <c r="CN137" s="43">
        <v>204</v>
      </c>
      <c r="CO137" s="43">
        <v>208</v>
      </c>
      <c r="CP137" s="43">
        <v>141</v>
      </c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43">
        <v>260</v>
      </c>
      <c r="FZ137" s="43">
        <v>143</v>
      </c>
      <c r="GA137" s="53"/>
      <c r="GB137" s="53"/>
      <c r="GC137" s="53"/>
      <c r="GD137" s="53"/>
      <c r="GE137" s="53"/>
      <c r="GF137" s="53"/>
      <c r="GG137" s="53"/>
      <c r="GH137" s="53"/>
      <c r="GI137" s="43"/>
      <c r="GJ137" s="53"/>
      <c r="GK137" s="53"/>
      <c r="GL137" s="53"/>
      <c r="GM137" s="53"/>
      <c r="GN137" s="53"/>
      <c r="GO137" s="43">
        <v>256</v>
      </c>
      <c r="GP137" s="43">
        <v>137</v>
      </c>
      <c r="GQ137" s="43">
        <v>293</v>
      </c>
      <c r="GR137" s="43">
        <v>107</v>
      </c>
    </row>
    <row r="138" spans="1:200">
      <c r="A138" s="5">
        <v>2308</v>
      </c>
      <c r="B138" s="1" t="s">
        <v>266</v>
      </c>
      <c r="C138" s="33">
        <v>943</v>
      </c>
      <c r="D138" s="34">
        <v>800</v>
      </c>
      <c r="E138" s="19">
        <f t="shared" si="2"/>
        <v>0.84835630965005304</v>
      </c>
      <c r="F138" s="62">
        <v>549</v>
      </c>
      <c r="G138" s="43">
        <v>3</v>
      </c>
      <c r="H138" s="43">
        <v>27</v>
      </c>
      <c r="I138" s="43">
        <v>11</v>
      </c>
      <c r="J138" s="55">
        <v>183</v>
      </c>
      <c r="K138" s="6">
        <v>0</v>
      </c>
      <c r="L138" s="6">
        <v>0</v>
      </c>
      <c r="M138" s="43">
        <v>0</v>
      </c>
      <c r="N138" s="25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9</v>
      </c>
      <c r="X138" s="43">
        <v>0</v>
      </c>
      <c r="Y138" s="43">
        <v>0</v>
      </c>
      <c r="Z138" s="43">
        <v>0</v>
      </c>
      <c r="AA138" s="44">
        <v>0</v>
      </c>
      <c r="AB138" s="44">
        <v>0</v>
      </c>
      <c r="AC138" s="44">
        <v>4</v>
      </c>
      <c r="AD138" s="44">
        <v>20</v>
      </c>
      <c r="AE138" s="44">
        <v>294</v>
      </c>
      <c r="AF138" s="44">
        <v>2</v>
      </c>
      <c r="AG138" s="44">
        <v>0</v>
      </c>
      <c r="AH138" s="44">
        <v>456</v>
      </c>
      <c r="AI138" s="44">
        <v>278</v>
      </c>
      <c r="AJ138" s="44">
        <v>1</v>
      </c>
      <c r="AK138" s="44">
        <v>0</v>
      </c>
      <c r="AL138" s="44">
        <v>504</v>
      </c>
      <c r="AM138" s="48"/>
      <c r="AN138" s="48"/>
      <c r="AO138" s="48"/>
      <c r="AP138" s="44"/>
      <c r="AQ138" s="44"/>
      <c r="AR138" s="51"/>
      <c r="AS138" s="51"/>
      <c r="AT138" s="51"/>
      <c r="AU138" s="51"/>
      <c r="AV138" s="51"/>
      <c r="AW138" s="50"/>
      <c r="AX138" s="50"/>
      <c r="AY138" s="50"/>
      <c r="AZ138" s="50"/>
      <c r="BA138" s="43">
        <v>516</v>
      </c>
      <c r="BB138" s="43">
        <v>245</v>
      </c>
      <c r="BC138" s="50"/>
      <c r="BD138" s="50"/>
      <c r="BE138" s="43">
        <v>217</v>
      </c>
      <c r="BF138" s="43">
        <v>551</v>
      </c>
      <c r="BG138" s="43">
        <v>256</v>
      </c>
      <c r="BH138" s="43">
        <v>519</v>
      </c>
      <c r="BI138" s="43">
        <v>305</v>
      </c>
      <c r="BJ138" s="43">
        <v>459</v>
      </c>
      <c r="BK138" s="43">
        <v>521</v>
      </c>
      <c r="BL138" s="43">
        <v>251</v>
      </c>
      <c r="BM138" s="43">
        <v>200</v>
      </c>
      <c r="BN138" s="43">
        <v>564</v>
      </c>
      <c r="BO138" s="43">
        <v>519</v>
      </c>
      <c r="BP138" s="43">
        <v>239</v>
      </c>
      <c r="BQ138" s="43">
        <v>276</v>
      </c>
      <c r="BR138" s="43">
        <v>478</v>
      </c>
      <c r="BS138" s="43">
        <v>387</v>
      </c>
      <c r="BT138" s="43">
        <v>163</v>
      </c>
      <c r="BU138" s="43">
        <v>599</v>
      </c>
      <c r="BV138" s="43">
        <v>420</v>
      </c>
      <c r="BW138" s="43">
        <v>296</v>
      </c>
      <c r="BX138" s="43">
        <v>310</v>
      </c>
      <c r="BY138" s="43">
        <v>276</v>
      </c>
      <c r="BZ138" s="43">
        <v>390</v>
      </c>
      <c r="CA138" s="43">
        <v>395</v>
      </c>
      <c r="CB138" s="43">
        <v>222</v>
      </c>
      <c r="CC138" s="43">
        <v>391</v>
      </c>
      <c r="CD138" s="43">
        <v>419</v>
      </c>
      <c r="CE138" s="43">
        <v>384</v>
      </c>
      <c r="CF138" s="43">
        <v>250</v>
      </c>
      <c r="CG138" s="43">
        <v>239</v>
      </c>
      <c r="CH138" s="43">
        <v>362</v>
      </c>
      <c r="CI138" s="43">
        <v>303</v>
      </c>
      <c r="CJ138" s="43">
        <v>333</v>
      </c>
      <c r="CK138" s="43">
        <v>309</v>
      </c>
      <c r="CL138" s="43">
        <v>321</v>
      </c>
      <c r="CM138" s="43">
        <v>361</v>
      </c>
      <c r="CN138" s="43">
        <v>387</v>
      </c>
      <c r="CO138" s="43">
        <v>323</v>
      </c>
      <c r="CP138" s="43">
        <v>300</v>
      </c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43">
        <v>455</v>
      </c>
      <c r="FZ138" s="43">
        <v>316</v>
      </c>
      <c r="GA138" s="53"/>
      <c r="GB138" s="53"/>
      <c r="GC138" s="53"/>
      <c r="GD138" s="53"/>
      <c r="GE138" s="53"/>
      <c r="GF138" s="53"/>
      <c r="GG138" s="53"/>
      <c r="GH138" s="53"/>
      <c r="GI138" s="43"/>
      <c r="GJ138" s="53"/>
      <c r="GK138" s="53"/>
      <c r="GL138" s="53"/>
      <c r="GM138" s="53"/>
      <c r="GN138" s="53"/>
      <c r="GO138" s="43">
        <v>579</v>
      </c>
      <c r="GP138" s="43">
        <v>186</v>
      </c>
      <c r="GQ138" s="43">
        <v>606</v>
      </c>
      <c r="GR138" s="43">
        <v>162</v>
      </c>
    </row>
    <row r="139" spans="1:200">
      <c r="A139" s="5">
        <v>2309</v>
      </c>
      <c r="B139" s="1" t="s">
        <v>267</v>
      </c>
      <c r="C139" s="33">
        <v>773</v>
      </c>
      <c r="D139" s="34">
        <v>607</v>
      </c>
      <c r="E139" s="19">
        <f t="shared" si="2"/>
        <v>0.78525226390685643</v>
      </c>
      <c r="F139" s="62">
        <v>427</v>
      </c>
      <c r="G139" s="43">
        <v>0</v>
      </c>
      <c r="H139" s="43">
        <v>11</v>
      </c>
      <c r="I139" s="43">
        <v>10</v>
      </c>
      <c r="J139" s="55">
        <v>153</v>
      </c>
      <c r="K139" s="6">
        <v>0</v>
      </c>
      <c r="L139" s="6">
        <v>0</v>
      </c>
      <c r="M139" s="43">
        <v>0</v>
      </c>
      <c r="N139" s="25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1</v>
      </c>
      <c r="X139" s="43">
        <v>0</v>
      </c>
      <c r="Y139" s="43">
        <v>0</v>
      </c>
      <c r="Z139" s="43">
        <v>0</v>
      </c>
      <c r="AA139" s="44">
        <v>0</v>
      </c>
      <c r="AB139" s="44">
        <v>0</v>
      </c>
      <c r="AC139" s="44">
        <v>8</v>
      </c>
      <c r="AD139" s="44">
        <v>14</v>
      </c>
      <c r="AE139" s="44">
        <v>204</v>
      </c>
      <c r="AF139" s="44">
        <v>4</v>
      </c>
      <c r="AG139" s="44">
        <v>0</v>
      </c>
      <c r="AH139" s="44">
        <v>364</v>
      </c>
      <c r="AI139" s="44">
        <v>204</v>
      </c>
      <c r="AJ139" s="44">
        <v>0</v>
      </c>
      <c r="AK139" s="44">
        <v>0</v>
      </c>
      <c r="AL139" s="44">
        <v>386</v>
      </c>
      <c r="AM139" s="48"/>
      <c r="AN139" s="48"/>
      <c r="AO139" s="48"/>
      <c r="AP139" s="44"/>
      <c r="AQ139" s="44"/>
      <c r="AR139" s="51"/>
      <c r="AS139" s="51"/>
      <c r="AT139" s="51"/>
      <c r="AU139" s="51"/>
      <c r="AV139" s="51"/>
      <c r="AW139" s="50"/>
      <c r="AX139" s="50"/>
      <c r="AY139" s="50"/>
      <c r="AZ139" s="50"/>
      <c r="BA139" s="43">
        <v>404</v>
      </c>
      <c r="BB139" s="43">
        <v>168</v>
      </c>
      <c r="BC139" s="50"/>
      <c r="BD139" s="50"/>
      <c r="BE139" s="43">
        <v>133</v>
      </c>
      <c r="BF139" s="43">
        <v>444</v>
      </c>
      <c r="BG139" s="43">
        <v>179</v>
      </c>
      <c r="BH139" s="43">
        <v>405</v>
      </c>
      <c r="BI139" s="43">
        <v>196</v>
      </c>
      <c r="BJ139" s="43">
        <v>380</v>
      </c>
      <c r="BK139" s="43">
        <v>406</v>
      </c>
      <c r="BL139" s="43">
        <v>171</v>
      </c>
      <c r="BM139" s="43">
        <v>120</v>
      </c>
      <c r="BN139" s="43">
        <v>443</v>
      </c>
      <c r="BO139" s="43">
        <v>397</v>
      </c>
      <c r="BP139" s="43">
        <v>168</v>
      </c>
      <c r="BQ139" s="43">
        <v>201</v>
      </c>
      <c r="BR139" s="43">
        <v>365</v>
      </c>
      <c r="BS139" s="43">
        <v>286</v>
      </c>
      <c r="BT139" s="43">
        <v>104</v>
      </c>
      <c r="BU139" s="43">
        <v>465</v>
      </c>
      <c r="BV139" s="43">
        <v>321</v>
      </c>
      <c r="BW139" s="43">
        <v>207</v>
      </c>
      <c r="BX139" s="43">
        <v>277</v>
      </c>
      <c r="BY139" s="43">
        <v>200</v>
      </c>
      <c r="BZ139" s="43">
        <v>325</v>
      </c>
      <c r="CA139" s="43">
        <v>293</v>
      </c>
      <c r="CB139" s="43">
        <v>168</v>
      </c>
      <c r="CC139" s="43">
        <v>312</v>
      </c>
      <c r="CD139" s="43">
        <v>350</v>
      </c>
      <c r="CE139" s="43">
        <v>328</v>
      </c>
      <c r="CF139" s="43">
        <v>172</v>
      </c>
      <c r="CG139" s="43">
        <v>151</v>
      </c>
      <c r="CH139" s="43">
        <v>336</v>
      </c>
      <c r="CI139" s="43">
        <v>261</v>
      </c>
      <c r="CJ139" s="43">
        <v>235</v>
      </c>
      <c r="CK139" s="43">
        <v>203</v>
      </c>
      <c r="CL139" s="43">
        <v>294</v>
      </c>
      <c r="CM139" s="43">
        <v>283</v>
      </c>
      <c r="CN139" s="43">
        <v>298</v>
      </c>
      <c r="CO139" s="43">
        <v>295</v>
      </c>
      <c r="CP139" s="43">
        <v>202</v>
      </c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43">
        <v>348</v>
      </c>
      <c r="FZ139" s="43">
        <v>236</v>
      </c>
      <c r="GA139" s="53"/>
      <c r="GB139" s="53"/>
      <c r="GC139" s="53"/>
      <c r="GD139" s="53"/>
      <c r="GE139" s="53"/>
      <c r="GF139" s="53"/>
      <c r="GG139" s="53"/>
      <c r="GH139" s="53"/>
      <c r="GI139" s="43"/>
      <c r="GJ139" s="53"/>
      <c r="GK139" s="53"/>
      <c r="GL139" s="53"/>
      <c r="GM139" s="53"/>
      <c r="GN139" s="53"/>
      <c r="GO139" s="43">
        <v>406</v>
      </c>
      <c r="GP139" s="43">
        <v>171</v>
      </c>
      <c r="GQ139" s="43">
        <v>455</v>
      </c>
      <c r="GR139" s="43">
        <v>119</v>
      </c>
    </row>
    <row r="140" spans="1:200">
      <c r="A140" s="5">
        <v>2310</v>
      </c>
      <c r="B140" s="1" t="s">
        <v>268</v>
      </c>
      <c r="C140" s="33">
        <v>1235</v>
      </c>
      <c r="D140" s="34">
        <v>807</v>
      </c>
      <c r="E140" s="19">
        <f t="shared" si="2"/>
        <v>0.65344129554655872</v>
      </c>
      <c r="F140" s="62">
        <v>557</v>
      </c>
      <c r="G140" s="43">
        <v>5</v>
      </c>
      <c r="H140" s="43">
        <v>19</v>
      </c>
      <c r="I140" s="43">
        <v>10</v>
      </c>
      <c r="J140" s="55">
        <v>200</v>
      </c>
      <c r="K140" s="6">
        <v>0</v>
      </c>
      <c r="L140" s="6">
        <v>0</v>
      </c>
      <c r="M140" s="43">
        <v>1</v>
      </c>
      <c r="N140" s="25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2</v>
      </c>
      <c r="X140" s="43">
        <v>0</v>
      </c>
      <c r="Y140" s="43">
        <v>0</v>
      </c>
      <c r="Z140" s="43">
        <v>0</v>
      </c>
      <c r="AA140" s="44">
        <v>0</v>
      </c>
      <c r="AB140" s="44">
        <v>0</v>
      </c>
      <c r="AC140" s="44">
        <v>10</v>
      </c>
      <c r="AD140" s="44">
        <v>18</v>
      </c>
      <c r="AE140" s="44">
        <v>261</v>
      </c>
      <c r="AF140" s="44">
        <v>14</v>
      </c>
      <c r="AG140" s="44">
        <v>0</v>
      </c>
      <c r="AH140" s="44">
        <v>479</v>
      </c>
      <c r="AI140" s="44">
        <v>262</v>
      </c>
      <c r="AJ140" s="44">
        <v>0</v>
      </c>
      <c r="AK140" s="44">
        <v>0</v>
      </c>
      <c r="AL140" s="44">
        <v>515</v>
      </c>
      <c r="AM140" s="48"/>
      <c r="AN140" s="48"/>
      <c r="AO140" s="48"/>
      <c r="AP140" s="44"/>
      <c r="AQ140" s="44"/>
      <c r="AR140" s="51"/>
      <c r="AS140" s="51"/>
      <c r="AT140" s="51"/>
      <c r="AU140" s="51"/>
      <c r="AV140" s="51"/>
      <c r="AW140" s="50"/>
      <c r="AX140" s="50"/>
      <c r="AY140" s="50"/>
      <c r="AZ140" s="50"/>
      <c r="BA140" s="43">
        <v>528</v>
      </c>
      <c r="BB140" s="43">
        <v>220</v>
      </c>
      <c r="BC140" s="50"/>
      <c r="BD140" s="50"/>
      <c r="BE140" s="43">
        <v>175</v>
      </c>
      <c r="BF140" s="43">
        <v>589</v>
      </c>
      <c r="BG140" s="43">
        <v>237</v>
      </c>
      <c r="BH140" s="43">
        <v>531</v>
      </c>
      <c r="BI140" s="43">
        <v>273</v>
      </c>
      <c r="BJ140" s="43">
        <v>478</v>
      </c>
      <c r="BK140" s="43">
        <v>509</v>
      </c>
      <c r="BL140" s="43">
        <v>246</v>
      </c>
      <c r="BM140" s="43">
        <v>143</v>
      </c>
      <c r="BN140" s="43">
        <v>615</v>
      </c>
      <c r="BO140" s="43">
        <v>492</v>
      </c>
      <c r="BP140" s="43">
        <v>255</v>
      </c>
      <c r="BQ140" s="43">
        <v>251</v>
      </c>
      <c r="BR140" s="43">
        <v>500</v>
      </c>
      <c r="BS140" s="43">
        <v>394</v>
      </c>
      <c r="BT140" s="43">
        <v>164</v>
      </c>
      <c r="BU140" s="43">
        <v>589</v>
      </c>
      <c r="BV140" s="43">
        <v>459</v>
      </c>
      <c r="BW140" s="43">
        <v>287</v>
      </c>
      <c r="BX140" s="43">
        <v>357</v>
      </c>
      <c r="BY140" s="43">
        <v>311</v>
      </c>
      <c r="BZ140" s="43">
        <v>376</v>
      </c>
      <c r="CA140" s="43">
        <v>404</v>
      </c>
      <c r="CB140" s="43">
        <v>221</v>
      </c>
      <c r="CC140" s="43">
        <v>402</v>
      </c>
      <c r="CD140" s="43">
        <v>438</v>
      </c>
      <c r="CE140" s="43">
        <v>410</v>
      </c>
      <c r="CF140" s="43">
        <v>241</v>
      </c>
      <c r="CG140" s="43">
        <v>236</v>
      </c>
      <c r="CH140" s="43">
        <v>379</v>
      </c>
      <c r="CI140" s="43">
        <v>312</v>
      </c>
      <c r="CJ140" s="43">
        <v>309</v>
      </c>
      <c r="CK140" s="43">
        <v>313</v>
      </c>
      <c r="CL140" s="43">
        <v>338</v>
      </c>
      <c r="CM140" s="43">
        <v>393</v>
      </c>
      <c r="CN140" s="43">
        <v>412</v>
      </c>
      <c r="CO140" s="43">
        <v>349</v>
      </c>
      <c r="CP140" s="43">
        <v>310</v>
      </c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43">
        <v>414</v>
      </c>
      <c r="FZ140" s="43">
        <v>352</v>
      </c>
      <c r="GA140" s="53"/>
      <c r="GB140" s="53"/>
      <c r="GC140" s="53"/>
      <c r="GD140" s="53"/>
      <c r="GE140" s="53"/>
      <c r="GF140" s="53"/>
      <c r="GG140" s="53"/>
      <c r="GH140" s="53"/>
      <c r="GI140" s="43"/>
      <c r="GJ140" s="53"/>
      <c r="GK140" s="53"/>
      <c r="GL140" s="53"/>
      <c r="GM140" s="53"/>
      <c r="GN140" s="53"/>
      <c r="GO140" s="43">
        <v>504</v>
      </c>
      <c r="GP140" s="43">
        <v>255</v>
      </c>
      <c r="GQ140" s="43">
        <v>556</v>
      </c>
      <c r="GR140" s="43">
        <v>207</v>
      </c>
    </row>
    <row r="141" spans="1:200">
      <c r="A141" s="5">
        <v>2311</v>
      </c>
      <c r="B141" s="1" t="s">
        <v>269</v>
      </c>
      <c r="C141" s="33">
        <v>1185</v>
      </c>
      <c r="D141" s="34">
        <v>916</v>
      </c>
      <c r="E141" s="19">
        <f t="shared" si="2"/>
        <v>0.77299578059071727</v>
      </c>
      <c r="F141" s="62">
        <v>737</v>
      </c>
      <c r="G141" s="43">
        <v>1</v>
      </c>
      <c r="H141" s="43">
        <v>11</v>
      </c>
      <c r="I141" s="43">
        <v>11</v>
      </c>
      <c r="J141" s="55">
        <v>149</v>
      </c>
      <c r="K141" s="6">
        <v>0</v>
      </c>
      <c r="L141" s="6">
        <v>0</v>
      </c>
      <c r="M141" s="43">
        <v>0</v>
      </c>
      <c r="N141" s="25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4">
        <v>0</v>
      </c>
      <c r="AB141" s="44">
        <v>0</v>
      </c>
      <c r="AC141" s="44">
        <v>10</v>
      </c>
      <c r="AD141" s="44">
        <v>14</v>
      </c>
      <c r="AE141" s="44">
        <v>208</v>
      </c>
      <c r="AF141" s="44">
        <v>6</v>
      </c>
      <c r="AG141" s="44">
        <v>0</v>
      </c>
      <c r="AH141" s="44">
        <v>650</v>
      </c>
      <c r="AI141" s="44">
        <v>191</v>
      </c>
      <c r="AJ141" s="44">
        <v>1</v>
      </c>
      <c r="AK141" s="44">
        <v>0</v>
      </c>
      <c r="AL141" s="44">
        <v>698</v>
      </c>
      <c r="AM141" s="48"/>
      <c r="AN141" s="48"/>
      <c r="AO141" s="48"/>
      <c r="AP141" s="44"/>
      <c r="AQ141" s="44"/>
      <c r="AR141" s="51"/>
      <c r="AS141" s="51"/>
      <c r="AT141" s="51"/>
      <c r="AU141" s="51"/>
      <c r="AV141" s="51"/>
      <c r="AW141" s="50"/>
      <c r="AX141" s="50"/>
      <c r="AY141" s="50"/>
      <c r="AZ141" s="50"/>
      <c r="BA141" s="43">
        <v>714</v>
      </c>
      <c r="BB141" s="43">
        <v>154</v>
      </c>
      <c r="BC141" s="50"/>
      <c r="BD141" s="50"/>
      <c r="BE141" s="43">
        <v>121</v>
      </c>
      <c r="BF141" s="43">
        <v>763</v>
      </c>
      <c r="BG141" s="43">
        <v>181</v>
      </c>
      <c r="BH141" s="43">
        <v>701</v>
      </c>
      <c r="BI141" s="43">
        <v>215</v>
      </c>
      <c r="BJ141" s="43">
        <v>660</v>
      </c>
      <c r="BK141" s="43">
        <v>682</v>
      </c>
      <c r="BL141" s="43">
        <v>192</v>
      </c>
      <c r="BM141" s="43">
        <v>129</v>
      </c>
      <c r="BN141" s="43">
        <v>737</v>
      </c>
      <c r="BO141" s="43">
        <v>688</v>
      </c>
      <c r="BP141" s="43">
        <v>183</v>
      </c>
      <c r="BQ141" s="43">
        <v>210</v>
      </c>
      <c r="BR141" s="43">
        <v>653</v>
      </c>
      <c r="BS141" s="43">
        <v>359</v>
      </c>
      <c r="BT141" s="43">
        <v>106</v>
      </c>
      <c r="BU141" s="43">
        <v>767</v>
      </c>
      <c r="BV141" s="43">
        <v>454</v>
      </c>
      <c r="BW141" s="43">
        <v>271</v>
      </c>
      <c r="BX141" s="43">
        <v>450</v>
      </c>
      <c r="BY141" s="43">
        <v>259</v>
      </c>
      <c r="BZ141" s="43">
        <v>518</v>
      </c>
      <c r="CA141" s="43">
        <v>399</v>
      </c>
      <c r="CB141" s="43">
        <v>163</v>
      </c>
      <c r="CC141" s="43">
        <v>572</v>
      </c>
      <c r="CD141" s="43">
        <v>535</v>
      </c>
      <c r="CE141" s="43">
        <v>532</v>
      </c>
      <c r="CF141" s="43">
        <v>210</v>
      </c>
      <c r="CG141" s="43">
        <v>212</v>
      </c>
      <c r="CH141" s="43">
        <v>473</v>
      </c>
      <c r="CI141" s="43">
        <v>411</v>
      </c>
      <c r="CJ141" s="43">
        <v>301</v>
      </c>
      <c r="CK141" s="43">
        <v>258</v>
      </c>
      <c r="CL141" s="43">
        <v>464</v>
      </c>
      <c r="CM141" s="43">
        <v>369</v>
      </c>
      <c r="CN141" s="43">
        <v>424</v>
      </c>
      <c r="CO141" s="43">
        <v>433</v>
      </c>
      <c r="CP141" s="43">
        <v>296</v>
      </c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43">
        <v>609</v>
      </c>
      <c r="FZ141" s="43">
        <v>267</v>
      </c>
      <c r="GA141" s="53"/>
      <c r="GB141" s="53"/>
      <c r="GC141" s="53"/>
      <c r="GD141" s="53"/>
      <c r="GE141" s="53"/>
      <c r="GF141" s="53"/>
      <c r="GG141" s="53"/>
      <c r="GH141" s="53"/>
      <c r="GI141" s="43"/>
      <c r="GJ141" s="53"/>
      <c r="GK141" s="53"/>
      <c r="GL141" s="53"/>
      <c r="GM141" s="53"/>
      <c r="GN141" s="53"/>
      <c r="GO141" s="43">
        <v>643</v>
      </c>
      <c r="GP141" s="43">
        <v>216</v>
      </c>
      <c r="GQ141" s="43">
        <v>715</v>
      </c>
      <c r="GR141" s="43">
        <v>152</v>
      </c>
    </row>
    <row r="142" spans="1:200">
      <c r="A142" s="5">
        <v>2312</v>
      </c>
      <c r="B142" s="1" t="s">
        <v>270</v>
      </c>
      <c r="C142" s="33">
        <v>599</v>
      </c>
      <c r="D142" s="34">
        <v>350</v>
      </c>
      <c r="E142" s="19">
        <f t="shared" si="2"/>
        <v>0.58430717863105175</v>
      </c>
      <c r="F142" s="62">
        <v>260</v>
      </c>
      <c r="G142" s="43">
        <v>0</v>
      </c>
      <c r="H142" s="43">
        <v>8</v>
      </c>
      <c r="I142" s="43">
        <v>6</v>
      </c>
      <c r="J142" s="55">
        <v>73</v>
      </c>
      <c r="K142" s="6">
        <v>0</v>
      </c>
      <c r="L142" s="6">
        <v>0</v>
      </c>
      <c r="M142" s="43">
        <v>0</v>
      </c>
      <c r="N142" s="25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4">
        <v>0</v>
      </c>
      <c r="AB142" s="44">
        <v>0</v>
      </c>
      <c r="AC142" s="44">
        <v>8</v>
      </c>
      <c r="AD142" s="44">
        <v>12</v>
      </c>
      <c r="AE142" s="44">
        <v>105</v>
      </c>
      <c r="AF142" s="44">
        <v>6</v>
      </c>
      <c r="AG142" s="44">
        <v>0</v>
      </c>
      <c r="AH142" s="44">
        <v>209</v>
      </c>
      <c r="AI142" s="44">
        <v>105</v>
      </c>
      <c r="AJ142" s="44">
        <v>0</v>
      </c>
      <c r="AK142" s="44">
        <v>0</v>
      </c>
      <c r="AL142" s="44">
        <v>234</v>
      </c>
      <c r="AM142" s="48"/>
      <c r="AN142" s="48"/>
      <c r="AO142" s="48"/>
      <c r="AP142" s="44"/>
      <c r="AQ142" s="44"/>
      <c r="AR142" s="51"/>
      <c r="AS142" s="51"/>
      <c r="AT142" s="51"/>
      <c r="AU142" s="51"/>
      <c r="AV142" s="51"/>
      <c r="AW142" s="50"/>
      <c r="AX142" s="50"/>
      <c r="AY142" s="50"/>
      <c r="AZ142" s="50"/>
      <c r="BA142" s="43">
        <v>252</v>
      </c>
      <c r="BB142" s="43">
        <v>79</v>
      </c>
      <c r="BC142" s="50"/>
      <c r="BD142" s="50"/>
      <c r="BE142" s="43">
        <v>67</v>
      </c>
      <c r="BF142" s="43">
        <v>272</v>
      </c>
      <c r="BG142" s="43">
        <v>90</v>
      </c>
      <c r="BH142" s="43">
        <v>243</v>
      </c>
      <c r="BI142" s="43">
        <v>103</v>
      </c>
      <c r="BJ142" s="43">
        <v>232</v>
      </c>
      <c r="BK142" s="43">
        <v>236</v>
      </c>
      <c r="BL142" s="43">
        <v>93</v>
      </c>
      <c r="BM142" s="43">
        <v>64</v>
      </c>
      <c r="BN142" s="43">
        <v>269</v>
      </c>
      <c r="BO142" s="43">
        <v>235</v>
      </c>
      <c r="BP142" s="43">
        <v>92</v>
      </c>
      <c r="BQ142" s="43">
        <v>94</v>
      </c>
      <c r="BR142" s="43">
        <v>233</v>
      </c>
      <c r="BS142" s="43">
        <v>156</v>
      </c>
      <c r="BT142" s="43">
        <v>65</v>
      </c>
      <c r="BU142" s="43">
        <v>265</v>
      </c>
      <c r="BV142" s="43">
        <v>185</v>
      </c>
      <c r="BW142" s="43">
        <v>116</v>
      </c>
      <c r="BX142" s="43">
        <v>163</v>
      </c>
      <c r="BY142" s="43">
        <v>121</v>
      </c>
      <c r="BZ142" s="43">
        <v>172</v>
      </c>
      <c r="CA142" s="43">
        <v>177</v>
      </c>
      <c r="CB142" s="43">
        <v>99</v>
      </c>
      <c r="CC142" s="43">
        <v>184</v>
      </c>
      <c r="CD142" s="43">
        <v>201</v>
      </c>
      <c r="CE142" s="43">
        <v>183</v>
      </c>
      <c r="CF142" s="43">
        <v>100</v>
      </c>
      <c r="CG142" s="43">
        <v>111</v>
      </c>
      <c r="CH142" s="43">
        <v>155</v>
      </c>
      <c r="CI142" s="43">
        <v>153</v>
      </c>
      <c r="CJ142" s="43">
        <v>129</v>
      </c>
      <c r="CK142" s="43">
        <v>142</v>
      </c>
      <c r="CL142" s="43">
        <v>145</v>
      </c>
      <c r="CM142" s="43">
        <v>171</v>
      </c>
      <c r="CN142" s="43">
        <v>188</v>
      </c>
      <c r="CO142" s="43">
        <v>153</v>
      </c>
      <c r="CP142" s="43">
        <v>140</v>
      </c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43">
        <v>209</v>
      </c>
      <c r="FZ142" s="43">
        <v>129</v>
      </c>
      <c r="GA142" s="53"/>
      <c r="GB142" s="53"/>
      <c r="GC142" s="53"/>
      <c r="GD142" s="53"/>
      <c r="GE142" s="53"/>
      <c r="GF142" s="53"/>
      <c r="GG142" s="53"/>
      <c r="GH142" s="53"/>
      <c r="GI142" s="43"/>
      <c r="GJ142" s="53"/>
      <c r="GK142" s="53"/>
      <c r="GL142" s="53"/>
      <c r="GM142" s="53"/>
      <c r="GN142" s="53"/>
      <c r="GO142" s="43">
        <v>226</v>
      </c>
      <c r="GP142" s="43">
        <v>106</v>
      </c>
      <c r="GQ142" s="43">
        <v>248</v>
      </c>
      <c r="GR142" s="43">
        <v>86</v>
      </c>
    </row>
    <row r="143" spans="1:200">
      <c r="A143" s="5">
        <v>2313</v>
      </c>
      <c r="B143" s="1" t="s">
        <v>271</v>
      </c>
      <c r="C143" s="33">
        <v>1022</v>
      </c>
      <c r="D143" s="34">
        <v>698</v>
      </c>
      <c r="E143" s="19">
        <f t="shared" si="2"/>
        <v>0.68297455968688847</v>
      </c>
      <c r="F143" s="62">
        <v>567</v>
      </c>
      <c r="G143" s="43">
        <v>1</v>
      </c>
      <c r="H143" s="43">
        <v>7</v>
      </c>
      <c r="I143" s="43">
        <v>5</v>
      </c>
      <c r="J143" s="55">
        <v>102</v>
      </c>
      <c r="K143" s="6">
        <v>0</v>
      </c>
      <c r="L143" s="6">
        <v>0</v>
      </c>
      <c r="M143" s="43">
        <v>0</v>
      </c>
      <c r="N143" s="25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4">
        <v>0</v>
      </c>
      <c r="AB143" s="44">
        <v>0</v>
      </c>
      <c r="AC143" s="44">
        <v>10</v>
      </c>
      <c r="AD143" s="44">
        <v>12</v>
      </c>
      <c r="AE143" s="44">
        <v>167</v>
      </c>
      <c r="AF143" s="44">
        <v>6</v>
      </c>
      <c r="AG143" s="44">
        <v>0</v>
      </c>
      <c r="AH143" s="44">
        <v>482</v>
      </c>
      <c r="AI143" s="44">
        <v>166</v>
      </c>
      <c r="AJ143" s="44">
        <v>2</v>
      </c>
      <c r="AK143" s="44">
        <v>0</v>
      </c>
      <c r="AL143" s="44">
        <v>501</v>
      </c>
      <c r="AM143" s="48"/>
      <c r="AN143" s="48"/>
      <c r="AO143" s="48"/>
      <c r="AP143" s="44"/>
      <c r="AQ143" s="44"/>
      <c r="AR143" s="51"/>
      <c r="AS143" s="51"/>
      <c r="AT143" s="51"/>
      <c r="AU143" s="51"/>
      <c r="AV143" s="51"/>
      <c r="AW143" s="50"/>
      <c r="AX143" s="50"/>
      <c r="AY143" s="50"/>
      <c r="AZ143" s="50"/>
      <c r="BA143" s="43">
        <v>524</v>
      </c>
      <c r="BB143" s="43">
        <v>115</v>
      </c>
      <c r="BC143" s="50"/>
      <c r="BD143" s="50"/>
      <c r="BE143" s="43">
        <v>87</v>
      </c>
      <c r="BF143" s="43">
        <v>577</v>
      </c>
      <c r="BG143" s="43">
        <v>129</v>
      </c>
      <c r="BH143" s="43">
        <v>528</v>
      </c>
      <c r="BI143" s="43">
        <v>182</v>
      </c>
      <c r="BJ143" s="43">
        <v>481</v>
      </c>
      <c r="BK143" s="43">
        <v>512</v>
      </c>
      <c r="BL143" s="43">
        <v>146</v>
      </c>
      <c r="BM143" s="43">
        <v>97</v>
      </c>
      <c r="BN143" s="43">
        <v>551</v>
      </c>
      <c r="BO143" s="43">
        <v>508</v>
      </c>
      <c r="BP143" s="43">
        <v>138</v>
      </c>
      <c r="BQ143" s="43">
        <v>146</v>
      </c>
      <c r="BR143" s="43">
        <v>500</v>
      </c>
      <c r="BS143" s="43">
        <v>270</v>
      </c>
      <c r="BT143" s="43">
        <v>91</v>
      </c>
      <c r="BU143" s="43">
        <v>565</v>
      </c>
      <c r="BV143" s="43">
        <v>353</v>
      </c>
      <c r="BW143" s="43">
        <v>200</v>
      </c>
      <c r="BX143" s="43">
        <v>319</v>
      </c>
      <c r="BY143" s="43">
        <v>206</v>
      </c>
      <c r="BZ143" s="43">
        <v>368</v>
      </c>
      <c r="CA143" s="43">
        <v>298</v>
      </c>
      <c r="CB143" s="43">
        <v>128</v>
      </c>
      <c r="CC143" s="43">
        <v>382</v>
      </c>
      <c r="CD143" s="43">
        <v>385</v>
      </c>
      <c r="CE143" s="43">
        <v>374</v>
      </c>
      <c r="CF143" s="43">
        <v>156</v>
      </c>
      <c r="CG143" s="43">
        <v>156</v>
      </c>
      <c r="CH143" s="43">
        <v>331</v>
      </c>
      <c r="CI143" s="43">
        <v>295</v>
      </c>
      <c r="CJ143" s="43">
        <v>221</v>
      </c>
      <c r="CK143" s="43">
        <v>220</v>
      </c>
      <c r="CL143" s="43">
        <v>309</v>
      </c>
      <c r="CM143" s="43">
        <v>290</v>
      </c>
      <c r="CN143" s="43">
        <v>337</v>
      </c>
      <c r="CO143" s="43">
        <v>297</v>
      </c>
      <c r="CP143" s="43">
        <v>232</v>
      </c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43">
        <v>466</v>
      </c>
      <c r="FZ143" s="43">
        <v>174</v>
      </c>
      <c r="GA143" s="53"/>
      <c r="GB143" s="53"/>
      <c r="GC143" s="53"/>
      <c r="GD143" s="53"/>
      <c r="GE143" s="53"/>
      <c r="GF143" s="53"/>
      <c r="GG143" s="53"/>
      <c r="GH143" s="53"/>
      <c r="GI143" s="43"/>
      <c r="GJ143" s="53"/>
      <c r="GK143" s="53"/>
      <c r="GL143" s="53"/>
      <c r="GM143" s="53"/>
      <c r="GN143" s="53"/>
      <c r="GO143" s="43">
        <v>486</v>
      </c>
      <c r="GP143" s="43">
        <v>152</v>
      </c>
      <c r="GQ143" s="43">
        <v>535</v>
      </c>
      <c r="GR143" s="43">
        <v>118</v>
      </c>
    </row>
    <row r="144" spans="1:200">
      <c r="A144" s="5">
        <v>2314</v>
      </c>
      <c r="B144" s="1" t="s">
        <v>272</v>
      </c>
      <c r="C144" s="33">
        <v>1207</v>
      </c>
      <c r="D144" s="34">
        <v>885</v>
      </c>
      <c r="E144" s="19">
        <f t="shared" si="2"/>
        <v>0.73322286661143332</v>
      </c>
      <c r="F144" s="62">
        <v>662</v>
      </c>
      <c r="G144" s="43">
        <v>0</v>
      </c>
      <c r="H144" s="43">
        <v>27</v>
      </c>
      <c r="I144" s="43">
        <v>10</v>
      </c>
      <c r="J144" s="55">
        <v>168</v>
      </c>
      <c r="K144" s="6">
        <v>0</v>
      </c>
      <c r="L144" s="6">
        <v>0</v>
      </c>
      <c r="M144" s="43">
        <v>0</v>
      </c>
      <c r="N144" s="25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3</v>
      </c>
      <c r="X144" s="43">
        <v>0</v>
      </c>
      <c r="Y144" s="43">
        <v>0</v>
      </c>
      <c r="Z144" s="43">
        <v>0</v>
      </c>
      <c r="AA144" s="44">
        <v>0</v>
      </c>
      <c r="AB144" s="44">
        <v>0</v>
      </c>
      <c r="AC144" s="44">
        <v>11</v>
      </c>
      <c r="AD144" s="44">
        <v>10</v>
      </c>
      <c r="AE144" s="44">
        <v>271</v>
      </c>
      <c r="AF144" s="44">
        <v>8</v>
      </c>
      <c r="AG144" s="44">
        <v>0</v>
      </c>
      <c r="AH144" s="44">
        <v>556</v>
      </c>
      <c r="AI144" s="44">
        <v>255</v>
      </c>
      <c r="AJ144" s="44">
        <v>0</v>
      </c>
      <c r="AK144" s="44">
        <v>1</v>
      </c>
      <c r="AL144" s="44">
        <v>602</v>
      </c>
      <c r="AM144" s="48"/>
      <c r="AN144" s="48"/>
      <c r="AO144" s="48"/>
      <c r="AP144" s="44"/>
      <c r="AQ144" s="44"/>
      <c r="AR144" s="51"/>
      <c r="AS144" s="51"/>
      <c r="AT144" s="51"/>
      <c r="AU144" s="51"/>
      <c r="AV144" s="51"/>
      <c r="AW144" s="50"/>
      <c r="AX144" s="50"/>
      <c r="AY144" s="50"/>
      <c r="AZ144" s="50"/>
      <c r="BA144" s="43">
        <v>625</v>
      </c>
      <c r="BB144" s="43">
        <v>201</v>
      </c>
      <c r="BC144" s="50"/>
      <c r="BD144" s="50"/>
      <c r="BE144" s="43">
        <v>175</v>
      </c>
      <c r="BF144" s="43">
        <v>674</v>
      </c>
      <c r="BG144" s="43">
        <v>242</v>
      </c>
      <c r="BH144" s="43">
        <v>609</v>
      </c>
      <c r="BI144" s="43">
        <v>280</v>
      </c>
      <c r="BJ144" s="43">
        <v>560</v>
      </c>
      <c r="BK144" s="43">
        <v>617</v>
      </c>
      <c r="BL144" s="43">
        <v>228</v>
      </c>
      <c r="BM144" s="43">
        <v>177</v>
      </c>
      <c r="BN144" s="43">
        <v>660</v>
      </c>
      <c r="BO144" s="43">
        <v>589</v>
      </c>
      <c r="BP144" s="43">
        <v>235</v>
      </c>
      <c r="BQ144" s="43">
        <v>262</v>
      </c>
      <c r="BR144" s="43">
        <v>564</v>
      </c>
      <c r="BS144" s="43">
        <v>371</v>
      </c>
      <c r="BT144" s="43">
        <v>145</v>
      </c>
      <c r="BU144" s="43">
        <v>684</v>
      </c>
      <c r="BV144" s="43">
        <v>446</v>
      </c>
      <c r="BW144" s="43">
        <v>261</v>
      </c>
      <c r="BX144" s="43">
        <v>435</v>
      </c>
      <c r="BY144" s="43">
        <v>286</v>
      </c>
      <c r="BZ144" s="43">
        <v>473</v>
      </c>
      <c r="CA144" s="43">
        <v>401</v>
      </c>
      <c r="CB144" s="43">
        <v>175</v>
      </c>
      <c r="CC144" s="43">
        <v>529</v>
      </c>
      <c r="CD144" s="43">
        <v>512</v>
      </c>
      <c r="CE144" s="43">
        <v>464</v>
      </c>
      <c r="CF144" s="43">
        <v>244</v>
      </c>
      <c r="CG144" s="43">
        <v>224</v>
      </c>
      <c r="CH144" s="43">
        <v>463</v>
      </c>
      <c r="CI144" s="43">
        <v>399</v>
      </c>
      <c r="CJ144" s="43">
        <v>301</v>
      </c>
      <c r="CK144" s="43">
        <v>287</v>
      </c>
      <c r="CL144" s="43">
        <v>426</v>
      </c>
      <c r="CM144" s="43">
        <v>377</v>
      </c>
      <c r="CN144" s="43">
        <v>404</v>
      </c>
      <c r="CO144" s="43">
        <v>435</v>
      </c>
      <c r="CP144" s="43">
        <v>286</v>
      </c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43">
        <v>539</v>
      </c>
      <c r="FZ144" s="43">
        <v>313</v>
      </c>
      <c r="GA144" s="53"/>
      <c r="GB144" s="53"/>
      <c r="GC144" s="53"/>
      <c r="GD144" s="53"/>
      <c r="GE144" s="53"/>
      <c r="GF144" s="53"/>
      <c r="GG144" s="53"/>
      <c r="GH144" s="53"/>
      <c r="GI144" s="43"/>
      <c r="GJ144" s="53"/>
      <c r="GK144" s="53"/>
      <c r="GL144" s="53"/>
      <c r="GM144" s="53"/>
      <c r="GN144" s="53"/>
      <c r="GO144" s="43">
        <v>597</v>
      </c>
      <c r="GP144" s="43">
        <v>235</v>
      </c>
      <c r="GQ144" s="43">
        <v>668</v>
      </c>
      <c r="GR144" s="43">
        <v>176</v>
      </c>
    </row>
    <row r="145" spans="1:200">
      <c r="A145" s="5">
        <v>2315</v>
      </c>
      <c r="B145" s="1" t="s">
        <v>273</v>
      </c>
      <c r="C145" s="33">
        <v>1059</v>
      </c>
      <c r="D145" s="34">
        <v>847</v>
      </c>
      <c r="E145" s="19">
        <f t="shared" si="2"/>
        <v>0.79981114258734654</v>
      </c>
      <c r="F145" s="62">
        <v>655</v>
      </c>
      <c r="G145" s="43">
        <v>0</v>
      </c>
      <c r="H145" s="43">
        <v>16</v>
      </c>
      <c r="I145" s="43">
        <v>4</v>
      </c>
      <c r="J145" s="55">
        <v>161</v>
      </c>
      <c r="K145" s="6">
        <v>0</v>
      </c>
      <c r="L145" s="6">
        <v>0</v>
      </c>
      <c r="M145" s="43">
        <v>0</v>
      </c>
      <c r="N145" s="25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  <c r="V145" s="43">
        <v>0</v>
      </c>
      <c r="W145" s="43">
        <v>0</v>
      </c>
      <c r="X145" s="43">
        <v>0</v>
      </c>
      <c r="Y145" s="43">
        <v>0</v>
      </c>
      <c r="Z145" s="43">
        <v>0</v>
      </c>
      <c r="AA145" s="44">
        <v>0</v>
      </c>
      <c r="AB145" s="44">
        <v>0</v>
      </c>
      <c r="AC145" s="44">
        <v>5</v>
      </c>
      <c r="AD145" s="44">
        <v>15</v>
      </c>
      <c r="AE145" s="44">
        <v>210</v>
      </c>
      <c r="AF145" s="44">
        <v>6</v>
      </c>
      <c r="AG145" s="44">
        <v>0</v>
      </c>
      <c r="AH145" s="44">
        <v>592</v>
      </c>
      <c r="AI145" s="44">
        <v>225</v>
      </c>
      <c r="AJ145" s="44">
        <v>0</v>
      </c>
      <c r="AK145" s="44">
        <v>0</v>
      </c>
      <c r="AL145" s="44">
        <v>601</v>
      </c>
      <c r="AM145" s="48"/>
      <c r="AN145" s="48"/>
      <c r="AO145" s="48"/>
      <c r="AP145" s="44"/>
      <c r="AQ145" s="44"/>
      <c r="AR145" s="51"/>
      <c r="AS145" s="51"/>
      <c r="AT145" s="51"/>
      <c r="AU145" s="51"/>
      <c r="AV145" s="51"/>
      <c r="AW145" s="50"/>
      <c r="AX145" s="50"/>
      <c r="AY145" s="50"/>
      <c r="AZ145" s="50"/>
      <c r="BA145" s="43">
        <v>632</v>
      </c>
      <c r="BB145" s="43">
        <v>175</v>
      </c>
      <c r="BC145" s="50"/>
      <c r="BD145" s="50"/>
      <c r="BE145" s="43">
        <v>153</v>
      </c>
      <c r="BF145" s="43">
        <v>661</v>
      </c>
      <c r="BG145" s="43">
        <v>190</v>
      </c>
      <c r="BH145" s="43">
        <v>623</v>
      </c>
      <c r="BI145" s="43">
        <v>223</v>
      </c>
      <c r="BJ145" s="43">
        <v>589</v>
      </c>
      <c r="BK145" s="43">
        <v>606</v>
      </c>
      <c r="BL145" s="43">
        <v>200</v>
      </c>
      <c r="BM145" s="43">
        <v>154</v>
      </c>
      <c r="BN145" s="43">
        <v>655</v>
      </c>
      <c r="BO145" s="43">
        <v>611</v>
      </c>
      <c r="BP145" s="43">
        <v>194</v>
      </c>
      <c r="BQ145" s="43">
        <v>218</v>
      </c>
      <c r="BR145" s="43">
        <v>584</v>
      </c>
      <c r="BS145" s="43">
        <v>346</v>
      </c>
      <c r="BT145" s="43">
        <v>133</v>
      </c>
      <c r="BU145" s="43">
        <v>675</v>
      </c>
      <c r="BV145" s="43">
        <v>424</v>
      </c>
      <c r="BW145" s="43">
        <v>273</v>
      </c>
      <c r="BX145" s="43">
        <v>401</v>
      </c>
      <c r="BY145" s="43">
        <v>263</v>
      </c>
      <c r="BZ145" s="43">
        <v>474</v>
      </c>
      <c r="CA145" s="43">
        <v>370</v>
      </c>
      <c r="CB145" s="43">
        <v>184</v>
      </c>
      <c r="CC145" s="43">
        <v>500</v>
      </c>
      <c r="CD145" s="43">
        <v>470</v>
      </c>
      <c r="CE145" s="43">
        <v>464</v>
      </c>
      <c r="CF145" s="43">
        <v>224</v>
      </c>
      <c r="CG145" s="43">
        <v>229</v>
      </c>
      <c r="CH145" s="43">
        <v>422</v>
      </c>
      <c r="CI145" s="43">
        <v>410</v>
      </c>
      <c r="CJ145" s="43">
        <v>281</v>
      </c>
      <c r="CK145" s="43">
        <v>270</v>
      </c>
      <c r="CL145" s="43">
        <v>433</v>
      </c>
      <c r="CM145" s="43">
        <v>363</v>
      </c>
      <c r="CN145" s="43">
        <v>395</v>
      </c>
      <c r="CO145" s="43">
        <v>432</v>
      </c>
      <c r="CP145" s="43">
        <v>265</v>
      </c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43">
        <v>481</v>
      </c>
      <c r="FZ145" s="43">
        <v>337</v>
      </c>
      <c r="GA145" s="53"/>
      <c r="GB145" s="53"/>
      <c r="GC145" s="53"/>
      <c r="GD145" s="53"/>
      <c r="GE145" s="53"/>
      <c r="GF145" s="53"/>
      <c r="GG145" s="53"/>
      <c r="GH145" s="53"/>
      <c r="GI145" s="43"/>
      <c r="GJ145" s="53"/>
      <c r="GK145" s="53"/>
      <c r="GL145" s="53"/>
      <c r="GM145" s="53"/>
      <c r="GN145" s="53"/>
      <c r="GO145" s="43">
        <v>541</v>
      </c>
      <c r="GP145" s="43">
        <v>272</v>
      </c>
      <c r="GQ145" s="43">
        <v>613</v>
      </c>
      <c r="GR145" s="43">
        <v>206</v>
      </c>
    </row>
    <row r="146" spans="1:200">
      <c r="A146" s="5">
        <v>2316</v>
      </c>
      <c r="B146" s="1" t="s">
        <v>274</v>
      </c>
      <c r="C146" s="33">
        <v>1597</v>
      </c>
      <c r="D146" s="34">
        <v>1086</v>
      </c>
      <c r="E146" s="19">
        <f t="shared" si="2"/>
        <v>0.68002504696305577</v>
      </c>
      <c r="F146" s="62">
        <v>848</v>
      </c>
      <c r="G146" s="43">
        <v>6</v>
      </c>
      <c r="H146" s="43">
        <v>16</v>
      </c>
      <c r="I146" s="43">
        <v>5</v>
      </c>
      <c r="J146" s="55">
        <v>178</v>
      </c>
      <c r="K146" s="6">
        <v>0</v>
      </c>
      <c r="L146" s="6">
        <v>0</v>
      </c>
      <c r="M146" s="43">
        <v>2</v>
      </c>
      <c r="N146" s="25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  <c r="V146" s="43">
        <v>0</v>
      </c>
      <c r="W146" s="43">
        <v>2</v>
      </c>
      <c r="X146" s="43">
        <v>0</v>
      </c>
      <c r="Y146" s="43">
        <v>0</v>
      </c>
      <c r="Z146" s="43">
        <v>0</v>
      </c>
      <c r="AA146" s="44">
        <v>0</v>
      </c>
      <c r="AB146" s="44">
        <v>0</v>
      </c>
      <c r="AC146" s="44">
        <v>18</v>
      </c>
      <c r="AD146" s="44">
        <v>13</v>
      </c>
      <c r="AE146" s="44">
        <v>307</v>
      </c>
      <c r="AF146" s="44">
        <v>13</v>
      </c>
      <c r="AG146" s="44">
        <v>0</v>
      </c>
      <c r="AH146" s="44">
        <v>701</v>
      </c>
      <c r="AI146" s="44">
        <v>289</v>
      </c>
      <c r="AJ146" s="44">
        <v>0</v>
      </c>
      <c r="AK146" s="44">
        <v>0</v>
      </c>
      <c r="AL146" s="44">
        <v>759</v>
      </c>
      <c r="AM146" s="48"/>
      <c r="AN146" s="48"/>
      <c r="AO146" s="48"/>
      <c r="AP146" s="44"/>
      <c r="AQ146" s="44"/>
      <c r="AR146" s="51"/>
      <c r="AS146" s="51"/>
      <c r="AT146" s="51"/>
      <c r="AU146" s="51"/>
      <c r="AV146" s="51"/>
      <c r="AW146" s="50"/>
      <c r="AX146" s="50"/>
      <c r="AY146" s="50"/>
      <c r="AZ146" s="50"/>
      <c r="BA146" s="43">
        <v>797</v>
      </c>
      <c r="BB146" s="43">
        <v>216</v>
      </c>
      <c r="BC146" s="50"/>
      <c r="BD146" s="50"/>
      <c r="BE146" s="43">
        <v>163</v>
      </c>
      <c r="BF146" s="43">
        <v>862</v>
      </c>
      <c r="BG146" s="43">
        <v>257</v>
      </c>
      <c r="BH146" s="43">
        <v>766</v>
      </c>
      <c r="BI146" s="43">
        <v>304</v>
      </c>
      <c r="BJ146" s="43">
        <v>725</v>
      </c>
      <c r="BK146" s="43">
        <v>771</v>
      </c>
      <c r="BL146" s="43">
        <v>257</v>
      </c>
      <c r="BM146" s="43">
        <v>171</v>
      </c>
      <c r="BN146" s="43">
        <v>842</v>
      </c>
      <c r="BO146" s="43">
        <v>769</v>
      </c>
      <c r="BP146" s="43">
        <v>230</v>
      </c>
      <c r="BQ146" s="43">
        <v>270</v>
      </c>
      <c r="BR146" s="43">
        <v>734</v>
      </c>
      <c r="BS146" s="43">
        <v>454</v>
      </c>
      <c r="BT146" s="43">
        <v>152</v>
      </c>
      <c r="BU146" s="43">
        <v>855</v>
      </c>
      <c r="BV146" s="43">
        <v>568</v>
      </c>
      <c r="BW146" s="43">
        <v>331</v>
      </c>
      <c r="BX146" s="43">
        <v>502</v>
      </c>
      <c r="BY146" s="43">
        <v>358</v>
      </c>
      <c r="BZ146" s="43">
        <v>565</v>
      </c>
      <c r="CA146" s="43">
        <v>501</v>
      </c>
      <c r="CB146" s="43">
        <v>259</v>
      </c>
      <c r="CC146" s="43">
        <v>596</v>
      </c>
      <c r="CD146" s="43">
        <v>634</v>
      </c>
      <c r="CE146" s="43">
        <v>578</v>
      </c>
      <c r="CF146" s="43">
        <v>294</v>
      </c>
      <c r="CG146" s="43">
        <v>286</v>
      </c>
      <c r="CH146" s="43">
        <v>519</v>
      </c>
      <c r="CI146" s="43">
        <v>457</v>
      </c>
      <c r="CJ146" s="43">
        <v>383</v>
      </c>
      <c r="CK146" s="43">
        <v>357</v>
      </c>
      <c r="CL146" s="43">
        <v>502</v>
      </c>
      <c r="CM146" s="43">
        <v>495</v>
      </c>
      <c r="CN146" s="43">
        <v>512</v>
      </c>
      <c r="CO146" s="43">
        <v>492</v>
      </c>
      <c r="CP146" s="43">
        <v>388</v>
      </c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43">
        <v>633</v>
      </c>
      <c r="FZ146" s="43">
        <v>390</v>
      </c>
      <c r="GA146" s="53"/>
      <c r="GB146" s="53"/>
      <c r="GC146" s="53"/>
      <c r="GD146" s="53"/>
      <c r="GE146" s="53"/>
      <c r="GF146" s="53"/>
      <c r="GG146" s="53"/>
      <c r="GH146" s="53"/>
      <c r="GI146" s="43"/>
      <c r="GJ146" s="53"/>
      <c r="GK146" s="53"/>
      <c r="GL146" s="53"/>
      <c r="GM146" s="53"/>
      <c r="GN146" s="53"/>
      <c r="GO146" s="43">
        <v>672</v>
      </c>
      <c r="GP146" s="43">
        <v>335</v>
      </c>
      <c r="GQ146" s="43">
        <v>757</v>
      </c>
      <c r="GR146" s="43">
        <v>255</v>
      </c>
    </row>
    <row r="147" spans="1:200">
      <c r="A147" s="5">
        <v>2317</v>
      </c>
      <c r="B147" s="1" t="s">
        <v>275</v>
      </c>
      <c r="C147" s="33">
        <v>869</v>
      </c>
      <c r="D147" s="34">
        <v>591</v>
      </c>
      <c r="E147" s="19">
        <f t="shared" si="2"/>
        <v>0.68009205983889531</v>
      </c>
      <c r="F147" s="62">
        <v>389</v>
      </c>
      <c r="G147" s="43">
        <v>1</v>
      </c>
      <c r="H147" s="43">
        <v>11</v>
      </c>
      <c r="I147" s="43">
        <v>4</v>
      </c>
      <c r="J147" s="55">
        <v>175</v>
      </c>
      <c r="K147" s="6">
        <v>0</v>
      </c>
      <c r="L147" s="6">
        <v>0</v>
      </c>
      <c r="M147" s="43">
        <v>0</v>
      </c>
      <c r="N147" s="25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>
        <v>0</v>
      </c>
      <c r="AA147" s="44">
        <v>0</v>
      </c>
      <c r="AB147" s="44">
        <v>0</v>
      </c>
      <c r="AC147" s="44">
        <v>5</v>
      </c>
      <c r="AD147" s="44">
        <v>6</v>
      </c>
      <c r="AE147" s="44">
        <v>226</v>
      </c>
      <c r="AF147" s="44">
        <v>7</v>
      </c>
      <c r="AG147" s="44">
        <v>0</v>
      </c>
      <c r="AH147" s="44">
        <v>314</v>
      </c>
      <c r="AI147" s="44">
        <v>230</v>
      </c>
      <c r="AJ147" s="44">
        <v>0</v>
      </c>
      <c r="AK147" s="44">
        <v>0</v>
      </c>
      <c r="AL147" s="44">
        <v>327</v>
      </c>
      <c r="AM147" s="48"/>
      <c r="AN147" s="48"/>
      <c r="AO147" s="48"/>
      <c r="AP147" s="44"/>
      <c r="AQ147" s="44"/>
      <c r="AR147" s="51"/>
      <c r="AS147" s="51"/>
      <c r="AT147" s="51"/>
      <c r="AU147" s="51"/>
      <c r="AV147" s="51"/>
      <c r="AW147" s="50"/>
      <c r="AX147" s="50"/>
      <c r="AY147" s="50"/>
      <c r="AZ147" s="50"/>
      <c r="BA147" s="43">
        <v>333</v>
      </c>
      <c r="BB147" s="43">
        <v>188</v>
      </c>
      <c r="BC147" s="50"/>
      <c r="BD147" s="50"/>
      <c r="BE147" s="43">
        <v>145</v>
      </c>
      <c r="BF147" s="43">
        <v>401</v>
      </c>
      <c r="BG147" s="43">
        <v>197</v>
      </c>
      <c r="BH147" s="43">
        <v>351</v>
      </c>
      <c r="BI147" s="43">
        <v>233</v>
      </c>
      <c r="BJ147" s="43">
        <v>307</v>
      </c>
      <c r="BK147" s="43">
        <v>326</v>
      </c>
      <c r="BL147" s="43">
        <v>212</v>
      </c>
      <c r="BM147" s="43">
        <v>168</v>
      </c>
      <c r="BN147" s="43">
        <v>367</v>
      </c>
      <c r="BO147" s="43">
        <v>331</v>
      </c>
      <c r="BP147" s="43">
        <v>200</v>
      </c>
      <c r="BQ147" s="43">
        <v>242</v>
      </c>
      <c r="BR147" s="43">
        <v>291</v>
      </c>
      <c r="BS147" s="43">
        <v>294</v>
      </c>
      <c r="BT147" s="43">
        <v>163</v>
      </c>
      <c r="BU147" s="43">
        <v>373</v>
      </c>
      <c r="BV147" s="43">
        <v>362</v>
      </c>
      <c r="BW147" s="43">
        <v>210</v>
      </c>
      <c r="BX147" s="43">
        <v>236</v>
      </c>
      <c r="BY147" s="43">
        <v>259</v>
      </c>
      <c r="BZ147" s="43">
        <v>229</v>
      </c>
      <c r="CA147" s="43">
        <v>318</v>
      </c>
      <c r="CB147" s="43">
        <v>180</v>
      </c>
      <c r="CC147" s="43">
        <v>251</v>
      </c>
      <c r="CD147" s="43">
        <v>335</v>
      </c>
      <c r="CE147" s="43">
        <v>227</v>
      </c>
      <c r="CF147" s="43">
        <v>233</v>
      </c>
      <c r="CG147" s="43">
        <v>206</v>
      </c>
      <c r="CH147" s="43">
        <v>222</v>
      </c>
      <c r="CI147" s="43">
        <v>172</v>
      </c>
      <c r="CJ147" s="43">
        <v>253</v>
      </c>
      <c r="CK147" s="43">
        <v>195</v>
      </c>
      <c r="CL147" s="43">
        <v>234</v>
      </c>
      <c r="CM147" s="43">
        <v>313</v>
      </c>
      <c r="CN147" s="43">
        <v>322</v>
      </c>
      <c r="CO147" s="43">
        <v>204</v>
      </c>
      <c r="CP147" s="43">
        <v>242</v>
      </c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43">
        <v>368</v>
      </c>
      <c r="FZ147" s="43">
        <v>186</v>
      </c>
      <c r="GA147" s="53"/>
      <c r="GB147" s="53"/>
      <c r="GC147" s="53"/>
      <c r="GD147" s="53"/>
      <c r="GE147" s="53"/>
      <c r="GF147" s="53"/>
      <c r="GG147" s="53"/>
      <c r="GH147" s="53"/>
      <c r="GI147" s="43"/>
      <c r="GJ147" s="53"/>
      <c r="GK147" s="53"/>
      <c r="GL147" s="53"/>
      <c r="GM147" s="53"/>
      <c r="GN147" s="53"/>
      <c r="GO147" s="43">
        <v>409</v>
      </c>
      <c r="GP147" s="43">
        <v>136</v>
      </c>
      <c r="GQ147" s="43">
        <v>437</v>
      </c>
      <c r="GR147" s="43">
        <v>103</v>
      </c>
    </row>
    <row r="148" spans="1:200">
      <c r="A148" s="5">
        <v>2318</v>
      </c>
      <c r="B148" s="1" t="s">
        <v>276</v>
      </c>
      <c r="C148" s="33">
        <v>606</v>
      </c>
      <c r="D148" s="34">
        <v>389</v>
      </c>
      <c r="E148" s="19">
        <f t="shared" si="2"/>
        <v>0.64191419141914197</v>
      </c>
      <c r="F148" s="62">
        <v>313</v>
      </c>
      <c r="G148" s="43">
        <v>1</v>
      </c>
      <c r="H148" s="43">
        <v>4</v>
      </c>
      <c r="I148" s="43">
        <v>1</v>
      </c>
      <c r="J148" s="55">
        <v>69</v>
      </c>
      <c r="K148" s="6">
        <v>0</v>
      </c>
      <c r="L148" s="6">
        <v>0</v>
      </c>
      <c r="M148" s="43">
        <v>0</v>
      </c>
      <c r="N148" s="25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  <c r="V148" s="43">
        <v>0</v>
      </c>
      <c r="W148" s="43">
        <v>0</v>
      </c>
      <c r="X148" s="43">
        <v>0</v>
      </c>
      <c r="Y148" s="43">
        <v>0</v>
      </c>
      <c r="Z148" s="43">
        <v>0</v>
      </c>
      <c r="AA148" s="44">
        <v>0</v>
      </c>
      <c r="AB148" s="44">
        <v>0</v>
      </c>
      <c r="AC148" s="44">
        <v>3</v>
      </c>
      <c r="AD148" s="44">
        <v>5</v>
      </c>
      <c r="AE148" s="44">
        <v>82</v>
      </c>
      <c r="AF148" s="44">
        <v>0</v>
      </c>
      <c r="AG148" s="44">
        <v>0</v>
      </c>
      <c r="AH148" s="44">
        <v>287</v>
      </c>
      <c r="AI148" s="44">
        <v>91</v>
      </c>
      <c r="AJ148" s="44">
        <v>0</v>
      </c>
      <c r="AK148" s="44">
        <v>0</v>
      </c>
      <c r="AL148" s="44">
        <v>290</v>
      </c>
      <c r="AM148" s="48"/>
      <c r="AN148" s="48"/>
      <c r="AO148" s="48"/>
      <c r="AP148" s="44"/>
      <c r="AQ148" s="44"/>
      <c r="AR148" s="51"/>
      <c r="AS148" s="51"/>
      <c r="AT148" s="51"/>
      <c r="AU148" s="51"/>
      <c r="AV148" s="51"/>
      <c r="AW148" s="50"/>
      <c r="AX148" s="50"/>
      <c r="AY148" s="50"/>
      <c r="AZ148" s="50"/>
      <c r="BA148" s="43">
        <v>308</v>
      </c>
      <c r="BB148" s="43">
        <v>66</v>
      </c>
      <c r="BC148" s="50"/>
      <c r="BD148" s="50"/>
      <c r="BE148" s="43">
        <v>63</v>
      </c>
      <c r="BF148" s="43">
        <v>310</v>
      </c>
      <c r="BG148" s="43">
        <v>79</v>
      </c>
      <c r="BH148" s="43">
        <v>296</v>
      </c>
      <c r="BI148" s="43">
        <v>105</v>
      </c>
      <c r="BJ148" s="43">
        <v>270</v>
      </c>
      <c r="BK148" s="43">
        <v>285</v>
      </c>
      <c r="BL148" s="43">
        <v>91</v>
      </c>
      <c r="BM148" s="43">
        <v>56</v>
      </c>
      <c r="BN148" s="43">
        <v>316</v>
      </c>
      <c r="BO148" s="43">
        <v>292</v>
      </c>
      <c r="BP148" s="43">
        <v>83</v>
      </c>
      <c r="BQ148" s="43">
        <v>91</v>
      </c>
      <c r="BR148" s="43">
        <v>288</v>
      </c>
      <c r="BS148" s="43">
        <v>164</v>
      </c>
      <c r="BT148" s="43">
        <v>58</v>
      </c>
      <c r="BU148" s="43">
        <v>320</v>
      </c>
      <c r="BV148" s="43">
        <v>194</v>
      </c>
      <c r="BW148" s="43">
        <v>95</v>
      </c>
      <c r="BX148" s="43">
        <v>216</v>
      </c>
      <c r="BY148" s="43">
        <v>115</v>
      </c>
      <c r="BZ148" s="43">
        <v>231</v>
      </c>
      <c r="CA148" s="43">
        <v>163</v>
      </c>
      <c r="CB148" s="43">
        <v>78</v>
      </c>
      <c r="CC148" s="43">
        <v>254</v>
      </c>
      <c r="CD148" s="43">
        <v>220</v>
      </c>
      <c r="CE148" s="43">
        <v>239</v>
      </c>
      <c r="CF148" s="43">
        <v>84</v>
      </c>
      <c r="CG148" s="43">
        <v>86</v>
      </c>
      <c r="CH148" s="43">
        <v>225</v>
      </c>
      <c r="CI148" s="43">
        <v>211</v>
      </c>
      <c r="CJ148" s="43">
        <v>115</v>
      </c>
      <c r="CK148" s="43">
        <v>113</v>
      </c>
      <c r="CL148" s="43">
        <v>215</v>
      </c>
      <c r="CM148" s="43">
        <v>159</v>
      </c>
      <c r="CN148" s="43">
        <v>182</v>
      </c>
      <c r="CO148" s="43">
        <v>216</v>
      </c>
      <c r="CP148" s="43">
        <v>118</v>
      </c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43">
        <v>242</v>
      </c>
      <c r="FZ148" s="43">
        <v>128</v>
      </c>
      <c r="GA148" s="53"/>
      <c r="GB148" s="53"/>
      <c r="GC148" s="53"/>
      <c r="GD148" s="53"/>
      <c r="GE148" s="53"/>
      <c r="GF148" s="53"/>
      <c r="GG148" s="53"/>
      <c r="GH148" s="53"/>
      <c r="GI148" s="43"/>
      <c r="GJ148" s="53"/>
      <c r="GK148" s="53"/>
      <c r="GL148" s="53"/>
      <c r="GM148" s="53"/>
      <c r="GN148" s="53"/>
      <c r="GO148" s="43">
        <v>252</v>
      </c>
      <c r="GP148" s="43">
        <v>115</v>
      </c>
      <c r="GQ148" s="43">
        <v>280</v>
      </c>
      <c r="GR148" s="43">
        <v>86</v>
      </c>
    </row>
    <row r="149" spans="1:200">
      <c r="A149" s="5">
        <v>2401</v>
      </c>
      <c r="B149" s="1" t="s">
        <v>277</v>
      </c>
      <c r="C149" s="33">
        <v>1365</v>
      </c>
      <c r="D149" s="34">
        <v>960</v>
      </c>
      <c r="E149" s="19">
        <f t="shared" si="2"/>
        <v>0.70329670329670335</v>
      </c>
      <c r="F149" s="62">
        <v>889</v>
      </c>
      <c r="G149" s="43">
        <v>1</v>
      </c>
      <c r="H149" s="43">
        <v>5</v>
      </c>
      <c r="I149" s="43">
        <v>11</v>
      </c>
      <c r="J149" s="55">
        <v>41</v>
      </c>
      <c r="K149" s="6">
        <v>0</v>
      </c>
      <c r="L149" s="6">
        <v>0</v>
      </c>
      <c r="M149" s="43">
        <v>0</v>
      </c>
      <c r="N149" s="25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  <c r="V149" s="43">
        <v>0</v>
      </c>
      <c r="W149" s="43">
        <v>1</v>
      </c>
      <c r="X149" s="43">
        <v>0</v>
      </c>
      <c r="Y149" s="43">
        <v>0</v>
      </c>
      <c r="Z149" s="43">
        <v>0</v>
      </c>
      <c r="AA149" s="44">
        <v>0</v>
      </c>
      <c r="AB149" s="44">
        <v>0</v>
      </c>
      <c r="AC149" s="44">
        <v>11</v>
      </c>
      <c r="AD149" s="44">
        <v>11</v>
      </c>
      <c r="AE149" s="44">
        <v>107</v>
      </c>
      <c r="AF149" s="44">
        <v>4</v>
      </c>
      <c r="AG149" s="44">
        <v>0</v>
      </c>
      <c r="AH149" s="44">
        <v>779</v>
      </c>
      <c r="AI149" s="44">
        <v>100</v>
      </c>
      <c r="AJ149" s="44">
        <v>0</v>
      </c>
      <c r="AK149" s="44">
        <v>0</v>
      </c>
      <c r="AL149" s="44">
        <v>825</v>
      </c>
      <c r="AM149" s="48"/>
      <c r="AN149" s="48"/>
      <c r="AO149" s="48"/>
      <c r="AP149" s="44"/>
      <c r="AQ149" s="44"/>
      <c r="AR149" s="51"/>
      <c r="AS149" s="51"/>
      <c r="AT149" s="51"/>
      <c r="AU149" s="51"/>
      <c r="AV149" s="51"/>
      <c r="AW149" s="50"/>
      <c r="AX149" s="50"/>
      <c r="AY149" s="50"/>
      <c r="AZ149" s="50"/>
      <c r="BA149" s="50"/>
      <c r="BB149" s="50"/>
      <c r="BC149" s="43">
        <v>48</v>
      </c>
      <c r="BD149" s="43">
        <v>888</v>
      </c>
      <c r="BE149" s="43">
        <v>39</v>
      </c>
      <c r="BF149" s="43">
        <v>877</v>
      </c>
      <c r="BG149" s="43">
        <v>68</v>
      </c>
      <c r="BH149" s="43">
        <v>845</v>
      </c>
      <c r="BI149" s="43">
        <v>103</v>
      </c>
      <c r="BJ149" s="43">
        <v>807</v>
      </c>
      <c r="BK149" s="43">
        <v>796</v>
      </c>
      <c r="BL149" s="43">
        <v>105</v>
      </c>
      <c r="BM149" s="43">
        <v>47</v>
      </c>
      <c r="BN149" s="43">
        <v>851</v>
      </c>
      <c r="BO149" s="43">
        <v>824</v>
      </c>
      <c r="BP149" s="43">
        <v>68</v>
      </c>
      <c r="BQ149" s="43">
        <v>103</v>
      </c>
      <c r="BR149" s="43">
        <v>794</v>
      </c>
      <c r="BS149" s="43">
        <v>250</v>
      </c>
      <c r="BT149" s="43">
        <v>41</v>
      </c>
      <c r="BU149" s="43">
        <v>867</v>
      </c>
      <c r="BV149" s="43">
        <v>398</v>
      </c>
      <c r="BW149" s="43">
        <v>210</v>
      </c>
      <c r="BX149" s="43">
        <v>505</v>
      </c>
      <c r="BY149" s="43">
        <v>224</v>
      </c>
      <c r="BZ149" s="43">
        <v>563</v>
      </c>
      <c r="CA149" s="43">
        <v>318</v>
      </c>
      <c r="CB149" s="43">
        <v>112</v>
      </c>
      <c r="CC149" s="43">
        <v>605</v>
      </c>
      <c r="CD149" s="43">
        <v>499</v>
      </c>
      <c r="CE149" s="43">
        <v>597</v>
      </c>
      <c r="CF149" s="43">
        <v>128</v>
      </c>
      <c r="CG149" s="43">
        <v>168</v>
      </c>
      <c r="CH149" s="43">
        <v>500</v>
      </c>
      <c r="CI149" s="43">
        <v>514</v>
      </c>
      <c r="CJ149" s="43">
        <v>208</v>
      </c>
      <c r="CK149" s="43">
        <v>268</v>
      </c>
      <c r="CL149" s="43">
        <v>477</v>
      </c>
      <c r="CM149" s="43">
        <v>316</v>
      </c>
      <c r="CN149" s="43">
        <v>367</v>
      </c>
      <c r="CO149" s="43">
        <v>523</v>
      </c>
      <c r="CP149" s="43">
        <v>233</v>
      </c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43">
        <v>597</v>
      </c>
      <c r="FZ149" s="43">
        <v>311</v>
      </c>
      <c r="GA149" s="53"/>
      <c r="GB149" s="53"/>
      <c r="GC149" s="53"/>
      <c r="GD149" s="53"/>
      <c r="GE149" s="53"/>
      <c r="GF149" s="53"/>
      <c r="GG149" s="53"/>
      <c r="GH149" s="53"/>
      <c r="GI149" s="43"/>
      <c r="GJ149" s="53"/>
      <c r="GK149" s="53"/>
      <c r="GL149" s="53"/>
      <c r="GM149" s="53"/>
      <c r="GN149" s="53"/>
      <c r="GO149" s="43">
        <v>533</v>
      </c>
      <c r="GP149" s="43">
        <v>341</v>
      </c>
      <c r="GQ149" s="43">
        <v>670</v>
      </c>
      <c r="GR149" s="43">
        <v>223</v>
      </c>
    </row>
    <row r="150" spans="1:200">
      <c r="A150" s="5">
        <v>2402</v>
      </c>
      <c r="B150" s="1" t="s">
        <v>278</v>
      </c>
      <c r="C150" s="33">
        <v>1440</v>
      </c>
      <c r="D150" s="34">
        <v>864</v>
      </c>
      <c r="E150" s="19">
        <f t="shared" si="2"/>
        <v>0.6</v>
      </c>
      <c r="F150" s="62">
        <v>674</v>
      </c>
      <c r="G150" s="43">
        <v>5</v>
      </c>
      <c r="H150" s="43">
        <v>20</v>
      </c>
      <c r="I150" s="43">
        <v>13</v>
      </c>
      <c r="J150" s="55">
        <v>141</v>
      </c>
      <c r="K150" s="6">
        <v>0</v>
      </c>
      <c r="L150" s="6">
        <v>0</v>
      </c>
      <c r="M150" s="43">
        <v>2</v>
      </c>
      <c r="N150" s="25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  <c r="V150" s="43">
        <v>0</v>
      </c>
      <c r="W150" s="43">
        <v>2</v>
      </c>
      <c r="X150" s="43">
        <v>0</v>
      </c>
      <c r="Y150" s="43">
        <v>0</v>
      </c>
      <c r="Z150" s="43">
        <v>0</v>
      </c>
      <c r="AA150" s="44">
        <v>0</v>
      </c>
      <c r="AB150" s="44">
        <v>0</v>
      </c>
      <c r="AC150" s="44">
        <v>13</v>
      </c>
      <c r="AD150" s="44">
        <v>26</v>
      </c>
      <c r="AE150" s="44">
        <v>195</v>
      </c>
      <c r="AF150" s="44">
        <v>7</v>
      </c>
      <c r="AG150" s="44">
        <v>0</v>
      </c>
      <c r="AH150" s="44">
        <v>590</v>
      </c>
      <c r="AI150" s="44">
        <v>184</v>
      </c>
      <c r="AJ150" s="44">
        <v>2</v>
      </c>
      <c r="AK150" s="44">
        <v>0</v>
      </c>
      <c r="AL150" s="44">
        <v>654</v>
      </c>
      <c r="AM150" s="48"/>
      <c r="AN150" s="48"/>
      <c r="AO150" s="48"/>
      <c r="AP150" s="44"/>
      <c r="AQ150" s="44"/>
      <c r="AR150" s="51"/>
      <c r="AS150" s="51"/>
      <c r="AT150" s="51"/>
      <c r="AU150" s="51"/>
      <c r="AV150" s="51"/>
      <c r="AW150" s="50"/>
      <c r="AX150" s="50"/>
      <c r="AY150" s="50"/>
      <c r="AZ150" s="50"/>
      <c r="BA150" s="50"/>
      <c r="BB150" s="50"/>
      <c r="BC150" s="43">
        <v>162</v>
      </c>
      <c r="BD150" s="43">
        <v>677</v>
      </c>
      <c r="BE150" s="43">
        <v>131</v>
      </c>
      <c r="BF150" s="43">
        <v>689</v>
      </c>
      <c r="BG150" s="43">
        <v>164</v>
      </c>
      <c r="BH150" s="43">
        <v>656</v>
      </c>
      <c r="BI150" s="43">
        <v>224</v>
      </c>
      <c r="BJ150" s="43">
        <v>607</v>
      </c>
      <c r="BK150" s="43">
        <v>620</v>
      </c>
      <c r="BL150" s="43">
        <v>196</v>
      </c>
      <c r="BM150" s="43">
        <v>135</v>
      </c>
      <c r="BN150" s="43">
        <v>691</v>
      </c>
      <c r="BO150" s="43">
        <v>639</v>
      </c>
      <c r="BP150" s="43">
        <v>175</v>
      </c>
      <c r="BQ150" s="43">
        <v>190</v>
      </c>
      <c r="BR150" s="43">
        <v>621</v>
      </c>
      <c r="BS150" s="43">
        <v>343</v>
      </c>
      <c r="BT150" s="43">
        <v>136</v>
      </c>
      <c r="BU150" s="43">
        <v>679</v>
      </c>
      <c r="BV150" s="43">
        <v>397</v>
      </c>
      <c r="BW150" s="43">
        <v>266</v>
      </c>
      <c r="BX150" s="43">
        <v>383</v>
      </c>
      <c r="BY150" s="43">
        <v>263</v>
      </c>
      <c r="BZ150" s="43">
        <v>451</v>
      </c>
      <c r="CA150" s="43">
        <v>342</v>
      </c>
      <c r="CB150" s="43">
        <v>168</v>
      </c>
      <c r="CC150" s="43">
        <v>490</v>
      </c>
      <c r="CD150" s="43">
        <v>454</v>
      </c>
      <c r="CE150" s="43">
        <v>474</v>
      </c>
      <c r="CF150" s="43">
        <v>205</v>
      </c>
      <c r="CG150" s="43">
        <v>226</v>
      </c>
      <c r="CH150" s="43">
        <v>387</v>
      </c>
      <c r="CI150" s="43">
        <v>342</v>
      </c>
      <c r="CJ150" s="43">
        <v>315</v>
      </c>
      <c r="CK150" s="43">
        <v>275</v>
      </c>
      <c r="CL150" s="43">
        <v>391</v>
      </c>
      <c r="CM150" s="43">
        <v>350</v>
      </c>
      <c r="CN150" s="43">
        <v>374</v>
      </c>
      <c r="CO150" s="43">
        <v>401</v>
      </c>
      <c r="CP150" s="43">
        <v>282</v>
      </c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43">
        <v>523</v>
      </c>
      <c r="FZ150" s="43">
        <v>287</v>
      </c>
      <c r="GA150" s="53"/>
      <c r="GB150" s="53"/>
      <c r="GC150" s="53"/>
      <c r="GD150" s="53"/>
      <c r="GE150" s="53"/>
      <c r="GF150" s="53"/>
      <c r="GG150" s="53"/>
      <c r="GH150" s="53"/>
      <c r="GI150" s="43"/>
      <c r="GJ150" s="53"/>
      <c r="GK150" s="53"/>
      <c r="GL150" s="53"/>
      <c r="GM150" s="53"/>
      <c r="GN150" s="53"/>
      <c r="GO150" s="43">
        <v>543</v>
      </c>
      <c r="GP150" s="43">
        <v>256</v>
      </c>
      <c r="GQ150" s="43">
        <v>581</v>
      </c>
      <c r="GR150" s="43">
        <v>220</v>
      </c>
    </row>
    <row r="151" spans="1:200">
      <c r="A151" s="5">
        <v>2403</v>
      </c>
      <c r="B151" s="1" t="s">
        <v>279</v>
      </c>
      <c r="C151" s="33">
        <v>1560</v>
      </c>
      <c r="D151" s="34">
        <v>1047</v>
      </c>
      <c r="E151" s="19">
        <f t="shared" si="2"/>
        <v>0.6711538461538461</v>
      </c>
      <c r="F151" s="62">
        <v>772</v>
      </c>
      <c r="G151" s="43">
        <v>5</v>
      </c>
      <c r="H151" s="43">
        <v>17</v>
      </c>
      <c r="I151" s="43">
        <v>14</v>
      </c>
      <c r="J151" s="55">
        <v>222</v>
      </c>
      <c r="K151" s="6">
        <v>0</v>
      </c>
      <c r="L151" s="6">
        <v>0</v>
      </c>
      <c r="M151" s="43">
        <v>0</v>
      </c>
      <c r="N151" s="25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43">
        <v>0</v>
      </c>
      <c r="Z151" s="43">
        <v>0</v>
      </c>
      <c r="AA151" s="44">
        <v>0</v>
      </c>
      <c r="AB151" s="44">
        <v>0</v>
      </c>
      <c r="AC151" s="44">
        <v>8</v>
      </c>
      <c r="AD151" s="44">
        <v>17</v>
      </c>
      <c r="AE151" s="44">
        <v>323</v>
      </c>
      <c r="AF151" s="44">
        <v>7</v>
      </c>
      <c r="AG151" s="44">
        <v>0</v>
      </c>
      <c r="AH151" s="44">
        <v>652</v>
      </c>
      <c r="AI151" s="32"/>
      <c r="AJ151" s="32"/>
      <c r="AK151" s="32"/>
      <c r="AL151" s="32"/>
      <c r="AM151" s="44">
        <v>21</v>
      </c>
      <c r="AN151" s="44">
        <v>669</v>
      </c>
      <c r="AO151" s="44">
        <v>279</v>
      </c>
      <c r="AP151" s="44"/>
      <c r="AQ151" s="44"/>
      <c r="AR151" s="51"/>
      <c r="AS151" s="51"/>
      <c r="AT151" s="51"/>
      <c r="AU151" s="51"/>
      <c r="AV151" s="51"/>
      <c r="AW151" s="50"/>
      <c r="AX151" s="50"/>
      <c r="AY151" s="50"/>
      <c r="AZ151" s="50"/>
      <c r="BA151" s="50"/>
      <c r="BB151" s="50"/>
      <c r="BC151" s="43">
        <v>257</v>
      </c>
      <c r="BD151" s="43">
        <v>736</v>
      </c>
      <c r="BE151" s="43">
        <v>194</v>
      </c>
      <c r="BF151" s="43">
        <v>794</v>
      </c>
      <c r="BG151" s="43">
        <v>271</v>
      </c>
      <c r="BH151" s="43">
        <v>724</v>
      </c>
      <c r="BI151" s="43">
        <v>326</v>
      </c>
      <c r="BJ151" s="43">
        <v>662</v>
      </c>
      <c r="BK151" s="43">
        <v>668</v>
      </c>
      <c r="BL151" s="43">
        <v>312</v>
      </c>
      <c r="BM151" s="43">
        <v>227</v>
      </c>
      <c r="BN151" s="43">
        <v>748</v>
      </c>
      <c r="BO151" s="43">
        <v>681</v>
      </c>
      <c r="BP151" s="43">
        <v>284</v>
      </c>
      <c r="BQ151" s="43">
        <v>306</v>
      </c>
      <c r="BR151" s="43">
        <v>665</v>
      </c>
      <c r="BS151" s="43">
        <v>492</v>
      </c>
      <c r="BT151" s="43">
        <v>203</v>
      </c>
      <c r="BU151" s="43">
        <v>768</v>
      </c>
      <c r="BV151" s="43">
        <v>605</v>
      </c>
      <c r="BW151" s="43">
        <v>361</v>
      </c>
      <c r="BX151" s="43">
        <v>409</v>
      </c>
      <c r="BY151" s="43">
        <v>381</v>
      </c>
      <c r="BZ151" s="43">
        <v>470</v>
      </c>
      <c r="CA151" s="43">
        <v>532</v>
      </c>
      <c r="CB151" s="43">
        <v>237</v>
      </c>
      <c r="CC151" s="43">
        <v>530</v>
      </c>
      <c r="CD151" s="43">
        <v>593</v>
      </c>
      <c r="CE151" s="43">
        <v>467</v>
      </c>
      <c r="CF151" s="43">
        <v>319</v>
      </c>
      <c r="CG151" s="43">
        <v>356</v>
      </c>
      <c r="CH151" s="43">
        <v>366</v>
      </c>
      <c r="CI151" s="43">
        <v>313</v>
      </c>
      <c r="CJ151" s="43">
        <v>464</v>
      </c>
      <c r="CK151" s="43">
        <v>421</v>
      </c>
      <c r="CL151" s="43">
        <v>350</v>
      </c>
      <c r="CM151" s="43">
        <v>509</v>
      </c>
      <c r="CN151" s="43">
        <v>549</v>
      </c>
      <c r="CO151" s="43">
        <v>368</v>
      </c>
      <c r="CP151" s="43">
        <v>411</v>
      </c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43">
        <v>710</v>
      </c>
      <c r="FZ151" s="43">
        <v>253</v>
      </c>
      <c r="GA151" s="53"/>
      <c r="GB151" s="53"/>
      <c r="GC151" s="53"/>
      <c r="GD151" s="53"/>
      <c r="GE151" s="53"/>
      <c r="GF151" s="53"/>
      <c r="GG151" s="53"/>
      <c r="GH151" s="53"/>
      <c r="GI151" s="43"/>
      <c r="GJ151" s="53"/>
      <c r="GK151" s="53"/>
      <c r="GL151" s="53"/>
      <c r="GM151" s="53"/>
      <c r="GN151" s="53"/>
      <c r="GO151" s="43">
        <v>733</v>
      </c>
      <c r="GP151" s="43">
        <v>228</v>
      </c>
      <c r="GQ151" s="43">
        <v>788</v>
      </c>
      <c r="GR151" s="43">
        <v>175</v>
      </c>
    </row>
    <row r="152" spans="1:200">
      <c r="A152" s="5">
        <v>2404</v>
      </c>
      <c r="B152" s="1" t="s">
        <v>280</v>
      </c>
      <c r="C152" s="33">
        <v>1356</v>
      </c>
      <c r="D152" s="34">
        <v>813</v>
      </c>
      <c r="E152" s="19">
        <f t="shared" si="2"/>
        <v>0.59955752212389379</v>
      </c>
      <c r="F152" s="62">
        <v>469</v>
      </c>
      <c r="G152" s="43">
        <v>2</v>
      </c>
      <c r="H152" s="43">
        <v>21</v>
      </c>
      <c r="I152" s="43">
        <v>8</v>
      </c>
      <c r="J152" s="55">
        <v>300</v>
      </c>
      <c r="K152" s="6">
        <v>0</v>
      </c>
      <c r="L152" s="6">
        <v>0</v>
      </c>
      <c r="M152" s="43">
        <v>0</v>
      </c>
      <c r="N152" s="25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4">
        <v>0</v>
      </c>
      <c r="AB152" s="44">
        <v>0</v>
      </c>
      <c r="AC152" s="44">
        <v>8</v>
      </c>
      <c r="AD152" s="44">
        <v>18</v>
      </c>
      <c r="AE152" s="44">
        <v>344</v>
      </c>
      <c r="AF152" s="44">
        <v>9</v>
      </c>
      <c r="AG152" s="44">
        <v>0</v>
      </c>
      <c r="AH152" s="44">
        <v>399</v>
      </c>
      <c r="AI152" s="44">
        <v>323</v>
      </c>
      <c r="AJ152" s="44">
        <v>0</v>
      </c>
      <c r="AK152" s="44">
        <v>0</v>
      </c>
      <c r="AL152" s="44">
        <v>443</v>
      </c>
      <c r="AM152" s="48"/>
      <c r="AN152" s="48"/>
      <c r="AO152" s="48"/>
      <c r="AP152" s="44"/>
      <c r="AQ152" s="44"/>
      <c r="AR152" s="51"/>
      <c r="AS152" s="51"/>
      <c r="AT152" s="51"/>
      <c r="AU152" s="51"/>
      <c r="AV152" s="51"/>
      <c r="AW152" s="50"/>
      <c r="AX152" s="50"/>
      <c r="AY152" s="50"/>
      <c r="AZ152" s="50"/>
      <c r="BA152" s="50"/>
      <c r="BB152" s="50"/>
      <c r="BC152" s="43">
        <v>307</v>
      </c>
      <c r="BD152" s="43">
        <v>462</v>
      </c>
      <c r="BE152" s="43">
        <v>249</v>
      </c>
      <c r="BF152" s="43">
        <v>512</v>
      </c>
      <c r="BG152" s="43">
        <v>323</v>
      </c>
      <c r="BH152" s="43">
        <v>442</v>
      </c>
      <c r="BI152" s="43">
        <v>370</v>
      </c>
      <c r="BJ152" s="43">
        <v>396</v>
      </c>
      <c r="BK152" s="43">
        <v>449</v>
      </c>
      <c r="BL152" s="43">
        <v>304</v>
      </c>
      <c r="BM152" s="43">
        <v>216</v>
      </c>
      <c r="BN152" s="43">
        <v>540</v>
      </c>
      <c r="BO152" s="43">
        <v>434</v>
      </c>
      <c r="BP152" s="43">
        <v>316</v>
      </c>
      <c r="BQ152" s="43">
        <v>348</v>
      </c>
      <c r="BR152" s="43">
        <v>407</v>
      </c>
      <c r="BS152" s="43">
        <v>453</v>
      </c>
      <c r="BT152" s="43">
        <v>231</v>
      </c>
      <c r="BU152" s="43">
        <v>524</v>
      </c>
      <c r="BV152" s="43">
        <v>490</v>
      </c>
      <c r="BW152" s="43">
        <v>292</v>
      </c>
      <c r="BX152" s="43">
        <v>341</v>
      </c>
      <c r="BY152" s="43">
        <v>373</v>
      </c>
      <c r="BZ152" s="43">
        <v>311</v>
      </c>
      <c r="CA152" s="43">
        <v>432</v>
      </c>
      <c r="CB152" s="43">
        <v>239</v>
      </c>
      <c r="CC152" s="43">
        <v>379</v>
      </c>
      <c r="CD152" s="43">
        <v>478</v>
      </c>
      <c r="CE152" s="43">
        <v>363</v>
      </c>
      <c r="CF152" s="43">
        <v>289</v>
      </c>
      <c r="CG152" s="43">
        <v>257</v>
      </c>
      <c r="CH152" s="43">
        <v>329</v>
      </c>
      <c r="CI152" s="43">
        <v>272</v>
      </c>
      <c r="CJ152" s="43">
        <v>347</v>
      </c>
      <c r="CK152" s="43">
        <v>281</v>
      </c>
      <c r="CL152" s="43">
        <v>343</v>
      </c>
      <c r="CM152" s="43">
        <v>412</v>
      </c>
      <c r="CN152" s="43">
        <v>447</v>
      </c>
      <c r="CO152" s="43">
        <v>333</v>
      </c>
      <c r="CP152" s="43">
        <v>302</v>
      </c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43">
        <v>384</v>
      </c>
      <c r="FZ152" s="43">
        <v>384</v>
      </c>
      <c r="GA152" s="53"/>
      <c r="GB152" s="53"/>
      <c r="GC152" s="53"/>
      <c r="GD152" s="53"/>
      <c r="GE152" s="53"/>
      <c r="GF152" s="53"/>
      <c r="GG152" s="53"/>
      <c r="GH152" s="53"/>
      <c r="GI152" s="43"/>
      <c r="GJ152" s="53"/>
      <c r="GK152" s="53"/>
      <c r="GL152" s="53"/>
      <c r="GM152" s="53"/>
      <c r="GN152" s="53"/>
      <c r="GO152" s="43">
        <v>470</v>
      </c>
      <c r="GP152" s="43">
        <v>287</v>
      </c>
      <c r="GQ152" s="43">
        <v>480</v>
      </c>
      <c r="GR152" s="43">
        <v>286</v>
      </c>
    </row>
    <row r="153" spans="1:200">
      <c r="A153" s="5">
        <v>2405</v>
      </c>
      <c r="B153" s="1" t="s">
        <v>281</v>
      </c>
      <c r="C153" s="33">
        <v>1057</v>
      </c>
      <c r="D153" s="34">
        <v>424</v>
      </c>
      <c r="E153" s="19">
        <f t="shared" si="2"/>
        <v>0.40113528855250707</v>
      </c>
      <c r="F153" s="62">
        <v>396</v>
      </c>
      <c r="G153" s="43">
        <v>1</v>
      </c>
      <c r="H153" s="43">
        <v>2</v>
      </c>
      <c r="I153" s="43">
        <v>2</v>
      </c>
      <c r="J153" s="55">
        <v>15</v>
      </c>
      <c r="K153" s="6">
        <v>0</v>
      </c>
      <c r="L153" s="6">
        <v>0</v>
      </c>
      <c r="M153" s="43">
        <v>0</v>
      </c>
      <c r="N153" s="25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  <c r="V153" s="43">
        <v>0</v>
      </c>
      <c r="W153" s="43">
        <v>0</v>
      </c>
      <c r="X153" s="43">
        <v>0</v>
      </c>
      <c r="Y153" s="43">
        <v>0</v>
      </c>
      <c r="Z153" s="43">
        <v>0</v>
      </c>
      <c r="AA153" s="44">
        <v>0</v>
      </c>
      <c r="AB153" s="44">
        <v>0</v>
      </c>
      <c r="AC153" s="44">
        <v>6</v>
      </c>
      <c r="AD153" s="44">
        <v>1</v>
      </c>
      <c r="AE153" s="44">
        <v>27</v>
      </c>
      <c r="AF153" s="44">
        <v>5</v>
      </c>
      <c r="AG153" s="44">
        <v>0</v>
      </c>
      <c r="AH153" s="44">
        <v>371</v>
      </c>
      <c r="AI153" s="44">
        <v>37</v>
      </c>
      <c r="AJ153" s="44">
        <v>0</v>
      </c>
      <c r="AK153" s="44">
        <v>0</v>
      </c>
      <c r="AL153" s="44">
        <v>375</v>
      </c>
      <c r="AM153" s="48"/>
      <c r="AN153" s="48"/>
      <c r="AO153" s="48"/>
      <c r="AP153" s="44"/>
      <c r="AQ153" s="44"/>
      <c r="AR153" s="51"/>
      <c r="AS153" s="51"/>
      <c r="AT153" s="51"/>
      <c r="AU153" s="51"/>
      <c r="AV153" s="51"/>
      <c r="AW153" s="50"/>
      <c r="AX153" s="50"/>
      <c r="AY153" s="50"/>
      <c r="AZ153" s="50"/>
      <c r="BA153" s="50"/>
      <c r="BB153" s="50"/>
      <c r="BC153" s="43">
        <v>23</v>
      </c>
      <c r="BD153" s="43">
        <v>391</v>
      </c>
      <c r="BE153" s="43">
        <v>21</v>
      </c>
      <c r="BF153" s="43">
        <v>384</v>
      </c>
      <c r="BG153" s="43">
        <v>40</v>
      </c>
      <c r="BH153" s="43">
        <v>368</v>
      </c>
      <c r="BI153" s="43">
        <v>49</v>
      </c>
      <c r="BJ153" s="43">
        <v>355</v>
      </c>
      <c r="BK153" s="43">
        <v>328</v>
      </c>
      <c r="BL153" s="43">
        <v>76</v>
      </c>
      <c r="BM153" s="43">
        <v>24</v>
      </c>
      <c r="BN153" s="43">
        <v>380</v>
      </c>
      <c r="BO153" s="43">
        <v>355</v>
      </c>
      <c r="BP153" s="43">
        <v>49</v>
      </c>
      <c r="BQ153" s="43">
        <v>31</v>
      </c>
      <c r="BR153" s="43">
        <v>368</v>
      </c>
      <c r="BS153" s="43">
        <v>139</v>
      </c>
      <c r="BT153" s="43">
        <v>22</v>
      </c>
      <c r="BU153" s="43">
        <v>387</v>
      </c>
      <c r="BV153" s="43">
        <v>208</v>
      </c>
      <c r="BW153" s="43">
        <v>87</v>
      </c>
      <c r="BX153" s="43">
        <v>252</v>
      </c>
      <c r="BY153" s="43">
        <v>94</v>
      </c>
      <c r="BZ153" s="43">
        <v>259</v>
      </c>
      <c r="CA153" s="43">
        <v>186</v>
      </c>
      <c r="CB153" s="43">
        <v>73</v>
      </c>
      <c r="CC153" s="43">
        <v>262</v>
      </c>
      <c r="CD153" s="43">
        <v>250</v>
      </c>
      <c r="CE153" s="43">
        <v>259</v>
      </c>
      <c r="CF153" s="43">
        <v>77</v>
      </c>
      <c r="CG153" s="43">
        <v>80</v>
      </c>
      <c r="CH153" s="43">
        <v>250</v>
      </c>
      <c r="CI153" s="43">
        <v>202</v>
      </c>
      <c r="CJ153" s="43">
        <v>128</v>
      </c>
      <c r="CK153" s="43">
        <v>137</v>
      </c>
      <c r="CL153" s="43">
        <v>202</v>
      </c>
      <c r="CM153" s="43">
        <v>189</v>
      </c>
      <c r="CN153" s="43">
        <v>210</v>
      </c>
      <c r="CO153" s="43">
        <v>210</v>
      </c>
      <c r="CP153" s="43">
        <v>136</v>
      </c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43">
        <v>327</v>
      </c>
      <c r="FZ153" s="43">
        <v>61</v>
      </c>
      <c r="GA153" s="53"/>
      <c r="GB153" s="53"/>
      <c r="GC153" s="53"/>
      <c r="GD153" s="53"/>
      <c r="GE153" s="53"/>
      <c r="GF153" s="53"/>
      <c r="GG153" s="53"/>
      <c r="GH153" s="53"/>
      <c r="GI153" s="43"/>
      <c r="GJ153" s="53"/>
      <c r="GK153" s="53"/>
      <c r="GL153" s="53"/>
      <c r="GM153" s="53"/>
      <c r="GN153" s="53"/>
      <c r="GO153" s="43">
        <v>282</v>
      </c>
      <c r="GP153" s="43">
        <v>95</v>
      </c>
      <c r="GQ153" s="43">
        <v>328</v>
      </c>
      <c r="GR153" s="43">
        <v>52</v>
      </c>
    </row>
    <row r="154" spans="1:200">
      <c r="A154" s="5">
        <v>2406</v>
      </c>
      <c r="B154" s="1" t="s">
        <v>282</v>
      </c>
      <c r="C154" s="33">
        <v>947</v>
      </c>
      <c r="D154" s="34">
        <v>645</v>
      </c>
      <c r="E154" s="19">
        <f t="shared" si="2"/>
        <v>0.68109820485744454</v>
      </c>
      <c r="F154" s="62">
        <v>547</v>
      </c>
      <c r="G154" s="43">
        <v>1</v>
      </c>
      <c r="H154" s="43">
        <v>4</v>
      </c>
      <c r="I154" s="43">
        <v>8</v>
      </c>
      <c r="J154" s="55">
        <v>69</v>
      </c>
      <c r="K154" s="6">
        <v>0</v>
      </c>
      <c r="L154" s="6">
        <v>0</v>
      </c>
      <c r="M154" s="43">
        <v>0</v>
      </c>
      <c r="N154" s="25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1</v>
      </c>
      <c r="X154" s="43">
        <v>0</v>
      </c>
      <c r="Y154" s="43">
        <v>0</v>
      </c>
      <c r="Z154" s="43">
        <v>0</v>
      </c>
      <c r="AA154" s="44">
        <v>0</v>
      </c>
      <c r="AB154" s="44">
        <v>0</v>
      </c>
      <c r="AC154" s="44">
        <v>7</v>
      </c>
      <c r="AD154" s="44">
        <v>15</v>
      </c>
      <c r="AE154" s="44">
        <v>133</v>
      </c>
      <c r="AF154" s="44">
        <v>3</v>
      </c>
      <c r="AG154" s="44">
        <v>0</v>
      </c>
      <c r="AH154" s="44">
        <v>448</v>
      </c>
      <c r="AI154" s="44">
        <v>118</v>
      </c>
      <c r="AJ154" s="44">
        <v>1</v>
      </c>
      <c r="AK154" s="44">
        <v>0</v>
      </c>
      <c r="AL154" s="44">
        <v>492</v>
      </c>
      <c r="AM154" s="48"/>
      <c r="AN154" s="48"/>
      <c r="AO154" s="48"/>
      <c r="AP154" s="44"/>
      <c r="AQ154" s="44"/>
      <c r="AR154" s="51"/>
      <c r="AS154" s="51"/>
      <c r="AT154" s="51"/>
      <c r="AU154" s="51"/>
      <c r="AV154" s="51"/>
      <c r="AW154" s="50"/>
      <c r="AX154" s="50"/>
      <c r="AY154" s="50"/>
      <c r="AZ154" s="50"/>
      <c r="BA154" s="50"/>
      <c r="BB154" s="50"/>
      <c r="BC154" s="43">
        <v>82</v>
      </c>
      <c r="BD154" s="43">
        <v>539</v>
      </c>
      <c r="BE154" s="43">
        <v>72</v>
      </c>
      <c r="BF154" s="43">
        <v>536</v>
      </c>
      <c r="BG154" s="43">
        <v>106</v>
      </c>
      <c r="BH154" s="43">
        <v>495</v>
      </c>
      <c r="BI154" s="43">
        <v>126</v>
      </c>
      <c r="BJ154" s="43">
        <v>480</v>
      </c>
      <c r="BK154" s="43">
        <v>480</v>
      </c>
      <c r="BL154" s="43">
        <v>114</v>
      </c>
      <c r="BM154" s="43">
        <v>65</v>
      </c>
      <c r="BN154" s="43">
        <v>541</v>
      </c>
      <c r="BO154" s="43">
        <v>486</v>
      </c>
      <c r="BP154" s="43">
        <v>104</v>
      </c>
      <c r="BQ154" s="43">
        <v>110</v>
      </c>
      <c r="BR154" s="43">
        <v>490</v>
      </c>
      <c r="BS154" s="43">
        <v>215</v>
      </c>
      <c r="BT154" s="43">
        <v>67</v>
      </c>
      <c r="BU154" s="43">
        <v>538</v>
      </c>
      <c r="BV154" s="43">
        <v>305</v>
      </c>
      <c r="BW154" s="43">
        <v>192</v>
      </c>
      <c r="BX154" s="43">
        <v>265</v>
      </c>
      <c r="BY154" s="43">
        <v>196</v>
      </c>
      <c r="BZ154" s="43">
        <v>314</v>
      </c>
      <c r="CA154" s="43">
        <v>270</v>
      </c>
      <c r="CB154" s="43">
        <v>117</v>
      </c>
      <c r="CC154" s="43">
        <v>344</v>
      </c>
      <c r="CD154" s="43">
        <v>328</v>
      </c>
      <c r="CE154" s="43">
        <v>325</v>
      </c>
      <c r="CF154" s="43">
        <v>152</v>
      </c>
      <c r="CG154" s="43">
        <v>171</v>
      </c>
      <c r="CH154" s="43">
        <v>270</v>
      </c>
      <c r="CI154" s="43">
        <v>256</v>
      </c>
      <c r="CJ154" s="43">
        <v>208</v>
      </c>
      <c r="CK154" s="43">
        <v>216</v>
      </c>
      <c r="CL154" s="43">
        <v>261</v>
      </c>
      <c r="CM154" s="43">
        <v>265</v>
      </c>
      <c r="CN154" s="43">
        <v>311</v>
      </c>
      <c r="CO154" s="43">
        <v>284</v>
      </c>
      <c r="CP154" s="43">
        <v>199</v>
      </c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43">
        <v>434</v>
      </c>
      <c r="FZ154" s="43">
        <v>169</v>
      </c>
      <c r="GA154" s="53"/>
      <c r="GB154" s="53"/>
      <c r="GC154" s="53"/>
      <c r="GD154" s="53"/>
      <c r="GE154" s="53"/>
      <c r="GF154" s="53"/>
      <c r="GG154" s="53"/>
      <c r="GH154" s="53"/>
      <c r="GI154" s="43"/>
      <c r="GJ154" s="53"/>
      <c r="GK154" s="53"/>
      <c r="GL154" s="53"/>
      <c r="GM154" s="53"/>
      <c r="GN154" s="53"/>
      <c r="GO154" s="43">
        <v>422</v>
      </c>
      <c r="GP154" s="43">
        <v>159</v>
      </c>
      <c r="GQ154" s="43">
        <v>466</v>
      </c>
      <c r="GR154" s="43">
        <v>119</v>
      </c>
    </row>
    <row r="155" spans="1:200">
      <c r="A155" s="5">
        <v>2407</v>
      </c>
      <c r="B155" s="1" t="s">
        <v>283</v>
      </c>
      <c r="C155" s="33">
        <v>1530</v>
      </c>
      <c r="D155" s="34">
        <v>1025</v>
      </c>
      <c r="E155" s="19">
        <f t="shared" si="2"/>
        <v>0.66993464052287577</v>
      </c>
      <c r="F155" s="62">
        <v>562</v>
      </c>
      <c r="G155" s="43">
        <v>4</v>
      </c>
      <c r="H155" s="43">
        <v>30</v>
      </c>
      <c r="I155" s="43">
        <v>15</v>
      </c>
      <c r="J155" s="55">
        <v>388</v>
      </c>
      <c r="K155" s="6">
        <v>0</v>
      </c>
      <c r="L155" s="6">
        <v>0</v>
      </c>
      <c r="M155" s="43">
        <v>2</v>
      </c>
      <c r="N155" s="25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5</v>
      </c>
      <c r="X155" s="43">
        <v>0</v>
      </c>
      <c r="Y155" s="43">
        <v>0</v>
      </c>
      <c r="Z155" s="43">
        <v>0</v>
      </c>
      <c r="AA155" s="44">
        <v>0</v>
      </c>
      <c r="AB155" s="44">
        <v>0</v>
      </c>
      <c r="AC155" s="44">
        <v>9</v>
      </c>
      <c r="AD155" s="44">
        <v>29</v>
      </c>
      <c r="AE155" s="44">
        <v>458</v>
      </c>
      <c r="AF155" s="44">
        <v>13</v>
      </c>
      <c r="AG155" s="44">
        <v>1</v>
      </c>
      <c r="AH155" s="44">
        <v>481</v>
      </c>
      <c r="AI155" s="32"/>
      <c r="AJ155" s="32"/>
      <c r="AK155" s="32"/>
      <c r="AL155" s="32"/>
      <c r="AM155" s="44">
        <v>22</v>
      </c>
      <c r="AN155" s="44">
        <v>516</v>
      </c>
      <c r="AO155" s="44">
        <v>420</v>
      </c>
      <c r="AP155" s="44"/>
      <c r="AQ155" s="44"/>
      <c r="AR155" s="51"/>
      <c r="AS155" s="51"/>
      <c r="AT155" s="51"/>
      <c r="AU155" s="51"/>
      <c r="AV155" s="51"/>
      <c r="AW155" s="50"/>
      <c r="AX155" s="50"/>
      <c r="AY155" s="50"/>
      <c r="AZ155" s="50"/>
      <c r="BA155" s="50"/>
      <c r="BB155" s="50"/>
      <c r="BC155" s="43">
        <v>399</v>
      </c>
      <c r="BD155" s="43">
        <v>578</v>
      </c>
      <c r="BE155" s="43">
        <v>356</v>
      </c>
      <c r="BF155" s="43">
        <v>614</v>
      </c>
      <c r="BG155" s="43">
        <v>441</v>
      </c>
      <c r="BH155" s="43">
        <v>531</v>
      </c>
      <c r="BI155" s="43">
        <v>485</v>
      </c>
      <c r="BJ155" s="43">
        <v>489</v>
      </c>
      <c r="BK155" s="43">
        <v>542</v>
      </c>
      <c r="BL155" s="43">
        <v>422</v>
      </c>
      <c r="BM155" s="43">
        <v>328</v>
      </c>
      <c r="BN155" s="43">
        <v>639</v>
      </c>
      <c r="BO155" s="43">
        <v>523</v>
      </c>
      <c r="BP155" s="43">
        <v>428</v>
      </c>
      <c r="BQ155" s="43">
        <v>435</v>
      </c>
      <c r="BR155" s="43">
        <v>517</v>
      </c>
      <c r="BS155" s="43">
        <v>590</v>
      </c>
      <c r="BT155" s="43">
        <v>314</v>
      </c>
      <c r="BU155" s="43">
        <v>639</v>
      </c>
      <c r="BV155" s="43">
        <v>636</v>
      </c>
      <c r="BW155" s="43">
        <v>424</v>
      </c>
      <c r="BX155" s="43">
        <v>371</v>
      </c>
      <c r="BY155" s="43">
        <v>444</v>
      </c>
      <c r="BZ155" s="43">
        <v>411</v>
      </c>
      <c r="CA155" s="43">
        <v>568</v>
      </c>
      <c r="CB155" s="43">
        <v>322</v>
      </c>
      <c r="CC155" s="43">
        <v>439</v>
      </c>
      <c r="CD155" s="43">
        <v>539</v>
      </c>
      <c r="CE155" s="43">
        <v>399</v>
      </c>
      <c r="CF155" s="43">
        <v>386</v>
      </c>
      <c r="CG155" s="43">
        <v>362</v>
      </c>
      <c r="CH155" s="43">
        <v>364</v>
      </c>
      <c r="CI155" s="43">
        <v>259</v>
      </c>
      <c r="CJ155" s="43">
        <v>502</v>
      </c>
      <c r="CK155" s="43">
        <v>438</v>
      </c>
      <c r="CL155" s="43">
        <v>326</v>
      </c>
      <c r="CM155" s="43">
        <v>523</v>
      </c>
      <c r="CN155" s="43">
        <v>561</v>
      </c>
      <c r="CO155" s="43">
        <v>329</v>
      </c>
      <c r="CP155" s="43">
        <v>451</v>
      </c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43">
        <v>516</v>
      </c>
      <c r="FZ155" s="43">
        <v>467</v>
      </c>
      <c r="GA155" s="53"/>
      <c r="GB155" s="53"/>
      <c r="GC155" s="53"/>
      <c r="GD155" s="53"/>
      <c r="GE155" s="53"/>
      <c r="GF155" s="53"/>
      <c r="GG155" s="53"/>
      <c r="GH155" s="53"/>
      <c r="GI155" s="43"/>
      <c r="GJ155" s="53"/>
      <c r="GK155" s="53"/>
      <c r="GL155" s="53"/>
      <c r="GM155" s="53"/>
      <c r="GN155" s="53"/>
      <c r="GO155" s="43">
        <v>656</v>
      </c>
      <c r="GP155" s="43">
        <v>322</v>
      </c>
      <c r="GQ155" s="43">
        <v>668</v>
      </c>
      <c r="GR155" s="43">
        <v>310</v>
      </c>
    </row>
    <row r="156" spans="1:200">
      <c r="A156" s="5">
        <v>2408</v>
      </c>
      <c r="B156" s="1" t="s">
        <v>284</v>
      </c>
      <c r="C156" s="33">
        <v>637</v>
      </c>
      <c r="D156" s="34">
        <v>276</v>
      </c>
      <c r="E156" s="19">
        <f t="shared" si="2"/>
        <v>0.43328100470957615</v>
      </c>
      <c r="F156" s="62">
        <v>267</v>
      </c>
      <c r="G156" s="43">
        <v>0</v>
      </c>
      <c r="H156" s="43">
        <v>0</v>
      </c>
      <c r="I156" s="43">
        <v>0</v>
      </c>
      <c r="J156" s="55">
        <v>3</v>
      </c>
      <c r="K156" s="6">
        <v>0</v>
      </c>
      <c r="L156" s="6">
        <v>0</v>
      </c>
      <c r="M156" s="43">
        <v>0</v>
      </c>
      <c r="N156" s="25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43">
        <v>0</v>
      </c>
      <c r="Z156" s="43">
        <v>0</v>
      </c>
      <c r="AA156" s="44">
        <v>0</v>
      </c>
      <c r="AB156" s="44">
        <v>0</v>
      </c>
      <c r="AC156" s="44">
        <v>4</v>
      </c>
      <c r="AD156" s="44">
        <v>1</v>
      </c>
      <c r="AE156" s="44">
        <v>16</v>
      </c>
      <c r="AF156" s="44">
        <v>1</v>
      </c>
      <c r="AG156" s="44">
        <v>0</v>
      </c>
      <c r="AH156" s="44">
        <v>243</v>
      </c>
      <c r="AI156" s="44">
        <v>22</v>
      </c>
      <c r="AJ156" s="44">
        <v>0</v>
      </c>
      <c r="AK156" s="44">
        <v>0</v>
      </c>
      <c r="AL156" s="44">
        <v>238</v>
      </c>
      <c r="AM156" s="48"/>
      <c r="AN156" s="48"/>
      <c r="AO156" s="48"/>
      <c r="AP156" s="44"/>
      <c r="AQ156" s="44"/>
      <c r="AR156" s="51"/>
      <c r="AS156" s="51"/>
      <c r="AT156" s="51"/>
      <c r="AU156" s="51"/>
      <c r="AV156" s="51"/>
      <c r="AW156" s="50"/>
      <c r="AX156" s="50"/>
      <c r="AY156" s="50"/>
      <c r="AZ156" s="50"/>
      <c r="BA156" s="50"/>
      <c r="BB156" s="50"/>
      <c r="BC156" s="43">
        <v>8</v>
      </c>
      <c r="BD156" s="43">
        <v>259</v>
      </c>
      <c r="BE156" s="43">
        <v>5</v>
      </c>
      <c r="BF156" s="43">
        <v>253</v>
      </c>
      <c r="BG156" s="43">
        <v>13</v>
      </c>
      <c r="BH156" s="43">
        <v>247</v>
      </c>
      <c r="BI156" s="43">
        <v>27</v>
      </c>
      <c r="BJ156" s="43">
        <v>235</v>
      </c>
      <c r="BK156" s="43">
        <v>222</v>
      </c>
      <c r="BL156" s="43">
        <v>37</v>
      </c>
      <c r="BM156" s="43">
        <v>9</v>
      </c>
      <c r="BN156" s="43">
        <v>250</v>
      </c>
      <c r="BO156" s="43">
        <v>241</v>
      </c>
      <c r="BP156" s="43">
        <v>15</v>
      </c>
      <c r="BQ156" s="43">
        <v>13</v>
      </c>
      <c r="BR156" s="43">
        <v>247</v>
      </c>
      <c r="BS156" s="43">
        <v>96</v>
      </c>
      <c r="BT156" s="43">
        <v>7</v>
      </c>
      <c r="BU156" s="43">
        <v>249</v>
      </c>
      <c r="BV156" s="43">
        <v>149</v>
      </c>
      <c r="BW156" s="43">
        <v>70</v>
      </c>
      <c r="BX156" s="43">
        <v>145</v>
      </c>
      <c r="BY156" s="43">
        <v>81</v>
      </c>
      <c r="BZ156" s="43">
        <v>149</v>
      </c>
      <c r="CA156" s="43">
        <v>131</v>
      </c>
      <c r="CB156" s="43">
        <v>67</v>
      </c>
      <c r="CC156" s="43">
        <v>152</v>
      </c>
      <c r="CD156" s="43">
        <v>145</v>
      </c>
      <c r="CE156" s="43">
        <v>156</v>
      </c>
      <c r="CF156" s="43">
        <v>59</v>
      </c>
      <c r="CG156" s="43">
        <v>72</v>
      </c>
      <c r="CH156" s="43">
        <v>132</v>
      </c>
      <c r="CI156" s="43">
        <v>96</v>
      </c>
      <c r="CJ156" s="43">
        <v>117</v>
      </c>
      <c r="CK156" s="43">
        <v>122</v>
      </c>
      <c r="CL156" s="43">
        <v>98</v>
      </c>
      <c r="CM156" s="43">
        <v>119</v>
      </c>
      <c r="CN156" s="43">
        <v>147</v>
      </c>
      <c r="CO156" s="43">
        <v>111</v>
      </c>
      <c r="CP156" s="43">
        <v>118</v>
      </c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43">
        <v>205</v>
      </c>
      <c r="FZ156" s="43">
        <v>43</v>
      </c>
      <c r="GA156" s="53"/>
      <c r="GB156" s="53"/>
      <c r="GC156" s="53"/>
      <c r="GD156" s="53"/>
      <c r="GE156" s="53"/>
      <c r="GF156" s="53"/>
      <c r="GG156" s="53"/>
      <c r="GH156" s="53"/>
      <c r="GI156" s="43"/>
      <c r="GJ156" s="53"/>
      <c r="GK156" s="53"/>
      <c r="GL156" s="53"/>
      <c r="GM156" s="53"/>
      <c r="GN156" s="53"/>
      <c r="GO156" s="43">
        <v>168</v>
      </c>
      <c r="GP156" s="43">
        <v>73</v>
      </c>
      <c r="GQ156" s="43">
        <v>190</v>
      </c>
      <c r="GR156" s="43">
        <v>52</v>
      </c>
    </row>
    <row r="157" spans="1:200">
      <c r="A157" s="5">
        <v>2409</v>
      </c>
      <c r="B157" s="1" t="s">
        <v>285</v>
      </c>
      <c r="C157" s="33">
        <v>670</v>
      </c>
      <c r="D157" s="34">
        <v>279</v>
      </c>
      <c r="E157" s="19">
        <f t="shared" si="2"/>
        <v>0.41641791044776122</v>
      </c>
      <c r="F157" s="62">
        <v>269</v>
      </c>
      <c r="G157" s="43">
        <v>0</v>
      </c>
      <c r="H157" s="43">
        <v>0</v>
      </c>
      <c r="I157" s="43">
        <v>1</v>
      </c>
      <c r="J157" s="55">
        <v>2</v>
      </c>
      <c r="K157" s="6">
        <v>0</v>
      </c>
      <c r="L157" s="6">
        <v>0</v>
      </c>
      <c r="M157" s="43">
        <v>0</v>
      </c>
      <c r="N157" s="25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4">
        <v>0</v>
      </c>
      <c r="AB157" s="44">
        <v>0</v>
      </c>
      <c r="AC157" s="44">
        <v>3</v>
      </c>
      <c r="AD157" s="44">
        <v>3</v>
      </c>
      <c r="AE157" s="44">
        <v>15</v>
      </c>
      <c r="AF157" s="44">
        <v>1</v>
      </c>
      <c r="AG157" s="44">
        <v>0</v>
      </c>
      <c r="AH157" s="44">
        <v>242</v>
      </c>
      <c r="AI157" s="44">
        <v>22</v>
      </c>
      <c r="AJ157" s="44">
        <v>0</v>
      </c>
      <c r="AK157" s="44">
        <v>0</v>
      </c>
      <c r="AL157" s="44">
        <v>241</v>
      </c>
      <c r="AM157" s="48"/>
      <c r="AN157" s="48"/>
      <c r="AO157" s="48"/>
      <c r="AP157" s="44"/>
      <c r="AQ157" s="44"/>
      <c r="AR157" s="51"/>
      <c r="AS157" s="51"/>
      <c r="AT157" s="51"/>
      <c r="AU157" s="51"/>
      <c r="AV157" s="51"/>
      <c r="AW157" s="50"/>
      <c r="AX157" s="50"/>
      <c r="AY157" s="50"/>
      <c r="AZ157" s="50"/>
      <c r="BA157" s="50"/>
      <c r="BB157" s="50"/>
      <c r="BC157" s="43">
        <v>8</v>
      </c>
      <c r="BD157" s="43">
        <v>260</v>
      </c>
      <c r="BE157" s="43">
        <v>8</v>
      </c>
      <c r="BF157" s="43">
        <v>251</v>
      </c>
      <c r="BG157" s="43">
        <v>16</v>
      </c>
      <c r="BH157" s="43">
        <v>245</v>
      </c>
      <c r="BI157" s="43">
        <v>27</v>
      </c>
      <c r="BJ157" s="43">
        <v>234</v>
      </c>
      <c r="BK157" s="43">
        <v>225</v>
      </c>
      <c r="BL157" s="43">
        <v>35</v>
      </c>
      <c r="BM157" s="43">
        <v>9</v>
      </c>
      <c r="BN157" s="43">
        <v>249</v>
      </c>
      <c r="BO157" s="43">
        <v>231</v>
      </c>
      <c r="BP157" s="43">
        <v>25</v>
      </c>
      <c r="BQ157" s="43">
        <v>10</v>
      </c>
      <c r="BR157" s="43">
        <v>244</v>
      </c>
      <c r="BS157" s="43">
        <v>68</v>
      </c>
      <c r="BT157" s="43">
        <v>10</v>
      </c>
      <c r="BU157" s="43">
        <v>248</v>
      </c>
      <c r="BV157" s="43">
        <v>111</v>
      </c>
      <c r="BW157" s="43">
        <v>56</v>
      </c>
      <c r="BX157" s="43">
        <v>152</v>
      </c>
      <c r="BY157" s="43">
        <v>54</v>
      </c>
      <c r="BZ157" s="43">
        <v>162</v>
      </c>
      <c r="CA157" s="43">
        <v>105</v>
      </c>
      <c r="CB157" s="43">
        <v>36</v>
      </c>
      <c r="CC157" s="43">
        <v>172</v>
      </c>
      <c r="CD157" s="43">
        <v>146</v>
      </c>
      <c r="CE157" s="43">
        <v>169</v>
      </c>
      <c r="CF157" s="43">
        <v>43</v>
      </c>
      <c r="CG157" s="43">
        <v>29</v>
      </c>
      <c r="CH157" s="43">
        <v>163</v>
      </c>
      <c r="CI157" s="43">
        <v>130</v>
      </c>
      <c r="CJ157" s="43">
        <v>71</v>
      </c>
      <c r="CK157" s="43">
        <v>76</v>
      </c>
      <c r="CL157" s="43">
        <v>136</v>
      </c>
      <c r="CM157" s="43">
        <v>99</v>
      </c>
      <c r="CN157" s="43">
        <v>117</v>
      </c>
      <c r="CO157" s="43">
        <v>144</v>
      </c>
      <c r="CP157" s="43">
        <v>67</v>
      </c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43">
        <v>231</v>
      </c>
      <c r="FZ157" s="43">
        <v>22</v>
      </c>
      <c r="GA157" s="53"/>
      <c r="GB157" s="53"/>
      <c r="GC157" s="53"/>
      <c r="GD157" s="53"/>
      <c r="GE157" s="53"/>
      <c r="GF157" s="53"/>
      <c r="GG157" s="53"/>
      <c r="GH157" s="53"/>
      <c r="GI157" s="43"/>
      <c r="GJ157" s="53"/>
      <c r="GK157" s="53"/>
      <c r="GL157" s="53"/>
      <c r="GM157" s="53"/>
      <c r="GN157" s="53"/>
      <c r="GO157" s="43">
        <v>184</v>
      </c>
      <c r="GP157" s="43">
        <v>53</v>
      </c>
      <c r="GQ157" s="43">
        <v>214</v>
      </c>
      <c r="GR157" s="43">
        <v>33</v>
      </c>
    </row>
    <row r="158" spans="1:200">
      <c r="A158" s="5">
        <v>2501</v>
      </c>
      <c r="B158" s="1" t="s">
        <v>286</v>
      </c>
      <c r="C158" s="33">
        <v>1064</v>
      </c>
      <c r="D158" s="34">
        <v>658</v>
      </c>
      <c r="E158" s="19">
        <f t="shared" si="2"/>
        <v>0.61842105263157898</v>
      </c>
      <c r="F158" s="62">
        <v>584</v>
      </c>
      <c r="G158" s="43">
        <v>1</v>
      </c>
      <c r="H158" s="43">
        <v>9</v>
      </c>
      <c r="I158" s="43">
        <v>10</v>
      </c>
      <c r="J158" s="55">
        <v>44</v>
      </c>
      <c r="K158" s="6">
        <v>0</v>
      </c>
      <c r="L158" s="6">
        <v>0</v>
      </c>
      <c r="M158" s="43">
        <v>0</v>
      </c>
      <c r="N158" s="25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  <c r="V158" s="43">
        <v>0</v>
      </c>
      <c r="W158" s="43">
        <v>0</v>
      </c>
      <c r="X158" s="43">
        <v>0</v>
      </c>
      <c r="Y158" s="43">
        <v>0</v>
      </c>
      <c r="Z158" s="43">
        <v>0</v>
      </c>
      <c r="AA158" s="44">
        <v>0</v>
      </c>
      <c r="AB158" s="44">
        <v>0</v>
      </c>
      <c r="AC158" s="44">
        <v>6</v>
      </c>
      <c r="AD158" s="44">
        <v>17</v>
      </c>
      <c r="AE158" s="44">
        <v>86</v>
      </c>
      <c r="AF158" s="44">
        <v>7</v>
      </c>
      <c r="AG158" s="44">
        <v>0</v>
      </c>
      <c r="AH158" s="44">
        <v>520</v>
      </c>
      <c r="AI158" s="44">
        <v>87</v>
      </c>
      <c r="AJ158" s="44">
        <v>4</v>
      </c>
      <c r="AK158" s="44">
        <v>0</v>
      </c>
      <c r="AL158" s="44">
        <v>543</v>
      </c>
      <c r="AM158" s="48"/>
      <c r="AN158" s="48"/>
      <c r="AO158" s="48"/>
      <c r="AP158" s="44"/>
      <c r="AQ158" s="44"/>
      <c r="AR158" s="51"/>
      <c r="AS158" s="51"/>
      <c r="AT158" s="51"/>
      <c r="AU158" s="51"/>
      <c r="AV158" s="51"/>
      <c r="AW158" s="50"/>
      <c r="AX158" s="50"/>
      <c r="AY158" s="50"/>
      <c r="AZ158" s="50"/>
      <c r="BA158" s="43">
        <v>577</v>
      </c>
      <c r="BB158" s="43">
        <v>56</v>
      </c>
      <c r="BC158" s="50"/>
      <c r="BD158" s="50"/>
      <c r="BE158" s="43">
        <v>55</v>
      </c>
      <c r="BF158" s="43">
        <v>571</v>
      </c>
      <c r="BG158" s="43">
        <v>67</v>
      </c>
      <c r="BH158" s="43">
        <v>565</v>
      </c>
      <c r="BI158" s="43">
        <v>108</v>
      </c>
      <c r="BJ158" s="43">
        <v>524</v>
      </c>
      <c r="BK158" s="43">
        <v>525</v>
      </c>
      <c r="BL158" s="43">
        <v>96</v>
      </c>
      <c r="BM158" s="43">
        <v>49</v>
      </c>
      <c r="BN158" s="43">
        <v>584</v>
      </c>
      <c r="BO158" s="43">
        <v>544</v>
      </c>
      <c r="BP158" s="43">
        <v>72</v>
      </c>
      <c r="BQ158" s="43">
        <v>80</v>
      </c>
      <c r="BR158" s="43">
        <v>545</v>
      </c>
      <c r="BS158" s="43">
        <v>267</v>
      </c>
      <c r="BT158" s="43">
        <v>53</v>
      </c>
      <c r="BU158" s="43">
        <v>576</v>
      </c>
      <c r="BV158" s="43">
        <v>367</v>
      </c>
      <c r="BW158" s="43">
        <v>204</v>
      </c>
      <c r="BX158" s="43">
        <v>327</v>
      </c>
      <c r="BY158" s="43">
        <v>175</v>
      </c>
      <c r="BZ158" s="43">
        <v>391</v>
      </c>
      <c r="CA158" s="43">
        <v>335</v>
      </c>
      <c r="CB158" s="43">
        <v>124</v>
      </c>
      <c r="CC158" s="43">
        <v>414</v>
      </c>
      <c r="CD158" s="43">
        <v>386</v>
      </c>
      <c r="CE158" s="43">
        <v>412</v>
      </c>
      <c r="CF158" s="43">
        <v>132</v>
      </c>
      <c r="CG158" s="43">
        <v>168</v>
      </c>
      <c r="CH158" s="43">
        <v>333</v>
      </c>
      <c r="CI158" s="43">
        <v>311</v>
      </c>
      <c r="CJ158" s="43">
        <v>215</v>
      </c>
      <c r="CK158" s="43">
        <v>223</v>
      </c>
      <c r="CL158" s="43">
        <v>314</v>
      </c>
      <c r="CM158" s="43">
        <v>323</v>
      </c>
      <c r="CN158" s="43">
        <v>369</v>
      </c>
      <c r="CO158" s="43">
        <v>329</v>
      </c>
      <c r="CP158" s="43">
        <v>221</v>
      </c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43">
        <v>460</v>
      </c>
      <c r="FZ158" s="43">
        <v>161</v>
      </c>
      <c r="GA158" s="53"/>
      <c r="GB158" s="53"/>
      <c r="GC158" s="53"/>
      <c r="GD158" s="53"/>
      <c r="GE158" s="53"/>
      <c r="GF158" s="53"/>
      <c r="GG158" s="53"/>
      <c r="GH158" s="53"/>
      <c r="GI158" s="43"/>
      <c r="GJ158" s="53"/>
      <c r="GK158" s="53"/>
      <c r="GL158" s="53"/>
      <c r="GM158" s="53"/>
      <c r="GN158" s="53"/>
      <c r="GO158" s="43">
        <v>444</v>
      </c>
      <c r="GP158" s="43">
        <v>163</v>
      </c>
      <c r="GQ158" s="43">
        <v>507</v>
      </c>
      <c r="GR158" s="43">
        <v>114</v>
      </c>
    </row>
    <row r="159" spans="1:200">
      <c r="A159" s="5">
        <v>2502</v>
      </c>
      <c r="B159" s="1" t="s">
        <v>287</v>
      </c>
      <c r="C159" s="33">
        <v>1278</v>
      </c>
      <c r="D159" s="34">
        <v>602</v>
      </c>
      <c r="E159" s="19">
        <f t="shared" si="2"/>
        <v>0.47104851330203446</v>
      </c>
      <c r="F159" s="62">
        <v>443</v>
      </c>
      <c r="G159" s="43">
        <v>4</v>
      </c>
      <c r="H159" s="43">
        <v>6</v>
      </c>
      <c r="I159" s="43">
        <v>3</v>
      </c>
      <c r="J159" s="55">
        <v>139</v>
      </c>
      <c r="K159" s="6">
        <v>0</v>
      </c>
      <c r="L159" s="6">
        <v>0</v>
      </c>
      <c r="M159" s="43">
        <v>0</v>
      </c>
      <c r="N159" s="25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0</v>
      </c>
      <c r="X159" s="43">
        <v>0</v>
      </c>
      <c r="Y159" s="43">
        <v>0</v>
      </c>
      <c r="Z159" s="43">
        <v>0</v>
      </c>
      <c r="AA159" s="44">
        <v>0</v>
      </c>
      <c r="AB159" s="44">
        <v>0</v>
      </c>
      <c r="AC159" s="44">
        <v>17</v>
      </c>
      <c r="AD159" s="44">
        <v>9</v>
      </c>
      <c r="AE159" s="44">
        <v>157</v>
      </c>
      <c r="AF159" s="44">
        <v>6</v>
      </c>
      <c r="AG159" s="44">
        <v>0</v>
      </c>
      <c r="AH159" s="44">
        <v>379</v>
      </c>
      <c r="AI159" s="44">
        <v>166</v>
      </c>
      <c r="AJ159" s="44">
        <v>0</v>
      </c>
      <c r="AK159" s="44">
        <v>0</v>
      </c>
      <c r="AL159" s="44">
        <v>402</v>
      </c>
      <c r="AM159" s="48"/>
      <c r="AN159" s="48"/>
      <c r="AO159" s="48"/>
      <c r="AP159" s="44"/>
      <c r="AQ159" s="44"/>
      <c r="AR159" s="51"/>
      <c r="AS159" s="51"/>
      <c r="AT159" s="51"/>
      <c r="AU159" s="51"/>
      <c r="AV159" s="51"/>
      <c r="AW159" s="50"/>
      <c r="AX159" s="50"/>
      <c r="AY159" s="50"/>
      <c r="AZ159" s="50"/>
      <c r="BA159" s="43">
        <v>416</v>
      </c>
      <c r="BB159" s="43">
        <v>126</v>
      </c>
      <c r="BC159" s="50"/>
      <c r="BD159" s="50"/>
      <c r="BE159" s="43">
        <v>92</v>
      </c>
      <c r="BF159" s="43">
        <v>465</v>
      </c>
      <c r="BG159" s="43">
        <v>153</v>
      </c>
      <c r="BH159" s="43">
        <v>407</v>
      </c>
      <c r="BI159" s="43">
        <v>199</v>
      </c>
      <c r="BJ159" s="43">
        <v>358</v>
      </c>
      <c r="BK159" s="43">
        <v>377</v>
      </c>
      <c r="BL159" s="43">
        <v>176</v>
      </c>
      <c r="BM159" s="43">
        <v>110</v>
      </c>
      <c r="BN159" s="43">
        <v>437</v>
      </c>
      <c r="BO159" s="43">
        <v>397</v>
      </c>
      <c r="BP159" s="43">
        <v>151</v>
      </c>
      <c r="BQ159" s="43">
        <v>157</v>
      </c>
      <c r="BR159" s="43">
        <v>387</v>
      </c>
      <c r="BS159" s="43">
        <v>253</v>
      </c>
      <c r="BT159" s="43">
        <v>109</v>
      </c>
      <c r="BU159" s="43">
        <v>437</v>
      </c>
      <c r="BV159" s="43">
        <v>312</v>
      </c>
      <c r="BW159" s="43">
        <v>165</v>
      </c>
      <c r="BX159" s="43">
        <v>289</v>
      </c>
      <c r="BY159" s="43">
        <v>224</v>
      </c>
      <c r="BZ159" s="43">
        <v>273</v>
      </c>
      <c r="CA159" s="43">
        <v>277</v>
      </c>
      <c r="CB159" s="43">
        <v>140</v>
      </c>
      <c r="CC159" s="43">
        <v>311</v>
      </c>
      <c r="CD159" s="43">
        <v>335</v>
      </c>
      <c r="CE159" s="43">
        <v>289</v>
      </c>
      <c r="CF159" s="43">
        <v>175</v>
      </c>
      <c r="CG159" s="43">
        <v>155</v>
      </c>
      <c r="CH159" s="43">
        <v>276</v>
      </c>
      <c r="CI159" s="43">
        <v>229</v>
      </c>
      <c r="CJ159" s="43">
        <v>220</v>
      </c>
      <c r="CK159" s="43">
        <v>218</v>
      </c>
      <c r="CL159" s="43">
        <v>249</v>
      </c>
      <c r="CM159" s="43">
        <v>264</v>
      </c>
      <c r="CN159" s="43">
        <v>297</v>
      </c>
      <c r="CO159" s="43">
        <v>255</v>
      </c>
      <c r="CP159" s="43">
        <v>206</v>
      </c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43">
        <v>379</v>
      </c>
      <c r="FZ159" s="43">
        <v>174</v>
      </c>
      <c r="GA159" s="53"/>
      <c r="GB159" s="53"/>
      <c r="GC159" s="53"/>
      <c r="GD159" s="53"/>
      <c r="GE159" s="53"/>
      <c r="GF159" s="53"/>
      <c r="GG159" s="53"/>
      <c r="GH159" s="53"/>
      <c r="GI159" s="43"/>
      <c r="GJ159" s="53"/>
      <c r="GK159" s="53"/>
      <c r="GL159" s="53"/>
      <c r="GM159" s="53"/>
      <c r="GN159" s="53"/>
      <c r="GO159" s="43">
        <v>388</v>
      </c>
      <c r="GP159" s="43">
        <v>155</v>
      </c>
      <c r="GQ159" s="43">
        <v>410</v>
      </c>
      <c r="GR159" s="43">
        <v>139</v>
      </c>
    </row>
    <row r="160" spans="1:200">
      <c r="A160" s="5">
        <v>2503</v>
      </c>
      <c r="B160" s="1" t="s">
        <v>288</v>
      </c>
      <c r="C160" s="33">
        <v>1075</v>
      </c>
      <c r="D160" s="34">
        <v>831</v>
      </c>
      <c r="E160" s="19">
        <f t="shared" si="2"/>
        <v>0.77302325581395348</v>
      </c>
      <c r="F160" s="62">
        <v>351</v>
      </c>
      <c r="G160" s="43">
        <v>1</v>
      </c>
      <c r="H160" s="43">
        <v>38</v>
      </c>
      <c r="I160" s="43">
        <v>15</v>
      </c>
      <c r="J160" s="55">
        <v>401</v>
      </c>
      <c r="K160" s="6">
        <v>0</v>
      </c>
      <c r="L160" s="6">
        <v>0</v>
      </c>
      <c r="M160" s="43">
        <v>0</v>
      </c>
      <c r="N160" s="25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  <c r="V160" s="43">
        <v>0</v>
      </c>
      <c r="W160" s="43">
        <v>2</v>
      </c>
      <c r="X160" s="43">
        <v>0</v>
      </c>
      <c r="Y160" s="43">
        <v>0</v>
      </c>
      <c r="Z160" s="43">
        <v>0</v>
      </c>
      <c r="AA160" s="44">
        <v>0</v>
      </c>
      <c r="AB160" s="44">
        <v>0</v>
      </c>
      <c r="AC160" s="44">
        <v>8</v>
      </c>
      <c r="AD160" s="44">
        <v>26</v>
      </c>
      <c r="AE160" s="44">
        <v>474</v>
      </c>
      <c r="AF160" s="44">
        <v>10</v>
      </c>
      <c r="AG160" s="44">
        <v>0</v>
      </c>
      <c r="AH160" s="44">
        <v>285</v>
      </c>
      <c r="AI160" s="44">
        <v>481</v>
      </c>
      <c r="AJ160" s="44">
        <v>0</v>
      </c>
      <c r="AK160" s="44">
        <v>0</v>
      </c>
      <c r="AL160" s="44">
        <v>331</v>
      </c>
      <c r="AM160" s="48"/>
      <c r="AN160" s="48"/>
      <c r="AO160" s="48"/>
      <c r="AP160" s="44">
        <v>333</v>
      </c>
      <c r="AQ160" s="44">
        <v>422</v>
      </c>
      <c r="AR160" s="51"/>
      <c r="AS160" s="51"/>
      <c r="AT160" s="51"/>
      <c r="AU160" s="51"/>
      <c r="AV160" s="51"/>
      <c r="AW160" s="43">
        <v>336</v>
      </c>
      <c r="AX160" s="43">
        <v>426</v>
      </c>
      <c r="AY160" s="50"/>
      <c r="AZ160" s="50"/>
      <c r="BA160" s="50"/>
      <c r="BB160" s="50"/>
      <c r="BC160" s="50"/>
      <c r="BD160" s="50"/>
      <c r="BE160" s="43">
        <v>338</v>
      </c>
      <c r="BF160" s="43">
        <v>439</v>
      </c>
      <c r="BG160" s="43">
        <v>408</v>
      </c>
      <c r="BH160" s="43">
        <v>389</v>
      </c>
      <c r="BI160" s="43">
        <v>496</v>
      </c>
      <c r="BJ160" s="43">
        <v>281</v>
      </c>
      <c r="BK160" s="43">
        <v>350</v>
      </c>
      <c r="BL160" s="43">
        <v>438</v>
      </c>
      <c r="BM160" s="43">
        <v>292</v>
      </c>
      <c r="BN160" s="43">
        <v>491</v>
      </c>
      <c r="BO160" s="43">
        <v>331</v>
      </c>
      <c r="BP160" s="43">
        <v>427</v>
      </c>
      <c r="BQ160" s="43">
        <v>460</v>
      </c>
      <c r="BR160" s="43">
        <v>295</v>
      </c>
      <c r="BS160" s="43">
        <v>504</v>
      </c>
      <c r="BT160" s="43">
        <v>299</v>
      </c>
      <c r="BU160" s="43">
        <v>456</v>
      </c>
      <c r="BV160" s="43">
        <v>485</v>
      </c>
      <c r="BW160" s="43">
        <v>367</v>
      </c>
      <c r="BX160" s="43">
        <v>237</v>
      </c>
      <c r="BY160" s="43">
        <v>411</v>
      </c>
      <c r="BZ160" s="43">
        <v>252</v>
      </c>
      <c r="CA160" s="43">
        <v>436</v>
      </c>
      <c r="CB160" s="43">
        <v>329</v>
      </c>
      <c r="CC160" s="43">
        <v>263</v>
      </c>
      <c r="CD160" s="43">
        <v>423</v>
      </c>
      <c r="CE160" s="43">
        <v>253</v>
      </c>
      <c r="CF160" s="43">
        <v>379</v>
      </c>
      <c r="CG160" s="43">
        <v>357</v>
      </c>
      <c r="CH160" s="43">
        <v>213</v>
      </c>
      <c r="CI160" s="43">
        <v>167</v>
      </c>
      <c r="CJ160" s="43">
        <v>434</v>
      </c>
      <c r="CK160" s="43">
        <v>398</v>
      </c>
      <c r="CL160" s="43">
        <v>209</v>
      </c>
      <c r="CM160" s="43">
        <v>431</v>
      </c>
      <c r="CN160" s="43">
        <v>418</v>
      </c>
      <c r="CO160" s="43">
        <v>194</v>
      </c>
      <c r="CP160" s="43">
        <v>405</v>
      </c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43">
        <v>378</v>
      </c>
      <c r="FZ160" s="43">
        <v>419</v>
      </c>
      <c r="GA160" s="53"/>
      <c r="GB160" s="53"/>
      <c r="GC160" s="53"/>
      <c r="GD160" s="53"/>
      <c r="GE160" s="53"/>
      <c r="GF160" s="53"/>
      <c r="GG160" s="53"/>
      <c r="GH160" s="53"/>
      <c r="GI160" s="43"/>
      <c r="GJ160" s="53"/>
      <c r="GK160" s="53"/>
      <c r="GL160" s="53"/>
      <c r="GM160" s="53"/>
      <c r="GN160" s="53"/>
      <c r="GO160" s="43">
        <v>528</v>
      </c>
      <c r="GP160" s="43">
        <v>269</v>
      </c>
      <c r="GQ160" s="43">
        <v>540</v>
      </c>
      <c r="GR160" s="43">
        <v>255</v>
      </c>
    </row>
    <row r="161" spans="1:200">
      <c r="A161" s="5">
        <v>2504</v>
      </c>
      <c r="B161" s="1" t="s">
        <v>289</v>
      </c>
      <c r="C161" s="33">
        <v>1593</v>
      </c>
      <c r="D161" s="34">
        <v>984</v>
      </c>
      <c r="E161" s="19">
        <f t="shared" si="2"/>
        <v>0.61770244821092279</v>
      </c>
      <c r="F161" s="62">
        <v>542</v>
      </c>
      <c r="G161" s="43">
        <v>2</v>
      </c>
      <c r="H161" s="43">
        <v>27</v>
      </c>
      <c r="I161" s="43">
        <v>8</v>
      </c>
      <c r="J161" s="55">
        <v>381</v>
      </c>
      <c r="K161" s="6">
        <v>0</v>
      </c>
      <c r="L161" s="6">
        <v>0</v>
      </c>
      <c r="M161" s="43">
        <v>1</v>
      </c>
      <c r="N161" s="25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4</v>
      </c>
      <c r="X161" s="43">
        <v>0</v>
      </c>
      <c r="Y161" s="43">
        <v>0</v>
      </c>
      <c r="Z161" s="43">
        <v>0</v>
      </c>
      <c r="AA161" s="44">
        <v>0</v>
      </c>
      <c r="AB161" s="44">
        <v>0</v>
      </c>
      <c r="AC161" s="44">
        <v>12</v>
      </c>
      <c r="AD161" s="44">
        <v>24</v>
      </c>
      <c r="AE161" s="44">
        <v>434</v>
      </c>
      <c r="AF161" s="44">
        <v>24</v>
      </c>
      <c r="AG161" s="44">
        <v>0</v>
      </c>
      <c r="AH161" s="44">
        <v>458</v>
      </c>
      <c r="AI161" s="44">
        <v>443</v>
      </c>
      <c r="AJ161" s="44">
        <v>0</v>
      </c>
      <c r="AK161" s="44">
        <v>0</v>
      </c>
      <c r="AL161" s="44">
        <v>508</v>
      </c>
      <c r="AM161" s="48"/>
      <c r="AN161" s="48"/>
      <c r="AO161" s="48"/>
      <c r="AP161" s="44">
        <v>538</v>
      </c>
      <c r="AQ161" s="44">
        <v>369</v>
      </c>
      <c r="AR161" s="51"/>
      <c r="AS161" s="51"/>
      <c r="AT161" s="51"/>
      <c r="AU161" s="51"/>
      <c r="AV161" s="51"/>
      <c r="AW161" s="43">
        <v>516</v>
      </c>
      <c r="AX161" s="43">
        <v>387</v>
      </c>
      <c r="AY161" s="50"/>
      <c r="AZ161" s="50"/>
      <c r="BA161" s="50"/>
      <c r="BB161" s="50"/>
      <c r="BC161" s="50"/>
      <c r="BD161" s="50"/>
      <c r="BE161" s="43">
        <v>298</v>
      </c>
      <c r="BF161" s="43">
        <v>622</v>
      </c>
      <c r="BG161" s="43">
        <v>385</v>
      </c>
      <c r="BH161" s="43">
        <v>549</v>
      </c>
      <c r="BI161" s="43">
        <v>462</v>
      </c>
      <c r="BJ161" s="43">
        <v>444</v>
      </c>
      <c r="BK161" s="43">
        <v>518</v>
      </c>
      <c r="BL161" s="43">
        <v>407</v>
      </c>
      <c r="BM161" s="43">
        <v>262</v>
      </c>
      <c r="BN161" s="43">
        <v>653</v>
      </c>
      <c r="BO161" s="43">
        <v>471</v>
      </c>
      <c r="BP161" s="43">
        <v>429</v>
      </c>
      <c r="BQ161" s="43">
        <v>432</v>
      </c>
      <c r="BR161" s="43">
        <v>473</v>
      </c>
      <c r="BS161" s="43">
        <v>553</v>
      </c>
      <c r="BT161" s="43">
        <v>272</v>
      </c>
      <c r="BU161" s="43">
        <v>642</v>
      </c>
      <c r="BV161" s="43">
        <v>597</v>
      </c>
      <c r="BW161" s="43">
        <v>389</v>
      </c>
      <c r="BX161" s="43">
        <v>378</v>
      </c>
      <c r="BY161" s="43">
        <v>466</v>
      </c>
      <c r="BZ161" s="43">
        <v>355</v>
      </c>
      <c r="CA161" s="43">
        <v>551</v>
      </c>
      <c r="CB161" s="43">
        <v>322</v>
      </c>
      <c r="CC161" s="43">
        <v>421</v>
      </c>
      <c r="CD161" s="43">
        <v>569</v>
      </c>
      <c r="CE161" s="43">
        <v>365</v>
      </c>
      <c r="CF161" s="43">
        <v>422</v>
      </c>
      <c r="CG161" s="43">
        <v>358</v>
      </c>
      <c r="CH161" s="43">
        <v>366</v>
      </c>
      <c r="CI161" s="43">
        <v>266</v>
      </c>
      <c r="CJ161" s="43">
        <v>482</v>
      </c>
      <c r="CK161" s="43">
        <v>413</v>
      </c>
      <c r="CL161" s="43">
        <v>352</v>
      </c>
      <c r="CM161" s="43">
        <v>530</v>
      </c>
      <c r="CN161" s="43">
        <v>542</v>
      </c>
      <c r="CO161" s="43">
        <v>304</v>
      </c>
      <c r="CP161" s="43">
        <v>447</v>
      </c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43">
        <v>450</v>
      </c>
      <c r="FZ161" s="43">
        <v>484</v>
      </c>
      <c r="GA161" s="53"/>
      <c r="GB161" s="53"/>
      <c r="GC161" s="53"/>
      <c r="GD161" s="53"/>
      <c r="GE161" s="53"/>
      <c r="GF161" s="53"/>
      <c r="GG161" s="53"/>
      <c r="GH161" s="53"/>
      <c r="GI161" s="43"/>
      <c r="GJ161" s="53"/>
      <c r="GK161" s="53"/>
      <c r="GL161" s="53"/>
      <c r="GM161" s="53"/>
      <c r="GN161" s="53"/>
      <c r="GO161" s="43">
        <v>625</v>
      </c>
      <c r="GP161" s="43">
        <v>315</v>
      </c>
      <c r="GQ161" s="43">
        <v>623</v>
      </c>
      <c r="GR161" s="43">
        <v>306</v>
      </c>
    </row>
    <row r="162" spans="1:200">
      <c r="A162" s="5">
        <v>2505</v>
      </c>
      <c r="B162" s="1" t="s">
        <v>290</v>
      </c>
      <c r="C162" s="33">
        <v>1119</v>
      </c>
      <c r="D162" s="34">
        <v>866</v>
      </c>
      <c r="E162" s="19">
        <f t="shared" si="2"/>
        <v>0.77390527256479003</v>
      </c>
      <c r="F162" s="62">
        <v>353</v>
      </c>
      <c r="G162" s="43">
        <v>6</v>
      </c>
      <c r="H162" s="43">
        <v>40</v>
      </c>
      <c r="I162" s="43">
        <v>9</v>
      </c>
      <c r="J162" s="55">
        <v>444</v>
      </c>
      <c r="K162" s="6">
        <v>0</v>
      </c>
      <c r="L162" s="6">
        <v>0</v>
      </c>
      <c r="M162" s="43">
        <v>0</v>
      </c>
      <c r="N162" s="25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  <c r="V162" s="43">
        <v>0</v>
      </c>
      <c r="W162" s="43">
        <v>3</v>
      </c>
      <c r="X162" s="43">
        <v>0</v>
      </c>
      <c r="Y162" s="43">
        <v>0</v>
      </c>
      <c r="Z162" s="43">
        <v>0</v>
      </c>
      <c r="AA162" s="44">
        <v>0</v>
      </c>
      <c r="AB162" s="44">
        <v>0</v>
      </c>
      <c r="AC162" s="44">
        <v>12</v>
      </c>
      <c r="AD162" s="44">
        <v>12</v>
      </c>
      <c r="AE162" s="44">
        <v>492</v>
      </c>
      <c r="AF162" s="44">
        <v>14</v>
      </c>
      <c r="AG162" s="44">
        <v>0</v>
      </c>
      <c r="AH162" s="44">
        <v>301</v>
      </c>
      <c r="AI162" s="44">
        <v>513</v>
      </c>
      <c r="AJ162" s="44">
        <v>0</v>
      </c>
      <c r="AK162" s="44">
        <v>0</v>
      </c>
      <c r="AL162" s="44">
        <v>330</v>
      </c>
      <c r="AM162" s="48"/>
      <c r="AN162" s="48"/>
      <c r="AO162" s="48"/>
      <c r="AP162" s="44">
        <v>332</v>
      </c>
      <c r="AQ162" s="44">
        <v>462</v>
      </c>
      <c r="AR162" s="51"/>
      <c r="AS162" s="51"/>
      <c r="AT162" s="51"/>
      <c r="AU162" s="51"/>
      <c r="AV162" s="51"/>
      <c r="AW162" s="43">
        <v>356</v>
      </c>
      <c r="AX162" s="43">
        <v>451</v>
      </c>
      <c r="AY162" s="50"/>
      <c r="AZ162" s="50"/>
      <c r="BA162" s="50"/>
      <c r="BB162" s="50"/>
      <c r="BC162" s="50"/>
      <c r="BD162" s="50"/>
      <c r="BE162" s="43">
        <v>358</v>
      </c>
      <c r="BF162" s="43">
        <v>445</v>
      </c>
      <c r="BG162" s="43">
        <v>448</v>
      </c>
      <c r="BH162" s="43">
        <v>383</v>
      </c>
      <c r="BI162" s="43">
        <v>506</v>
      </c>
      <c r="BJ162" s="43">
        <v>301</v>
      </c>
      <c r="BK162" s="43">
        <v>350</v>
      </c>
      <c r="BL162" s="43">
        <v>465</v>
      </c>
      <c r="BM162" s="43">
        <v>328</v>
      </c>
      <c r="BN162" s="43">
        <v>489</v>
      </c>
      <c r="BO162" s="43">
        <v>312</v>
      </c>
      <c r="BP162" s="43">
        <v>476</v>
      </c>
      <c r="BQ162" s="43">
        <v>485</v>
      </c>
      <c r="BR162" s="43">
        <v>305</v>
      </c>
      <c r="BS162" s="43">
        <v>567</v>
      </c>
      <c r="BT162" s="43">
        <v>318</v>
      </c>
      <c r="BU162" s="43">
        <v>470</v>
      </c>
      <c r="BV162" s="43">
        <v>539</v>
      </c>
      <c r="BW162" s="43">
        <v>397</v>
      </c>
      <c r="BX162" s="43">
        <v>252</v>
      </c>
      <c r="BY162" s="43">
        <v>460</v>
      </c>
      <c r="BZ162" s="43">
        <v>252</v>
      </c>
      <c r="CA162" s="43">
        <v>493</v>
      </c>
      <c r="CB162" s="43">
        <v>358</v>
      </c>
      <c r="CC162" s="43">
        <v>270</v>
      </c>
      <c r="CD162" s="43">
        <v>497</v>
      </c>
      <c r="CE162" s="43">
        <v>255</v>
      </c>
      <c r="CF162" s="43">
        <v>406</v>
      </c>
      <c r="CG162" s="43">
        <v>392</v>
      </c>
      <c r="CH162" s="43">
        <v>226</v>
      </c>
      <c r="CI162" s="43">
        <v>171</v>
      </c>
      <c r="CJ162" s="43">
        <v>473</v>
      </c>
      <c r="CK162" s="43">
        <v>418</v>
      </c>
      <c r="CL162" s="43">
        <v>223</v>
      </c>
      <c r="CM162" s="43">
        <v>479</v>
      </c>
      <c r="CN162" s="43">
        <v>478</v>
      </c>
      <c r="CO162" s="43">
        <v>214</v>
      </c>
      <c r="CP162" s="43">
        <v>432</v>
      </c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43">
        <v>340</v>
      </c>
      <c r="FZ162" s="43">
        <v>484</v>
      </c>
      <c r="GA162" s="53"/>
      <c r="GB162" s="53"/>
      <c r="GC162" s="53"/>
      <c r="GD162" s="53"/>
      <c r="GE162" s="53"/>
      <c r="GF162" s="53"/>
      <c r="GG162" s="53"/>
      <c r="GH162" s="53"/>
      <c r="GI162" s="43"/>
      <c r="GJ162" s="53"/>
      <c r="GK162" s="53"/>
      <c r="GL162" s="53"/>
      <c r="GM162" s="53"/>
      <c r="GN162" s="53"/>
      <c r="GO162" s="43">
        <v>551</v>
      </c>
      <c r="GP162" s="43">
        <v>272</v>
      </c>
      <c r="GQ162" s="43">
        <v>520</v>
      </c>
      <c r="GR162" s="43">
        <v>299</v>
      </c>
    </row>
    <row r="163" spans="1:200">
      <c r="A163" s="5">
        <v>2506</v>
      </c>
      <c r="B163" s="1" t="s">
        <v>291</v>
      </c>
      <c r="C163" s="33">
        <v>1804</v>
      </c>
      <c r="D163" s="34">
        <v>985</v>
      </c>
      <c r="E163" s="19">
        <f t="shared" si="2"/>
        <v>0.5460088691796009</v>
      </c>
      <c r="F163" s="62">
        <v>607</v>
      </c>
      <c r="G163" s="43">
        <v>3</v>
      </c>
      <c r="H163" s="43">
        <v>17</v>
      </c>
      <c r="I163" s="43">
        <v>20</v>
      </c>
      <c r="J163" s="55">
        <v>320</v>
      </c>
      <c r="K163" s="6">
        <v>0</v>
      </c>
      <c r="L163" s="6">
        <v>0</v>
      </c>
      <c r="M163" s="43">
        <v>0</v>
      </c>
      <c r="N163" s="25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3</v>
      </c>
      <c r="X163" s="43">
        <v>0</v>
      </c>
      <c r="Y163" s="43">
        <v>0</v>
      </c>
      <c r="Z163" s="43">
        <v>0</v>
      </c>
      <c r="AA163" s="44">
        <v>0</v>
      </c>
      <c r="AB163" s="44">
        <v>0</v>
      </c>
      <c r="AC163" s="44">
        <v>16</v>
      </c>
      <c r="AD163" s="44">
        <v>23</v>
      </c>
      <c r="AE163" s="44">
        <v>366</v>
      </c>
      <c r="AF163" s="44">
        <v>10</v>
      </c>
      <c r="AG163" s="44">
        <v>0</v>
      </c>
      <c r="AH163" s="44">
        <v>531</v>
      </c>
      <c r="AI163" s="44">
        <v>373</v>
      </c>
      <c r="AJ163" s="44">
        <v>0</v>
      </c>
      <c r="AK163" s="44">
        <v>0</v>
      </c>
      <c r="AL163" s="44">
        <v>567</v>
      </c>
      <c r="AM163" s="48"/>
      <c r="AN163" s="48"/>
      <c r="AO163" s="48"/>
      <c r="AP163" s="44">
        <v>600</v>
      </c>
      <c r="AQ163" s="44">
        <v>301</v>
      </c>
      <c r="AR163" s="51"/>
      <c r="AS163" s="51"/>
      <c r="AT163" s="51"/>
      <c r="AU163" s="51"/>
      <c r="AV163" s="51"/>
      <c r="AW163" s="43">
        <v>585</v>
      </c>
      <c r="AX163" s="43">
        <v>319</v>
      </c>
      <c r="AY163" s="50"/>
      <c r="AZ163" s="50"/>
      <c r="BA163" s="50"/>
      <c r="BB163" s="50"/>
      <c r="BC163" s="50"/>
      <c r="BD163" s="50"/>
      <c r="BE163" s="43">
        <v>255</v>
      </c>
      <c r="BF163" s="43">
        <v>663</v>
      </c>
      <c r="BG163" s="43">
        <v>324</v>
      </c>
      <c r="BH163" s="43">
        <v>609</v>
      </c>
      <c r="BI163" s="43">
        <v>426</v>
      </c>
      <c r="BJ163" s="43">
        <v>487</v>
      </c>
      <c r="BK163" s="43">
        <v>562</v>
      </c>
      <c r="BL163" s="43">
        <v>366</v>
      </c>
      <c r="BM163" s="43">
        <v>234</v>
      </c>
      <c r="BN163" s="43">
        <v>683</v>
      </c>
      <c r="BO163" s="43">
        <v>556</v>
      </c>
      <c r="BP163" s="43">
        <v>341</v>
      </c>
      <c r="BQ163" s="43">
        <v>356</v>
      </c>
      <c r="BR163" s="43">
        <v>544</v>
      </c>
      <c r="BS163" s="43">
        <v>496</v>
      </c>
      <c r="BT163" s="43">
        <v>223</v>
      </c>
      <c r="BU163" s="43">
        <v>675</v>
      </c>
      <c r="BV163" s="43">
        <v>558</v>
      </c>
      <c r="BW163" s="43">
        <v>308</v>
      </c>
      <c r="BX163" s="43">
        <v>421</v>
      </c>
      <c r="BY163" s="43">
        <v>403</v>
      </c>
      <c r="BZ163" s="43">
        <v>407</v>
      </c>
      <c r="CA163" s="43">
        <v>511</v>
      </c>
      <c r="CB163" s="43">
        <v>285</v>
      </c>
      <c r="CC163" s="43">
        <v>457</v>
      </c>
      <c r="CD163" s="43">
        <v>537</v>
      </c>
      <c r="CE163" s="43">
        <v>409</v>
      </c>
      <c r="CF163" s="43">
        <v>352</v>
      </c>
      <c r="CG163" s="43">
        <v>310</v>
      </c>
      <c r="CH163" s="43">
        <v>389</v>
      </c>
      <c r="CI163" s="43">
        <v>291</v>
      </c>
      <c r="CJ163" s="43">
        <v>438</v>
      </c>
      <c r="CK163" s="43">
        <v>365</v>
      </c>
      <c r="CL163" s="43">
        <v>367</v>
      </c>
      <c r="CM163" s="43">
        <v>477</v>
      </c>
      <c r="CN163" s="43">
        <v>499</v>
      </c>
      <c r="CO163" s="43">
        <v>326</v>
      </c>
      <c r="CP163" s="43">
        <v>405</v>
      </c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43">
        <v>522</v>
      </c>
      <c r="FZ163" s="43">
        <v>415</v>
      </c>
      <c r="GA163" s="53"/>
      <c r="GB163" s="53"/>
      <c r="GC163" s="53"/>
      <c r="GD163" s="53"/>
      <c r="GE163" s="53"/>
      <c r="GF163" s="53"/>
      <c r="GG163" s="53"/>
      <c r="GH163" s="53"/>
      <c r="GI163" s="43"/>
      <c r="GJ163" s="53"/>
      <c r="GK163" s="53"/>
      <c r="GL163" s="53"/>
      <c r="GM163" s="53"/>
      <c r="GN163" s="53"/>
      <c r="GO163" s="43">
        <v>613</v>
      </c>
      <c r="GP163" s="43">
        <v>308</v>
      </c>
      <c r="GQ163" s="43">
        <v>627</v>
      </c>
      <c r="GR163" s="43">
        <v>296</v>
      </c>
    </row>
    <row r="164" spans="1:200">
      <c r="A164" s="5">
        <v>2507</v>
      </c>
      <c r="B164" s="1" t="s">
        <v>292</v>
      </c>
      <c r="C164" s="33">
        <v>586</v>
      </c>
      <c r="D164" s="34">
        <v>352</v>
      </c>
      <c r="E164" s="19">
        <f t="shared" si="2"/>
        <v>0.60068259385665534</v>
      </c>
      <c r="F164" s="62">
        <v>210</v>
      </c>
      <c r="G164" s="43">
        <v>1</v>
      </c>
      <c r="H164" s="43">
        <v>7</v>
      </c>
      <c r="I164" s="43">
        <v>6</v>
      </c>
      <c r="J164" s="55">
        <v>121</v>
      </c>
      <c r="K164" s="6">
        <v>0</v>
      </c>
      <c r="L164" s="6">
        <v>0</v>
      </c>
      <c r="M164" s="43">
        <v>0</v>
      </c>
      <c r="N164" s="25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  <c r="V164" s="43">
        <v>0</v>
      </c>
      <c r="W164" s="43">
        <v>2</v>
      </c>
      <c r="X164" s="43">
        <v>0</v>
      </c>
      <c r="Y164" s="43">
        <v>0</v>
      </c>
      <c r="Z164" s="43">
        <v>0</v>
      </c>
      <c r="AA164" s="44">
        <v>0</v>
      </c>
      <c r="AB164" s="44">
        <v>0</v>
      </c>
      <c r="AC164" s="44">
        <v>6</v>
      </c>
      <c r="AD164" s="44">
        <v>10</v>
      </c>
      <c r="AE164" s="44">
        <v>157</v>
      </c>
      <c r="AF164" s="44">
        <v>2</v>
      </c>
      <c r="AG164" s="44">
        <v>0</v>
      </c>
      <c r="AH164" s="44">
        <v>160</v>
      </c>
      <c r="AI164" s="44">
        <v>151</v>
      </c>
      <c r="AJ164" s="44">
        <v>0</v>
      </c>
      <c r="AK164" s="44">
        <v>0</v>
      </c>
      <c r="AL164" s="44">
        <v>186</v>
      </c>
      <c r="AM164" s="48"/>
      <c r="AN164" s="48"/>
      <c r="AO164" s="48"/>
      <c r="AP164" s="44">
        <v>190</v>
      </c>
      <c r="AQ164" s="44">
        <v>129</v>
      </c>
      <c r="AR164" s="51"/>
      <c r="AS164" s="51"/>
      <c r="AT164" s="51"/>
      <c r="AU164" s="51"/>
      <c r="AV164" s="51"/>
      <c r="AW164" s="43">
        <v>188</v>
      </c>
      <c r="AX164" s="43">
        <v>131</v>
      </c>
      <c r="AY164" s="50"/>
      <c r="AZ164" s="50"/>
      <c r="BA164" s="50"/>
      <c r="BB164" s="50"/>
      <c r="BC164" s="50"/>
      <c r="BD164" s="50"/>
      <c r="BE164" s="43">
        <v>107</v>
      </c>
      <c r="BF164" s="43">
        <v>216</v>
      </c>
      <c r="BG164" s="43">
        <v>127</v>
      </c>
      <c r="BH164" s="43">
        <v>201</v>
      </c>
      <c r="BI164" s="43">
        <v>152</v>
      </c>
      <c r="BJ164" s="43">
        <v>168</v>
      </c>
      <c r="BK164" s="43">
        <v>205</v>
      </c>
      <c r="BL164" s="43">
        <v>121</v>
      </c>
      <c r="BM164" s="43">
        <v>79</v>
      </c>
      <c r="BN164" s="43">
        <v>240</v>
      </c>
      <c r="BO164" s="43">
        <v>182</v>
      </c>
      <c r="BP164" s="43">
        <v>132</v>
      </c>
      <c r="BQ164" s="43">
        <v>141</v>
      </c>
      <c r="BR164" s="43">
        <v>174</v>
      </c>
      <c r="BS164" s="43">
        <v>176</v>
      </c>
      <c r="BT164" s="43">
        <v>78</v>
      </c>
      <c r="BU164" s="43">
        <v>240</v>
      </c>
      <c r="BV164" s="43">
        <v>202</v>
      </c>
      <c r="BW164" s="43">
        <v>136</v>
      </c>
      <c r="BX164" s="43">
        <v>125</v>
      </c>
      <c r="BY164" s="43">
        <v>150</v>
      </c>
      <c r="BZ164" s="43">
        <v>130</v>
      </c>
      <c r="CA164" s="43">
        <v>179</v>
      </c>
      <c r="CB164" s="43">
        <v>117</v>
      </c>
      <c r="CC164" s="43">
        <v>147</v>
      </c>
      <c r="CD164" s="43">
        <v>180</v>
      </c>
      <c r="CE164" s="43">
        <v>130</v>
      </c>
      <c r="CF164" s="43">
        <v>138</v>
      </c>
      <c r="CG164" s="43">
        <v>135</v>
      </c>
      <c r="CH164" s="43">
        <v>117</v>
      </c>
      <c r="CI164" s="43">
        <v>95</v>
      </c>
      <c r="CJ164" s="43">
        <v>167</v>
      </c>
      <c r="CK164" s="43">
        <v>172</v>
      </c>
      <c r="CL164" s="43">
        <v>100</v>
      </c>
      <c r="CM164" s="43">
        <v>170</v>
      </c>
      <c r="CN164" s="43">
        <v>182</v>
      </c>
      <c r="CO164" s="43">
        <v>109</v>
      </c>
      <c r="CP164" s="43">
        <v>159</v>
      </c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43">
        <v>192</v>
      </c>
      <c r="FZ164" s="43">
        <v>136</v>
      </c>
      <c r="GA164" s="53"/>
      <c r="GB164" s="53"/>
      <c r="GC164" s="53"/>
      <c r="GD164" s="53"/>
      <c r="GE164" s="53"/>
      <c r="GF164" s="53"/>
      <c r="GG164" s="53"/>
      <c r="GH164" s="53"/>
      <c r="GI164" s="43"/>
      <c r="GJ164" s="53"/>
      <c r="GK164" s="53"/>
      <c r="GL164" s="53"/>
      <c r="GM164" s="53"/>
      <c r="GN164" s="53"/>
      <c r="GO164" s="43">
        <v>244</v>
      </c>
      <c r="GP164" s="43">
        <v>84</v>
      </c>
      <c r="GQ164" s="43">
        <v>240</v>
      </c>
      <c r="GR164" s="43">
        <v>84</v>
      </c>
    </row>
    <row r="165" spans="1:200">
      <c r="A165" s="5">
        <v>2508</v>
      </c>
      <c r="B165" s="1" t="s">
        <v>293</v>
      </c>
      <c r="C165" s="33">
        <v>1378</v>
      </c>
      <c r="D165" s="34">
        <v>911</v>
      </c>
      <c r="E165" s="19">
        <f t="shared" si="2"/>
        <v>0.66110304789550067</v>
      </c>
      <c r="F165" s="62">
        <v>512</v>
      </c>
      <c r="G165" s="43">
        <v>2</v>
      </c>
      <c r="H165" s="43">
        <v>30</v>
      </c>
      <c r="I165" s="43">
        <v>8</v>
      </c>
      <c r="J165" s="55">
        <v>342</v>
      </c>
      <c r="K165" s="6">
        <v>0</v>
      </c>
      <c r="L165" s="6">
        <v>0</v>
      </c>
      <c r="M165" s="43">
        <v>0</v>
      </c>
      <c r="N165" s="25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  <c r="V165" s="43">
        <v>1</v>
      </c>
      <c r="W165" s="43">
        <v>5</v>
      </c>
      <c r="X165" s="43">
        <v>0</v>
      </c>
      <c r="Y165" s="43">
        <v>0</v>
      </c>
      <c r="Z165" s="43">
        <v>0</v>
      </c>
      <c r="AA165" s="44">
        <v>0</v>
      </c>
      <c r="AB165" s="44">
        <v>0</v>
      </c>
      <c r="AC165" s="44">
        <v>11</v>
      </c>
      <c r="AD165" s="44">
        <v>22</v>
      </c>
      <c r="AE165" s="44">
        <v>400</v>
      </c>
      <c r="AF165" s="44">
        <v>11</v>
      </c>
      <c r="AG165" s="44">
        <v>0</v>
      </c>
      <c r="AH165" s="44">
        <v>434</v>
      </c>
      <c r="AI165" s="44">
        <v>402</v>
      </c>
      <c r="AJ165" s="44">
        <v>2</v>
      </c>
      <c r="AK165" s="44">
        <v>0</v>
      </c>
      <c r="AL165" s="44">
        <v>478</v>
      </c>
      <c r="AM165" s="48"/>
      <c r="AN165" s="48"/>
      <c r="AO165" s="48"/>
      <c r="AP165" s="44">
        <v>503</v>
      </c>
      <c r="AQ165" s="44">
        <v>336</v>
      </c>
      <c r="AR165" s="51"/>
      <c r="AS165" s="51"/>
      <c r="AT165" s="51"/>
      <c r="AU165" s="51"/>
      <c r="AV165" s="51"/>
      <c r="AW165" s="43">
        <v>507</v>
      </c>
      <c r="AX165" s="43">
        <v>341</v>
      </c>
      <c r="AY165" s="50"/>
      <c r="AZ165" s="50"/>
      <c r="BA165" s="50"/>
      <c r="BB165" s="50"/>
      <c r="BC165" s="50"/>
      <c r="BD165" s="50"/>
      <c r="BE165" s="43">
        <v>275</v>
      </c>
      <c r="BF165" s="43">
        <v>590</v>
      </c>
      <c r="BG165" s="43">
        <v>360</v>
      </c>
      <c r="BH165" s="43">
        <v>518</v>
      </c>
      <c r="BI165" s="43">
        <v>427</v>
      </c>
      <c r="BJ165" s="43">
        <v>435</v>
      </c>
      <c r="BK165" s="43">
        <v>492</v>
      </c>
      <c r="BL165" s="43">
        <v>366</v>
      </c>
      <c r="BM165" s="43">
        <v>264</v>
      </c>
      <c r="BN165" s="43">
        <v>595</v>
      </c>
      <c r="BO165" s="43">
        <v>479</v>
      </c>
      <c r="BP165" s="43">
        <v>367</v>
      </c>
      <c r="BQ165" s="43">
        <v>379</v>
      </c>
      <c r="BR165" s="43">
        <v>464</v>
      </c>
      <c r="BS165" s="43">
        <v>486</v>
      </c>
      <c r="BT165" s="43">
        <v>247</v>
      </c>
      <c r="BU165" s="43">
        <v>601</v>
      </c>
      <c r="BV165" s="43">
        <v>507</v>
      </c>
      <c r="BW165" s="43">
        <v>303</v>
      </c>
      <c r="BX165" s="43">
        <v>405</v>
      </c>
      <c r="BY165" s="43">
        <v>388</v>
      </c>
      <c r="BZ165" s="43">
        <v>376</v>
      </c>
      <c r="CA165" s="43">
        <v>458</v>
      </c>
      <c r="CB165" s="43">
        <v>290</v>
      </c>
      <c r="CC165" s="43">
        <v>383</v>
      </c>
      <c r="CD165" s="43">
        <v>533</v>
      </c>
      <c r="CE165" s="43">
        <v>389</v>
      </c>
      <c r="CF165" s="43">
        <v>345</v>
      </c>
      <c r="CG165" s="43">
        <v>318</v>
      </c>
      <c r="CH165" s="43">
        <v>345</v>
      </c>
      <c r="CI165" s="43">
        <v>281</v>
      </c>
      <c r="CJ165" s="43">
        <v>414</v>
      </c>
      <c r="CK165" s="43">
        <v>356</v>
      </c>
      <c r="CL165" s="43">
        <v>337</v>
      </c>
      <c r="CM165" s="43">
        <v>449</v>
      </c>
      <c r="CN165" s="43">
        <v>451</v>
      </c>
      <c r="CO165" s="43">
        <v>330</v>
      </c>
      <c r="CP165" s="43">
        <v>358</v>
      </c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43">
        <v>467</v>
      </c>
      <c r="FZ165" s="43">
        <v>395</v>
      </c>
      <c r="GA165" s="53"/>
      <c r="GB165" s="53"/>
      <c r="GC165" s="53"/>
      <c r="GD165" s="53"/>
      <c r="GE165" s="53"/>
      <c r="GF165" s="53"/>
      <c r="GG165" s="53"/>
      <c r="GH165" s="53"/>
      <c r="GI165" s="43"/>
      <c r="GJ165" s="53"/>
      <c r="GK165" s="53"/>
      <c r="GL165" s="53"/>
      <c r="GM165" s="53"/>
      <c r="GN165" s="53"/>
      <c r="GO165" s="43">
        <v>574</v>
      </c>
      <c r="GP165" s="43">
        <v>279</v>
      </c>
      <c r="GQ165" s="43">
        <v>579</v>
      </c>
      <c r="GR165" s="43">
        <v>279</v>
      </c>
    </row>
    <row r="166" spans="1:200">
      <c r="A166" s="5">
        <v>2509</v>
      </c>
      <c r="B166" s="1" t="s">
        <v>294</v>
      </c>
      <c r="C166" s="33">
        <v>1198</v>
      </c>
      <c r="D166" s="34">
        <v>719</v>
      </c>
      <c r="E166" s="19">
        <f t="shared" si="2"/>
        <v>0.60016694490818034</v>
      </c>
      <c r="F166" s="62">
        <v>352</v>
      </c>
      <c r="G166" s="43">
        <v>5</v>
      </c>
      <c r="H166" s="43">
        <v>20</v>
      </c>
      <c r="I166" s="43">
        <v>8</v>
      </c>
      <c r="J166" s="55">
        <v>321</v>
      </c>
      <c r="K166" s="6">
        <v>0</v>
      </c>
      <c r="L166" s="6">
        <v>0</v>
      </c>
      <c r="M166" s="43">
        <v>0</v>
      </c>
      <c r="N166" s="25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43">
        <v>0</v>
      </c>
      <c r="AA166" s="44">
        <v>0</v>
      </c>
      <c r="AB166" s="44">
        <v>0</v>
      </c>
      <c r="AC166" s="44">
        <v>4</v>
      </c>
      <c r="AD166" s="44">
        <v>21</v>
      </c>
      <c r="AE166" s="44">
        <v>381</v>
      </c>
      <c r="AF166" s="44">
        <v>15</v>
      </c>
      <c r="AG166" s="44">
        <v>0</v>
      </c>
      <c r="AH166" s="44">
        <v>274</v>
      </c>
      <c r="AI166" s="44">
        <v>363</v>
      </c>
      <c r="AJ166" s="44">
        <v>0</v>
      </c>
      <c r="AK166" s="44">
        <v>0</v>
      </c>
      <c r="AL166" s="44">
        <v>330</v>
      </c>
      <c r="AM166" s="48"/>
      <c r="AN166" s="48"/>
      <c r="AO166" s="48"/>
      <c r="AP166" s="44">
        <v>329</v>
      </c>
      <c r="AQ166" s="44">
        <v>336</v>
      </c>
      <c r="AR166" s="51"/>
      <c r="AS166" s="51"/>
      <c r="AT166" s="51"/>
      <c r="AU166" s="51"/>
      <c r="AV166" s="51"/>
      <c r="AW166" s="43">
        <v>339</v>
      </c>
      <c r="AX166" s="43">
        <v>320</v>
      </c>
      <c r="AY166" s="50"/>
      <c r="AZ166" s="50"/>
      <c r="BA166" s="50"/>
      <c r="BB166" s="50"/>
      <c r="BC166" s="50"/>
      <c r="BD166" s="50"/>
      <c r="BE166" s="43">
        <v>274</v>
      </c>
      <c r="BF166" s="43">
        <v>400</v>
      </c>
      <c r="BG166" s="43">
        <v>309</v>
      </c>
      <c r="BH166" s="43">
        <v>378</v>
      </c>
      <c r="BI166" s="43">
        <v>405</v>
      </c>
      <c r="BJ166" s="43">
        <v>278</v>
      </c>
      <c r="BK166" s="43">
        <v>342</v>
      </c>
      <c r="BL166" s="43">
        <v>336</v>
      </c>
      <c r="BM166" s="43">
        <v>231</v>
      </c>
      <c r="BN166" s="43">
        <v>446</v>
      </c>
      <c r="BO166" s="43">
        <v>312</v>
      </c>
      <c r="BP166" s="43">
        <v>354</v>
      </c>
      <c r="BQ166" s="43">
        <v>359</v>
      </c>
      <c r="BR166" s="43">
        <v>304</v>
      </c>
      <c r="BS166" s="43">
        <v>414</v>
      </c>
      <c r="BT166" s="43">
        <v>243</v>
      </c>
      <c r="BU166" s="43">
        <v>412</v>
      </c>
      <c r="BV166" s="43">
        <v>421</v>
      </c>
      <c r="BW166" s="43">
        <v>288</v>
      </c>
      <c r="BX166" s="43">
        <v>253</v>
      </c>
      <c r="BY166" s="43">
        <v>361</v>
      </c>
      <c r="BZ166" s="43">
        <v>243</v>
      </c>
      <c r="CA166" s="43">
        <v>382</v>
      </c>
      <c r="CB166" s="43">
        <v>283</v>
      </c>
      <c r="CC166" s="43">
        <v>262</v>
      </c>
      <c r="CD166" s="43">
        <v>385</v>
      </c>
      <c r="CE166" s="43">
        <v>240</v>
      </c>
      <c r="CF166" s="43">
        <v>331</v>
      </c>
      <c r="CG166" s="43">
        <v>302</v>
      </c>
      <c r="CH166" s="43">
        <v>202</v>
      </c>
      <c r="CI166" s="43">
        <v>157</v>
      </c>
      <c r="CJ166" s="43">
        <v>383</v>
      </c>
      <c r="CK166" s="43">
        <v>306</v>
      </c>
      <c r="CL166" s="43">
        <v>249</v>
      </c>
      <c r="CM166" s="43">
        <v>374</v>
      </c>
      <c r="CN166" s="43">
        <v>373</v>
      </c>
      <c r="CO166" s="43">
        <v>205</v>
      </c>
      <c r="CP166" s="43">
        <v>353</v>
      </c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43">
        <v>312</v>
      </c>
      <c r="FZ166" s="43">
        <v>375</v>
      </c>
      <c r="GA166" s="53"/>
      <c r="GB166" s="53"/>
      <c r="GC166" s="53"/>
      <c r="GD166" s="53"/>
      <c r="GE166" s="53"/>
      <c r="GF166" s="53"/>
      <c r="GG166" s="53"/>
      <c r="GH166" s="53"/>
      <c r="GI166" s="43"/>
      <c r="GJ166" s="53"/>
      <c r="GK166" s="53"/>
      <c r="GL166" s="53"/>
      <c r="GM166" s="53"/>
      <c r="GN166" s="53"/>
      <c r="GO166" s="43">
        <v>472</v>
      </c>
      <c r="GP166" s="43">
        <v>212</v>
      </c>
      <c r="GQ166" s="43">
        <v>450</v>
      </c>
      <c r="GR166" s="43">
        <v>234</v>
      </c>
    </row>
    <row r="167" spans="1:200">
      <c r="A167" s="5">
        <v>2510</v>
      </c>
      <c r="B167" s="1" t="s">
        <v>295</v>
      </c>
      <c r="C167" s="33">
        <v>1200</v>
      </c>
      <c r="D167" s="34">
        <v>767</v>
      </c>
      <c r="E167" s="19">
        <f t="shared" si="2"/>
        <v>0.63916666666666666</v>
      </c>
      <c r="F167" s="62">
        <v>538</v>
      </c>
      <c r="G167" s="43">
        <v>3</v>
      </c>
      <c r="H167" s="43">
        <v>8</v>
      </c>
      <c r="I167" s="43">
        <v>6</v>
      </c>
      <c r="J167" s="55">
        <v>190</v>
      </c>
      <c r="K167" s="6">
        <v>0</v>
      </c>
      <c r="L167" s="6">
        <v>0</v>
      </c>
      <c r="M167" s="43">
        <v>0</v>
      </c>
      <c r="N167" s="25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  <c r="V167" s="43">
        <v>0</v>
      </c>
      <c r="W167" s="43">
        <v>1</v>
      </c>
      <c r="X167" s="43">
        <v>0</v>
      </c>
      <c r="Y167" s="43">
        <v>0</v>
      </c>
      <c r="Z167" s="43">
        <v>0</v>
      </c>
      <c r="AA167" s="44">
        <v>0</v>
      </c>
      <c r="AB167" s="44">
        <v>0</v>
      </c>
      <c r="AC167" s="44">
        <v>12</v>
      </c>
      <c r="AD167" s="44">
        <v>11</v>
      </c>
      <c r="AE167" s="44">
        <v>239</v>
      </c>
      <c r="AF167" s="44">
        <v>16</v>
      </c>
      <c r="AG167" s="44">
        <v>0</v>
      </c>
      <c r="AH167" s="44">
        <v>457</v>
      </c>
      <c r="AI167" s="44">
        <v>244</v>
      </c>
      <c r="AJ167" s="44">
        <v>0</v>
      </c>
      <c r="AK167" s="44">
        <v>0</v>
      </c>
      <c r="AL167" s="44">
        <v>495</v>
      </c>
      <c r="AM167" s="48"/>
      <c r="AN167" s="48"/>
      <c r="AO167" s="48"/>
      <c r="AP167" s="44"/>
      <c r="AQ167" s="44"/>
      <c r="AR167" s="51"/>
      <c r="AS167" s="51"/>
      <c r="AT167" s="51"/>
      <c r="AU167" s="51"/>
      <c r="AV167" s="51"/>
      <c r="AW167" s="50"/>
      <c r="AX167" s="50"/>
      <c r="AY167" s="50"/>
      <c r="AZ167" s="50"/>
      <c r="BA167" s="43">
        <v>527</v>
      </c>
      <c r="BB167" s="43">
        <v>180</v>
      </c>
      <c r="BC167" s="50"/>
      <c r="BD167" s="50"/>
      <c r="BE167" s="43">
        <v>164</v>
      </c>
      <c r="BF167" s="43">
        <v>562</v>
      </c>
      <c r="BG167" s="43">
        <v>203</v>
      </c>
      <c r="BH167" s="43">
        <v>525</v>
      </c>
      <c r="BI167" s="43">
        <v>266</v>
      </c>
      <c r="BJ167" s="43">
        <v>459</v>
      </c>
      <c r="BK167" s="43">
        <v>503</v>
      </c>
      <c r="BL167" s="43">
        <v>217</v>
      </c>
      <c r="BM167" s="43">
        <v>152</v>
      </c>
      <c r="BN167" s="43">
        <v>570</v>
      </c>
      <c r="BO167" s="43">
        <v>489</v>
      </c>
      <c r="BP167" s="43">
        <v>232</v>
      </c>
      <c r="BQ167" s="43">
        <v>221</v>
      </c>
      <c r="BR167" s="43">
        <v>480</v>
      </c>
      <c r="BS167" s="43">
        <v>360</v>
      </c>
      <c r="BT167" s="43">
        <v>147</v>
      </c>
      <c r="BU167" s="43">
        <v>564</v>
      </c>
      <c r="BV167" s="43">
        <v>427</v>
      </c>
      <c r="BW167" s="43">
        <v>265</v>
      </c>
      <c r="BX167" s="43">
        <v>332</v>
      </c>
      <c r="BY167" s="43">
        <v>293</v>
      </c>
      <c r="BZ167" s="43">
        <v>346</v>
      </c>
      <c r="CA167" s="43">
        <v>387</v>
      </c>
      <c r="CB167" s="43">
        <v>207</v>
      </c>
      <c r="CC167" s="43">
        <v>378</v>
      </c>
      <c r="CD167" s="43">
        <v>440</v>
      </c>
      <c r="CE167" s="43">
        <v>351</v>
      </c>
      <c r="CF167" s="43">
        <v>259</v>
      </c>
      <c r="CG167" s="43">
        <v>242</v>
      </c>
      <c r="CH167" s="43">
        <v>304</v>
      </c>
      <c r="CI167" s="43">
        <v>262</v>
      </c>
      <c r="CJ167" s="43">
        <v>317</v>
      </c>
      <c r="CK167" s="43">
        <v>302</v>
      </c>
      <c r="CL167" s="43">
        <v>288</v>
      </c>
      <c r="CM167" s="43">
        <v>380</v>
      </c>
      <c r="CN167" s="43">
        <v>412</v>
      </c>
      <c r="CO167" s="43">
        <v>308</v>
      </c>
      <c r="CP167" s="43">
        <v>287</v>
      </c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43">
        <v>446</v>
      </c>
      <c r="FZ167" s="43">
        <v>273</v>
      </c>
      <c r="GA167" s="53"/>
      <c r="GB167" s="53"/>
      <c r="GC167" s="53"/>
      <c r="GD167" s="53"/>
      <c r="GE167" s="53"/>
      <c r="GF167" s="53"/>
      <c r="GG167" s="53"/>
      <c r="GH167" s="53"/>
      <c r="GI167" s="43"/>
      <c r="GJ167" s="53"/>
      <c r="GK167" s="53"/>
      <c r="GL167" s="53"/>
      <c r="GM167" s="53"/>
      <c r="GN167" s="53"/>
      <c r="GO167" s="43">
        <v>476</v>
      </c>
      <c r="GP167" s="43">
        <v>221</v>
      </c>
      <c r="GQ167" s="43">
        <v>532</v>
      </c>
      <c r="GR167" s="43">
        <v>178</v>
      </c>
    </row>
    <row r="168" spans="1:200">
      <c r="A168" s="5">
        <v>2511</v>
      </c>
      <c r="B168" s="1" t="s">
        <v>296</v>
      </c>
      <c r="C168" s="33">
        <v>551</v>
      </c>
      <c r="D168" s="34">
        <v>265</v>
      </c>
      <c r="E168" s="19">
        <f t="shared" si="2"/>
        <v>0.48094373865698731</v>
      </c>
      <c r="F168" s="62">
        <v>172</v>
      </c>
      <c r="G168" s="43">
        <v>1</v>
      </c>
      <c r="H168" s="43">
        <v>5</v>
      </c>
      <c r="I168" s="43">
        <v>3</v>
      </c>
      <c r="J168" s="55">
        <v>82</v>
      </c>
      <c r="K168" s="6">
        <v>0</v>
      </c>
      <c r="L168" s="6">
        <v>0</v>
      </c>
      <c r="M168" s="43">
        <v>0</v>
      </c>
      <c r="N168" s="25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  <c r="V168" s="43">
        <v>0</v>
      </c>
      <c r="W168" s="43">
        <v>1</v>
      </c>
      <c r="X168" s="43">
        <v>0</v>
      </c>
      <c r="Y168" s="43">
        <v>0</v>
      </c>
      <c r="Z168" s="43">
        <v>0</v>
      </c>
      <c r="AA168" s="44">
        <v>0</v>
      </c>
      <c r="AB168" s="44">
        <v>0</v>
      </c>
      <c r="AC168" s="44">
        <v>5</v>
      </c>
      <c r="AD168" s="44">
        <v>6</v>
      </c>
      <c r="AE168" s="44">
        <v>92</v>
      </c>
      <c r="AF168" s="44">
        <v>3</v>
      </c>
      <c r="AG168" s="44">
        <v>0</v>
      </c>
      <c r="AH168" s="44">
        <v>149</v>
      </c>
      <c r="AI168" s="44">
        <v>100</v>
      </c>
      <c r="AJ168" s="44">
        <v>0</v>
      </c>
      <c r="AK168" s="44">
        <v>0</v>
      </c>
      <c r="AL168" s="44">
        <v>152</v>
      </c>
      <c r="AM168" s="48"/>
      <c r="AN168" s="48"/>
      <c r="AO168" s="48"/>
      <c r="AP168" s="44">
        <v>174</v>
      </c>
      <c r="AQ168" s="44">
        <v>74</v>
      </c>
      <c r="AR168" s="51"/>
      <c r="AS168" s="51"/>
      <c r="AT168" s="51"/>
      <c r="AU168" s="51"/>
      <c r="AV168" s="51"/>
      <c r="AW168" s="43">
        <v>164</v>
      </c>
      <c r="AX168" s="43">
        <v>80</v>
      </c>
      <c r="AY168" s="50"/>
      <c r="AZ168" s="50"/>
      <c r="BA168" s="50"/>
      <c r="BB168" s="50"/>
      <c r="BC168" s="50"/>
      <c r="BD168" s="50"/>
      <c r="BE168" s="43">
        <v>64</v>
      </c>
      <c r="BF168" s="43">
        <v>179</v>
      </c>
      <c r="BG168" s="43">
        <v>82</v>
      </c>
      <c r="BH168" s="43">
        <v>167</v>
      </c>
      <c r="BI168" s="43">
        <v>99</v>
      </c>
      <c r="BJ168" s="43">
        <v>147</v>
      </c>
      <c r="BK168" s="43">
        <v>162</v>
      </c>
      <c r="BL168" s="43">
        <v>87</v>
      </c>
      <c r="BM168" s="43">
        <v>68</v>
      </c>
      <c r="BN168" s="43">
        <v>176</v>
      </c>
      <c r="BO168" s="43">
        <v>150</v>
      </c>
      <c r="BP168" s="43">
        <v>90</v>
      </c>
      <c r="BQ168" s="43">
        <v>92</v>
      </c>
      <c r="BR168" s="43">
        <v>148</v>
      </c>
      <c r="BS168" s="43">
        <v>140</v>
      </c>
      <c r="BT168" s="43">
        <v>63</v>
      </c>
      <c r="BU168" s="43">
        <v>172</v>
      </c>
      <c r="BV168" s="43">
        <v>155</v>
      </c>
      <c r="BW168" s="43">
        <v>105</v>
      </c>
      <c r="BX168" s="43">
        <v>102</v>
      </c>
      <c r="BY168" s="43">
        <v>105</v>
      </c>
      <c r="BZ168" s="43">
        <v>109</v>
      </c>
      <c r="CA168" s="43">
        <v>147</v>
      </c>
      <c r="CB168" s="43">
        <v>91</v>
      </c>
      <c r="CC168" s="43">
        <v>108</v>
      </c>
      <c r="CD168" s="43">
        <v>145</v>
      </c>
      <c r="CE168" s="43">
        <v>120</v>
      </c>
      <c r="CF168" s="43">
        <v>87</v>
      </c>
      <c r="CG168" s="43">
        <v>95</v>
      </c>
      <c r="CH168" s="43">
        <v>93</v>
      </c>
      <c r="CI168" s="43">
        <v>80</v>
      </c>
      <c r="CJ168" s="43">
        <v>119</v>
      </c>
      <c r="CK168" s="43">
        <v>102</v>
      </c>
      <c r="CL168" s="43">
        <v>101</v>
      </c>
      <c r="CM168" s="43">
        <v>136</v>
      </c>
      <c r="CN168" s="43">
        <v>138</v>
      </c>
      <c r="CO168" s="43">
        <v>79</v>
      </c>
      <c r="CP168" s="43">
        <v>120</v>
      </c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43">
        <v>146</v>
      </c>
      <c r="FZ168" s="43">
        <v>101</v>
      </c>
      <c r="GA168" s="53"/>
      <c r="GB168" s="53"/>
      <c r="GC168" s="53"/>
      <c r="GD168" s="53"/>
      <c r="GE168" s="53"/>
      <c r="GF168" s="53"/>
      <c r="GG168" s="53"/>
      <c r="GH168" s="53"/>
      <c r="GI168" s="43"/>
      <c r="GJ168" s="53"/>
      <c r="GK168" s="53"/>
      <c r="GL168" s="53"/>
      <c r="GM168" s="53"/>
      <c r="GN168" s="53"/>
      <c r="GO168" s="43">
        <v>168</v>
      </c>
      <c r="GP168" s="43">
        <v>78</v>
      </c>
      <c r="GQ168" s="43">
        <v>176</v>
      </c>
      <c r="GR168" s="43">
        <v>73</v>
      </c>
    </row>
    <row r="169" spans="1:200">
      <c r="A169" s="5">
        <v>2512</v>
      </c>
      <c r="B169" s="1" t="s">
        <v>297</v>
      </c>
      <c r="C169" s="33">
        <v>907</v>
      </c>
      <c r="D169" s="34">
        <v>488</v>
      </c>
      <c r="E169" s="19">
        <f t="shared" si="2"/>
        <v>0.53803748621830205</v>
      </c>
      <c r="F169" s="62">
        <v>445</v>
      </c>
      <c r="G169" s="43">
        <v>1</v>
      </c>
      <c r="H169" s="43">
        <v>4</v>
      </c>
      <c r="I169" s="43">
        <v>3</v>
      </c>
      <c r="J169" s="55">
        <v>28</v>
      </c>
      <c r="K169" s="6">
        <v>0</v>
      </c>
      <c r="L169" s="6">
        <v>0</v>
      </c>
      <c r="M169" s="43">
        <v>0</v>
      </c>
      <c r="N169" s="25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4">
        <v>0</v>
      </c>
      <c r="AB169" s="44">
        <v>0</v>
      </c>
      <c r="AC169" s="44">
        <v>9</v>
      </c>
      <c r="AD169" s="44">
        <v>8</v>
      </c>
      <c r="AE169" s="44">
        <v>57</v>
      </c>
      <c r="AF169" s="44">
        <v>4</v>
      </c>
      <c r="AG169" s="44">
        <v>0</v>
      </c>
      <c r="AH169" s="44">
        <v>382</v>
      </c>
      <c r="AI169" s="44">
        <v>59</v>
      </c>
      <c r="AJ169" s="44">
        <v>0</v>
      </c>
      <c r="AK169" s="44">
        <v>0</v>
      </c>
      <c r="AL169" s="44">
        <v>400</v>
      </c>
      <c r="AM169" s="48"/>
      <c r="AN169" s="48"/>
      <c r="AO169" s="48"/>
      <c r="AP169" s="44"/>
      <c r="AQ169" s="44"/>
      <c r="AR169" s="51"/>
      <c r="AS169" s="51"/>
      <c r="AT169" s="51"/>
      <c r="AU169" s="51"/>
      <c r="AV169" s="51"/>
      <c r="AW169" s="50"/>
      <c r="AX169" s="50"/>
      <c r="AY169" s="50"/>
      <c r="AZ169" s="50"/>
      <c r="BA169" s="43">
        <v>423</v>
      </c>
      <c r="BB169" s="43">
        <v>36</v>
      </c>
      <c r="BC169" s="50"/>
      <c r="BD169" s="50"/>
      <c r="BE169" s="43">
        <v>27</v>
      </c>
      <c r="BF169" s="43">
        <v>425</v>
      </c>
      <c r="BG169" s="43">
        <v>43</v>
      </c>
      <c r="BH169" s="43">
        <v>401</v>
      </c>
      <c r="BI169" s="43">
        <v>61</v>
      </c>
      <c r="BJ169" s="43">
        <v>385</v>
      </c>
      <c r="BK169" s="43">
        <v>377</v>
      </c>
      <c r="BL169" s="43">
        <v>77</v>
      </c>
      <c r="BM169" s="43">
        <v>34</v>
      </c>
      <c r="BN169" s="43">
        <v>408</v>
      </c>
      <c r="BO169" s="43">
        <v>385</v>
      </c>
      <c r="BP169" s="43">
        <v>51</v>
      </c>
      <c r="BQ169" s="43">
        <v>47</v>
      </c>
      <c r="BR169" s="43">
        <v>395</v>
      </c>
      <c r="BS169" s="43">
        <v>170</v>
      </c>
      <c r="BT169" s="43">
        <v>36</v>
      </c>
      <c r="BU169" s="43">
        <v>408</v>
      </c>
      <c r="BV169" s="43">
        <v>260</v>
      </c>
      <c r="BW169" s="43">
        <v>136</v>
      </c>
      <c r="BX169" s="43">
        <v>243</v>
      </c>
      <c r="BY169" s="43">
        <v>126</v>
      </c>
      <c r="BZ169" s="43">
        <v>270</v>
      </c>
      <c r="CA169" s="43">
        <v>224</v>
      </c>
      <c r="CB169" s="43">
        <v>73</v>
      </c>
      <c r="CC169" s="43">
        <v>294</v>
      </c>
      <c r="CD169" s="43">
        <v>265</v>
      </c>
      <c r="CE169" s="43">
        <v>287</v>
      </c>
      <c r="CF169" s="43">
        <v>85</v>
      </c>
      <c r="CG169" s="43">
        <v>102</v>
      </c>
      <c r="CH169" s="43">
        <v>241</v>
      </c>
      <c r="CI169" s="43">
        <v>199</v>
      </c>
      <c r="CJ169" s="43">
        <v>161</v>
      </c>
      <c r="CK169" s="43">
        <v>165</v>
      </c>
      <c r="CL169" s="43">
        <v>205</v>
      </c>
      <c r="CM169" s="43">
        <v>211</v>
      </c>
      <c r="CN169" s="43">
        <v>228</v>
      </c>
      <c r="CO169" s="43">
        <v>215</v>
      </c>
      <c r="CP169" s="43">
        <v>170</v>
      </c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43">
        <v>334</v>
      </c>
      <c r="FZ169" s="43">
        <v>101</v>
      </c>
      <c r="GA169" s="53"/>
      <c r="GB169" s="53"/>
      <c r="GC169" s="53"/>
      <c r="GD169" s="53"/>
      <c r="GE169" s="53"/>
      <c r="GF169" s="53"/>
      <c r="GG169" s="53"/>
      <c r="GH169" s="53"/>
      <c r="GI169" s="43"/>
      <c r="GJ169" s="53"/>
      <c r="GK169" s="53"/>
      <c r="GL169" s="53"/>
      <c r="GM169" s="53"/>
      <c r="GN169" s="53"/>
      <c r="GO169" s="43">
        <v>315</v>
      </c>
      <c r="GP169" s="43">
        <v>118</v>
      </c>
      <c r="GQ169" s="43">
        <v>352</v>
      </c>
      <c r="GR169" s="43">
        <v>83</v>
      </c>
    </row>
    <row r="170" spans="1:200">
      <c r="A170" s="5">
        <v>2601</v>
      </c>
      <c r="B170" s="1" t="s">
        <v>298</v>
      </c>
      <c r="C170" s="33">
        <v>1201</v>
      </c>
      <c r="D170" s="34">
        <v>916</v>
      </c>
      <c r="E170" s="19">
        <f t="shared" si="2"/>
        <v>0.7626977518734388</v>
      </c>
      <c r="F170" s="62">
        <v>514</v>
      </c>
      <c r="G170" s="43">
        <v>2</v>
      </c>
      <c r="H170" s="43">
        <v>31</v>
      </c>
      <c r="I170" s="43">
        <v>14</v>
      </c>
      <c r="J170" s="55">
        <v>325</v>
      </c>
      <c r="K170" s="6">
        <v>0</v>
      </c>
      <c r="L170" s="6">
        <v>0</v>
      </c>
      <c r="M170" s="43">
        <v>3</v>
      </c>
      <c r="N170" s="25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  <c r="V170" s="43">
        <v>0</v>
      </c>
      <c r="W170" s="43">
        <v>4</v>
      </c>
      <c r="X170" s="43">
        <v>0</v>
      </c>
      <c r="Y170" s="43">
        <v>0</v>
      </c>
      <c r="Z170" s="43">
        <v>0</v>
      </c>
      <c r="AA170" s="44">
        <v>0</v>
      </c>
      <c r="AB170" s="44">
        <v>0</v>
      </c>
      <c r="AC170" s="44">
        <v>17</v>
      </c>
      <c r="AD170" s="44">
        <v>20</v>
      </c>
      <c r="AE170" s="44">
        <v>417</v>
      </c>
      <c r="AF170" s="44">
        <v>11</v>
      </c>
      <c r="AG170" s="44">
        <v>0</v>
      </c>
      <c r="AH170" s="44">
        <v>416</v>
      </c>
      <c r="AI170" s="44">
        <v>436</v>
      </c>
      <c r="AJ170" s="44">
        <v>0</v>
      </c>
      <c r="AK170" s="44">
        <v>0</v>
      </c>
      <c r="AL170" s="44">
        <v>456</v>
      </c>
      <c r="AM170" s="48"/>
      <c r="AN170" s="48"/>
      <c r="AO170" s="48"/>
      <c r="AP170" s="44"/>
      <c r="AQ170" s="44"/>
      <c r="AR170" s="51"/>
      <c r="AS170" s="51"/>
      <c r="AT170" s="51"/>
      <c r="AU170" s="51"/>
      <c r="AV170" s="51"/>
      <c r="AW170" s="50"/>
      <c r="AX170" s="50"/>
      <c r="AY170" s="50"/>
      <c r="AZ170" s="50"/>
      <c r="BA170" s="43">
        <v>478</v>
      </c>
      <c r="BB170" s="43">
        <v>354</v>
      </c>
      <c r="BC170" s="50"/>
      <c r="BD170" s="50"/>
      <c r="BE170" s="43">
        <v>303</v>
      </c>
      <c r="BF170" s="43">
        <v>557</v>
      </c>
      <c r="BG170" s="43">
        <v>359</v>
      </c>
      <c r="BH170" s="43">
        <v>513</v>
      </c>
      <c r="BI170" s="43">
        <v>445</v>
      </c>
      <c r="BJ170" s="43">
        <v>402</v>
      </c>
      <c r="BK170" s="43">
        <v>487</v>
      </c>
      <c r="BL170" s="43">
        <v>365</v>
      </c>
      <c r="BM170" s="43">
        <v>292</v>
      </c>
      <c r="BN170" s="43">
        <v>549</v>
      </c>
      <c r="BO170" s="43">
        <v>446</v>
      </c>
      <c r="BP170" s="43">
        <v>372</v>
      </c>
      <c r="BQ170" s="43">
        <v>412</v>
      </c>
      <c r="BR170" s="43">
        <v>414</v>
      </c>
      <c r="BS170" s="43">
        <v>467</v>
      </c>
      <c r="BT170" s="43">
        <v>256</v>
      </c>
      <c r="BU170" s="43">
        <v>586</v>
      </c>
      <c r="BV170" s="43">
        <v>496</v>
      </c>
      <c r="BW170" s="43">
        <v>349</v>
      </c>
      <c r="BX170" s="43">
        <v>293</v>
      </c>
      <c r="BY170" s="43">
        <v>409</v>
      </c>
      <c r="BZ170" s="43">
        <v>307</v>
      </c>
      <c r="CA170" s="43">
        <v>432</v>
      </c>
      <c r="CB170" s="43">
        <v>295</v>
      </c>
      <c r="CC170" s="43">
        <v>320</v>
      </c>
      <c r="CD170" s="43">
        <v>442</v>
      </c>
      <c r="CE170" s="43">
        <v>348</v>
      </c>
      <c r="CF170" s="43">
        <v>332</v>
      </c>
      <c r="CG170" s="43">
        <v>323</v>
      </c>
      <c r="CH170" s="43">
        <v>280</v>
      </c>
      <c r="CI170" s="43">
        <v>205</v>
      </c>
      <c r="CJ170" s="43">
        <v>427</v>
      </c>
      <c r="CK170" s="43">
        <v>384</v>
      </c>
      <c r="CL170" s="43">
        <v>250</v>
      </c>
      <c r="CM170" s="43">
        <v>406</v>
      </c>
      <c r="CN170" s="43">
        <v>420</v>
      </c>
      <c r="CO170" s="43">
        <v>247</v>
      </c>
      <c r="CP170" s="43">
        <v>387</v>
      </c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43">
        <v>440</v>
      </c>
      <c r="FZ170" s="43">
        <v>425</v>
      </c>
      <c r="GA170" s="53"/>
      <c r="GB170" s="53"/>
      <c r="GC170" s="53"/>
      <c r="GD170" s="53"/>
      <c r="GE170" s="53"/>
      <c r="GF170" s="53"/>
      <c r="GG170" s="53"/>
      <c r="GH170" s="53"/>
      <c r="GI170" s="43"/>
      <c r="GJ170" s="53"/>
      <c r="GK170" s="53"/>
      <c r="GL170" s="53"/>
      <c r="GM170" s="53"/>
      <c r="GN170" s="53"/>
      <c r="GO170" s="43">
        <v>616</v>
      </c>
      <c r="GP170" s="43">
        <v>250</v>
      </c>
      <c r="GQ170" s="43">
        <v>623</v>
      </c>
      <c r="GR170" s="43">
        <v>242</v>
      </c>
    </row>
    <row r="171" spans="1:200">
      <c r="A171" s="5">
        <v>2602</v>
      </c>
      <c r="B171" s="1" t="s">
        <v>299</v>
      </c>
      <c r="C171" s="33">
        <v>1022</v>
      </c>
      <c r="D171" s="34">
        <v>659</v>
      </c>
      <c r="E171" s="19">
        <f t="shared" si="2"/>
        <v>0.64481409001956946</v>
      </c>
      <c r="F171" s="62">
        <v>482</v>
      </c>
      <c r="G171" s="43">
        <v>2</v>
      </c>
      <c r="H171" s="43">
        <v>22</v>
      </c>
      <c r="I171" s="43">
        <v>9</v>
      </c>
      <c r="J171" s="55">
        <v>125</v>
      </c>
      <c r="K171" s="6">
        <v>0</v>
      </c>
      <c r="L171" s="6">
        <v>0</v>
      </c>
      <c r="M171" s="43">
        <v>0</v>
      </c>
      <c r="N171" s="25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  <c r="V171" s="43">
        <v>0</v>
      </c>
      <c r="W171" s="43">
        <v>2</v>
      </c>
      <c r="X171" s="43">
        <v>0</v>
      </c>
      <c r="Y171" s="43">
        <v>0</v>
      </c>
      <c r="Z171" s="43">
        <v>0</v>
      </c>
      <c r="AA171" s="44">
        <v>0</v>
      </c>
      <c r="AB171" s="44">
        <v>0</v>
      </c>
      <c r="AC171" s="44">
        <v>5</v>
      </c>
      <c r="AD171" s="44">
        <v>10</v>
      </c>
      <c r="AE171" s="44">
        <v>199</v>
      </c>
      <c r="AF171" s="44">
        <v>5</v>
      </c>
      <c r="AG171" s="44">
        <v>0</v>
      </c>
      <c r="AH171" s="44">
        <v>411</v>
      </c>
      <c r="AI171" s="44">
        <v>195</v>
      </c>
      <c r="AJ171" s="44">
        <v>0</v>
      </c>
      <c r="AK171" s="44">
        <v>0</v>
      </c>
      <c r="AL171" s="44">
        <v>442</v>
      </c>
      <c r="AM171" s="48"/>
      <c r="AN171" s="48"/>
      <c r="AO171" s="48"/>
      <c r="AP171" s="44"/>
      <c r="AQ171" s="44"/>
      <c r="AR171" s="51"/>
      <c r="AS171" s="51"/>
      <c r="AT171" s="51"/>
      <c r="AU171" s="51"/>
      <c r="AV171" s="51"/>
      <c r="AW171" s="50"/>
      <c r="AX171" s="50"/>
      <c r="AY171" s="50"/>
      <c r="AZ171" s="50"/>
      <c r="BA171" s="43">
        <v>468</v>
      </c>
      <c r="BB171" s="43">
        <v>142</v>
      </c>
      <c r="BC171" s="50"/>
      <c r="BD171" s="50"/>
      <c r="BE171" s="43">
        <v>124</v>
      </c>
      <c r="BF171" s="43">
        <v>490</v>
      </c>
      <c r="BG171" s="43">
        <v>158</v>
      </c>
      <c r="BH171" s="43">
        <v>466</v>
      </c>
      <c r="BI171" s="43">
        <v>205</v>
      </c>
      <c r="BJ171" s="43">
        <v>412</v>
      </c>
      <c r="BK171" s="43">
        <v>439</v>
      </c>
      <c r="BL171" s="43">
        <v>180</v>
      </c>
      <c r="BM171" s="43">
        <v>115</v>
      </c>
      <c r="BN171" s="43">
        <v>489</v>
      </c>
      <c r="BO171" s="43">
        <v>428</v>
      </c>
      <c r="BP171" s="43">
        <v>177</v>
      </c>
      <c r="BQ171" s="43">
        <v>185</v>
      </c>
      <c r="BR171" s="43">
        <v>418</v>
      </c>
      <c r="BS171" s="43">
        <v>288</v>
      </c>
      <c r="BT171" s="43">
        <v>98</v>
      </c>
      <c r="BU171" s="43">
        <v>514</v>
      </c>
      <c r="BV171" s="43">
        <v>347</v>
      </c>
      <c r="BW171" s="43">
        <v>225</v>
      </c>
      <c r="BX171" s="43">
        <v>272</v>
      </c>
      <c r="BY171" s="43">
        <v>207</v>
      </c>
      <c r="BZ171" s="43">
        <v>330</v>
      </c>
      <c r="CA171" s="43">
        <v>303</v>
      </c>
      <c r="CB171" s="43">
        <v>147</v>
      </c>
      <c r="CC171" s="43">
        <v>340</v>
      </c>
      <c r="CD171" s="43">
        <v>375</v>
      </c>
      <c r="CE171" s="43">
        <v>319</v>
      </c>
      <c r="CF171" s="43">
        <v>189</v>
      </c>
      <c r="CG171" s="43">
        <v>183</v>
      </c>
      <c r="CH171" s="43">
        <v>288</v>
      </c>
      <c r="CI171" s="43">
        <v>245</v>
      </c>
      <c r="CJ171" s="43">
        <v>257</v>
      </c>
      <c r="CK171" s="43">
        <v>236</v>
      </c>
      <c r="CL171" s="43">
        <v>271</v>
      </c>
      <c r="CM171" s="43">
        <v>300</v>
      </c>
      <c r="CN171" s="43">
        <v>314</v>
      </c>
      <c r="CO171" s="43">
        <v>278</v>
      </c>
      <c r="CP171" s="43">
        <v>230</v>
      </c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43">
        <v>367</v>
      </c>
      <c r="FZ171" s="43">
        <v>254</v>
      </c>
      <c r="GA171" s="53"/>
      <c r="GB171" s="53"/>
      <c r="GC171" s="53"/>
      <c r="GD171" s="53"/>
      <c r="GE171" s="53"/>
      <c r="GF171" s="53"/>
      <c r="GG171" s="53"/>
      <c r="GH171" s="53"/>
      <c r="GI171" s="43"/>
      <c r="GJ171" s="53"/>
      <c r="GK171" s="53"/>
      <c r="GL171" s="53"/>
      <c r="GM171" s="53"/>
      <c r="GN171" s="53"/>
      <c r="GO171" s="43">
        <v>431</v>
      </c>
      <c r="GP171" s="43">
        <v>179</v>
      </c>
      <c r="GQ171" s="43">
        <v>454</v>
      </c>
      <c r="GR171" s="43">
        <v>162</v>
      </c>
    </row>
    <row r="172" spans="1:200">
      <c r="A172" s="5">
        <v>2603</v>
      </c>
      <c r="B172" s="1" t="s">
        <v>300</v>
      </c>
      <c r="C172" s="33">
        <v>687</v>
      </c>
      <c r="D172" s="34">
        <v>455</v>
      </c>
      <c r="E172" s="19">
        <f t="shared" si="2"/>
        <v>0.66229985443959238</v>
      </c>
      <c r="F172" s="62">
        <v>295</v>
      </c>
      <c r="G172" s="43">
        <v>5</v>
      </c>
      <c r="H172" s="43">
        <v>14</v>
      </c>
      <c r="I172" s="43">
        <v>5</v>
      </c>
      <c r="J172" s="55">
        <v>127</v>
      </c>
      <c r="K172" s="6">
        <v>0</v>
      </c>
      <c r="L172" s="6">
        <v>0</v>
      </c>
      <c r="M172" s="43">
        <v>1</v>
      </c>
      <c r="N172" s="25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1</v>
      </c>
      <c r="X172" s="43">
        <v>0</v>
      </c>
      <c r="Y172" s="43">
        <v>0</v>
      </c>
      <c r="Z172" s="43">
        <v>0</v>
      </c>
      <c r="AA172" s="44">
        <v>0</v>
      </c>
      <c r="AB172" s="44">
        <v>0</v>
      </c>
      <c r="AC172" s="44">
        <v>4</v>
      </c>
      <c r="AD172" s="44">
        <v>7</v>
      </c>
      <c r="AE172" s="44">
        <v>175</v>
      </c>
      <c r="AF172" s="44">
        <v>2</v>
      </c>
      <c r="AG172" s="44">
        <v>0</v>
      </c>
      <c r="AH172" s="44">
        <v>256</v>
      </c>
      <c r="AI172" s="44">
        <v>181</v>
      </c>
      <c r="AJ172" s="44">
        <v>0</v>
      </c>
      <c r="AK172" s="44">
        <v>0</v>
      </c>
      <c r="AL172" s="44">
        <v>260</v>
      </c>
      <c r="AM172" s="48"/>
      <c r="AN172" s="48"/>
      <c r="AO172" s="48"/>
      <c r="AP172" s="44"/>
      <c r="AQ172" s="44"/>
      <c r="AR172" s="51"/>
      <c r="AS172" s="51"/>
      <c r="AT172" s="51"/>
      <c r="AU172" s="51"/>
      <c r="AV172" s="51"/>
      <c r="AW172" s="50"/>
      <c r="AX172" s="50"/>
      <c r="AY172" s="50"/>
      <c r="AZ172" s="50"/>
      <c r="BA172" s="43">
        <v>284</v>
      </c>
      <c r="BB172" s="43">
        <v>128</v>
      </c>
      <c r="BC172" s="50"/>
      <c r="BD172" s="50"/>
      <c r="BE172" s="43">
        <v>103</v>
      </c>
      <c r="BF172" s="43">
        <v>321</v>
      </c>
      <c r="BG172" s="43">
        <v>142</v>
      </c>
      <c r="BH172" s="43">
        <v>291</v>
      </c>
      <c r="BI172" s="43">
        <v>181</v>
      </c>
      <c r="BJ172" s="43">
        <v>240</v>
      </c>
      <c r="BK172" s="43">
        <v>267</v>
      </c>
      <c r="BL172" s="43">
        <v>159</v>
      </c>
      <c r="BM172" s="43">
        <v>108</v>
      </c>
      <c r="BN172" s="43">
        <v>324</v>
      </c>
      <c r="BO172" s="43">
        <v>266</v>
      </c>
      <c r="BP172" s="43">
        <v>157</v>
      </c>
      <c r="BQ172" s="43">
        <v>156</v>
      </c>
      <c r="BR172" s="43">
        <v>265</v>
      </c>
      <c r="BS172" s="43">
        <v>235</v>
      </c>
      <c r="BT172" s="43">
        <v>102</v>
      </c>
      <c r="BU172" s="43">
        <v>324</v>
      </c>
      <c r="BV172" s="43">
        <v>260</v>
      </c>
      <c r="BW172" s="43">
        <v>179</v>
      </c>
      <c r="BX172" s="43">
        <v>158</v>
      </c>
      <c r="BY172" s="43">
        <v>178</v>
      </c>
      <c r="BZ172" s="43">
        <v>179</v>
      </c>
      <c r="CA172" s="43">
        <v>236</v>
      </c>
      <c r="CB172" s="43">
        <v>143</v>
      </c>
      <c r="CC172" s="43">
        <v>182</v>
      </c>
      <c r="CD172" s="43">
        <v>242</v>
      </c>
      <c r="CE172" s="43">
        <v>179</v>
      </c>
      <c r="CF172" s="43">
        <v>159</v>
      </c>
      <c r="CG172" s="43">
        <v>148</v>
      </c>
      <c r="CH172" s="43">
        <v>168</v>
      </c>
      <c r="CI172" s="43">
        <v>108</v>
      </c>
      <c r="CJ172" s="43">
        <v>219</v>
      </c>
      <c r="CK172" s="43">
        <v>176</v>
      </c>
      <c r="CL172" s="43">
        <v>159</v>
      </c>
      <c r="CM172" s="43">
        <v>219</v>
      </c>
      <c r="CN172" s="43">
        <v>227</v>
      </c>
      <c r="CO172" s="43">
        <v>139</v>
      </c>
      <c r="CP172" s="43">
        <v>194</v>
      </c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43">
        <v>250</v>
      </c>
      <c r="FZ172" s="43">
        <v>186</v>
      </c>
      <c r="GA172" s="53"/>
      <c r="GB172" s="53"/>
      <c r="GC172" s="53"/>
      <c r="GD172" s="53"/>
      <c r="GE172" s="53"/>
      <c r="GF172" s="53"/>
      <c r="GG172" s="53"/>
      <c r="GH172" s="53"/>
      <c r="GI172" s="43"/>
      <c r="GJ172" s="53"/>
      <c r="GK172" s="53"/>
      <c r="GL172" s="53"/>
      <c r="GM172" s="53"/>
      <c r="GN172" s="53"/>
      <c r="GO172" s="43">
        <v>307</v>
      </c>
      <c r="GP172" s="43">
        <v>126</v>
      </c>
      <c r="GQ172" s="43">
        <v>309</v>
      </c>
      <c r="GR172" s="43">
        <v>123</v>
      </c>
    </row>
    <row r="173" spans="1:200">
      <c r="A173" s="5">
        <v>2604</v>
      </c>
      <c r="B173" s="1" t="s">
        <v>301</v>
      </c>
      <c r="C173" s="33">
        <v>1167</v>
      </c>
      <c r="D173" s="34">
        <v>619</v>
      </c>
      <c r="E173" s="19">
        <f t="shared" si="2"/>
        <v>0.53041988003427587</v>
      </c>
      <c r="F173" s="62">
        <v>545</v>
      </c>
      <c r="G173" s="43">
        <v>5</v>
      </c>
      <c r="H173" s="43">
        <v>5</v>
      </c>
      <c r="I173" s="43">
        <v>3</v>
      </c>
      <c r="J173" s="55">
        <v>45</v>
      </c>
      <c r="K173" s="6">
        <v>0</v>
      </c>
      <c r="L173" s="6">
        <v>0</v>
      </c>
      <c r="M173" s="43">
        <v>0</v>
      </c>
      <c r="N173" s="25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  <c r="V173" s="43">
        <v>0</v>
      </c>
      <c r="W173" s="43">
        <v>0</v>
      </c>
      <c r="X173" s="43">
        <v>0</v>
      </c>
      <c r="Y173" s="43">
        <v>0</v>
      </c>
      <c r="Z173" s="43">
        <v>0</v>
      </c>
      <c r="AA173" s="44">
        <v>0</v>
      </c>
      <c r="AB173" s="44">
        <v>0</v>
      </c>
      <c r="AC173" s="44">
        <v>8</v>
      </c>
      <c r="AD173" s="44">
        <v>12</v>
      </c>
      <c r="AE173" s="44">
        <v>84</v>
      </c>
      <c r="AF173" s="44">
        <v>4</v>
      </c>
      <c r="AG173" s="44">
        <v>0</v>
      </c>
      <c r="AH173" s="44">
        <v>476</v>
      </c>
      <c r="AI173" s="44">
        <v>94</v>
      </c>
      <c r="AJ173" s="44">
        <v>0</v>
      </c>
      <c r="AK173" s="44">
        <v>0</v>
      </c>
      <c r="AL173" s="44">
        <v>482</v>
      </c>
      <c r="AM173" s="48"/>
      <c r="AN173" s="48"/>
      <c r="AO173" s="48"/>
      <c r="AP173" s="44"/>
      <c r="AQ173" s="44"/>
      <c r="AR173" s="51"/>
      <c r="AS173" s="51"/>
      <c r="AT173" s="51"/>
      <c r="AU173" s="51"/>
      <c r="AV173" s="51"/>
      <c r="AW173" s="50"/>
      <c r="AX173" s="50"/>
      <c r="AY173" s="50"/>
      <c r="AZ173" s="50"/>
      <c r="BA173" s="43">
        <v>524</v>
      </c>
      <c r="BB173" s="43">
        <v>53</v>
      </c>
      <c r="BC173" s="50"/>
      <c r="BD173" s="50"/>
      <c r="BE173" s="43">
        <v>49</v>
      </c>
      <c r="BF173" s="43">
        <v>523</v>
      </c>
      <c r="BG173" s="43">
        <v>71</v>
      </c>
      <c r="BH173" s="43">
        <v>507</v>
      </c>
      <c r="BI173" s="43">
        <v>106</v>
      </c>
      <c r="BJ173" s="43">
        <v>463</v>
      </c>
      <c r="BK173" s="43">
        <v>471</v>
      </c>
      <c r="BL173" s="43">
        <v>95</v>
      </c>
      <c r="BM173" s="43">
        <v>40</v>
      </c>
      <c r="BN173" s="43">
        <v>531</v>
      </c>
      <c r="BO173" s="43">
        <v>488</v>
      </c>
      <c r="BP173" s="43">
        <v>77</v>
      </c>
      <c r="BQ173" s="43">
        <v>67</v>
      </c>
      <c r="BR173" s="43">
        <v>491</v>
      </c>
      <c r="BS173" s="43">
        <v>192</v>
      </c>
      <c r="BT173" s="43">
        <v>43</v>
      </c>
      <c r="BU173" s="43">
        <v>524</v>
      </c>
      <c r="BV173" s="43">
        <v>309</v>
      </c>
      <c r="BW173" s="43">
        <v>163</v>
      </c>
      <c r="BX173" s="43">
        <v>310</v>
      </c>
      <c r="BY173" s="43">
        <v>164</v>
      </c>
      <c r="BZ173" s="43">
        <v>331</v>
      </c>
      <c r="CA173" s="43">
        <v>280</v>
      </c>
      <c r="CB173" s="43">
        <v>117</v>
      </c>
      <c r="CC173" s="43">
        <v>354</v>
      </c>
      <c r="CD173" s="43">
        <v>320</v>
      </c>
      <c r="CE173" s="43">
        <v>325</v>
      </c>
      <c r="CF173" s="43">
        <v>144</v>
      </c>
      <c r="CG173" s="43">
        <v>132</v>
      </c>
      <c r="CH173" s="43">
        <v>305</v>
      </c>
      <c r="CI173" s="43">
        <v>255</v>
      </c>
      <c r="CJ173" s="43">
        <v>198</v>
      </c>
      <c r="CK173" s="43">
        <v>202</v>
      </c>
      <c r="CL173" s="43">
        <v>265</v>
      </c>
      <c r="CM173" s="43">
        <v>271</v>
      </c>
      <c r="CN173" s="43">
        <v>305</v>
      </c>
      <c r="CO173" s="43">
        <v>293</v>
      </c>
      <c r="CP173" s="43">
        <v>189</v>
      </c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43">
        <v>408</v>
      </c>
      <c r="FZ173" s="43">
        <v>145</v>
      </c>
      <c r="GA173" s="53"/>
      <c r="GB173" s="53"/>
      <c r="GC173" s="53"/>
      <c r="GD173" s="53"/>
      <c r="GE173" s="53"/>
      <c r="GF173" s="53"/>
      <c r="GG173" s="53"/>
      <c r="GH173" s="53"/>
      <c r="GI173" s="43"/>
      <c r="GJ173" s="53"/>
      <c r="GK173" s="53"/>
      <c r="GL173" s="53"/>
      <c r="GM173" s="53"/>
      <c r="GN173" s="53"/>
      <c r="GO173" s="43">
        <v>382</v>
      </c>
      <c r="GP173" s="43">
        <v>163</v>
      </c>
      <c r="GQ173" s="43">
        <v>443</v>
      </c>
      <c r="GR173" s="43">
        <v>116</v>
      </c>
    </row>
    <row r="174" spans="1:200">
      <c r="A174" s="5">
        <v>2605</v>
      </c>
      <c r="B174" s="1" t="s">
        <v>302</v>
      </c>
      <c r="C174" s="33">
        <v>1315</v>
      </c>
      <c r="D174" s="34">
        <v>665</v>
      </c>
      <c r="E174" s="19">
        <f t="shared" si="2"/>
        <v>0.50570342205323193</v>
      </c>
      <c r="F174" s="62">
        <v>586</v>
      </c>
      <c r="G174" s="43">
        <v>2</v>
      </c>
      <c r="H174" s="43">
        <v>6</v>
      </c>
      <c r="I174" s="43">
        <v>5</v>
      </c>
      <c r="J174" s="55">
        <v>52</v>
      </c>
      <c r="K174" s="6">
        <v>0</v>
      </c>
      <c r="L174" s="6">
        <v>0</v>
      </c>
      <c r="M174" s="43">
        <v>0</v>
      </c>
      <c r="N174" s="25">
        <v>0</v>
      </c>
      <c r="O174" s="43">
        <v>0</v>
      </c>
      <c r="P174" s="43">
        <v>2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  <c r="V174" s="43">
        <v>0</v>
      </c>
      <c r="W174" s="43">
        <v>2</v>
      </c>
      <c r="X174" s="43">
        <v>0</v>
      </c>
      <c r="Y174" s="43">
        <v>0</v>
      </c>
      <c r="Z174" s="43">
        <v>0</v>
      </c>
      <c r="AA174" s="44">
        <v>0</v>
      </c>
      <c r="AB174" s="44">
        <v>0</v>
      </c>
      <c r="AC174" s="44">
        <v>13</v>
      </c>
      <c r="AD174" s="44">
        <v>11</v>
      </c>
      <c r="AE174" s="44">
        <v>103</v>
      </c>
      <c r="AF174" s="44">
        <v>8</v>
      </c>
      <c r="AG174" s="44">
        <v>0</v>
      </c>
      <c r="AH174" s="44">
        <v>484</v>
      </c>
      <c r="AI174" s="44">
        <v>98</v>
      </c>
      <c r="AJ174" s="44">
        <v>0</v>
      </c>
      <c r="AK174" s="44">
        <v>0</v>
      </c>
      <c r="AL174" s="44">
        <v>535</v>
      </c>
      <c r="AM174" s="48"/>
      <c r="AN174" s="48"/>
      <c r="AO174" s="48"/>
      <c r="AP174" s="44"/>
      <c r="AQ174" s="44"/>
      <c r="AR174" s="51"/>
      <c r="AS174" s="51"/>
      <c r="AT174" s="51"/>
      <c r="AU174" s="51"/>
      <c r="AV174" s="51"/>
      <c r="AW174" s="50"/>
      <c r="AX174" s="50"/>
      <c r="AY174" s="50"/>
      <c r="AZ174" s="50"/>
      <c r="BA174" s="43">
        <v>555</v>
      </c>
      <c r="BB174" s="43">
        <v>63</v>
      </c>
      <c r="BC174" s="50"/>
      <c r="BD174" s="50"/>
      <c r="BE174" s="43">
        <v>55</v>
      </c>
      <c r="BF174" s="43">
        <v>572</v>
      </c>
      <c r="BG174" s="43">
        <v>77</v>
      </c>
      <c r="BH174" s="43">
        <v>548</v>
      </c>
      <c r="BI174" s="43">
        <v>123</v>
      </c>
      <c r="BJ174" s="43">
        <v>503</v>
      </c>
      <c r="BK174" s="43">
        <v>501</v>
      </c>
      <c r="BL174" s="43">
        <v>122</v>
      </c>
      <c r="BM174" s="43">
        <v>53</v>
      </c>
      <c r="BN174" s="43">
        <v>569</v>
      </c>
      <c r="BO174" s="43">
        <v>518</v>
      </c>
      <c r="BP174" s="43">
        <v>96</v>
      </c>
      <c r="BQ174" s="43">
        <v>88</v>
      </c>
      <c r="BR174" s="43">
        <v>525</v>
      </c>
      <c r="BS174" s="43">
        <v>218</v>
      </c>
      <c r="BT174" s="43">
        <v>57</v>
      </c>
      <c r="BU174" s="43">
        <v>570</v>
      </c>
      <c r="BV174" s="43">
        <v>306</v>
      </c>
      <c r="BW174" s="43">
        <v>180</v>
      </c>
      <c r="BX174" s="43">
        <v>333</v>
      </c>
      <c r="BY174" s="43">
        <v>198</v>
      </c>
      <c r="BZ174" s="43">
        <v>355</v>
      </c>
      <c r="CA174" s="43">
        <v>280</v>
      </c>
      <c r="CB174" s="43">
        <v>134</v>
      </c>
      <c r="CC174" s="43">
        <v>370</v>
      </c>
      <c r="CD174" s="43">
        <v>344</v>
      </c>
      <c r="CE174" s="43">
        <v>361</v>
      </c>
      <c r="CF174" s="43">
        <v>147</v>
      </c>
      <c r="CG174" s="43">
        <v>161</v>
      </c>
      <c r="CH174" s="43">
        <v>328</v>
      </c>
      <c r="CI174" s="43">
        <v>284</v>
      </c>
      <c r="CJ174" s="43">
        <v>221</v>
      </c>
      <c r="CK174" s="43">
        <v>215</v>
      </c>
      <c r="CL174" s="43">
        <v>305</v>
      </c>
      <c r="CM174" s="43">
        <v>272</v>
      </c>
      <c r="CN174" s="43">
        <v>314</v>
      </c>
      <c r="CO174" s="43">
        <v>297</v>
      </c>
      <c r="CP174" s="43">
        <v>228</v>
      </c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43">
        <v>436</v>
      </c>
      <c r="FZ174" s="43">
        <v>183</v>
      </c>
      <c r="GA174" s="53"/>
      <c r="GB174" s="53"/>
      <c r="GC174" s="53"/>
      <c r="GD174" s="53"/>
      <c r="GE174" s="53"/>
      <c r="GF174" s="53"/>
      <c r="GG174" s="53"/>
      <c r="GH174" s="53"/>
      <c r="GI174" s="43"/>
      <c r="GJ174" s="53"/>
      <c r="GK174" s="53"/>
      <c r="GL174" s="53"/>
      <c r="GM174" s="53"/>
      <c r="GN174" s="53"/>
      <c r="GO174" s="43">
        <v>407</v>
      </c>
      <c r="GP174" s="43">
        <v>200</v>
      </c>
      <c r="GQ174" s="43">
        <v>460</v>
      </c>
      <c r="GR174" s="43">
        <v>156</v>
      </c>
    </row>
    <row r="175" spans="1:200">
      <c r="A175" s="5">
        <v>2606</v>
      </c>
      <c r="B175" s="1" t="s">
        <v>303</v>
      </c>
      <c r="C175" s="33">
        <v>846</v>
      </c>
      <c r="D175" s="34">
        <v>494</v>
      </c>
      <c r="E175" s="19">
        <f t="shared" si="2"/>
        <v>0.58392434988179664</v>
      </c>
      <c r="F175" s="62">
        <v>409</v>
      </c>
      <c r="G175" s="43">
        <v>1</v>
      </c>
      <c r="H175" s="43">
        <v>13</v>
      </c>
      <c r="I175" s="43">
        <v>9</v>
      </c>
      <c r="J175" s="55">
        <v>54</v>
      </c>
      <c r="K175" s="6">
        <v>0</v>
      </c>
      <c r="L175" s="6">
        <v>0</v>
      </c>
      <c r="M175" s="43">
        <v>0</v>
      </c>
      <c r="N175" s="25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  <c r="V175" s="43">
        <v>0</v>
      </c>
      <c r="W175" s="43">
        <v>1</v>
      </c>
      <c r="X175" s="43">
        <v>0</v>
      </c>
      <c r="Y175" s="43">
        <v>0</v>
      </c>
      <c r="Z175" s="43">
        <v>0</v>
      </c>
      <c r="AA175" s="44">
        <v>0</v>
      </c>
      <c r="AB175" s="44">
        <v>0</v>
      </c>
      <c r="AC175" s="44">
        <v>8</v>
      </c>
      <c r="AD175" s="44">
        <v>20</v>
      </c>
      <c r="AE175" s="44">
        <v>85</v>
      </c>
      <c r="AF175" s="44">
        <v>1</v>
      </c>
      <c r="AG175" s="44">
        <v>0</v>
      </c>
      <c r="AH175" s="44">
        <v>359</v>
      </c>
      <c r="AI175" s="44">
        <v>84</v>
      </c>
      <c r="AJ175" s="44">
        <v>0</v>
      </c>
      <c r="AK175" s="44">
        <v>0</v>
      </c>
      <c r="AL175" s="44">
        <v>387</v>
      </c>
      <c r="AM175" s="48"/>
      <c r="AN175" s="48"/>
      <c r="AO175" s="48"/>
      <c r="AP175" s="44"/>
      <c r="AQ175" s="44"/>
      <c r="AR175" s="51"/>
      <c r="AS175" s="51"/>
      <c r="AT175" s="51"/>
      <c r="AU175" s="51"/>
      <c r="AV175" s="51"/>
      <c r="AW175" s="50"/>
      <c r="AX175" s="50"/>
      <c r="AY175" s="50"/>
      <c r="AZ175" s="50"/>
      <c r="BA175" s="43">
        <v>418</v>
      </c>
      <c r="BB175" s="43">
        <v>48</v>
      </c>
      <c r="BC175" s="50"/>
      <c r="BD175" s="50"/>
      <c r="BE175" s="43">
        <v>56</v>
      </c>
      <c r="BF175" s="43">
        <v>403</v>
      </c>
      <c r="BG175" s="43">
        <v>60</v>
      </c>
      <c r="BH175" s="43">
        <v>408</v>
      </c>
      <c r="BI175" s="43">
        <v>96</v>
      </c>
      <c r="BJ175" s="43">
        <v>371</v>
      </c>
      <c r="BK175" s="43">
        <v>382</v>
      </c>
      <c r="BL175" s="43">
        <v>85</v>
      </c>
      <c r="BM175" s="43">
        <v>59</v>
      </c>
      <c r="BN175" s="43">
        <v>406</v>
      </c>
      <c r="BO175" s="43">
        <v>390</v>
      </c>
      <c r="BP175" s="43">
        <v>66</v>
      </c>
      <c r="BQ175" s="43">
        <v>67</v>
      </c>
      <c r="BR175" s="43">
        <v>392</v>
      </c>
      <c r="BS175" s="43">
        <v>182</v>
      </c>
      <c r="BT175" s="43">
        <v>47</v>
      </c>
      <c r="BU175" s="43">
        <v>416</v>
      </c>
      <c r="BV175" s="43">
        <v>234</v>
      </c>
      <c r="BW175" s="43">
        <v>127</v>
      </c>
      <c r="BX175" s="43">
        <v>261</v>
      </c>
      <c r="BY175" s="43">
        <v>126</v>
      </c>
      <c r="BZ175" s="43">
        <v>278</v>
      </c>
      <c r="CA175" s="43">
        <v>208</v>
      </c>
      <c r="CB175" s="43">
        <v>84</v>
      </c>
      <c r="CC175" s="43">
        <v>299</v>
      </c>
      <c r="CD175" s="43">
        <v>277</v>
      </c>
      <c r="CE175" s="43">
        <v>295</v>
      </c>
      <c r="CF175" s="43">
        <v>82</v>
      </c>
      <c r="CG175" s="43">
        <v>104</v>
      </c>
      <c r="CH175" s="43">
        <v>261</v>
      </c>
      <c r="CI175" s="43">
        <v>205</v>
      </c>
      <c r="CJ175" s="43">
        <v>173</v>
      </c>
      <c r="CK175" s="43">
        <v>167</v>
      </c>
      <c r="CL175" s="43">
        <v>225</v>
      </c>
      <c r="CM175" s="43">
        <v>199</v>
      </c>
      <c r="CN175" s="43">
        <v>222</v>
      </c>
      <c r="CO175" s="43">
        <v>222</v>
      </c>
      <c r="CP175" s="43">
        <v>165</v>
      </c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43">
        <v>337</v>
      </c>
      <c r="FZ175" s="43">
        <v>118</v>
      </c>
      <c r="GA175" s="53"/>
      <c r="GB175" s="53"/>
      <c r="GC175" s="53"/>
      <c r="GD175" s="53"/>
      <c r="GE175" s="53"/>
      <c r="GF175" s="53"/>
      <c r="GG175" s="53"/>
      <c r="GH175" s="53"/>
      <c r="GI175" s="43"/>
      <c r="GJ175" s="53"/>
      <c r="GK175" s="53"/>
      <c r="GL175" s="53"/>
      <c r="GM175" s="53"/>
      <c r="GN175" s="53"/>
      <c r="GO175" s="43">
        <v>334</v>
      </c>
      <c r="GP175" s="43">
        <v>120</v>
      </c>
      <c r="GQ175" s="43">
        <v>371</v>
      </c>
      <c r="GR175" s="43">
        <v>84</v>
      </c>
    </row>
    <row r="176" spans="1:200">
      <c r="A176" s="5">
        <v>2607</v>
      </c>
      <c r="B176" s="1" t="s">
        <v>304</v>
      </c>
      <c r="C176" s="33">
        <v>1043</v>
      </c>
      <c r="D176" s="34">
        <v>631</v>
      </c>
      <c r="E176" s="19">
        <f t="shared" si="2"/>
        <v>0.60498561840843723</v>
      </c>
      <c r="F176" s="62">
        <v>327</v>
      </c>
      <c r="G176" s="43">
        <v>1</v>
      </c>
      <c r="H176" s="43">
        <v>18</v>
      </c>
      <c r="I176" s="43">
        <v>8</v>
      </c>
      <c r="J176" s="55">
        <v>260</v>
      </c>
      <c r="K176" s="6">
        <v>0</v>
      </c>
      <c r="L176" s="6">
        <v>0</v>
      </c>
      <c r="M176" s="43">
        <v>1</v>
      </c>
      <c r="N176" s="25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2</v>
      </c>
      <c r="X176" s="43">
        <v>0</v>
      </c>
      <c r="Y176" s="43">
        <v>0</v>
      </c>
      <c r="Z176" s="43">
        <v>0</v>
      </c>
      <c r="AA176" s="44">
        <v>0</v>
      </c>
      <c r="AB176" s="44">
        <v>0</v>
      </c>
      <c r="AC176" s="44">
        <v>11</v>
      </c>
      <c r="AD176" s="44">
        <v>9</v>
      </c>
      <c r="AE176" s="44">
        <v>335</v>
      </c>
      <c r="AF176" s="44">
        <v>3</v>
      </c>
      <c r="AG176" s="44">
        <v>0</v>
      </c>
      <c r="AH176" s="44">
        <v>250</v>
      </c>
      <c r="AI176" s="44">
        <v>320</v>
      </c>
      <c r="AJ176" s="44">
        <v>0</v>
      </c>
      <c r="AK176" s="44">
        <v>0</v>
      </c>
      <c r="AL176" s="44">
        <v>295</v>
      </c>
      <c r="AM176" s="48"/>
      <c r="AN176" s="48"/>
      <c r="AO176" s="48"/>
      <c r="AP176" s="44"/>
      <c r="AQ176" s="44"/>
      <c r="AR176" s="51"/>
      <c r="AS176" s="51"/>
      <c r="AT176" s="51"/>
      <c r="AU176" s="51"/>
      <c r="AV176" s="51"/>
      <c r="AW176" s="50"/>
      <c r="AX176" s="50"/>
      <c r="AY176" s="50"/>
      <c r="AZ176" s="50"/>
      <c r="BA176" s="43">
        <v>317</v>
      </c>
      <c r="BB176" s="43">
        <v>270</v>
      </c>
      <c r="BC176" s="50"/>
      <c r="BD176" s="50"/>
      <c r="BE176" s="43">
        <v>216</v>
      </c>
      <c r="BF176" s="43">
        <v>378</v>
      </c>
      <c r="BG176" s="43">
        <v>291</v>
      </c>
      <c r="BH176" s="43">
        <v>320</v>
      </c>
      <c r="BI176" s="43">
        <v>346</v>
      </c>
      <c r="BJ176" s="43">
        <v>251</v>
      </c>
      <c r="BK176" s="43">
        <v>299</v>
      </c>
      <c r="BL176" s="43">
        <v>297</v>
      </c>
      <c r="BM176" s="43">
        <v>207</v>
      </c>
      <c r="BN176" s="43">
        <v>391</v>
      </c>
      <c r="BO176" s="43">
        <v>266</v>
      </c>
      <c r="BP176" s="43">
        <v>313</v>
      </c>
      <c r="BQ176" s="43">
        <v>297</v>
      </c>
      <c r="BR176" s="43">
        <v>287</v>
      </c>
      <c r="BS176" s="43">
        <v>393</v>
      </c>
      <c r="BT176" s="43">
        <v>207</v>
      </c>
      <c r="BU176" s="43">
        <v>389</v>
      </c>
      <c r="BV176" s="43">
        <v>400</v>
      </c>
      <c r="BW176" s="43">
        <v>259</v>
      </c>
      <c r="BX176" s="43">
        <v>236</v>
      </c>
      <c r="BY176" s="43">
        <v>346</v>
      </c>
      <c r="BZ176" s="43">
        <v>209</v>
      </c>
      <c r="CA176" s="43">
        <v>357</v>
      </c>
      <c r="CB176" s="43">
        <v>249</v>
      </c>
      <c r="CC176" s="43">
        <v>246</v>
      </c>
      <c r="CD176" s="43">
        <v>379</v>
      </c>
      <c r="CE176" s="43">
        <v>238</v>
      </c>
      <c r="CF176" s="43">
        <v>282</v>
      </c>
      <c r="CG176" s="43">
        <v>244</v>
      </c>
      <c r="CH176" s="43">
        <v>225</v>
      </c>
      <c r="CI176" s="43">
        <v>160</v>
      </c>
      <c r="CJ176" s="43">
        <v>334</v>
      </c>
      <c r="CK176" s="43">
        <v>278</v>
      </c>
      <c r="CL176" s="43">
        <v>219</v>
      </c>
      <c r="CM176" s="43">
        <v>352</v>
      </c>
      <c r="CN176" s="43">
        <v>359</v>
      </c>
      <c r="CO176" s="43">
        <v>204</v>
      </c>
      <c r="CP176" s="43">
        <v>290</v>
      </c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43">
        <v>279</v>
      </c>
      <c r="FZ176" s="43">
        <v>323</v>
      </c>
      <c r="GA176" s="53"/>
      <c r="GB176" s="53"/>
      <c r="GC176" s="53"/>
      <c r="GD176" s="53"/>
      <c r="GE176" s="53"/>
      <c r="GF176" s="53"/>
      <c r="GG176" s="53"/>
      <c r="GH176" s="53"/>
      <c r="GI176" s="43"/>
      <c r="GJ176" s="53"/>
      <c r="GK176" s="53"/>
      <c r="GL176" s="53"/>
      <c r="GM176" s="53"/>
      <c r="GN176" s="53"/>
      <c r="GO176" s="43">
        <v>389</v>
      </c>
      <c r="GP176" s="43">
        <v>208</v>
      </c>
      <c r="GQ176" s="43">
        <v>395</v>
      </c>
      <c r="GR176" s="43">
        <v>198</v>
      </c>
    </row>
    <row r="177" spans="1:200">
      <c r="A177" s="5">
        <v>2608</v>
      </c>
      <c r="B177" s="1" t="s">
        <v>305</v>
      </c>
      <c r="C177" s="33">
        <v>1040</v>
      </c>
      <c r="D177" s="34">
        <v>431</v>
      </c>
      <c r="E177" s="19">
        <f t="shared" si="2"/>
        <v>0.41442307692307695</v>
      </c>
      <c r="F177" s="62">
        <v>408</v>
      </c>
      <c r="G177" s="43">
        <v>3</v>
      </c>
      <c r="H177" s="43">
        <v>1</v>
      </c>
      <c r="I177" s="43">
        <v>3</v>
      </c>
      <c r="J177" s="55">
        <v>9</v>
      </c>
      <c r="K177" s="6">
        <v>0</v>
      </c>
      <c r="L177" s="6">
        <v>0</v>
      </c>
      <c r="M177" s="43">
        <v>0</v>
      </c>
      <c r="N177" s="25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  <c r="V177" s="43">
        <v>0</v>
      </c>
      <c r="W177" s="43">
        <v>0</v>
      </c>
      <c r="X177" s="43">
        <v>0</v>
      </c>
      <c r="Y177" s="43">
        <v>0</v>
      </c>
      <c r="Z177" s="43">
        <v>0</v>
      </c>
      <c r="AA177" s="44">
        <v>0</v>
      </c>
      <c r="AB177" s="44">
        <v>0</v>
      </c>
      <c r="AC177" s="44">
        <v>9</v>
      </c>
      <c r="AD177" s="44">
        <v>6</v>
      </c>
      <c r="AE177" s="44">
        <v>27</v>
      </c>
      <c r="AF177" s="44">
        <v>2</v>
      </c>
      <c r="AG177" s="44">
        <v>0</v>
      </c>
      <c r="AH177" s="44">
        <v>364</v>
      </c>
      <c r="AI177" s="44">
        <v>43</v>
      </c>
      <c r="AJ177" s="44">
        <v>0</v>
      </c>
      <c r="AK177" s="44">
        <v>0</v>
      </c>
      <c r="AL177" s="44">
        <v>370</v>
      </c>
      <c r="AM177" s="48"/>
      <c r="AN177" s="48"/>
      <c r="AO177" s="48"/>
      <c r="AP177" s="44"/>
      <c r="AQ177" s="44"/>
      <c r="AR177" s="51"/>
      <c r="AS177" s="51"/>
      <c r="AT177" s="51"/>
      <c r="AU177" s="51"/>
      <c r="AV177" s="51"/>
      <c r="AW177" s="50"/>
      <c r="AX177" s="50"/>
      <c r="AY177" s="50"/>
      <c r="AZ177" s="50"/>
      <c r="BA177" s="43">
        <v>381</v>
      </c>
      <c r="BB177" s="43">
        <v>26</v>
      </c>
      <c r="BC177" s="50"/>
      <c r="BD177" s="50"/>
      <c r="BE177" s="43">
        <v>26</v>
      </c>
      <c r="BF177" s="43">
        <v>377</v>
      </c>
      <c r="BG177" s="43">
        <v>30</v>
      </c>
      <c r="BH177" s="43">
        <v>371</v>
      </c>
      <c r="BI177" s="43">
        <v>51</v>
      </c>
      <c r="BJ177" s="43">
        <v>344</v>
      </c>
      <c r="BK177" s="43">
        <v>328</v>
      </c>
      <c r="BL177" s="43">
        <v>70</v>
      </c>
      <c r="BM177" s="43">
        <v>23</v>
      </c>
      <c r="BN177" s="43">
        <v>376</v>
      </c>
      <c r="BO177" s="43">
        <v>357</v>
      </c>
      <c r="BP177" s="43">
        <v>41</v>
      </c>
      <c r="BQ177" s="43">
        <v>36</v>
      </c>
      <c r="BR177" s="43">
        <v>365</v>
      </c>
      <c r="BS177" s="43">
        <v>143</v>
      </c>
      <c r="BT177" s="43">
        <v>26</v>
      </c>
      <c r="BU177" s="43">
        <v>378</v>
      </c>
      <c r="BV177" s="43">
        <v>206</v>
      </c>
      <c r="BW177" s="43">
        <v>98</v>
      </c>
      <c r="BX177" s="43">
        <v>241</v>
      </c>
      <c r="BY177" s="43">
        <v>87</v>
      </c>
      <c r="BZ177" s="43">
        <v>266</v>
      </c>
      <c r="CA177" s="43">
        <v>181</v>
      </c>
      <c r="CB177" s="43">
        <v>81</v>
      </c>
      <c r="CC177" s="43">
        <v>267</v>
      </c>
      <c r="CD177" s="43">
        <v>234</v>
      </c>
      <c r="CE177" s="43">
        <v>269</v>
      </c>
      <c r="CF177" s="43">
        <v>79</v>
      </c>
      <c r="CG177" s="43">
        <v>91</v>
      </c>
      <c r="CH177" s="43">
        <v>240</v>
      </c>
      <c r="CI177" s="43">
        <v>205</v>
      </c>
      <c r="CJ177" s="43">
        <v>134</v>
      </c>
      <c r="CK177" s="43">
        <v>153</v>
      </c>
      <c r="CL177" s="43">
        <v>196</v>
      </c>
      <c r="CM177" s="43">
        <v>193</v>
      </c>
      <c r="CN177" s="43">
        <v>205</v>
      </c>
      <c r="CO177" s="43">
        <v>197</v>
      </c>
      <c r="CP177" s="43">
        <v>143</v>
      </c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43">
        <v>306</v>
      </c>
      <c r="FZ177" s="43">
        <v>82</v>
      </c>
      <c r="GA177" s="53"/>
      <c r="GB177" s="53"/>
      <c r="GC177" s="53"/>
      <c r="GD177" s="53"/>
      <c r="GE177" s="53"/>
      <c r="GF177" s="53"/>
      <c r="GG177" s="53"/>
      <c r="GH177" s="53"/>
      <c r="GI177" s="43"/>
      <c r="GJ177" s="53"/>
      <c r="GK177" s="53"/>
      <c r="GL177" s="53"/>
      <c r="GM177" s="53"/>
      <c r="GN177" s="53"/>
      <c r="GO177" s="43">
        <v>259</v>
      </c>
      <c r="GP177" s="43">
        <v>111</v>
      </c>
      <c r="GQ177" s="43">
        <v>309</v>
      </c>
      <c r="GR177" s="43">
        <v>75</v>
      </c>
    </row>
    <row r="178" spans="1:200">
      <c r="A178" s="5">
        <v>2609</v>
      </c>
      <c r="B178" s="1" t="s">
        <v>306</v>
      </c>
      <c r="C178" s="33">
        <v>1064</v>
      </c>
      <c r="D178" s="34">
        <v>741</v>
      </c>
      <c r="E178" s="19">
        <f t="shared" si="2"/>
        <v>0.6964285714285714</v>
      </c>
      <c r="F178" s="62">
        <v>405</v>
      </c>
      <c r="G178" s="43">
        <v>3</v>
      </c>
      <c r="H178" s="43">
        <v>27</v>
      </c>
      <c r="I178" s="43">
        <v>11</v>
      </c>
      <c r="J178" s="55">
        <v>279</v>
      </c>
      <c r="K178" s="6">
        <v>0</v>
      </c>
      <c r="L178" s="6">
        <v>0</v>
      </c>
      <c r="M178" s="43">
        <v>0</v>
      </c>
      <c r="N178" s="25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  <c r="V178" s="43">
        <v>0</v>
      </c>
      <c r="W178" s="43">
        <v>3</v>
      </c>
      <c r="X178" s="43">
        <v>0</v>
      </c>
      <c r="Y178" s="43">
        <v>0</v>
      </c>
      <c r="Z178" s="43">
        <v>0</v>
      </c>
      <c r="AA178" s="44">
        <v>0</v>
      </c>
      <c r="AB178" s="44">
        <v>0</v>
      </c>
      <c r="AC178" s="44">
        <v>15</v>
      </c>
      <c r="AD178" s="44">
        <v>17</v>
      </c>
      <c r="AE178" s="44">
        <v>345</v>
      </c>
      <c r="AF178" s="44">
        <v>5</v>
      </c>
      <c r="AG178" s="44">
        <v>0</v>
      </c>
      <c r="AH178" s="44">
        <v>332</v>
      </c>
      <c r="AI178" s="44">
        <v>371</v>
      </c>
      <c r="AJ178" s="44">
        <v>0</v>
      </c>
      <c r="AK178" s="44">
        <v>0</v>
      </c>
      <c r="AL178" s="44">
        <v>345</v>
      </c>
      <c r="AM178" s="48"/>
      <c r="AN178" s="48"/>
      <c r="AO178" s="48"/>
      <c r="AP178" s="44"/>
      <c r="AQ178" s="44"/>
      <c r="AR178" s="51"/>
      <c r="AS178" s="51"/>
      <c r="AT178" s="51"/>
      <c r="AU178" s="51"/>
      <c r="AV178" s="51"/>
      <c r="AW178" s="50"/>
      <c r="AX178" s="50"/>
      <c r="AY178" s="50"/>
      <c r="AZ178" s="50"/>
      <c r="BA178" s="43">
        <v>372</v>
      </c>
      <c r="BB178" s="43">
        <v>290</v>
      </c>
      <c r="BC178" s="50"/>
      <c r="BD178" s="50"/>
      <c r="BE178" s="43">
        <v>244</v>
      </c>
      <c r="BF178" s="43">
        <v>451</v>
      </c>
      <c r="BG178" s="43">
        <v>309</v>
      </c>
      <c r="BH178" s="43">
        <v>384</v>
      </c>
      <c r="BI178" s="43">
        <v>343</v>
      </c>
      <c r="BJ178" s="43">
        <v>343</v>
      </c>
      <c r="BK178" s="43">
        <v>396</v>
      </c>
      <c r="BL178" s="43">
        <v>290</v>
      </c>
      <c r="BM178" s="43">
        <v>229</v>
      </c>
      <c r="BN178" s="43">
        <v>471</v>
      </c>
      <c r="BO178" s="43">
        <v>350</v>
      </c>
      <c r="BP178" s="43">
        <v>314</v>
      </c>
      <c r="BQ178" s="43">
        <v>334</v>
      </c>
      <c r="BR178" s="43">
        <v>337</v>
      </c>
      <c r="BS178" s="43">
        <v>423</v>
      </c>
      <c r="BT178" s="43">
        <v>213</v>
      </c>
      <c r="BU178" s="43">
        <v>467</v>
      </c>
      <c r="BV178" s="43">
        <v>427</v>
      </c>
      <c r="BW178" s="43">
        <v>280</v>
      </c>
      <c r="BX178" s="43">
        <v>264</v>
      </c>
      <c r="BY178" s="43">
        <v>333</v>
      </c>
      <c r="BZ178" s="43">
        <v>277</v>
      </c>
      <c r="CA178" s="43">
        <v>378</v>
      </c>
      <c r="CB178" s="43">
        <v>261</v>
      </c>
      <c r="CC178" s="43">
        <v>285</v>
      </c>
      <c r="CD178" s="43">
        <v>409</v>
      </c>
      <c r="CE178" s="43">
        <v>276</v>
      </c>
      <c r="CF178" s="43">
        <v>289</v>
      </c>
      <c r="CG178" s="43">
        <v>285</v>
      </c>
      <c r="CH178" s="43">
        <v>239</v>
      </c>
      <c r="CI178" s="43">
        <v>179</v>
      </c>
      <c r="CJ178" s="43">
        <v>365</v>
      </c>
      <c r="CK178" s="43">
        <v>300</v>
      </c>
      <c r="CL178" s="43">
        <v>249</v>
      </c>
      <c r="CM178" s="43">
        <v>376</v>
      </c>
      <c r="CN178" s="43">
        <v>393</v>
      </c>
      <c r="CO178" s="43">
        <v>211</v>
      </c>
      <c r="CP178" s="43">
        <v>339</v>
      </c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43">
        <v>360</v>
      </c>
      <c r="FZ178" s="43">
        <v>354</v>
      </c>
      <c r="GA178" s="53"/>
      <c r="GB178" s="53"/>
      <c r="GC178" s="53"/>
      <c r="GD178" s="53"/>
      <c r="GE178" s="53"/>
      <c r="GF178" s="53"/>
      <c r="GG178" s="53"/>
      <c r="GH178" s="53"/>
      <c r="GI178" s="43"/>
      <c r="GJ178" s="53"/>
      <c r="GK178" s="53"/>
      <c r="GL178" s="53"/>
      <c r="GM178" s="53"/>
      <c r="GN178" s="53"/>
      <c r="GO178" s="43">
        <v>488</v>
      </c>
      <c r="GP178" s="43">
        <v>220</v>
      </c>
      <c r="GQ178" s="43">
        <v>474</v>
      </c>
      <c r="GR178" s="43">
        <v>226</v>
      </c>
    </row>
    <row r="179" spans="1:200">
      <c r="A179" s="5">
        <v>2610</v>
      </c>
      <c r="B179" s="1" t="s">
        <v>307</v>
      </c>
      <c r="C179" s="33">
        <v>1288</v>
      </c>
      <c r="D179" s="34">
        <v>823</v>
      </c>
      <c r="E179" s="19">
        <f t="shared" si="2"/>
        <v>0.6389751552795031</v>
      </c>
      <c r="F179" s="62">
        <v>712</v>
      </c>
      <c r="G179" s="43">
        <v>1</v>
      </c>
      <c r="H179" s="43">
        <v>12</v>
      </c>
      <c r="I179" s="43">
        <v>7</v>
      </c>
      <c r="J179" s="55">
        <v>78</v>
      </c>
      <c r="K179" s="6">
        <v>0</v>
      </c>
      <c r="L179" s="6">
        <v>0</v>
      </c>
      <c r="M179" s="43">
        <v>0</v>
      </c>
      <c r="N179" s="25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  <c r="V179" s="43">
        <v>0</v>
      </c>
      <c r="W179" s="43">
        <v>3</v>
      </c>
      <c r="X179" s="43">
        <v>0</v>
      </c>
      <c r="Y179" s="43">
        <v>0</v>
      </c>
      <c r="Z179" s="43">
        <v>0</v>
      </c>
      <c r="AA179" s="44">
        <v>0</v>
      </c>
      <c r="AB179" s="44">
        <v>0</v>
      </c>
      <c r="AC179" s="44">
        <v>6</v>
      </c>
      <c r="AD179" s="44">
        <v>16</v>
      </c>
      <c r="AE179" s="44">
        <v>146</v>
      </c>
      <c r="AF179" s="44">
        <v>3</v>
      </c>
      <c r="AG179" s="44">
        <v>0</v>
      </c>
      <c r="AH179" s="44">
        <v>622</v>
      </c>
      <c r="AI179" s="44">
        <v>165</v>
      </c>
      <c r="AJ179" s="44">
        <v>0</v>
      </c>
      <c r="AK179" s="44">
        <v>0</v>
      </c>
      <c r="AL179" s="44">
        <v>631</v>
      </c>
      <c r="AM179" s="48"/>
      <c r="AN179" s="48"/>
      <c r="AO179" s="48"/>
      <c r="AP179" s="44"/>
      <c r="AQ179" s="44"/>
      <c r="AR179" s="51"/>
      <c r="AS179" s="51"/>
      <c r="AT179" s="51"/>
      <c r="AU179" s="51"/>
      <c r="AV179" s="51"/>
      <c r="AW179" s="50"/>
      <c r="AX179" s="50"/>
      <c r="AY179" s="50"/>
      <c r="AZ179" s="50"/>
      <c r="BA179" s="43">
        <v>694</v>
      </c>
      <c r="BB179" s="43">
        <v>86</v>
      </c>
      <c r="BC179" s="50"/>
      <c r="BD179" s="50"/>
      <c r="BE179" s="43">
        <v>63</v>
      </c>
      <c r="BF179" s="43">
        <v>724</v>
      </c>
      <c r="BG179" s="43">
        <v>116</v>
      </c>
      <c r="BH179" s="43">
        <v>675</v>
      </c>
      <c r="BI179" s="43">
        <v>161</v>
      </c>
      <c r="BJ179" s="43">
        <v>617</v>
      </c>
      <c r="BK179" s="43">
        <v>630</v>
      </c>
      <c r="BL179" s="43">
        <v>144</v>
      </c>
      <c r="BM179" s="43">
        <v>78</v>
      </c>
      <c r="BN179" s="43">
        <v>704</v>
      </c>
      <c r="BO179" s="43">
        <v>652</v>
      </c>
      <c r="BP179" s="43">
        <v>113</v>
      </c>
      <c r="BQ179" s="43">
        <v>128</v>
      </c>
      <c r="BR179" s="43">
        <v>640</v>
      </c>
      <c r="BS179" s="43">
        <v>309</v>
      </c>
      <c r="BT179" s="43">
        <v>65</v>
      </c>
      <c r="BU179" s="43">
        <v>719</v>
      </c>
      <c r="BV179" s="43">
        <v>426</v>
      </c>
      <c r="BW179" s="43">
        <v>213</v>
      </c>
      <c r="BX179" s="43">
        <v>453</v>
      </c>
      <c r="BY179" s="43">
        <v>249</v>
      </c>
      <c r="BZ179" s="43">
        <v>453</v>
      </c>
      <c r="CA179" s="43">
        <v>364</v>
      </c>
      <c r="CB179" s="43">
        <v>126</v>
      </c>
      <c r="CC179" s="43">
        <v>526</v>
      </c>
      <c r="CD179" s="43">
        <v>476</v>
      </c>
      <c r="CE179" s="43">
        <v>466</v>
      </c>
      <c r="CF179" s="43">
        <v>191</v>
      </c>
      <c r="CG179" s="43">
        <v>173</v>
      </c>
      <c r="CH179" s="43">
        <v>450</v>
      </c>
      <c r="CI179" s="43">
        <v>396</v>
      </c>
      <c r="CJ179" s="43">
        <v>257</v>
      </c>
      <c r="CK179" s="43">
        <v>239</v>
      </c>
      <c r="CL179" s="43">
        <v>434</v>
      </c>
      <c r="CM179" s="43">
        <v>363</v>
      </c>
      <c r="CN179" s="43">
        <v>401</v>
      </c>
      <c r="CO179" s="43">
        <v>446</v>
      </c>
      <c r="CP179" s="43">
        <v>236</v>
      </c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43">
        <v>506</v>
      </c>
      <c r="FZ179" s="43">
        <v>274</v>
      </c>
      <c r="GA179" s="53"/>
      <c r="GB179" s="53"/>
      <c r="GC179" s="53"/>
      <c r="GD179" s="53"/>
      <c r="GE179" s="53"/>
      <c r="GF179" s="53"/>
      <c r="GG179" s="53"/>
      <c r="GH179" s="53"/>
      <c r="GI179" s="43"/>
      <c r="GJ179" s="53"/>
      <c r="GK179" s="53"/>
      <c r="GL179" s="53"/>
      <c r="GM179" s="53"/>
      <c r="GN179" s="53"/>
      <c r="GO179" s="43">
        <v>520</v>
      </c>
      <c r="GP179" s="43">
        <v>254</v>
      </c>
      <c r="GQ179" s="43">
        <v>579</v>
      </c>
      <c r="GR179" s="43">
        <v>205</v>
      </c>
    </row>
    <row r="180" spans="1:200">
      <c r="A180" s="5">
        <v>2611</v>
      </c>
      <c r="B180" s="1" t="s">
        <v>308</v>
      </c>
      <c r="C180" s="33">
        <v>1246</v>
      </c>
      <c r="D180" s="34">
        <v>862</v>
      </c>
      <c r="E180" s="19">
        <f t="shared" si="2"/>
        <v>0.6918138041733547</v>
      </c>
      <c r="F180" s="62">
        <v>478</v>
      </c>
      <c r="G180" s="43">
        <v>2</v>
      </c>
      <c r="H180" s="43">
        <v>32</v>
      </c>
      <c r="I180" s="43">
        <v>15</v>
      </c>
      <c r="J180" s="55">
        <v>320</v>
      </c>
      <c r="K180" s="6">
        <v>0</v>
      </c>
      <c r="L180" s="6">
        <v>0</v>
      </c>
      <c r="M180" s="43">
        <v>0</v>
      </c>
      <c r="N180" s="25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1</v>
      </c>
      <c r="X180" s="43">
        <v>0</v>
      </c>
      <c r="Y180" s="43">
        <v>0</v>
      </c>
      <c r="Z180" s="43">
        <v>0</v>
      </c>
      <c r="AA180" s="44">
        <v>0</v>
      </c>
      <c r="AB180" s="44">
        <v>0</v>
      </c>
      <c r="AC180" s="44">
        <v>11</v>
      </c>
      <c r="AD180" s="44">
        <v>24</v>
      </c>
      <c r="AE180" s="44">
        <v>410</v>
      </c>
      <c r="AF180" s="44">
        <v>6</v>
      </c>
      <c r="AG180" s="44">
        <v>0</v>
      </c>
      <c r="AH180" s="44">
        <v>379</v>
      </c>
      <c r="AI180" s="44">
        <v>421</v>
      </c>
      <c r="AJ180" s="44">
        <v>0</v>
      </c>
      <c r="AK180" s="44">
        <v>0</v>
      </c>
      <c r="AL180" s="44">
        <v>409</v>
      </c>
      <c r="AM180" s="48"/>
      <c r="AN180" s="48"/>
      <c r="AO180" s="48"/>
      <c r="AP180" s="44"/>
      <c r="AQ180" s="44"/>
      <c r="AR180" s="51"/>
      <c r="AS180" s="51"/>
      <c r="AT180" s="51"/>
      <c r="AU180" s="51"/>
      <c r="AV180" s="51"/>
      <c r="AW180" s="50"/>
      <c r="AX180" s="50"/>
      <c r="AY180" s="50"/>
      <c r="AZ180" s="50"/>
      <c r="BA180" s="43">
        <v>440</v>
      </c>
      <c r="BB180" s="43">
        <v>339</v>
      </c>
      <c r="BC180" s="50"/>
      <c r="BD180" s="50"/>
      <c r="BE180" s="43">
        <v>266</v>
      </c>
      <c r="BF180" s="43">
        <v>546</v>
      </c>
      <c r="BG180" s="43">
        <v>367</v>
      </c>
      <c r="BH180" s="43">
        <v>452</v>
      </c>
      <c r="BI180" s="43">
        <v>439</v>
      </c>
      <c r="BJ180" s="43">
        <v>368</v>
      </c>
      <c r="BK180" s="43">
        <v>440</v>
      </c>
      <c r="BL180" s="43">
        <v>371</v>
      </c>
      <c r="BM180" s="43">
        <v>252</v>
      </c>
      <c r="BN180" s="43">
        <v>549</v>
      </c>
      <c r="BO180" s="43">
        <v>411</v>
      </c>
      <c r="BP180" s="43">
        <v>371</v>
      </c>
      <c r="BQ180" s="43">
        <v>395</v>
      </c>
      <c r="BR180" s="43">
        <v>389</v>
      </c>
      <c r="BS180" s="43">
        <v>486</v>
      </c>
      <c r="BT180" s="43">
        <v>250</v>
      </c>
      <c r="BU180" s="43">
        <v>539</v>
      </c>
      <c r="BV180" s="43">
        <v>515</v>
      </c>
      <c r="BW180" s="43">
        <v>354</v>
      </c>
      <c r="BX180" s="43">
        <v>292</v>
      </c>
      <c r="BY180" s="43">
        <v>406</v>
      </c>
      <c r="BZ180" s="43">
        <v>309</v>
      </c>
      <c r="CA180" s="43">
        <v>447</v>
      </c>
      <c r="CB180" s="43">
        <v>312</v>
      </c>
      <c r="CC180" s="43">
        <v>331</v>
      </c>
      <c r="CD180" s="43">
        <v>470</v>
      </c>
      <c r="CE180" s="43">
        <v>314</v>
      </c>
      <c r="CF180" s="43">
        <v>359</v>
      </c>
      <c r="CG180" s="43">
        <v>342</v>
      </c>
      <c r="CH180" s="43">
        <v>276</v>
      </c>
      <c r="CI180" s="43">
        <v>209</v>
      </c>
      <c r="CJ180" s="43">
        <v>456</v>
      </c>
      <c r="CK180" s="43">
        <v>385</v>
      </c>
      <c r="CL180" s="43">
        <v>271</v>
      </c>
      <c r="CM180" s="43">
        <v>452</v>
      </c>
      <c r="CN180" s="43">
        <v>470</v>
      </c>
      <c r="CO180" s="43">
        <v>259</v>
      </c>
      <c r="CP180" s="43">
        <v>391</v>
      </c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43">
        <v>400</v>
      </c>
      <c r="FZ180" s="43">
        <v>412</v>
      </c>
      <c r="GA180" s="53"/>
      <c r="GB180" s="53"/>
      <c r="GC180" s="53"/>
      <c r="GD180" s="53"/>
      <c r="GE180" s="53"/>
      <c r="GF180" s="53"/>
      <c r="GG180" s="53"/>
      <c r="GH180" s="53"/>
      <c r="GI180" s="43"/>
      <c r="GJ180" s="53"/>
      <c r="GK180" s="53"/>
      <c r="GL180" s="53"/>
      <c r="GM180" s="53"/>
      <c r="GN180" s="53"/>
      <c r="GO180" s="43">
        <v>548</v>
      </c>
      <c r="GP180" s="43">
        <v>262</v>
      </c>
      <c r="GQ180" s="43">
        <v>551</v>
      </c>
      <c r="GR180" s="43">
        <v>260</v>
      </c>
    </row>
    <row r="181" spans="1:200">
      <c r="A181" s="5">
        <v>2612</v>
      </c>
      <c r="B181" s="1" t="s">
        <v>309</v>
      </c>
      <c r="C181" s="33">
        <v>820</v>
      </c>
      <c r="D181" s="34">
        <v>538</v>
      </c>
      <c r="E181" s="19">
        <f t="shared" si="2"/>
        <v>0.65609756097560978</v>
      </c>
      <c r="F181" s="62">
        <v>324</v>
      </c>
      <c r="G181" s="43">
        <v>0</v>
      </c>
      <c r="H181" s="43">
        <v>17</v>
      </c>
      <c r="I181" s="43">
        <v>8</v>
      </c>
      <c r="J181" s="55">
        <v>180</v>
      </c>
      <c r="K181" s="6">
        <v>0</v>
      </c>
      <c r="L181" s="6">
        <v>0</v>
      </c>
      <c r="M181" s="43">
        <v>1</v>
      </c>
      <c r="N181" s="25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  <c r="V181" s="43">
        <v>0</v>
      </c>
      <c r="W181" s="43">
        <v>2</v>
      </c>
      <c r="X181" s="43">
        <v>0</v>
      </c>
      <c r="Y181" s="43">
        <v>0</v>
      </c>
      <c r="Z181" s="43">
        <v>0</v>
      </c>
      <c r="AA181" s="44">
        <v>0</v>
      </c>
      <c r="AB181" s="44">
        <v>0</v>
      </c>
      <c r="AC181" s="44">
        <v>6</v>
      </c>
      <c r="AD181" s="44">
        <v>14</v>
      </c>
      <c r="AE181" s="44">
        <v>229</v>
      </c>
      <c r="AF181" s="44">
        <v>7</v>
      </c>
      <c r="AG181" s="44">
        <v>0</v>
      </c>
      <c r="AH181" s="44">
        <v>266</v>
      </c>
      <c r="AI181" s="44">
        <v>232</v>
      </c>
      <c r="AJ181" s="44">
        <v>0</v>
      </c>
      <c r="AK181" s="44">
        <v>0</v>
      </c>
      <c r="AL181" s="44">
        <v>287</v>
      </c>
      <c r="AM181" s="48"/>
      <c r="AN181" s="48"/>
      <c r="AO181" s="48"/>
      <c r="AP181" s="44"/>
      <c r="AQ181" s="44"/>
      <c r="AR181" s="51"/>
      <c r="AS181" s="51"/>
      <c r="AT181" s="51"/>
      <c r="AU181" s="51"/>
      <c r="AV181" s="51"/>
      <c r="AW181" s="50"/>
      <c r="AX181" s="50"/>
      <c r="AY181" s="50"/>
      <c r="AZ181" s="50"/>
      <c r="BA181" s="43">
        <v>311</v>
      </c>
      <c r="BB181" s="43">
        <v>177</v>
      </c>
      <c r="BC181" s="50"/>
      <c r="BD181" s="50"/>
      <c r="BE181" s="43">
        <v>144</v>
      </c>
      <c r="BF181" s="43">
        <v>370</v>
      </c>
      <c r="BG181" s="43">
        <v>204</v>
      </c>
      <c r="BH181" s="43">
        <v>307</v>
      </c>
      <c r="BI181" s="43">
        <v>246</v>
      </c>
      <c r="BJ181" s="43">
        <v>265</v>
      </c>
      <c r="BK181" s="43">
        <v>307</v>
      </c>
      <c r="BL181" s="43">
        <v>203</v>
      </c>
      <c r="BM181" s="43">
        <v>135</v>
      </c>
      <c r="BN181" s="43">
        <v>368</v>
      </c>
      <c r="BO181" s="43">
        <v>279</v>
      </c>
      <c r="BP181" s="43">
        <v>217</v>
      </c>
      <c r="BQ181" s="43">
        <v>222</v>
      </c>
      <c r="BR181" s="43">
        <v>280</v>
      </c>
      <c r="BS181" s="43">
        <v>288</v>
      </c>
      <c r="BT181" s="43">
        <v>140</v>
      </c>
      <c r="BU181" s="43">
        <v>362</v>
      </c>
      <c r="BV181" s="43">
        <v>309</v>
      </c>
      <c r="BW181" s="43">
        <v>200</v>
      </c>
      <c r="BX181" s="43">
        <v>227</v>
      </c>
      <c r="BY181" s="43">
        <v>234</v>
      </c>
      <c r="BZ181" s="43">
        <v>211</v>
      </c>
      <c r="CA181" s="43">
        <v>283</v>
      </c>
      <c r="CB181" s="43">
        <v>165</v>
      </c>
      <c r="CC181" s="43">
        <v>238</v>
      </c>
      <c r="CD181" s="43">
        <v>308</v>
      </c>
      <c r="CE181" s="43">
        <v>219</v>
      </c>
      <c r="CF181" s="43">
        <v>213</v>
      </c>
      <c r="CG181" s="43">
        <v>194</v>
      </c>
      <c r="CH181" s="43">
        <v>205</v>
      </c>
      <c r="CI181" s="43">
        <v>180</v>
      </c>
      <c r="CJ181" s="43">
        <v>233</v>
      </c>
      <c r="CK181" s="43">
        <v>207</v>
      </c>
      <c r="CL181" s="43">
        <v>215</v>
      </c>
      <c r="CM181" s="43">
        <v>279</v>
      </c>
      <c r="CN181" s="43">
        <v>297</v>
      </c>
      <c r="CO181" s="43">
        <v>201</v>
      </c>
      <c r="CP181" s="43">
        <v>218</v>
      </c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43">
        <v>277</v>
      </c>
      <c r="FZ181" s="43">
        <v>233</v>
      </c>
      <c r="GA181" s="53"/>
      <c r="GB181" s="53"/>
      <c r="GC181" s="53"/>
      <c r="GD181" s="53"/>
      <c r="GE181" s="53"/>
      <c r="GF181" s="53"/>
      <c r="GG181" s="53"/>
      <c r="GH181" s="53"/>
      <c r="GI181" s="43"/>
      <c r="GJ181" s="53"/>
      <c r="GK181" s="53"/>
      <c r="GL181" s="53"/>
      <c r="GM181" s="53"/>
      <c r="GN181" s="53"/>
      <c r="GO181" s="43">
        <v>334</v>
      </c>
      <c r="GP181" s="43">
        <v>167</v>
      </c>
      <c r="GQ181" s="43">
        <v>353</v>
      </c>
      <c r="GR181" s="43">
        <v>149</v>
      </c>
    </row>
    <row r="182" spans="1:200">
      <c r="A182" s="5">
        <v>2613</v>
      </c>
      <c r="B182" s="1" t="s">
        <v>310</v>
      </c>
      <c r="C182" s="33">
        <v>714</v>
      </c>
      <c r="D182" s="34">
        <v>388</v>
      </c>
      <c r="E182" s="19">
        <f t="shared" si="2"/>
        <v>0.54341736694677867</v>
      </c>
      <c r="F182" s="62">
        <v>304</v>
      </c>
      <c r="G182" s="43">
        <v>1</v>
      </c>
      <c r="H182" s="43">
        <v>5</v>
      </c>
      <c r="I182" s="43">
        <v>8</v>
      </c>
      <c r="J182" s="55">
        <v>62</v>
      </c>
      <c r="K182" s="6">
        <v>0</v>
      </c>
      <c r="L182" s="6">
        <v>0</v>
      </c>
      <c r="M182" s="43">
        <v>0</v>
      </c>
      <c r="N182" s="25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  <c r="V182" s="43">
        <v>0</v>
      </c>
      <c r="W182" s="43">
        <v>2</v>
      </c>
      <c r="X182" s="43">
        <v>0</v>
      </c>
      <c r="Y182" s="43">
        <v>0</v>
      </c>
      <c r="Z182" s="43">
        <v>0</v>
      </c>
      <c r="AA182" s="44">
        <v>0</v>
      </c>
      <c r="AB182" s="44">
        <v>0</v>
      </c>
      <c r="AC182" s="44">
        <v>7</v>
      </c>
      <c r="AD182" s="44">
        <v>13</v>
      </c>
      <c r="AE182" s="44">
        <v>78</v>
      </c>
      <c r="AF182" s="44">
        <v>9</v>
      </c>
      <c r="AG182" s="44">
        <v>0</v>
      </c>
      <c r="AH182" s="44">
        <v>261</v>
      </c>
      <c r="AI182" s="44">
        <v>87</v>
      </c>
      <c r="AJ182" s="44">
        <v>1</v>
      </c>
      <c r="AK182" s="44">
        <v>0</v>
      </c>
      <c r="AL182" s="44">
        <v>282</v>
      </c>
      <c r="AM182" s="48"/>
      <c r="AN182" s="48"/>
      <c r="AO182" s="48"/>
      <c r="AP182" s="44"/>
      <c r="AQ182" s="44"/>
      <c r="AR182" s="51"/>
      <c r="AS182" s="51"/>
      <c r="AT182" s="51"/>
      <c r="AU182" s="51"/>
      <c r="AV182" s="51"/>
      <c r="AW182" s="50"/>
      <c r="AX182" s="50"/>
      <c r="AY182" s="50"/>
      <c r="AZ182" s="50"/>
      <c r="BA182" s="43">
        <v>296</v>
      </c>
      <c r="BB182" s="43">
        <v>61</v>
      </c>
      <c r="BC182" s="50"/>
      <c r="BD182" s="50"/>
      <c r="BE182" s="43">
        <v>57</v>
      </c>
      <c r="BF182" s="43">
        <v>298</v>
      </c>
      <c r="BG182" s="43">
        <v>72</v>
      </c>
      <c r="BH182" s="43">
        <v>286</v>
      </c>
      <c r="BI182" s="43">
        <v>84</v>
      </c>
      <c r="BJ182" s="43">
        <v>261</v>
      </c>
      <c r="BK182" s="43">
        <v>275</v>
      </c>
      <c r="BL182" s="43">
        <v>77</v>
      </c>
      <c r="BM182" s="43">
        <v>46</v>
      </c>
      <c r="BN182" s="43">
        <v>310</v>
      </c>
      <c r="BO182" s="43">
        <v>268</v>
      </c>
      <c r="BP182" s="43">
        <v>83</v>
      </c>
      <c r="BQ182" s="43">
        <v>80</v>
      </c>
      <c r="BR182" s="43">
        <v>274</v>
      </c>
      <c r="BS182" s="43">
        <v>144</v>
      </c>
      <c r="BT182" s="43">
        <v>53</v>
      </c>
      <c r="BU182" s="43">
        <v>298</v>
      </c>
      <c r="BV182" s="43">
        <v>200</v>
      </c>
      <c r="BW182" s="43">
        <v>106</v>
      </c>
      <c r="BX182" s="43">
        <v>180</v>
      </c>
      <c r="BY182" s="43">
        <v>126</v>
      </c>
      <c r="BZ182" s="43">
        <v>186</v>
      </c>
      <c r="CA182" s="43">
        <v>168</v>
      </c>
      <c r="CB182" s="43">
        <v>84</v>
      </c>
      <c r="CC182" s="43">
        <v>204</v>
      </c>
      <c r="CD182" s="43">
        <v>198</v>
      </c>
      <c r="CE182" s="43">
        <v>200</v>
      </c>
      <c r="CF182" s="43">
        <v>96</v>
      </c>
      <c r="CG182" s="43">
        <v>96</v>
      </c>
      <c r="CH182" s="43">
        <v>173</v>
      </c>
      <c r="CI182" s="43">
        <v>146</v>
      </c>
      <c r="CJ182" s="43">
        <v>140</v>
      </c>
      <c r="CK182" s="43">
        <v>143</v>
      </c>
      <c r="CL182" s="43">
        <v>165</v>
      </c>
      <c r="CM182" s="43">
        <v>162</v>
      </c>
      <c r="CN182" s="43">
        <v>181</v>
      </c>
      <c r="CO182" s="43">
        <v>173</v>
      </c>
      <c r="CP182" s="43">
        <v>133</v>
      </c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43">
        <v>234</v>
      </c>
      <c r="FZ182" s="43">
        <v>118</v>
      </c>
      <c r="GA182" s="53"/>
      <c r="GB182" s="53"/>
      <c r="GC182" s="53"/>
      <c r="GD182" s="53"/>
      <c r="GE182" s="53"/>
      <c r="GF182" s="53"/>
      <c r="GG182" s="53"/>
      <c r="GH182" s="53"/>
      <c r="GI182" s="43"/>
      <c r="GJ182" s="53"/>
      <c r="GK182" s="53"/>
      <c r="GL182" s="53"/>
      <c r="GM182" s="53"/>
      <c r="GN182" s="53"/>
      <c r="GO182" s="43">
        <v>230</v>
      </c>
      <c r="GP182" s="43">
        <v>117</v>
      </c>
      <c r="GQ182" s="43">
        <v>250</v>
      </c>
      <c r="GR182" s="43">
        <v>106</v>
      </c>
    </row>
    <row r="183" spans="1:200">
      <c r="A183" s="5">
        <v>2614</v>
      </c>
      <c r="B183" s="1" t="s">
        <v>311</v>
      </c>
      <c r="C183" s="33">
        <v>1228</v>
      </c>
      <c r="D183" s="34">
        <v>688</v>
      </c>
      <c r="E183" s="19">
        <f t="shared" si="2"/>
        <v>0.56026058631921827</v>
      </c>
      <c r="F183" s="62">
        <v>515</v>
      </c>
      <c r="G183" s="43">
        <v>4</v>
      </c>
      <c r="H183" s="43">
        <v>8</v>
      </c>
      <c r="I183" s="43">
        <v>7</v>
      </c>
      <c r="J183" s="55">
        <v>140</v>
      </c>
      <c r="K183" s="6">
        <v>0</v>
      </c>
      <c r="L183" s="6">
        <v>0</v>
      </c>
      <c r="M183" s="43">
        <v>0</v>
      </c>
      <c r="N183" s="25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  <c r="V183" s="43">
        <v>0</v>
      </c>
      <c r="W183" s="43">
        <v>3</v>
      </c>
      <c r="X183" s="43">
        <v>0</v>
      </c>
      <c r="Y183" s="43">
        <v>0</v>
      </c>
      <c r="Z183" s="43">
        <v>0</v>
      </c>
      <c r="AA183" s="44">
        <v>0</v>
      </c>
      <c r="AB183" s="44">
        <v>0</v>
      </c>
      <c r="AC183" s="44">
        <v>10</v>
      </c>
      <c r="AD183" s="44">
        <v>10</v>
      </c>
      <c r="AE183" s="44">
        <v>186</v>
      </c>
      <c r="AF183" s="44">
        <v>6</v>
      </c>
      <c r="AG183" s="44">
        <v>0</v>
      </c>
      <c r="AH183" s="44">
        <v>454</v>
      </c>
      <c r="AI183" s="44">
        <v>207</v>
      </c>
      <c r="AJ183" s="44">
        <v>0</v>
      </c>
      <c r="AK183" s="44">
        <v>0</v>
      </c>
      <c r="AL183" s="44">
        <v>460</v>
      </c>
      <c r="AM183" s="48"/>
      <c r="AN183" s="48"/>
      <c r="AO183" s="48"/>
      <c r="AP183" s="44"/>
      <c r="AQ183" s="44"/>
      <c r="AR183" s="51"/>
      <c r="AS183" s="51"/>
      <c r="AT183" s="51"/>
      <c r="AU183" s="51"/>
      <c r="AV183" s="51"/>
      <c r="AW183" s="50"/>
      <c r="AX183" s="50"/>
      <c r="AY183" s="50"/>
      <c r="AZ183" s="50"/>
      <c r="BA183" s="43">
        <v>506</v>
      </c>
      <c r="BB183" s="43">
        <v>139</v>
      </c>
      <c r="BC183" s="50"/>
      <c r="BD183" s="50"/>
      <c r="BE183" s="43">
        <v>117</v>
      </c>
      <c r="BF183" s="43">
        <v>529</v>
      </c>
      <c r="BG183" s="43">
        <v>156</v>
      </c>
      <c r="BH183" s="43">
        <v>499</v>
      </c>
      <c r="BI183" s="43">
        <v>211</v>
      </c>
      <c r="BJ183" s="43">
        <v>437</v>
      </c>
      <c r="BK183" s="43">
        <v>471</v>
      </c>
      <c r="BL183" s="43">
        <v>179</v>
      </c>
      <c r="BM183" s="43">
        <v>115</v>
      </c>
      <c r="BN183" s="43">
        <v>529</v>
      </c>
      <c r="BO183" s="43">
        <v>471</v>
      </c>
      <c r="BP183" s="43">
        <v>166</v>
      </c>
      <c r="BQ183" s="43">
        <v>171</v>
      </c>
      <c r="BR183" s="43">
        <v>470</v>
      </c>
      <c r="BS183" s="43">
        <v>301</v>
      </c>
      <c r="BT183" s="43">
        <v>90</v>
      </c>
      <c r="BU183" s="43">
        <v>555</v>
      </c>
      <c r="BV183" s="43">
        <v>382</v>
      </c>
      <c r="BW183" s="43">
        <v>207</v>
      </c>
      <c r="BX183" s="43">
        <v>314</v>
      </c>
      <c r="BY183" s="43">
        <v>216</v>
      </c>
      <c r="BZ183" s="43">
        <v>359</v>
      </c>
      <c r="CA183" s="43">
        <v>323</v>
      </c>
      <c r="CB183" s="43">
        <v>133</v>
      </c>
      <c r="CC183" s="43">
        <v>382</v>
      </c>
      <c r="CD183" s="43">
        <v>393</v>
      </c>
      <c r="CE183" s="43">
        <v>352</v>
      </c>
      <c r="CF183" s="43">
        <v>196</v>
      </c>
      <c r="CG183" s="43">
        <v>167</v>
      </c>
      <c r="CH183" s="43">
        <v>323</v>
      </c>
      <c r="CI183" s="43">
        <v>270</v>
      </c>
      <c r="CJ183" s="43">
        <v>253</v>
      </c>
      <c r="CK183" s="43">
        <v>239</v>
      </c>
      <c r="CL183" s="43">
        <v>291</v>
      </c>
      <c r="CM183" s="43">
        <v>310</v>
      </c>
      <c r="CN183" s="43">
        <v>336</v>
      </c>
      <c r="CO183" s="43">
        <v>295</v>
      </c>
      <c r="CP183" s="43">
        <v>237</v>
      </c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43">
        <v>405</v>
      </c>
      <c r="FZ183" s="43">
        <v>245</v>
      </c>
      <c r="GA183" s="53"/>
      <c r="GB183" s="53"/>
      <c r="GC183" s="53"/>
      <c r="GD183" s="53"/>
      <c r="GE183" s="53"/>
      <c r="GF183" s="53"/>
      <c r="GG183" s="53"/>
      <c r="GH183" s="53"/>
      <c r="GI183" s="43"/>
      <c r="GJ183" s="53"/>
      <c r="GK183" s="53"/>
      <c r="GL183" s="53"/>
      <c r="GM183" s="53"/>
      <c r="GN183" s="53"/>
      <c r="GO183" s="43">
        <v>473</v>
      </c>
      <c r="GP183" s="43">
        <v>175</v>
      </c>
      <c r="GQ183" s="43">
        <v>483</v>
      </c>
      <c r="GR183" s="43">
        <v>161</v>
      </c>
    </row>
    <row r="184" spans="1:200">
      <c r="A184" s="5">
        <v>2615</v>
      </c>
      <c r="B184" s="1" t="s">
        <v>312</v>
      </c>
      <c r="C184" s="33">
        <v>1164</v>
      </c>
      <c r="D184" s="34">
        <v>837</v>
      </c>
      <c r="E184" s="19">
        <f t="shared" si="2"/>
        <v>0.71907216494845361</v>
      </c>
      <c r="F184" s="62">
        <v>514</v>
      </c>
      <c r="G184" s="43">
        <v>9</v>
      </c>
      <c r="H184" s="43">
        <v>26</v>
      </c>
      <c r="I184" s="43">
        <v>13</v>
      </c>
      <c r="J184" s="55">
        <v>257</v>
      </c>
      <c r="K184" s="6">
        <v>0</v>
      </c>
      <c r="L184" s="6">
        <v>0</v>
      </c>
      <c r="M184" s="43">
        <v>0</v>
      </c>
      <c r="N184" s="25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2</v>
      </c>
      <c r="W184" s="43">
        <v>2</v>
      </c>
      <c r="X184" s="43">
        <v>0</v>
      </c>
      <c r="Y184" s="43">
        <v>0</v>
      </c>
      <c r="Z184" s="43">
        <v>0</v>
      </c>
      <c r="AA184" s="44">
        <v>0</v>
      </c>
      <c r="AB184" s="44">
        <v>0</v>
      </c>
      <c r="AC184" s="44">
        <v>13</v>
      </c>
      <c r="AD184" s="44">
        <v>17</v>
      </c>
      <c r="AE184" s="44">
        <v>342</v>
      </c>
      <c r="AF184" s="44">
        <v>8</v>
      </c>
      <c r="AG184" s="44">
        <v>0</v>
      </c>
      <c r="AH184" s="44">
        <v>425</v>
      </c>
      <c r="AI184" s="44">
        <v>349</v>
      </c>
      <c r="AJ184" s="44">
        <v>1</v>
      </c>
      <c r="AK184" s="44">
        <v>0</v>
      </c>
      <c r="AL184" s="44">
        <v>465</v>
      </c>
      <c r="AM184" s="48"/>
      <c r="AN184" s="48"/>
      <c r="AO184" s="48"/>
      <c r="AP184" s="44"/>
      <c r="AQ184" s="44"/>
      <c r="AR184" s="51"/>
      <c r="AS184" s="51"/>
      <c r="AT184" s="51"/>
      <c r="AU184" s="51"/>
      <c r="AV184" s="51"/>
      <c r="AW184" s="50"/>
      <c r="AX184" s="50"/>
      <c r="AY184" s="50"/>
      <c r="AZ184" s="50"/>
      <c r="BA184" s="43">
        <v>481</v>
      </c>
      <c r="BB184" s="43">
        <v>292</v>
      </c>
      <c r="BC184" s="50"/>
      <c r="BD184" s="50"/>
      <c r="BE184" s="43">
        <v>231</v>
      </c>
      <c r="BF184" s="43">
        <v>551</v>
      </c>
      <c r="BG184" s="43">
        <v>289</v>
      </c>
      <c r="BH184" s="43">
        <v>497</v>
      </c>
      <c r="BI184" s="43">
        <v>360</v>
      </c>
      <c r="BJ184" s="43">
        <v>432</v>
      </c>
      <c r="BK184" s="43">
        <v>472</v>
      </c>
      <c r="BL184" s="43">
        <v>314</v>
      </c>
      <c r="BM184" s="43">
        <v>215</v>
      </c>
      <c r="BN184" s="43">
        <v>568</v>
      </c>
      <c r="BO184" s="43">
        <v>455</v>
      </c>
      <c r="BP184" s="43">
        <v>300</v>
      </c>
      <c r="BQ184" s="43">
        <v>315</v>
      </c>
      <c r="BR184" s="43">
        <v>453</v>
      </c>
      <c r="BS184" s="43">
        <v>433</v>
      </c>
      <c r="BT184" s="43">
        <v>198</v>
      </c>
      <c r="BU184" s="43">
        <v>580</v>
      </c>
      <c r="BV184" s="43">
        <v>484</v>
      </c>
      <c r="BW184" s="43">
        <v>321</v>
      </c>
      <c r="BX184" s="43">
        <v>299</v>
      </c>
      <c r="BY184" s="43">
        <v>345</v>
      </c>
      <c r="BZ184" s="43">
        <v>340</v>
      </c>
      <c r="CA184" s="43">
        <v>423</v>
      </c>
      <c r="CB184" s="43">
        <v>236</v>
      </c>
      <c r="CC184" s="43">
        <v>358</v>
      </c>
      <c r="CD184" s="43">
        <v>454</v>
      </c>
      <c r="CE184" s="43">
        <v>327</v>
      </c>
      <c r="CF184" s="43">
        <v>298</v>
      </c>
      <c r="CG184" s="43">
        <v>276</v>
      </c>
      <c r="CH184" s="43">
        <v>301</v>
      </c>
      <c r="CI184" s="43">
        <v>221</v>
      </c>
      <c r="CJ184" s="43">
        <v>381</v>
      </c>
      <c r="CK184" s="43">
        <v>336</v>
      </c>
      <c r="CL184" s="43">
        <v>278</v>
      </c>
      <c r="CM184" s="43">
        <v>419</v>
      </c>
      <c r="CN184" s="43">
        <v>430</v>
      </c>
      <c r="CO184" s="43">
        <v>271</v>
      </c>
      <c r="CP184" s="43">
        <v>340</v>
      </c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43">
        <v>435</v>
      </c>
      <c r="FZ184" s="43">
        <v>353</v>
      </c>
      <c r="GA184" s="53"/>
      <c r="GB184" s="53"/>
      <c r="GC184" s="53"/>
      <c r="GD184" s="53"/>
      <c r="GE184" s="53"/>
      <c r="GF184" s="53"/>
      <c r="GG184" s="53"/>
      <c r="GH184" s="53"/>
      <c r="GI184" s="43"/>
      <c r="GJ184" s="53"/>
      <c r="GK184" s="53"/>
      <c r="GL184" s="53"/>
      <c r="GM184" s="53"/>
      <c r="GN184" s="53"/>
      <c r="GO184" s="43">
        <v>566</v>
      </c>
      <c r="GP184" s="43">
        <v>222</v>
      </c>
      <c r="GQ184" s="43">
        <v>562</v>
      </c>
      <c r="GR184" s="43">
        <v>228</v>
      </c>
    </row>
    <row r="185" spans="1:200">
      <c r="A185" s="5">
        <v>2616</v>
      </c>
      <c r="B185" s="1" t="s">
        <v>313</v>
      </c>
      <c r="C185" s="33">
        <v>1267</v>
      </c>
      <c r="D185" s="34">
        <v>870</v>
      </c>
      <c r="E185" s="19">
        <f t="shared" si="2"/>
        <v>0.68666140489344907</v>
      </c>
      <c r="F185" s="62">
        <v>693</v>
      </c>
      <c r="G185" s="43">
        <v>3</v>
      </c>
      <c r="H185" s="43">
        <v>13</v>
      </c>
      <c r="I185" s="43">
        <v>5</v>
      </c>
      <c r="J185" s="55">
        <v>140</v>
      </c>
      <c r="K185" s="6">
        <v>0</v>
      </c>
      <c r="L185" s="6">
        <v>0</v>
      </c>
      <c r="M185" s="43">
        <v>0</v>
      </c>
      <c r="N185" s="25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1</v>
      </c>
      <c r="X185" s="43">
        <v>0</v>
      </c>
      <c r="Y185" s="43">
        <v>0</v>
      </c>
      <c r="Z185" s="43">
        <v>0</v>
      </c>
      <c r="AA185" s="44">
        <v>0</v>
      </c>
      <c r="AB185" s="44">
        <v>0</v>
      </c>
      <c r="AC185" s="44">
        <v>12</v>
      </c>
      <c r="AD185" s="44">
        <v>9</v>
      </c>
      <c r="AE185" s="44">
        <v>223</v>
      </c>
      <c r="AF185" s="44">
        <v>6</v>
      </c>
      <c r="AG185" s="44">
        <v>0</v>
      </c>
      <c r="AH185" s="44">
        <v>580</v>
      </c>
      <c r="AI185" s="44">
        <v>212</v>
      </c>
      <c r="AJ185" s="44">
        <v>0</v>
      </c>
      <c r="AK185" s="44">
        <v>0</v>
      </c>
      <c r="AL185" s="44">
        <v>619</v>
      </c>
      <c r="AM185" s="48"/>
      <c r="AN185" s="48"/>
      <c r="AO185" s="48"/>
      <c r="AP185" s="44"/>
      <c r="AQ185" s="44"/>
      <c r="AR185" s="51"/>
      <c r="AS185" s="51"/>
      <c r="AT185" s="51"/>
      <c r="AU185" s="51"/>
      <c r="AV185" s="51"/>
      <c r="AW185" s="50"/>
      <c r="AX185" s="50"/>
      <c r="AY185" s="50"/>
      <c r="AZ185" s="50"/>
      <c r="BA185" s="43">
        <v>650</v>
      </c>
      <c r="BB185" s="43">
        <v>160</v>
      </c>
      <c r="BC185" s="50"/>
      <c r="BD185" s="50"/>
      <c r="BE185" s="43">
        <v>129</v>
      </c>
      <c r="BF185" s="43">
        <v>698</v>
      </c>
      <c r="BG185" s="43">
        <v>170</v>
      </c>
      <c r="BH185" s="43">
        <v>651</v>
      </c>
      <c r="BI185" s="43">
        <v>251</v>
      </c>
      <c r="BJ185" s="43">
        <v>563</v>
      </c>
      <c r="BK185" s="43">
        <v>599</v>
      </c>
      <c r="BL185" s="43">
        <v>212</v>
      </c>
      <c r="BM185" s="43">
        <v>131</v>
      </c>
      <c r="BN185" s="43">
        <v>679</v>
      </c>
      <c r="BO185" s="43">
        <v>594</v>
      </c>
      <c r="BP185" s="43">
        <v>197</v>
      </c>
      <c r="BQ185" s="43">
        <v>209</v>
      </c>
      <c r="BR185" s="43">
        <v>589</v>
      </c>
      <c r="BS185" s="43">
        <v>350</v>
      </c>
      <c r="BT185" s="43">
        <v>134</v>
      </c>
      <c r="BU185" s="43">
        <v>674</v>
      </c>
      <c r="BV185" s="43">
        <v>438</v>
      </c>
      <c r="BW185" s="43">
        <v>274</v>
      </c>
      <c r="BX185" s="43">
        <v>397</v>
      </c>
      <c r="BY185" s="43">
        <v>286</v>
      </c>
      <c r="BZ185" s="43">
        <v>433</v>
      </c>
      <c r="CA185" s="43">
        <v>375</v>
      </c>
      <c r="CB185" s="43">
        <v>193</v>
      </c>
      <c r="CC185" s="43">
        <v>483</v>
      </c>
      <c r="CD185" s="43">
        <v>498</v>
      </c>
      <c r="CE185" s="43">
        <v>442</v>
      </c>
      <c r="CF185" s="43">
        <v>239</v>
      </c>
      <c r="CG185" s="43">
        <v>249</v>
      </c>
      <c r="CH185" s="43">
        <v>388</v>
      </c>
      <c r="CI185" s="43">
        <v>338</v>
      </c>
      <c r="CJ185" s="43">
        <v>325</v>
      </c>
      <c r="CK185" s="43">
        <v>320</v>
      </c>
      <c r="CL185" s="43">
        <v>367</v>
      </c>
      <c r="CM185" s="43">
        <v>381</v>
      </c>
      <c r="CN185" s="43">
        <v>406</v>
      </c>
      <c r="CO185" s="43">
        <v>384</v>
      </c>
      <c r="CP185" s="43">
        <v>298</v>
      </c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43">
        <v>547</v>
      </c>
      <c r="FZ185" s="43">
        <v>261</v>
      </c>
      <c r="GA185" s="53"/>
      <c r="GB185" s="53"/>
      <c r="GC185" s="53"/>
      <c r="GD185" s="53"/>
      <c r="GE185" s="53"/>
      <c r="GF185" s="53"/>
      <c r="GG185" s="53"/>
      <c r="GH185" s="53"/>
      <c r="GI185" s="43"/>
      <c r="GJ185" s="53"/>
      <c r="GK185" s="53"/>
      <c r="GL185" s="53"/>
      <c r="GM185" s="53"/>
      <c r="GN185" s="53"/>
      <c r="GO185" s="43">
        <v>549</v>
      </c>
      <c r="GP185" s="43">
        <v>246</v>
      </c>
      <c r="GQ185" s="43">
        <v>636</v>
      </c>
      <c r="GR185" s="43">
        <v>170</v>
      </c>
    </row>
    <row r="186" spans="1:200">
      <c r="A186" s="5">
        <v>2617</v>
      </c>
      <c r="B186" s="1" t="s">
        <v>314</v>
      </c>
      <c r="C186" s="33">
        <v>1371</v>
      </c>
      <c r="D186" s="34">
        <v>626</v>
      </c>
      <c r="E186" s="19">
        <f t="shared" si="2"/>
        <v>0.4566010211524435</v>
      </c>
      <c r="F186" s="62">
        <v>547</v>
      </c>
      <c r="G186" s="43">
        <v>2</v>
      </c>
      <c r="H186" s="43">
        <v>9</v>
      </c>
      <c r="I186" s="43">
        <v>4</v>
      </c>
      <c r="J186" s="55">
        <v>57</v>
      </c>
      <c r="K186" s="6">
        <v>0</v>
      </c>
      <c r="L186" s="6">
        <v>0</v>
      </c>
      <c r="M186" s="43">
        <v>0</v>
      </c>
      <c r="N186" s="25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1</v>
      </c>
      <c r="X186" s="43">
        <v>0</v>
      </c>
      <c r="Y186" s="43">
        <v>0</v>
      </c>
      <c r="Z186" s="43">
        <v>0</v>
      </c>
      <c r="AA186" s="44">
        <v>0</v>
      </c>
      <c r="AB186" s="44">
        <v>0</v>
      </c>
      <c r="AC186" s="44">
        <v>6</v>
      </c>
      <c r="AD186" s="44">
        <v>15</v>
      </c>
      <c r="AE186" s="44">
        <v>90</v>
      </c>
      <c r="AF186" s="44">
        <v>8</v>
      </c>
      <c r="AG186" s="44">
        <v>0</v>
      </c>
      <c r="AH186" s="44">
        <v>480</v>
      </c>
      <c r="AI186" s="44">
        <v>93</v>
      </c>
      <c r="AJ186" s="44">
        <v>0</v>
      </c>
      <c r="AK186" s="44">
        <v>0</v>
      </c>
      <c r="AL186" s="44">
        <v>506</v>
      </c>
      <c r="AM186" s="48"/>
      <c r="AN186" s="48"/>
      <c r="AO186" s="48"/>
      <c r="AP186" s="44"/>
      <c r="AQ186" s="44"/>
      <c r="AR186" s="51"/>
      <c r="AS186" s="51"/>
      <c r="AT186" s="51"/>
      <c r="AU186" s="51"/>
      <c r="AV186" s="51"/>
      <c r="AW186" s="50"/>
      <c r="AX186" s="50"/>
      <c r="AY186" s="50"/>
      <c r="AZ186" s="50"/>
      <c r="BA186" s="43">
        <v>526</v>
      </c>
      <c r="BB186" s="43">
        <v>65</v>
      </c>
      <c r="BC186" s="50"/>
      <c r="BD186" s="50"/>
      <c r="BE186" s="43">
        <v>55</v>
      </c>
      <c r="BF186" s="43">
        <v>535</v>
      </c>
      <c r="BG186" s="43">
        <v>89</v>
      </c>
      <c r="BH186" s="43">
        <v>494</v>
      </c>
      <c r="BI186" s="43">
        <v>109</v>
      </c>
      <c r="BJ186" s="43">
        <v>482</v>
      </c>
      <c r="BK186" s="43">
        <v>479</v>
      </c>
      <c r="BL186" s="43">
        <v>110</v>
      </c>
      <c r="BM186" s="43">
        <v>62</v>
      </c>
      <c r="BN186" s="43">
        <v>535</v>
      </c>
      <c r="BO186" s="43">
        <v>498</v>
      </c>
      <c r="BP186" s="43">
        <v>86</v>
      </c>
      <c r="BQ186" s="43">
        <v>85</v>
      </c>
      <c r="BR186" s="43">
        <v>501</v>
      </c>
      <c r="BS186" s="43">
        <v>219</v>
      </c>
      <c r="BT186" s="43">
        <v>45</v>
      </c>
      <c r="BU186" s="43">
        <v>550</v>
      </c>
      <c r="BV186" s="43">
        <v>320</v>
      </c>
      <c r="BW186" s="43">
        <v>175</v>
      </c>
      <c r="BX186" s="43">
        <v>321</v>
      </c>
      <c r="BY186" s="43">
        <v>200</v>
      </c>
      <c r="BZ186" s="43">
        <v>338</v>
      </c>
      <c r="CA186" s="43">
        <v>276</v>
      </c>
      <c r="CB186" s="43">
        <v>131</v>
      </c>
      <c r="CC186" s="43">
        <v>372</v>
      </c>
      <c r="CD186" s="43">
        <v>336</v>
      </c>
      <c r="CE186" s="43">
        <v>347</v>
      </c>
      <c r="CF186" s="43">
        <v>155</v>
      </c>
      <c r="CG186" s="43">
        <v>150</v>
      </c>
      <c r="CH186" s="43">
        <v>311</v>
      </c>
      <c r="CI186" s="43">
        <v>263</v>
      </c>
      <c r="CJ186" s="43">
        <v>229</v>
      </c>
      <c r="CK186" s="43">
        <v>226</v>
      </c>
      <c r="CL186" s="43">
        <v>290</v>
      </c>
      <c r="CM186" s="43">
        <v>266</v>
      </c>
      <c r="CN186" s="43">
        <v>306</v>
      </c>
      <c r="CO186" s="43">
        <v>284</v>
      </c>
      <c r="CP186" s="43">
        <v>231</v>
      </c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43">
        <v>413</v>
      </c>
      <c r="FZ186" s="43">
        <v>176</v>
      </c>
      <c r="GA186" s="53"/>
      <c r="GB186" s="53"/>
      <c r="GC186" s="53"/>
      <c r="GD186" s="53"/>
      <c r="GE186" s="53"/>
      <c r="GF186" s="53"/>
      <c r="GG186" s="53"/>
      <c r="GH186" s="53"/>
      <c r="GI186" s="43"/>
      <c r="GJ186" s="53"/>
      <c r="GK186" s="53"/>
      <c r="GL186" s="53"/>
      <c r="GM186" s="53"/>
      <c r="GN186" s="53"/>
      <c r="GO186" s="43">
        <v>408</v>
      </c>
      <c r="GP186" s="43">
        <v>170</v>
      </c>
      <c r="GQ186" s="43">
        <v>448</v>
      </c>
      <c r="GR186" s="43">
        <v>132</v>
      </c>
    </row>
    <row r="187" spans="1:200">
      <c r="A187" s="5">
        <v>2618</v>
      </c>
      <c r="B187" s="1" t="s">
        <v>315</v>
      </c>
      <c r="C187" s="33">
        <v>774</v>
      </c>
      <c r="D187" s="34">
        <v>392</v>
      </c>
      <c r="E187" s="19">
        <f t="shared" si="2"/>
        <v>0.50645994832041341</v>
      </c>
      <c r="F187" s="62">
        <v>333</v>
      </c>
      <c r="G187" s="43">
        <v>0</v>
      </c>
      <c r="H187" s="43">
        <v>3</v>
      </c>
      <c r="I187" s="43">
        <v>5</v>
      </c>
      <c r="J187" s="55">
        <v>48</v>
      </c>
      <c r="K187" s="6">
        <v>0</v>
      </c>
      <c r="L187" s="6">
        <v>0</v>
      </c>
      <c r="M187" s="43">
        <v>0</v>
      </c>
      <c r="N187" s="25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4">
        <v>0</v>
      </c>
      <c r="AB187" s="44">
        <v>0</v>
      </c>
      <c r="AC187" s="44">
        <v>6</v>
      </c>
      <c r="AD187" s="44">
        <v>8</v>
      </c>
      <c r="AE187" s="44">
        <v>66</v>
      </c>
      <c r="AF187" s="44">
        <v>3</v>
      </c>
      <c r="AG187" s="44">
        <v>0</v>
      </c>
      <c r="AH187" s="44">
        <v>296</v>
      </c>
      <c r="AI187" s="44">
        <v>68</v>
      </c>
      <c r="AJ187" s="44">
        <v>0</v>
      </c>
      <c r="AK187" s="44">
        <v>0</v>
      </c>
      <c r="AL187" s="44">
        <v>309</v>
      </c>
      <c r="AM187" s="48"/>
      <c r="AN187" s="48"/>
      <c r="AO187" s="48"/>
      <c r="AP187" s="44"/>
      <c r="AQ187" s="44"/>
      <c r="AR187" s="51"/>
      <c r="AS187" s="51"/>
      <c r="AT187" s="51"/>
      <c r="AU187" s="51"/>
      <c r="AV187" s="51"/>
      <c r="AW187" s="50"/>
      <c r="AX187" s="50"/>
      <c r="AY187" s="50"/>
      <c r="AZ187" s="50"/>
      <c r="BA187" s="43">
        <v>327</v>
      </c>
      <c r="BB187" s="43">
        <v>43</v>
      </c>
      <c r="BC187" s="50"/>
      <c r="BD187" s="50"/>
      <c r="BE187" s="43">
        <v>35</v>
      </c>
      <c r="BF187" s="43">
        <v>336</v>
      </c>
      <c r="BG187" s="43">
        <v>59</v>
      </c>
      <c r="BH187" s="43">
        <v>312</v>
      </c>
      <c r="BI187" s="43">
        <v>69</v>
      </c>
      <c r="BJ187" s="43">
        <v>301</v>
      </c>
      <c r="BK187" s="43">
        <v>297</v>
      </c>
      <c r="BL187" s="43">
        <v>79</v>
      </c>
      <c r="BM187" s="43">
        <v>38</v>
      </c>
      <c r="BN187" s="43">
        <v>333</v>
      </c>
      <c r="BO187" s="43">
        <v>313</v>
      </c>
      <c r="BP187" s="43">
        <v>57</v>
      </c>
      <c r="BQ187" s="43">
        <v>65</v>
      </c>
      <c r="BR187" s="43">
        <v>305</v>
      </c>
      <c r="BS187" s="43">
        <v>148</v>
      </c>
      <c r="BT187" s="43">
        <v>35</v>
      </c>
      <c r="BU187" s="43">
        <v>337</v>
      </c>
      <c r="BV187" s="43">
        <v>191</v>
      </c>
      <c r="BW187" s="43">
        <v>125</v>
      </c>
      <c r="BX187" s="43">
        <v>189</v>
      </c>
      <c r="BY187" s="43">
        <v>145</v>
      </c>
      <c r="BZ187" s="43">
        <v>193</v>
      </c>
      <c r="CA187" s="43">
        <v>179</v>
      </c>
      <c r="CB187" s="43">
        <v>88</v>
      </c>
      <c r="CC187" s="43">
        <v>220</v>
      </c>
      <c r="CD187" s="43">
        <v>201</v>
      </c>
      <c r="CE187" s="43">
        <v>208</v>
      </c>
      <c r="CF187" s="43">
        <v>107</v>
      </c>
      <c r="CG187" s="43">
        <v>99</v>
      </c>
      <c r="CH187" s="43">
        <v>194</v>
      </c>
      <c r="CI187" s="43">
        <v>179</v>
      </c>
      <c r="CJ187" s="43">
        <v>129</v>
      </c>
      <c r="CK187" s="43">
        <v>140</v>
      </c>
      <c r="CL187" s="43">
        <v>181</v>
      </c>
      <c r="CM187" s="43">
        <v>167</v>
      </c>
      <c r="CN187" s="43">
        <v>187</v>
      </c>
      <c r="CO187" s="43">
        <v>187</v>
      </c>
      <c r="CP187" s="43">
        <v>136</v>
      </c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43">
        <v>245</v>
      </c>
      <c r="FZ187" s="43">
        <v>126</v>
      </c>
      <c r="GA187" s="53"/>
      <c r="GB187" s="53"/>
      <c r="GC187" s="53"/>
      <c r="GD187" s="53"/>
      <c r="GE187" s="53"/>
      <c r="GF187" s="53"/>
      <c r="GG187" s="53"/>
      <c r="GH187" s="53"/>
      <c r="GI187" s="43"/>
      <c r="GJ187" s="53"/>
      <c r="GK187" s="53"/>
      <c r="GL187" s="53"/>
      <c r="GM187" s="53"/>
      <c r="GN187" s="53"/>
      <c r="GO187" s="43">
        <v>237</v>
      </c>
      <c r="GP187" s="43">
        <v>126</v>
      </c>
      <c r="GQ187" s="43">
        <v>267</v>
      </c>
      <c r="GR187" s="43">
        <v>99</v>
      </c>
    </row>
    <row r="188" spans="1:200">
      <c r="A188" s="5">
        <v>2619</v>
      </c>
      <c r="B188" s="1" t="s">
        <v>316</v>
      </c>
      <c r="C188" s="33">
        <v>951</v>
      </c>
      <c r="D188" s="34">
        <v>605</v>
      </c>
      <c r="E188" s="19">
        <f t="shared" si="2"/>
        <v>0.63617245005257628</v>
      </c>
      <c r="F188" s="62">
        <v>364</v>
      </c>
      <c r="G188" s="43">
        <v>3</v>
      </c>
      <c r="H188" s="43">
        <v>17</v>
      </c>
      <c r="I188" s="43">
        <v>8</v>
      </c>
      <c r="J188" s="55">
        <v>203</v>
      </c>
      <c r="K188" s="6">
        <v>0</v>
      </c>
      <c r="L188" s="6">
        <v>0</v>
      </c>
      <c r="M188" s="43">
        <v>0</v>
      </c>
      <c r="N188" s="25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4">
        <v>0</v>
      </c>
      <c r="AB188" s="44">
        <v>0</v>
      </c>
      <c r="AC188" s="44">
        <v>14</v>
      </c>
      <c r="AD188" s="44">
        <v>11</v>
      </c>
      <c r="AE188" s="44">
        <v>240</v>
      </c>
      <c r="AF188" s="44">
        <v>10</v>
      </c>
      <c r="AG188" s="44">
        <v>0</v>
      </c>
      <c r="AH188" s="44">
        <v>312</v>
      </c>
      <c r="AI188" s="44">
        <v>245</v>
      </c>
      <c r="AJ188" s="44">
        <v>0</v>
      </c>
      <c r="AK188" s="44">
        <v>0</v>
      </c>
      <c r="AL188" s="44">
        <v>337</v>
      </c>
      <c r="AM188" s="48"/>
      <c r="AN188" s="48"/>
      <c r="AO188" s="48"/>
      <c r="AP188" s="44"/>
      <c r="AQ188" s="44"/>
      <c r="AR188" s="51"/>
      <c r="AS188" s="51"/>
      <c r="AT188" s="51"/>
      <c r="AU188" s="51"/>
      <c r="AV188" s="51"/>
      <c r="AW188" s="50"/>
      <c r="AX188" s="50"/>
      <c r="AY188" s="50"/>
      <c r="AZ188" s="50"/>
      <c r="BA188" s="43">
        <v>362</v>
      </c>
      <c r="BB188" s="43">
        <v>205</v>
      </c>
      <c r="BC188" s="50"/>
      <c r="BD188" s="50"/>
      <c r="BE188" s="43">
        <v>173</v>
      </c>
      <c r="BF188" s="43">
        <v>400</v>
      </c>
      <c r="BG188" s="43">
        <v>224</v>
      </c>
      <c r="BH188" s="43">
        <v>351</v>
      </c>
      <c r="BI188" s="43">
        <v>262</v>
      </c>
      <c r="BJ188" s="43">
        <v>316</v>
      </c>
      <c r="BK188" s="43">
        <v>348</v>
      </c>
      <c r="BL188" s="43">
        <v>226</v>
      </c>
      <c r="BM188" s="43">
        <v>157</v>
      </c>
      <c r="BN188" s="43">
        <v>418</v>
      </c>
      <c r="BO188" s="43">
        <v>332</v>
      </c>
      <c r="BP188" s="43">
        <v>236</v>
      </c>
      <c r="BQ188" s="43">
        <v>242</v>
      </c>
      <c r="BR188" s="43">
        <v>330</v>
      </c>
      <c r="BS188" s="43">
        <v>336</v>
      </c>
      <c r="BT188" s="43">
        <v>162</v>
      </c>
      <c r="BU188" s="43">
        <v>413</v>
      </c>
      <c r="BV188" s="43">
        <v>383</v>
      </c>
      <c r="BW188" s="43">
        <v>246</v>
      </c>
      <c r="BX188" s="43">
        <v>238</v>
      </c>
      <c r="BY188" s="43">
        <v>287</v>
      </c>
      <c r="BZ188" s="43">
        <v>230</v>
      </c>
      <c r="CA188" s="43">
        <v>333</v>
      </c>
      <c r="CB188" s="43">
        <v>191</v>
      </c>
      <c r="CC188" s="43">
        <v>281</v>
      </c>
      <c r="CD188" s="43">
        <v>359</v>
      </c>
      <c r="CE188" s="43">
        <v>244</v>
      </c>
      <c r="CF188" s="43">
        <v>249</v>
      </c>
      <c r="CG188" s="43">
        <v>229</v>
      </c>
      <c r="CH188" s="43">
        <v>220</v>
      </c>
      <c r="CI188" s="43">
        <v>184</v>
      </c>
      <c r="CJ188" s="43">
        <v>289</v>
      </c>
      <c r="CK188" s="43">
        <v>270</v>
      </c>
      <c r="CL188" s="43">
        <v>208</v>
      </c>
      <c r="CM188" s="43">
        <v>340</v>
      </c>
      <c r="CN188" s="43">
        <v>355</v>
      </c>
      <c r="CO188" s="43">
        <v>209</v>
      </c>
      <c r="CP188" s="43">
        <v>277</v>
      </c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43">
        <v>292</v>
      </c>
      <c r="FZ188" s="43">
        <v>280</v>
      </c>
      <c r="GA188" s="53"/>
      <c r="GB188" s="53"/>
      <c r="GC188" s="53"/>
      <c r="GD188" s="53"/>
      <c r="GE188" s="53"/>
      <c r="GF188" s="53"/>
      <c r="GG188" s="53"/>
      <c r="GH188" s="53"/>
      <c r="GI188" s="43"/>
      <c r="GJ188" s="53"/>
      <c r="GK188" s="53"/>
      <c r="GL188" s="53"/>
      <c r="GM188" s="53"/>
      <c r="GN188" s="53"/>
      <c r="GO188" s="43">
        <v>363</v>
      </c>
      <c r="GP188" s="43">
        <v>201</v>
      </c>
      <c r="GQ188" s="43">
        <v>380</v>
      </c>
      <c r="GR188" s="43">
        <v>188</v>
      </c>
    </row>
    <row r="189" spans="1:200">
      <c r="A189" s="5">
        <v>2811</v>
      </c>
      <c r="B189" s="1" t="s">
        <v>317</v>
      </c>
      <c r="C189" s="33">
        <v>680</v>
      </c>
      <c r="D189" s="34">
        <v>561</v>
      </c>
      <c r="E189" s="19">
        <f t="shared" si="2"/>
        <v>0.82499999999999996</v>
      </c>
      <c r="F189" s="62">
        <v>240</v>
      </c>
      <c r="G189" s="43">
        <v>2</v>
      </c>
      <c r="H189" s="43">
        <v>18</v>
      </c>
      <c r="I189" s="43">
        <v>5</v>
      </c>
      <c r="J189" s="55">
        <v>277</v>
      </c>
      <c r="K189" s="6">
        <v>0</v>
      </c>
      <c r="L189" s="6">
        <v>0</v>
      </c>
      <c r="M189" s="43">
        <v>1</v>
      </c>
      <c r="N189" s="25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  <c r="V189" s="43">
        <v>0</v>
      </c>
      <c r="W189" s="43">
        <v>3</v>
      </c>
      <c r="X189" s="43">
        <v>0</v>
      </c>
      <c r="Y189" s="43">
        <v>0</v>
      </c>
      <c r="Z189" s="43">
        <v>0</v>
      </c>
      <c r="AA189" s="44">
        <v>0</v>
      </c>
      <c r="AB189" s="44">
        <v>0</v>
      </c>
      <c r="AC189" s="44">
        <v>7</v>
      </c>
      <c r="AD189" s="44">
        <v>10</v>
      </c>
      <c r="AE189" s="44">
        <v>388</v>
      </c>
      <c r="AF189" s="44">
        <v>4</v>
      </c>
      <c r="AG189" s="44">
        <v>0</v>
      </c>
      <c r="AH189" s="44">
        <v>140</v>
      </c>
      <c r="AI189" s="32"/>
      <c r="AJ189" s="32"/>
      <c r="AK189" s="32"/>
      <c r="AL189" s="32"/>
      <c r="AM189" s="44">
        <v>12</v>
      </c>
      <c r="AN189" s="44">
        <v>157</v>
      </c>
      <c r="AO189" s="44">
        <v>364</v>
      </c>
      <c r="AP189" s="44">
        <v>188</v>
      </c>
      <c r="AQ189" s="44">
        <v>330</v>
      </c>
      <c r="AR189" s="50"/>
      <c r="AS189" s="50"/>
      <c r="AT189" s="43">
        <v>355</v>
      </c>
      <c r="AU189" s="43">
        <v>174</v>
      </c>
      <c r="AV189" s="50"/>
      <c r="AW189" s="50"/>
      <c r="AX189" s="50"/>
      <c r="AY189" s="50"/>
      <c r="AZ189" s="50"/>
      <c r="BA189" s="50"/>
      <c r="BB189" s="50"/>
      <c r="BC189" s="50"/>
      <c r="BD189" s="50"/>
      <c r="BE189" s="43">
        <v>270</v>
      </c>
      <c r="BF189" s="43">
        <v>259</v>
      </c>
      <c r="BG189" s="43">
        <v>352</v>
      </c>
      <c r="BH189" s="43">
        <v>179</v>
      </c>
      <c r="BI189" s="43">
        <v>363</v>
      </c>
      <c r="BJ189" s="43">
        <v>164</v>
      </c>
      <c r="BK189" s="43">
        <v>208</v>
      </c>
      <c r="BL189" s="43">
        <v>321</v>
      </c>
      <c r="BM189" s="43">
        <v>274</v>
      </c>
      <c r="BN189" s="43">
        <v>248</v>
      </c>
      <c r="BO189" s="43">
        <v>187</v>
      </c>
      <c r="BP189" s="43">
        <v>329</v>
      </c>
      <c r="BQ189" s="43">
        <v>377</v>
      </c>
      <c r="BR189" s="43">
        <v>144</v>
      </c>
      <c r="BS189" s="43">
        <v>402</v>
      </c>
      <c r="BT189" s="43">
        <v>244</v>
      </c>
      <c r="BU189" s="43">
        <v>275</v>
      </c>
      <c r="BV189" s="43">
        <v>387</v>
      </c>
      <c r="BW189" s="43">
        <v>257</v>
      </c>
      <c r="BX189" s="43">
        <v>175</v>
      </c>
      <c r="BY189" s="43">
        <v>302</v>
      </c>
      <c r="BZ189" s="43">
        <v>157</v>
      </c>
      <c r="CA189" s="43">
        <v>356</v>
      </c>
      <c r="CB189" s="43">
        <v>256</v>
      </c>
      <c r="CC189" s="43">
        <v>161</v>
      </c>
      <c r="CD189" s="43">
        <v>322</v>
      </c>
      <c r="CE189" s="43">
        <v>173</v>
      </c>
      <c r="CF189" s="43">
        <v>263</v>
      </c>
      <c r="CG189" s="43">
        <v>268</v>
      </c>
      <c r="CH189" s="43">
        <v>143</v>
      </c>
      <c r="CI189" s="43">
        <v>97</v>
      </c>
      <c r="CJ189" s="43">
        <v>321</v>
      </c>
      <c r="CK189" s="43">
        <v>252</v>
      </c>
      <c r="CL189" s="43">
        <v>165</v>
      </c>
      <c r="CM189" s="43">
        <v>341</v>
      </c>
      <c r="CN189" s="43">
        <v>338</v>
      </c>
      <c r="CO189" s="43">
        <v>139</v>
      </c>
      <c r="CP189" s="43">
        <v>275</v>
      </c>
      <c r="CQ189" s="43">
        <v>275</v>
      </c>
      <c r="CR189" s="43">
        <v>173</v>
      </c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43"/>
      <c r="FZ189" s="43"/>
      <c r="GA189" s="53"/>
      <c r="GB189" s="53"/>
      <c r="GC189" s="53"/>
      <c r="GD189" s="53"/>
      <c r="GE189" s="53"/>
      <c r="GF189" s="53"/>
      <c r="GG189" s="53"/>
      <c r="GH189" s="53"/>
      <c r="GI189" s="43">
        <v>283</v>
      </c>
      <c r="GJ189" s="43">
        <v>255</v>
      </c>
      <c r="GK189" s="53"/>
      <c r="GL189" s="53"/>
      <c r="GM189" s="53"/>
      <c r="GN189" s="53"/>
      <c r="GO189" s="43">
        <v>359</v>
      </c>
      <c r="GP189" s="43">
        <v>169</v>
      </c>
      <c r="GQ189" s="43">
        <v>359</v>
      </c>
      <c r="GR189" s="43">
        <v>167</v>
      </c>
    </row>
    <row r="190" spans="1:200">
      <c r="A190" s="5">
        <v>2812</v>
      </c>
      <c r="B190" s="1" t="s">
        <v>318</v>
      </c>
      <c r="C190" s="33">
        <v>1445</v>
      </c>
      <c r="D190" s="34">
        <v>1098</v>
      </c>
      <c r="E190" s="19">
        <f t="shared" si="2"/>
        <v>0.75986159169550171</v>
      </c>
      <c r="F190" s="62">
        <v>477</v>
      </c>
      <c r="G190" s="43">
        <v>10</v>
      </c>
      <c r="H190" s="43">
        <v>50</v>
      </c>
      <c r="I190" s="43">
        <v>8</v>
      </c>
      <c r="J190" s="55">
        <v>522</v>
      </c>
      <c r="K190" s="6">
        <v>0</v>
      </c>
      <c r="L190" s="6">
        <v>0</v>
      </c>
      <c r="M190" s="43">
        <v>1</v>
      </c>
      <c r="N190" s="25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10</v>
      </c>
      <c r="X190" s="43">
        <v>0</v>
      </c>
      <c r="Y190" s="43">
        <v>0</v>
      </c>
      <c r="Z190" s="43">
        <v>0</v>
      </c>
      <c r="AA190" s="44">
        <v>0</v>
      </c>
      <c r="AB190" s="44">
        <v>0</v>
      </c>
      <c r="AC190" s="44">
        <v>10</v>
      </c>
      <c r="AD190" s="44">
        <v>22</v>
      </c>
      <c r="AE190" s="44">
        <v>663</v>
      </c>
      <c r="AF190" s="44">
        <v>11</v>
      </c>
      <c r="AG190" s="44">
        <v>0</v>
      </c>
      <c r="AH190" s="44">
        <v>353</v>
      </c>
      <c r="AI190" s="32"/>
      <c r="AJ190" s="32"/>
      <c r="AK190" s="32"/>
      <c r="AL190" s="32"/>
      <c r="AM190" s="44">
        <v>30</v>
      </c>
      <c r="AN190" s="44">
        <v>352</v>
      </c>
      <c r="AO190" s="44">
        <v>635</v>
      </c>
      <c r="AP190" s="44">
        <v>417</v>
      </c>
      <c r="AQ190" s="44">
        <v>577</v>
      </c>
      <c r="AR190" s="50"/>
      <c r="AS190" s="50"/>
      <c r="AT190" s="43">
        <v>646</v>
      </c>
      <c r="AU190" s="43">
        <v>373</v>
      </c>
      <c r="AV190" s="50"/>
      <c r="AW190" s="50"/>
      <c r="AX190" s="50"/>
      <c r="AY190" s="50"/>
      <c r="AZ190" s="50"/>
      <c r="BA190" s="50"/>
      <c r="BB190" s="50"/>
      <c r="BC190" s="50"/>
      <c r="BD190" s="50"/>
      <c r="BE190" s="43">
        <v>501</v>
      </c>
      <c r="BF190" s="43">
        <v>501</v>
      </c>
      <c r="BG190" s="43">
        <v>587</v>
      </c>
      <c r="BH190" s="43">
        <v>425</v>
      </c>
      <c r="BI190" s="43">
        <v>639</v>
      </c>
      <c r="BJ190" s="43">
        <v>356</v>
      </c>
      <c r="BK190" s="43">
        <v>477</v>
      </c>
      <c r="BL190" s="43">
        <v>540</v>
      </c>
      <c r="BM190" s="43">
        <v>497</v>
      </c>
      <c r="BN190" s="43">
        <v>499</v>
      </c>
      <c r="BO190" s="43">
        <v>423</v>
      </c>
      <c r="BP190" s="43">
        <v>556</v>
      </c>
      <c r="BQ190" s="43">
        <v>634</v>
      </c>
      <c r="BR190" s="43">
        <v>347</v>
      </c>
      <c r="BS190" s="43">
        <v>716</v>
      </c>
      <c r="BT190" s="43">
        <v>444</v>
      </c>
      <c r="BU190" s="43">
        <v>518</v>
      </c>
      <c r="BV190" s="43">
        <v>696</v>
      </c>
      <c r="BW190" s="43">
        <v>478</v>
      </c>
      <c r="BX190" s="43">
        <v>318</v>
      </c>
      <c r="BY190" s="43">
        <v>537</v>
      </c>
      <c r="BZ190" s="43">
        <v>338</v>
      </c>
      <c r="CA190" s="43">
        <v>644</v>
      </c>
      <c r="CB190" s="43">
        <v>410</v>
      </c>
      <c r="CC190" s="43">
        <v>362</v>
      </c>
      <c r="CD190" s="43">
        <v>597</v>
      </c>
      <c r="CE190" s="43">
        <v>362</v>
      </c>
      <c r="CF190" s="43">
        <v>435</v>
      </c>
      <c r="CG190" s="43">
        <v>467</v>
      </c>
      <c r="CH190" s="43">
        <v>289</v>
      </c>
      <c r="CI190" s="43">
        <v>218</v>
      </c>
      <c r="CJ190" s="43">
        <v>562</v>
      </c>
      <c r="CK190" s="43">
        <v>466</v>
      </c>
      <c r="CL190" s="43">
        <v>308</v>
      </c>
      <c r="CM190" s="43">
        <v>609</v>
      </c>
      <c r="CN190" s="43">
        <v>603</v>
      </c>
      <c r="CO190" s="43">
        <v>299</v>
      </c>
      <c r="CP190" s="43">
        <v>482</v>
      </c>
      <c r="CQ190" s="43">
        <v>573</v>
      </c>
      <c r="CR190" s="43">
        <v>303</v>
      </c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43"/>
      <c r="FZ190" s="43"/>
      <c r="GA190" s="53"/>
      <c r="GB190" s="53"/>
      <c r="GC190" s="53"/>
      <c r="GD190" s="53"/>
      <c r="GE190" s="53"/>
      <c r="GF190" s="53"/>
      <c r="GG190" s="53"/>
      <c r="GH190" s="53"/>
      <c r="GI190" s="43">
        <v>572</v>
      </c>
      <c r="GJ190" s="43">
        <v>457</v>
      </c>
      <c r="GK190" s="53"/>
      <c r="GL190" s="53"/>
      <c r="GM190" s="53"/>
      <c r="GN190" s="53"/>
      <c r="GO190" s="43">
        <v>728</v>
      </c>
      <c r="GP190" s="43">
        <v>302</v>
      </c>
      <c r="GQ190" s="43">
        <v>722</v>
      </c>
      <c r="GR190" s="43">
        <v>301</v>
      </c>
    </row>
    <row r="191" spans="1:200">
      <c r="A191" s="5">
        <v>2821</v>
      </c>
      <c r="B191" s="1" t="s">
        <v>319</v>
      </c>
      <c r="C191" s="33">
        <v>735</v>
      </c>
      <c r="D191" s="34">
        <v>583</v>
      </c>
      <c r="E191" s="19">
        <f t="shared" si="2"/>
        <v>0.79319727891156466</v>
      </c>
      <c r="F191" s="62">
        <v>232</v>
      </c>
      <c r="G191" s="43">
        <v>3</v>
      </c>
      <c r="H191" s="43">
        <v>16</v>
      </c>
      <c r="I191" s="43">
        <v>9</v>
      </c>
      <c r="J191" s="55">
        <v>310</v>
      </c>
      <c r="K191" s="6">
        <v>0</v>
      </c>
      <c r="L191" s="6">
        <v>0</v>
      </c>
      <c r="M191" s="43">
        <v>0</v>
      </c>
      <c r="N191" s="25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  <c r="V191" s="43">
        <v>0</v>
      </c>
      <c r="W191" s="43">
        <v>4</v>
      </c>
      <c r="X191" s="43">
        <v>0</v>
      </c>
      <c r="Y191" s="43">
        <v>0</v>
      </c>
      <c r="Z191" s="43">
        <v>0</v>
      </c>
      <c r="AA191" s="44">
        <v>0</v>
      </c>
      <c r="AB191" s="44">
        <v>0</v>
      </c>
      <c r="AC191" s="44">
        <v>4</v>
      </c>
      <c r="AD191" s="44">
        <v>10</v>
      </c>
      <c r="AE191" s="44">
        <v>377</v>
      </c>
      <c r="AF191" s="44">
        <v>5</v>
      </c>
      <c r="AG191" s="44">
        <v>0</v>
      </c>
      <c r="AH191" s="44">
        <v>169</v>
      </c>
      <c r="AI191" s="32"/>
      <c r="AJ191" s="32"/>
      <c r="AK191" s="32"/>
      <c r="AL191" s="32"/>
      <c r="AM191" s="44">
        <v>13</v>
      </c>
      <c r="AN191" s="44">
        <v>165</v>
      </c>
      <c r="AO191" s="44">
        <v>360</v>
      </c>
      <c r="AP191" s="44">
        <v>192</v>
      </c>
      <c r="AQ191" s="44">
        <v>333</v>
      </c>
      <c r="AR191" s="50"/>
      <c r="AS191" s="50"/>
      <c r="AT191" s="43">
        <v>360</v>
      </c>
      <c r="AU191" s="43">
        <v>178</v>
      </c>
      <c r="AV191" s="50"/>
      <c r="AW191" s="50"/>
      <c r="AX191" s="50"/>
      <c r="AY191" s="50"/>
      <c r="AZ191" s="50"/>
      <c r="BA191" s="50"/>
      <c r="BB191" s="50"/>
      <c r="BC191" s="50"/>
      <c r="BD191" s="50"/>
      <c r="BE191" s="43">
        <v>280</v>
      </c>
      <c r="BF191" s="43">
        <v>252</v>
      </c>
      <c r="BG191" s="43">
        <v>341</v>
      </c>
      <c r="BH191" s="43">
        <v>192</v>
      </c>
      <c r="BI191" s="43">
        <v>363</v>
      </c>
      <c r="BJ191" s="43">
        <v>165</v>
      </c>
      <c r="BK191" s="43">
        <v>210</v>
      </c>
      <c r="BL191" s="43">
        <v>327</v>
      </c>
      <c r="BM191" s="43">
        <v>284</v>
      </c>
      <c r="BN191" s="43">
        <v>250</v>
      </c>
      <c r="BO191" s="43">
        <v>190</v>
      </c>
      <c r="BP191" s="43">
        <v>332</v>
      </c>
      <c r="BQ191" s="43">
        <v>358</v>
      </c>
      <c r="BR191" s="43">
        <v>161</v>
      </c>
      <c r="BS191" s="43">
        <v>397</v>
      </c>
      <c r="BT191" s="43">
        <v>251</v>
      </c>
      <c r="BU191" s="43">
        <v>267</v>
      </c>
      <c r="BV191" s="43">
        <v>362</v>
      </c>
      <c r="BW191" s="43">
        <v>250</v>
      </c>
      <c r="BX191" s="43">
        <v>174</v>
      </c>
      <c r="BY191" s="43">
        <v>291</v>
      </c>
      <c r="BZ191" s="43">
        <v>157</v>
      </c>
      <c r="CA191" s="43">
        <v>306</v>
      </c>
      <c r="CB191" s="43">
        <v>234</v>
      </c>
      <c r="CC191" s="43">
        <v>170</v>
      </c>
      <c r="CD191" s="43">
        <v>295</v>
      </c>
      <c r="CE191" s="43">
        <v>153</v>
      </c>
      <c r="CF191" s="43">
        <v>265</v>
      </c>
      <c r="CG191" s="43">
        <v>227</v>
      </c>
      <c r="CH191" s="43">
        <v>158</v>
      </c>
      <c r="CI191" s="43">
        <v>118</v>
      </c>
      <c r="CJ191" s="43">
        <v>294</v>
      </c>
      <c r="CK191" s="43">
        <v>236</v>
      </c>
      <c r="CL191" s="43">
        <v>154</v>
      </c>
      <c r="CM191" s="43">
        <v>297</v>
      </c>
      <c r="CN191" s="43">
        <v>295</v>
      </c>
      <c r="CO191" s="43">
        <v>136</v>
      </c>
      <c r="CP191" s="43">
        <v>268</v>
      </c>
      <c r="CQ191" s="43">
        <v>284</v>
      </c>
      <c r="CR191" s="43">
        <v>163</v>
      </c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43"/>
      <c r="FZ191" s="43"/>
      <c r="GA191" s="53"/>
      <c r="GB191" s="53"/>
      <c r="GC191" s="53"/>
      <c r="GD191" s="53"/>
      <c r="GE191" s="53"/>
      <c r="GF191" s="53"/>
      <c r="GG191" s="53"/>
      <c r="GH191" s="53"/>
      <c r="GI191" s="43">
        <v>314</v>
      </c>
      <c r="GJ191" s="43">
        <v>249</v>
      </c>
      <c r="GK191" s="53"/>
      <c r="GL191" s="53"/>
      <c r="GM191" s="53"/>
      <c r="GN191" s="53"/>
      <c r="GO191" s="43">
        <v>385</v>
      </c>
      <c r="GP191" s="43">
        <v>167</v>
      </c>
      <c r="GQ191" s="43">
        <v>375</v>
      </c>
      <c r="GR191" s="43">
        <v>171</v>
      </c>
    </row>
    <row r="192" spans="1:200">
      <c r="A192" s="5">
        <v>2822</v>
      </c>
      <c r="B192" s="1" t="s">
        <v>320</v>
      </c>
      <c r="C192" s="33">
        <v>634</v>
      </c>
      <c r="D192" s="34">
        <v>531</v>
      </c>
      <c r="E192" s="19">
        <f t="shared" si="2"/>
        <v>0.83753943217665616</v>
      </c>
      <c r="F192" s="62">
        <v>219</v>
      </c>
      <c r="G192" s="43">
        <v>1</v>
      </c>
      <c r="H192" s="43">
        <v>20</v>
      </c>
      <c r="I192" s="43">
        <v>3</v>
      </c>
      <c r="J192" s="55">
        <v>270</v>
      </c>
      <c r="K192" s="6">
        <v>0</v>
      </c>
      <c r="L192" s="6">
        <v>0</v>
      </c>
      <c r="M192" s="43">
        <v>0</v>
      </c>
      <c r="N192" s="25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4</v>
      </c>
      <c r="X192" s="43">
        <v>0</v>
      </c>
      <c r="Y192" s="43">
        <v>0</v>
      </c>
      <c r="Z192" s="43">
        <v>0</v>
      </c>
      <c r="AA192" s="44">
        <v>0</v>
      </c>
      <c r="AB192" s="44">
        <v>0</v>
      </c>
      <c r="AC192" s="44">
        <v>2</v>
      </c>
      <c r="AD192" s="44">
        <v>1</v>
      </c>
      <c r="AE192" s="44">
        <v>347</v>
      </c>
      <c r="AF192" s="44">
        <v>2</v>
      </c>
      <c r="AG192" s="44">
        <v>0</v>
      </c>
      <c r="AH192" s="44">
        <v>169</v>
      </c>
      <c r="AI192" s="32"/>
      <c r="AJ192" s="32"/>
      <c r="AK192" s="32"/>
      <c r="AL192" s="32"/>
      <c r="AM192" s="44">
        <v>20</v>
      </c>
      <c r="AN192" s="44">
        <v>147</v>
      </c>
      <c r="AO192" s="44">
        <v>327</v>
      </c>
      <c r="AP192" s="44">
        <v>185</v>
      </c>
      <c r="AQ192" s="44">
        <v>294</v>
      </c>
      <c r="AR192" s="50"/>
      <c r="AS192" s="50"/>
      <c r="AT192" s="43">
        <v>334</v>
      </c>
      <c r="AU192" s="43">
        <v>162</v>
      </c>
      <c r="AV192" s="50"/>
      <c r="AW192" s="50"/>
      <c r="AX192" s="50"/>
      <c r="AY192" s="50"/>
      <c r="AZ192" s="50"/>
      <c r="BA192" s="50"/>
      <c r="BB192" s="50"/>
      <c r="BC192" s="50"/>
      <c r="BD192" s="50"/>
      <c r="BE192" s="43">
        <v>264</v>
      </c>
      <c r="BF192" s="43">
        <v>223</v>
      </c>
      <c r="BG192" s="43">
        <v>312</v>
      </c>
      <c r="BH192" s="43">
        <v>185</v>
      </c>
      <c r="BI192" s="43">
        <v>323</v>
      </c>
      <c r="BJ192" s="43">
        <v>164</v>
      </c>
      <c r="BK192" s="43">
        <v>212</v>
      </c>
      <c r="BL192" s="43">
        <v>275</v>
      </c>
      <c r="BM192" s="43">
        <v>257</v>
      </c>
      <c r="BN192" s="43">
        <v>226</v>
      </c>
      <c r="BO192" s="43">
        <v>182</v>
      </c>
      <c r="BP192" s="43">
        <v>302</v>
      </c>
      <c r="BQ192" s="43">
        <v>332</v>
      </c>
      <c r="BR192" s="43">
        <v>152</v>
      </c>
      <c r="BS192" s="43">
        <v>355</v>
      </c>
      <c r="BT192" s="43">
        <v>230</v>
      </c>
      <c r="BU192" s="43">
        <v>257</v>
      </c>
      <c r="BV192" s="43">
        <v>326</v>
      </c>
      <c r="BW192" s="43">
        <v>252</v>
      </c>
      <c r="BX192" s="43">
        <v>159</v>
      </c>
      <c r="BY192" s="43">
        <v>284</v>
      </c>
      <c r="BZ192" s="43">
        <v>166</v>
      </c>
      <c r="CA192" s="43">
        <v>306</v>
      </c>
      <c r="CB192" s="43">
        <v>222</v>
      </c>
      <c r="CC192" s="43">
        <v>177</v>
      </c>
      <c r="CD192" s="43">
        <v>304</v>
      </c>
      <c r="CE192" s="43">
        <v>173</v>
      </c>
      <c r="CF192" s="43">
        <v>252</v>
      </c>
      <c r="CG192" s="43">
        <v>238</v>
      </c>
      <c r="CH192" s="43">
        <v>150</v>
      </c>
      <c r="CI192" s="43">
        <v>111</v>
      </c>
      <c r="CJ192" s="43">
        <v>287</v>
      </c>
      <c r="CK192" s="43">
        <v>234</v>
      </c>
      <c r="CL192" s="43">
        <v>156</v>
      </c>
      <c r="CM192" s="43">
        <v>282</v>
      </c>
      <c r="CN192" s="43">
        <v>289</v>
      </c>
      <c r="CO192" s="43">
        <v>141</v>
      </c>
      <c r="CP192" s="43">
        <v>254</v>
      </c>
      <c r="CQ192" s="43">
        <v>318</v>
      </c>
      <c r="CR192" s="43">
        <v>133</v>
      </c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43"/>
      <c r="FZ192" s="43"/>
      <c r="GA192" s="53"/>
      <c r="GB192" s="53"/>
      <c r="GC192" s="53"/>
      <c r="GD192" s="53"/>
      <c r="GE192" s="53"/>
      <c r="GF192" s="53"/>
      <c r="GG192" s="53"/>
      <c r="GH192" s="53"/>
      <c r="GI192" s="43">
        <v>298</v>
      </c>
      <c r="GJ192" s="43">
        <v>218</v>
      </c>
      <c r="GK192" s="53"/>
      <c r="GL192" s="53"/>
      <c r="GM192" s="53"/>
      <c r="GN192" s="53"/>
      <c r="GO192" s="43">
        <v>373</v>
      </c>
      <c r="GP192" s="43">
        <v>138</v>
      </c>
      <c r="GQ192" s="43">
        <v>372</v>
      </c>
      <c r="GR192" s="43">
        <v>139</v>
      </c>
    </row>
    <row r="193" spans="1:200">
      <c r="A193" s="5">
        <v>2823</v>
      </c>
      <c r="B193" s="1" t="s">
        <v>321</v>
      </c>
      <c r="C193" s="33">
        <v>579</v>
      </c>
      <c r="D193" s="34">
        <v>428</v>
      </c>
      <c r="E193" s="19">
        <f t="shared" si="2"/>
        <v>0.73920552677029361</v>
      </c>
      <c r="F193" s="62">
        <v>277</v>
      </c>
      <c r="G193" s="43">
        <v>3</v>
      </c>
      <c r="H193" s="43">
        <v>18</v>
      </c>
      <c r="I193" s="43">
        <v>5</v>
      </c>
      <c r="J193" s="55">
        <v>121</v>
      </c>
      <c r="K193" s="6">
        <v>0</v>
      </c>
      <c r="L193" s="6">
        <v>0</v>
      </c>
      <c r="M193" s="43">
        <v>0</v>
      </c>
      <c r="N193" s="25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4">
        <v>0</v>
      </c>
      <c r="AB193" s="44">
        <v>0</v>
      </c>
      <c r="AC193" s="44">
        <v>9</v>
      </c>
      <c r="AD193" s="44">
        <v>6</v>
      </c>
      <c r="AE193" s="44">
        <v>168</v>
      </c>
      <c r="AF193" s="44">
        <v>6</v>
      </c>
      <c r="AG193" s="44">
        <v>0</v>
      </c>
      <c r="AH193" s="44">
        <v>227</v>
      </c>
      <c r="AI193" s="32"/>
      <c r="AJ193" s="32"/>
      <c r="AK193" s="32"/>
      <c r="AL193" s="32"/>
      <c r="AM193" s="44">
        <v>11</v>
      </c>
      <c r="AN193" s="44">
        <v>239</v>
      </c>
      <c r="AO193" s="44">
        <v>156</v>
      </c>
      <c r="AP193" s="44">
        <v>262</v>
      </c>
      <c r="AQ193" s="44">
        <v>136</v>
      </c>
      <c r="AR193" s="50"/>
      <c r="AS193" s="50"/>
      <c r="AT193" s="43">
        <v>145</v>
      </c>
      <c r="AU193" s="43">
        <v>252</v>
      </c>
      <c r="AV193" s="50"/>
      <c r="AW193" s="50"/>
      <c r="AX193" s="50"/>
      <c r="AY193" s="50"/>
      <c r="AZ193" s="50"/>
      <c r="BA193" s="50"/>
      <c r="BB193" s="50"/>
      <c r="BC193" s="50"/>
      <c r="BD193" s="50"/>
      <c r="BE193" s="43">
        <v>127</v>
      </c>
      <c r="BF193" s="43">
        <v>284</v>
      </c>
      <c r="BG193" s="43">
        <v>150</v>
      </c>
      <c r="BH193" s="43">
        <v>254</v>
      </c>
      <c r="BI193" s="43">
        <v>160</v>
      </c>
      <c r="BJ193" s="43">
        <v>238</v>
      </c>
      <c r="BK193" s="43">
        <v>257</v>
      </c>
      <c r="BL193" s="43">
        <v>143</v>
      </c>
      <c r="BM193" s="43">
        <v>136</v>
      </c>
      <c r="BN193" s="43">
        <v>266</v>
      </c>
      <c r="BO193" s="43">
        <v>248</v>
      </c>
      <c r="BP193" s="43">
        <v>144</v>
      </c>
      <c r="BQ193" s="43">
        <v>162</v>
      </c>
      <c r="BR193" s="43">
        <v>231</v>
      </c>
      <c r="BS193" s="43">
        <v>239</v>
      </c>
      <c r="BT193" s="43">
        <v>109</v>
      </c>
      <c r="BU193" s="43">
        <v>286</v>
      </c>
      <c r="BV193" s="43">
        <v>262</v>
      </c>
      <c r="BW193" s="43">
        <v>145</v>
      </c>
      <c r="BX193" s="43">
        <v>170</v>
      </c>
      <c r="BY193" s="43">
        <v>151</v>
      </c>
      <c r="BZ193" s="43">
        <v>197</v>
      </c>
      <c r="CA193" s="43">
        <v>243</v>
      </c>
      <c r="CB193" s="43">
        <v>117</v>
      </c>
      <c r="CC193" s="43">
        <v>207</v>
      </c>
      <c r="CD193" s="43">
        <v>264</v>
      </c>
      <c r="CE193" s="43">
        <v>207</v>
      </c>
      <c r="CF193" s="43">
        <v>122</v>
      </c>
      <c r="CG193" s="43">
        <v>132</v>
      </c>
      <c r="CH193" s="43">
        <v>166</v>
      </c>
      <c r="CI193" s="43">
        <v>137</v>
      </c>
      <c r="CJ193" s="43">
        <v>182</v>
      </c>
      <c r="CK193" s="43">
        <v>161</v>
      </c>
      <c r="CL193" s="43">
        <v>155</v>
      </c>
      <c r="CM193" s="43">
        <v>233</v>
      </c>
      <c r="CN193" s="43">
        <v>242</v>
      </c>
      <c r="CO193" s="43">
        <v>168</v>
      </c>
      <c r="CP193" s="43">
        <v>164</v>
      </c>
      <c r="CQ193" s="43">
        <v>215</v>
      </c>
      <c r="CR193" s="43">
        <v>126</v>
      </c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43"/>
      <c r="FZ193" s="43"/>
      <c r="GA193" s="53"/>
      <c r="GB193" s="53"/>
      <c r="GC193" s="53"/>
      <c r="GD193" s="53"/>
      <c r="GE193" s="53"/>
      <c r="GF193" s="53"/>
      <c r="GG193" s="53"/>
      <c r="GH193" s="53"/>
      <c r="GI193" s="43">
        <v>222</v>
      </c>
      <c r="GJ193" s="43">
        <v>178</v>
      </c>
      <c r="GK193" s="53"/>
      <c r="GL193" s="53"/>
      <c r="GM193" s="53"/>
      <c r="GN193" s="53"/>
      <c r="GO193" s="43">
        <v>267</v>
      </c>
      <c r="GP193" s="43">
        <v>131</v>
      </c>
      <c r="GQ193" s="43">
        <v>284</v>
      </c>
      <c r="GR193" s="43">
        <v>114</v>
      </c>
    </row>
    <row r="194" spans="1:200">
      <c r="A194" s="5">
        <v>2831</v>
      </c>
      <c r="B194" s="1" t="s">
        <v>322</v>
      </c>
      <c r="C194" s="33">
        <v>925</v>
      </c>
      <c r="D194" s="34">
        <v>748</v>
      </c>
      <c r="E194" s="19">
        <f t="shared" si="2"/>
        <v>0.8086486486486486</v>
      </c>
      <c r="F194" s="62">
        <v>382</v>
      </c>
      <c r="G194" s="43">
        <v>2</v>
      </c>
      <c r="H194" s="43">
        <v>27</v>
      </c>
      <c r="I194" s="43">
        <v>0</v>
      </c>
      <c r="J194" s="55">
        <v>316</v>
      </c>
      <c r="K194" s="6">
        <v>0</v>
      </c>
      <c r="L194" s="6">
        <v>0</v>
      </c>
      <c r="M194" s="43">
        <v>0</v>
      </c>
      <c r="N194" s="25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4</v>
      </c>
      <c r="X194" s="43">
        <v>0</v>
      </c>
      <c r="Y194" s="43">
        <v>0</v>
      </c>
      <c r="Z194" s="43">
        <v>0</v>
      </c>
      <c r="AA194" s="44">
        <v>0</v>
      </c>
      <c r="AB194" s="44">
        <v>0</v>
      </c>
      <c r="AC194" s="44">
        <v>10</v>
      </c>
      <c r="AD194" s="44">
        <v>4</v>
      </c>
      <c r="AE194" s="44">
        <v>460</v>
      </c>
      <c r="AF194" s="44">
        <v>2</v>
      </c>
      <c r="AG194" s="44">
        <v>0</v>
      </c>
      <c r="AH194" s="44">
        <v>254</v>
      </c>
      <c r="AI194" s="32"/>
      <c r="AJ194" s="32"/>
      <c r="AK194" s="32"/>
      <c r="AL194" s="32"/>
      <c r="AM194" s="44">
        <v>10</v>
      </c>
      <c r="AN194" s="44">
        <v>246</v>
      </c>
      <c r="AO194" s="44">
        <v>448</v>
      </c>
      <c r="AP194" s="44">
        <v>288</v>
      </c>
      <c r="AQ194" s="44">
        <v>388</v>
      </c>
      <c r="AR194" s="50"/>
      <c r="AS194" s="50"/>
      <c r="AT194" s="43">
        <v>420</v>
      </c>
      <c r="AU194" s="43">
        <v>275</v>
      </c>
      <c r="AV194" s="50"/>
      <c r="AW194" s="50"/>
      <c r="AX194" s="50"/>
      <c r="AY194" s="50"/>
      <c r="AZ194" s="50"/>
      <c r="BA194" s="50"/>
      <c r="BB194" s="50"/>
      <c r="BC194" s="50"/>
      <c r="BD194" s="50"/>
      <c r="BE194" s="43">
        <v>330</v>
      </c>
      <c r="BF194" s="43">
        <v>356</v>
      </c>
      <c r="BG194" s="43">
        <v>386</v>
      </c>
      <c r="BH194" s="43">
        <v>302</v>
      </c>
      <c r="BI194" s="43">
        <v>440</v>
      </c>
      <c r="BJ194" s="43">
        <v>243</v>
      </c>
      <c r="BK194" s="43">
        <v>325</v>
      </c>
      <c r="BL194" s="43">
        <v>365</v>
      </c>
      <c r="BM194" s="43">
        <v>337</v>
      </c>
      <c r="BN194" s="43">
        <v>336</v>
      </c>
      <c r="BO194" s="43">
        <v>292</v>
      </c>
      <c r="BP194" s="43">
        <v>375</v>
      </c>
      <c r="BQ194" s="43">
        <v>440</v>
      </c>
      <c r="BR194" s="43">
        <v>234</v>
      </c>
      <c r="BS194" s="43">
        <v>489</v>
      </c>
      <c r="BT194" s="43">
        <v>310</v>
      </c>
      <c r="BU194" s="43">
        <v>364</v>
      </c>
      <c r="BV194" s="43">
        <v>484</v>
      </c>
      <c r="BW194" s="43">
        <v>321</v>
      </c>
      <c r="BX194" s="43">
        <v>238</v>
      </c>
      <c r="BY194" s="43">
        <v>344</v>
      </c>
      <c r="BZ194" s="43">
        <v>256</v>
      </c>
      <c r="CA194" s="43">
        <v>445</v>
      </c>
      <c r="CB194" s="43">
        <v>302</v>
      </c>
      <c r="CC194" s="43">
        <v>234</v>
      </c>
      <c r="CD194" s="43">
        <v>426</v>
      </c>
      <c r="CE194" s="43">
        <v>251</v>
      </c>
      <c r="CF194" s="43">
        <v>296</v>
      </c>
      <c r="CG194" s="43">
        <v>304</v>
      </c>
      <c r="CH194" s="43">
        <v>212</v>
      </c>
      <c r="CI194" s="43">
        <v>162</v>
      </c>
      <c r="CJ194" s="43">
        <v>367</v>
      </c>
      <c r="CK194" s="43">
        <v>307</v>
      </c>
      <c r="CL194" s="43">
        <v>229</v>
      </c>
      <c r="CM194" s="43">
        <v>409</v>
      </c>
      <c r="CN194" s="43">
        <v>408</v>
      </c>
      <c r="CO194" s="43">
        <v>228</v>
      </c>
      <c r="CP194" s="43">
        <v>304</v>
      </c>
      <c r="CQ194" s="43">
        <v>462</v>
      </c>
      <c r="CR194" s="43">
        <v>157</v>
      </c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43"/>
      <c r="FZ194" s="43"/>
      <c r="GA194" s="53"/>
      <c r="GB194" s="53"/>
      <c r="GC194" s="53"/>
      <c r="GD194" s="53"/>
      <c r="GE194" s="53"/>
      <c r="GF194" s="53"/>
      <c r="GG194" s="53"/>
      <c r="GH194" s="53"/>
      <c r="GI194" s="43">
        <v>402</v>
      </c>
      <c r="GJ194" s="43">
        <v>299</v>
      </c>
      <c r="GK194" s="53"/>
      <c r="GL194" s="53"/>
      <c r="GM194" s="53"/>
      <c r="GN194" s="53"/>
      <c r="GO194" s="43">
        <v>518</v>
      </c>
      <c r="GP194" s="43">
        <v>191</v>
      </c>
      <c r="GQ194" s="43">
        <v>496</v>
      </c>
      <c r="GR194" s="43">
        <v>200</v>
      </c>
    </row>
    <row r="195" spans="1:200">
      <c r="A195" s="5">
        <v>2832</v>
      </c>
      <c r="B195" s="1" t="s">
        <v>323</v>
      </c>
      <c r="C195" s="33">
        <v>1306</v>
      </c>
      <c r="D195" s="34">
        <v>1099</v>
      </c>
      <c r="E195" s="19">
        <f t="shared" si="2"/>
        <v>0.84150076569678411</v>
      </c>
      <c r="F195" s="62">
        <v>606</v>
      </c>
      <c r="G195" s="43">
        <v>3</v>
      </c>
      <c r="H195" s="43">
        <v>42</v>
      </c>
      <c r="I195" s="43">
        <v>5</v>
      </c>
      <c r="J195" s="55">
        <v>409</v>
      </c>
      <c r="K195" s="6">
        <v>0</v>
      </c>
      <c r="L195" s="6">
        <v>0</v>
      </c>
      <c r="M195" s="43">
        <v>2</v>
      </c>
      <c r="N195" s="25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  <c r="V195" s="43">
        <v>0</v>
      </c>
      <c r="W195" s="43">
        <v>7</v>
      </c>
      <c r="X195" s="43">
        <v>0</v>
      </c>
      <c r="Y195" s="43">
        <v>0</v>
      </c>
      <c r="Z195" s="43">
        <v>0</v>
      </c>
      <c r="AA195" s="44">
        <v>0</v>
      </c>
      <c r="AB195" s="44">
        <v>0</v>
      </c>
      <c r="AC195" s="44">
        <v>1</v>
      </c>
      <c r="AD195" s="44">
        <v>11</v>
      </c>
      <c r="AE195" s="44">
        <v>638</v>
      </c>
      <c r="AF195" s="44">
        <v>6</v>
      </c>
      <c r="AG195" s="44">
        <v>0</v>
      </c>
      <c r="AH195" s="44">
        <v>418</v>
      </c>
      <c r="AI195" s="32"/>
      <c r="AJ195" s="32"/>
      <c r="AK195" s="32"/>
      <c r="AL195" s="32"/>
      <c r="AM195" s="44">
        <v>47</v>
      </c>
      <c r="AN195" s="44">
        <v>389</v>
      </c>
      <c r="AO195" s="44">
        <v>598</v>
      </c>
      <c r="AP195" s="44">
        <v>469</v>
      </c>
      <c r="AQ195" s="44">
        <v>532</v>
      </c>
      <c r="AR195" s="50"/>
      <c r="AS195" s="50"/>
      <c r="AT195" s="43">
        <v>579</v>
      </c>
      <c r="AU195" s="43">
        <v>451</v>
      </c>
      <c r="AV195" s="50"/>
      <c r="AW195" s="50"/>
      <c r="AX195" s="50"/>
      <c r="AY195" s="50"/>
      <c r="AZ195" s="50"/>
      <c r="BA195" s="50"/>
      <c r="BB195" s="50"/>
      <c r="BC195" s="50"/>
      <c r="BD195" s="50"/>
      <c r="BE195" s="43">
        <v>413</v>
      </c>
      <c r="BF195" s="43">
        <v>613</v>
      </c>
      <c r="BG195" s="43">
        <v>536</v>
      </c>
      <c r="BH195" s="43">
        <v>498</v>
      </c>
      <c r="BI195" s="43">
        <v>603</v>
      </c>
      <c r="BJ195" s="43">
        <v>404</v>
      </c>
      <c r="BK195" s="43">
        <v>555</v>
      </c>
      <c r="BL195" s="43">
        <v>459</v>
      </c>
      <c r="BM195" s="43">
        <v>418</v>
      </c>
      <c r="BN195" s="43">
        <v>582</v>
      </c>
      <c r="BO195" s="43">
        <v>483</v>
      </c>
      <c r="BP195" s="43">
        <v>513</v>
      </c>
      <c r="BQ195" s="43">
        <v>586</v>
      </c>
      <c r="BR195" s="43">
        <v>405</v>
      </c>
      <c r="BS195" s="43">
        <v>666</v>
      </c>
      <c r="BT195" s="43">
        <v>339</v>
      </c>
      <c r="BU195" s="43">
        <v>654</v>
      </c>
      <c r="BV195" s="43">
        <v>673</v>
      </c>
      <c r="BW195" s="43">
        <v>439</v>
      </c>
      <c r="BX195" s="43">
        <v>390</v>
      </c>
      <c r="BY195" s="43">
        <v>473</v>
      </c>
      <c r="BZ195" s="43">
        <v>427</v>
      </c>
      <c r="CA195" s="43">
        <v>618</v>
      </c>
      <c r="CB195" s="43">
        <v>391</v>
      </c>
      <c r="CC195" s="43">
        <v>428</v>
      </c>
      <c r="CD195" s="43">
        <v>618</v>
      </c>
      <c r="CE195" s="43">
        <v>412</v>
      </c>
      <c r="CF195" s="43">
        <v>416</v>
      </c>
      <c r="CG195" s="43">
        <v>371</v>
      </c>
      <c r="CH195" s="43">
        <v>411</v>
      </c>
      <c r="CI195" s="43">
        <v>277</v>
      </c>
      <c r="CJ195" s="43">
        <v>521</v>
      </c>
      <c r="CK195" s="43">
        <v>417</v>
      </c>
      <c r="CL195" s="43">
        <v>377</v>
      </c>
      <c r="CM195" s="43">
        <v>554</v>
      </c>
      <c r="CN195" s="43">
        <v>563</v>
      </c>
      <c r="CO195" s="43">
        <v>352</v>
      </c>
      <c r="CP195" s="43">
        <v>445</v>
      </c>
      <c r="CQ195" s="43">
        <v>637</v>
      </c>
      <c r="CR195" s="43">
        <v>250</v>
      </c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43"/>
      <c r="FZ195" s="43"/>
      <c r="GA195" s="53"/>
      <c r="GB195" s="53"/>
      <c r="GC195" s="53"/>
      <c r="GD195" s="53"/>
      <c r="GE195" s="53"/>
      <c r="GF195" s="53"/>
      <c r="GG195" s="53"/>
      <c r="GH195" s="53"/>
      <c r="GI195" s="43">
        <v>658</v>
      </c>
      <c r="GJ195" s="43">
        <v>398</v>
      </c>
      <c r="GK195" s="53"/>
      <c r="GL195" s="53"/>
      <c r="GM195" s="53"/>
      <c r="GN195" s="53"/>
      <c r="GO195" s="43">
        <v>801</v>
      </c>
      <c r="GP195" s="43">
        <v>256</v>
      </c>
      <c r="GQ195" s="43">
        <v>794</v>
      </c>
      <c r="GR195" s="43">
        <v>253</v>
      </c>
    </row>
    <row r="196" spans="1:200">
      <c r="A196" s="5">
        <v>2841</v>
      </c>
      <c r="B196" s="1" t="s">
        <v>324</v>
      </c>
      <c r="C196" s="33">
        <v>1081</v>
      </c>
      <c r="D196" s="34">
        <v>772</v>
      </c>
      <c r="E196" s="19">
        <f t="shared" si="2"/>
        <v>0.71415356151711373</v>
      </c>
      <c r="F196" s="62">
        <v>368</v>
      </c>
      <c r="G196" s="43">
        <v>1</v>
      </c>
      <c r="H196" s="43">
        <v>52</v>
      </c>
      <c r="I196" s="43">
        <v>8</v>
      </c>
      <c r="J196" s="55">
        <v>323</v>
      </c>
      <c r="K196" s="6">
        <v>0</v>
      </c>
      <c r="L196" s="6">
        <v>0</v>
      </c>
      <c r="M196" s="43">
        <v>0</v>
      </c>
      <c r="N196" s="25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  <c r="V196" s="43">
        <v>0</v>
      </c>
      <c r="W196" s="43">
        <v>3</v>
      </c>
      <c r="X196" s="43">
        <v>0</v>
      </c>
      <c r="Y196" s="43">
        <v>0</v>
      </c>
      <c r="Z196" s="43">
        <v>0</v>
      </c>
      <c r="AA196" s="44">
        <v>0</v>
      </c>
      <c r="AB196" s="44">
        <v>0</v>
      </c>
      <c r="AC196" s="44">
        <v>6</v>
      </c>
      <c r="AD196" s="44">
        <v>15</v>
      </c>
      <c r="AE196" s="44">
        <v>422</v>
      </c>
      <c r="AF196" s="44">
        <v>11</v>
      </c>
      <c r="AG196" s="44">
        <v>0</v>
      </c>
      <c r="AH196" s="44">
        <v>291</v>
      </c>
      <c r="AI196" s="32"/>
      <c r="AJ196" s="32"/>
      <c r="AK196" s="32"/>
      <c r="AL196" s="32"/>
      <c r="AM196" s="44">
        <v>18</v>
      </c>
      <c r="AN196" s="44">
        <v>309</v>
      </c>
      <c r="AO196" s="44">
        <v>394</v>
      </c>
      <c r="AP196" s="44">
        <v>345</v>
      </c>
      <c r="AQ196" s="44">
        <v>341</v>
      </c>
      <c r="AR196" s="50"/>
      <c r="AS196" s="50"/>
      <c r="AT196" s="43">
        <v>403</v>
      </c>
      <c r="AU196" s="43">
        <v>309</v>
      </c>
      <c r="AV196" s="50"/>
      <c r="AW196" s="50"/>
      <c r="AX196" s="50"/>
      <c r="AY196" s="50"/>
      <c r="AZ196" s="50"/>
      <c r="BA196" s="50"/>
      <c r="BB196" s="50"/>
      <c r="BC196" s="50"/>
      <c r="BD196" s="50"/>
      <c r="BE196" s="43">
        <v>318</v>
      </c>
      <c r="BF196" s="43">
        <v>380</v>
      </c>
      <c r="BG196" s="43">
        <v>376</v>
      </c>
      <c r="BH196" s="43">
        <v>318</v>
      </c>
      <c r="BI196" s="43">
        <v>406</v>
      </c>
      <c r="BJ196" s="43">
        <v>283</v>
      </c>
      <c r="BK196" s="43">
        <v>340</v>
      </c>
      <c r="BL196" s="43">
        <v>355</v>
      </c>
      <c r="BM196" s="43">
        <v>291</v>
      </c>
      <c r="BN196" s="43">
        <v>394</v>
      </c>
      <c r="BO196" s="43">
        <v>326</v>
      </c>
      <c r="BP196" s="43">
        <v>350</v>
      </c>
      <c r="BQ196" s="43">
        <v>389</v>
      </c>
      <c r="BR196" s="43">
        <v>290</v>
      </c>
      <c r="BS196" s="43">
        <v>472</v>
      </c>
      <c r="BT196" s="43">
        <v>264</v>
      </c>
      <c r="BU196" s="43">
        <v>407</v>
      </c>
      <c r="BV196" s="43">
        <v>436</v>
      </c>
      <c r="BW196" s="43">
        <v>279</v>
      </c>
      <c r="BX196" s="43">
        <v>251</v>
      </c>
      <c r="BY196" s="43">
        <v>336</v>
      </c>
      <c r="BZ196" s="43">
        <v>236</v>
      </c>
      <c r="CA196" s="43">
        <v>407</v>
      </c>
      <c r="CB196" s="43">
        <v>243</v>
      </c>
      <c r="CC196" s="43">
        <v>260</v>
      </c>
      <c r="CD196" s="43">
        <v>417</v>
      </c>
      <c r="CE196" s="43">
        <v>248</v>
      </c>
      <c r="CF196" s="43">
        <v>268</v>
      </c>
      <c r="CG196" s="43">
        <v>290</v>
      </c>
      <c r="CH196" s="43">
        <v>206</v>
      </c>
      <c r="CI196" s="43">
        <v>160</v>
      </c>
      <c r="CJ196" s="43">
        <v>352</v>
      </c>
      <c r="CK196" s="43">
        <v>290</v>
      </c>
      <c r="CL196" s="43">
        <v>222</v>
      </c>
      <c r="CM196" s="43">
        <v>386</v>
      </c>
      <c r="CN196" s="43">
        <v>403</v>
      </c>
      <c r="CO196" s="43">
        <v>218</v>
      </c>
      <c r="CP196" s="43">
        <v>298</v>
      </c>
      <c r="CQ196" s="43">
        <v>392</v>
      </c>
      <c r="CR196" s="43">
        <v>192</v>
      </c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43"/>
      <c r="FZ196" s="43"/>
      <c r="GA196" s="53"/>
      <c r="GB196" s="53"/>
      <c r="GC196" s="53"/>
      <c r="GD196" s="53"/>
      <c r="GE196" s="53"/>
      <c r="GF196" s="53"/>
      <c r="GG196" s="53"/>
      <c r="GH196" s="53"/>
      <c r="GI196" s="43">
        <v>418</v>
      </c>
      <c r="GJ196" s="43">
        <v>296</v>
      </c>
      <c r="GK196" s="53"/>
      <c r="GL196" s="53"/>
      <c r="GM196" s="53"/>
      <c r="GN196" s="53"/>
      <c r="GO196" s="43">
        <v>520</v>
      </c>
      <c r="GP196" s="43">
        <v>187</v>
      </c>
      <c r="GQ196" s="43">
        <v>506</v>
      </c>
      <c r="GR196" s="43">
        <v>193</v>
      </c>
    </row>
    <row r="197" spans="1:200">
      <c r="A197" s="5">
        <v>2851</v>
      </c>
      <c r="B197" s="1" t="s">
        <v>325</v>
      </c>
      <c r="C197" s="33">
        <v>1043</v>
      </c>
      <c r="D197" s="34">
        <v>871</v>
      </c>
      <c r="E197" s="19">
        <f t="shared" ref="E197:E260" si="3">SUM(D197/C197)</f>
        <v>0.83509108341323102</v>
      </c>
      <c r="F197" s="62">
        <v>422</v>
      </c>
      <c r="G197" s="43">
        <v>2</v>
      </c>
      <c r="H197" s="43">
        <v>32</v>
      </c>
      <c r="I197" s="43">
        <v>5</v>
      </c>
      <c r="J197" s="55">
        <v>382</v>
      </c>
      <c r="K197" s="6">
        <v>0</v>
      </c>
      <c r="L197" s="6">
        <v>0</v>
      </c>
      <c r="M197" s="43">
        <v>0</v>
      </c>
      <c r="N197" s="25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  <c r="V197" s="43">
        <v>0</v>
      </c>
      <c r="W197" s="43">
        <v>3</v>
      </c>
      <c r="X197" s="43">
        <v>0</v>
      </c>
      <c r="Y197" s="43">
        <v>0</v>
      </c>
      <c r="Z197" s="43">
        <v>0</v>
      </c>
      <c r="AA197" s="44">
        <v>0</v>
      </c>
      <c r="AB197" s="44">
        <v>0</v>
      </c>
      <c r="AC197" s="44">
        <v>1</v>
      </c>
      <c r="AD197" s="44">
        <v>9</v>
      </c>
      <c r="AE197" s="44">
        <v>572</v>
      </c>
      <c r="AF197" s="44">
        <v>3</v>
      </c>
      <c r="AG197" s="44">
        <v>0</v>
      </c>
      <c r="AH197" s="44">
        <v>271</v>
      </c>
      <c r="AI197" s="32"/>
      <c r="AJ197" s="32"/>
      <c r="AK197" s="32"/>
      <c r="AL197" s="32"/>
      <c r="AM197" s="44">
        <v>40</v>
      </c>
      <c r="AN197" s="44">
        <v>245</v>
      </c>
      <c r="AO197" s="44">
        <v>550</v>
      </c>
      <c r="AP197" s="44">
        <v>320</v>
      </c>
      <c r="AQ197" s="44">
        <v>479</v>
      </c>
      <c r="AR197" s="50"/>
      <c r="AS197" s="50"/>
      <c r="AT197" s="43">
        <v>509</v>
      </c>
      <c r="AU197" s="43">
        <v>311</v>
      </c>
      <c r="AV197" s="50"/>
      <c r="AW197" s="50"/>
      <c r="AX197" s="50"/>
      <c r="AY197" s="50"/>
      <c r="AZ197" s="50"/>
      <c r="BA197" s="50"/>
      <c r="BB197" s="50"/>
      <c r="BC197" s="50"/>
      <c r="BD197" s="50"/>
      <c r="BE197" s="43">
        <v>381</v>
      </c>
      <c r="BF197" s="43">
        <v>434</v>
      </c>
      <c r="BG197" s="43">
        <v>476</v>
      </c>
      <c r="BH197" s="43">
        <v>344</v>
      </c>
      <c r="BI197" s="43">
        <v>539</v>
      </c>
      <c r="BJ197" s="43">
        <v>272</v>
      </c>
      <c r="BK197" s="43">
        <v>383</v>
      </c>
      <c r="BL197" s="43">
        <v>426</v>
      </c>
      <c r="BM197" s="43">
        <v>408</v>
      </c>
      <c r="BN197" s="43">
        <v>392</v>
      </c>
      <c r="BO197" s="43">
        <v>309</v>
      </c>
      <c r="BP197" s="43">
        <v>487</v>
      </c>
      <c r="BQ197" s="43">
        <v>546</v>
      </c>
      <c r="BR197" s="43">
        <v>257</v>
      </c>
      <c r="BS197" s="43">
        <v>572</v>
      </c>
      <c r="BT197" s="43">
        <v>344</v>
      </c>
      <c r="BU197" s="43">
        <v>452</v>
      </c>
      <c r="BV197" s="43">
        <v>555</v>
      </c>
      <c r="BW197" s="43">
        <v>375</v>
      </c>
      <c r="BX197" s="43">
        <v>290</v>
      </c>
      <c r="BY197" s="43">
        <v>421</v>
      </c>
      <c r="BZ197" s="43">
        <v>297</v>
      </c>
      <c r="CA197" s="43">
        <v>509</v>
      </c>
      <c r="CB197" s="43">
        <v>330</v>
      </c>
      <c r="CC197" s="43">
        <v>297</v>
      </c>
      <c r="CD197" s="43">
        <v>512</v>
      </c>
      <c r="CE197" s="43">
        <v>310</v>
      </c>
      <c r="CF197" s="43">
        <v>343</v>
      </c>
      <c r="CG197" s="43">
        <v>344</v>
      </c>
      <c r="CH197" s="43">
        <v>266</v>
      </c>
      <c r="CI197" s="43">
        <v>192</v>
      </c>
      <c r="CJ197" s="43">
        <v>418</v>
      </c>
      <c r="CK197" s="43">
        <v>321</v>
      </c>
      <c r="CL197" s="43">
        <v>291</v>
      </c>
      <c r="CM197" s="43">
        <v>456</v>
      </c>
      <c r="CN197" s="43">
        <v>457</v>
      </c>
      <c r="CO197" s="43">
        <v>232</v>
      </c>
      <c r="CP197" s="43">
        <v>384</v>
      </c>
      <c r="CQ197" s="43">
        <v>529</v>
      </c>
      <c r="CR197" s="43">
        <v>211</v>
      </c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43"/>
      <c r="FZ197" s="43"/>
      <c r="GA197" s="53"/>
      <c r="GB197" s="53"/>
      <c r="GC197" s="53"/>
      <c r="GD197" s="53"/>
      <c r="GE197" s="53"/>
      <c r="GF197" s="53"/>
      <c r="GG197" s="53"/>
      <c r="GH197" s="53"/>
      <c r="GI197" s="43">
        <v>531</v>
      </c>
      <c r="GJ197" s="43">
        <v>307</v>
      </c>
      <c r="GK197" s="53"/>
      <c r="GL197" s="53"/>
      <c r="GM197" s="53"/>
      <c r="GN197" s="53"/>
      <c r="GO197" s="43">
        <v>658</v>
      </c>
      <c r="GP197" s="43">
        <v>184</v>
      </c>
      <c r="GQ197" s="43">
        <v>641</v>
      </c>
      <c r="GR197" s="43">
        <v>189</v>
      </c>
    </row>
    <row r="198" spans="1:200">
      <c r="A198" s="5">
        <v>2852</v>
      </c>
      <c r="B198" s="1" t="s">
        <v>326</v>
      </c>
      <c r="C198" s="33">
        <v>742</v>
      </c>
      <c r="D198" s="34">
        <v>577</v>
      </c>
      <c r="E198" s="19">
        <f t="shared" si="3"/>
        <v>0.77762803234501343</v>
      </c>
      <c r="F198" s="62">
        <v>325</v>
      </c>
      <c r="G198" s="43">
        <v>2</v>
      </c>
      <c r="H198" s="43">
        <v>33</v>
      </c>
      <c r="I198" s="43">
        <v>4</v>
      </c>
      <c r="J198" s="55">
        <v>201</v>
      </c>
      <c r="K198" s="6">
        <v>0</v>
      </c>
      <c r="L198" s="6">
        <v>0</v>
      </c>
      <c r="M198" s="43">
        <v>0</v>
      </c>
      <c r="N198" s="25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  <c r="V198" s="43">
        <v>0</v>
      </c>
      <c r="W198" s="43">
        <v>2</v>
      </c>
      <c r="X198" s="43">
        <v>0</v>
      </c>
      <c r="Y198" s="43">
        <v>0</v>
      </c>
      <c r="Z198" s="43">
        <v>1</v>
      </c>
      <c r="AA198" s="44">
        <v>0</v>
      </c>
      <c r="AB198" s="44">
        <v>0</v>
      </c>
      <c r="AC198" s="44">
        <v>4</v>
      </c>
      <c r="AD198" s="44">
        <v>9</v>
      </c>
      <c r="AE198" s="44">
        <v>318</v>
      </c>
      <c r="AF198" s="44">
        <v>2</v>
      </c>
      <c r="AG198" s="44">
        <v>1</v>
      </c>
      <c r="AH198" s="44">
        <v>223</v>
      </c>
      <c r="AI198" s="32"/>
      <c r="AJ198" s="32"/>
      <c r="AK198" s="32"/>
      <c r="AL198" s="32"/>
      <c r="AM198" s="44">
        <v>20</v>
      </c>
      <c r="AN198" s="44">
        <v>213</v>
      </c>
      <c r="AO198" s="44">
        <v>292</v>
      </c>
      <c r="AP198" s="44">
        <v>258</v>
      </c>
      <c r="AQ198" s="44">
        <v>260</v>
      </c>
      <c r="AR198" s="50"/>
      <c r="AS198" s="50"/>
      <c r="AT198" s="43">
        <v>294</v>
      </c>
      <c r="AU198" s="43">
        <v>235</v>
      </c>
      <c r="AV198" s="50"/>
      <c r="AW198" s="50"/>
      <c r="AX198" s="50"/>
      <c r="AY198" s="50"/>
      <c r="AZ198" s="50"/>
      <c r="BA198" s="50"/>
      <c r="BB198" s="50"/>
      <c r="BC198" s="50"/>
      <c r="BD198" s="50"/>
      <c r="BE198" s="43">
        <v>209</v>
      </c>
      <c r="BF198" s="43">
        <v>318</v>
      </c>
      <c r="BG198" s="43">
        <v>255</v>
      </c>
      <c r="BH198" s="43">
        <v>267</v>
      </c>
      <c r="BI198" s="43">
        <v>295</v>
      </c>
      <c r="BJ198" s="43">
        <v>214</v>
      </c>
      <c r="BK198" s="43">
        <v>280</v>
      </c>
      <c r="BL198" s="43">
        <v>233</v>
      </c>
      <c r="BM198" s="43">
        <v>213</v>
      </c>
      <c r="BN198" s="43">
        <v>293</v>
      </c>
      <c r="BO198" s="43">
        <v>246</v>
      </c>
      <c r="BP198" s="43">
        <v>260</v>
      </c>
      <c r="BQ198" s="43">
        <v>294</v>
      </c>
      <c r="BR198" s="43">
        <v>219</v>
      </c>
      <c r="BS198" s="43">
        <v>353</v>
      </c>
      <c r="BT198" s="43">
        <v>193</v>
      </c>
      <c r="BU198" s="43">
        <v>323</v>
      </c>
      <c r="BV198" s="43">
        <v>365</v>
      </c>
      <c r="BW198" s="43">
        <v>248</v>
      </c>
      <c r="BX198" s="43">
        <v>173</v>
      </c>
      <c r="BY198" s="43">
        <v>254</v>
      </c>
      <c r="BZ198" s="43">
        <v>208</v>
      </c>
      <c r="CA198" s="43">
        <v>329</v>
      </c>
      <c r="CB198" s="43">
        <v>199</v>
      </c>
      <c r="CC198" s="43">
        <v>206</v>
      </c>
      <c r="CD198" s="43">
        <v>337</v>
      </c>
      <c r="CE198" s="43">
        <v>212</v>
      </c>
      <c r="CF198" s="43">
        <v>220</v>
      </c>
      <c r="CG198" s="43">
        <v>245</v>
      </c>
      <c r="CH198" s="43">
        <v>158</v>
      </c>
      <c r="CI198" s="43">
        <v>133</v>
      </c>
      <c r="CJ198" s="43">
        <v>283</v>
      </c>
      <c r="CK198" s="43">
        <v>234</v>
      </c>
      <c r="CL198" s="43">
        <v>169</v>
      </c>
      <c r="CM198" s="43">
        <v>303</v>
      </c>
      <c r="CN198" s="43">
        <v>308</v>
      </c>
      <c r="CO198" s="43">
        <v>169</v>
      </c>
      <c r="CP198" s="43">
        <v>239</v>
      </c>
      <c r="CQ198" s="43">
        <v>347</v>
      </c>
      <c r="CR198" s="43">
        <v>126</v>
      </c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43"/>
      <c r="FZ198" s="43"/>
      <c r="GA198" s="53"/>
      <c r="GB198" s="53"/>
      <c r="GC198" s="53"/>
      <c r="GD198" s="53"/>
      <c r="GE198" s="53"/>
      <c r="GF198" s="53"/>
      <c r="GG198" s="53"/>
      <c r="GH198" s="53"/>
      <c r="GI198" s="43">
        <v>332</v>
      </c>
      <c r="GJ198" s="43">
        <v>214</v>
      </c>
      <c r="GK198" s="53"/>
      <c r="GL198" s="53"/>
      <c r="GM198" s="53"/>
      <c r="GN198" s="53"/>
      <c r="GO198" s="43">
        <v>432</v>
      </c>
      <c r="GP198" s="43">
        <v>109</v>
      </c>
      <c r="GQ198" s="43">
        <v>420</v>
      </c>
      <c r="GR198" s="43">
        <v>114</v>
      </c>
    </row>
    <row r="199" spans="1:200">
      <c r="A199" s="5">
        <v>2911</v>
      </c>
      <c r="B199" s="1" t="s">
        <v>327</v>
      </c>
      <c r="C199" s="33">
        <v>1415</v>
      </c>
      <c r="D199" s="34">
        <v>945</v>
      </c>
      <c r="E199" s="19">
        <f t="shared" si="3"/>
        <v>0.66784452296819785</v>
      </c>
      <c r="F199" s="62">
        <v>405</v>
      </c>
      <c r="G199" s="43">
        <v>2</v>
      </c>
      <c r="H199" s="43">
        <v>35</v>
      </c>
      <c r="I199" s="43">
        <v>12</v>
      </c>
      <c r="J199" s="55">
        <v>477</v>
      </c>
      <c r="K199" s="6">
        <v>0</v>
      </c>
      <c r="L199" s="6">
        <v>0</v>
      </c>
      <c r="M199" s="43">
        <v>0</v>
      </c>
      <c r="N199" s="25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  <c r="V199" s="43">
        <v>0</v>
      </c>
      <c r="W199" s="43">
        <v>1</v>
      </c>
      <c r="X199" s="43">
        <v>0</v>
      </c>
      <c r="Y199" s="43">
        <v>0</v>
      </c>
      <c r="Z199" s="43">
        <v>0</v>
      </c>
      <c r="AA199" s="44">
        <v>0</v>
      </c>
      <c r="AB199" s="44">
        <v>0</v>
      </c>
      <c r="AC199" s="44">
        <v>17</v>
      </c>
      <c r="AD199" s="44">
        <v>18</v>
      </c>
      <c r="AE199" s="44">
        <v>527</v>
      </c>
      <c r="AF199" s="44">
        <v>12</v>
      </c>
      <c r="AG199" s="44">
        <v>0</v>
      </c>
      <c r="AH199" s="44">
        <v>335</v>
      </c>
      <c r="AI199" s="44">
        <v>543</v>
      </c>
      <c r="AJ199" s="44">
        <v>0</v>
      </c>
      <c r="AK199" s="44">
        <v>0</v>
      </c>
      <c r="AL199" s="44">
        <v>372</v>
      </c>
      <c r="AM199" s="48"/>
      <c r="AN199" s="48"/>
      <c r="AO199" s="48"/>
      <c r="AP199" s="44">
        <v>398</v>
      </c>
      <c r="AQ199" s="44">
        <v>476</v>
      </c>
      <c r="AR199" s="51"/>
      <c r="AS199" s="51"/>
      <c r="AT199" s="51"/>
      <c r="AU199" s="51"/>
      <c r="AV199" s="51"/>
      <c r="AW199" s="43">
        <v>385</v>
      </c>
      <c r="AX199" s="43">
        <v>475</v>
      </c>
      <c r="AY199" s="50"/>
      <c r="AZ199" s="50"/>
      <c r="BA199" s="50"/>
      <c r="BB199" s="50"/>
      <c r="BC199" s="50"/>
      <c r="BD199" s="50"/>
      <c r="BE199" s="43">
        <v>369</v>
      </c>
      <c r="BF199" s="43">
        <v>515</v>
      </c>
      <c r="BG199" s="43">
        <v>478</v>
      </c>
      <c r="BH199" s="43">
        <v>413</v>
      </c>
      <c r="BI199" s="43">
        <v>544</v>
      </c>
      <c r="BJ199" s="43">
        <v>347</v>
      </c>
      <c r="BK199" s="43">
        <v>426</v>
      </c>
      <c r="BL199" s="43">
        <v>465</v>
      </c>
      <c r="BM199" s="43">
        <v>355</v>
      </c>
      <c r="BN199" s="43">
        <v>533</v>
      </c>
      <c r="BO199" s="43">
        <v>374</v>
      </c>
      <c r="BP199" s="43">
        <v>492</v>
      </c>
      <c r="BQ199" s="43">
        <v>515</v>
      </c>
      <c r="BR199" s="43">
        <v>356</v>
      </c>
      <c r="BS199" s="43">
        <v>613</v>
      </c>
      <c r="BT199" s="43">
        <v>344</v>
      </c>
      <c r="BU199" s="43">
        <v>525</v>
      </c>
      <c r="BV199" s="43">
        <v>600</v>
      </c>
      <c r="BW199" s="43">
        <v>383</v>
      </c>
      <c r="BX199" s="43">
        <v>348</v>
      </c>
      <c r="BY199" s="43">
        <v>498</v>
      </c>
      <c r="BZ199" s="43">
        <v>304</v>
      </c>
      <c r="CA199" s="43">
        <v>549</v>
      </c>
      <c r="CB199" s="43">
        <v>385</v>
      </c>
      <c r="CC199" s="43">
        <v>329</v>
      </c>
      <c r="CD199" s="43">
        <v>548</v>
      </c>
      <c r="CE199" s="43">
        <v>291</v>
      </c>
      <c r="CF199" s="43">
        <v>447</v>
      </c>
      <c r="CG199" s="43">
        <v>390</v>
      </c>
      <c r="CH199" s="43">
        <v>299</v>
      </c>
      <c r="CI199" s="43">
        <v>211</v>
      </c>
      <c r="CJ199" s="43">
        <v>507</v>
      </c>
      <c r="CK199" s="43">
        <v>406</v>
      </c>
      <c r="CL199" s="43">
        <v>328</v>
      </c>
      <c r="CM199" s="43">
        <v>528</v>
      </c>
      <c r="CN199" s="43">
        <v>532</v>
      </c>
      <c r="CO199" s="43">
        <v>274</v>
      </c>
      <c r="CP199" s="43">
        <v>451</v>
      </c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43">
        <v>399</v>
      </c>
      <c r="FZ199" s="43">
        <v>493</v>
      </c>
      <c r="GA199" s="53"/>
      <c r="GB199" s="53"/>
      <c r="GC199" s="53"/>
      <c r="GD199" s="53"/>
      <c r="GE199" s="53"/>
      <c r="GF199" s="53"/>
      <c r="GG199" s="53"/>
      <c r="GH199" s="53"/>
      <c r="GI199" s="53"/>
      <c r="GJ199" s="53"/>
      <c r="GK199" s="53"/>
      <c r="GL199" s="53"/>
      <c r="GM199" s="53"/>
      <c r="GN199" s="53"/>
      <c r="GO199" s="43">
        <v>629</v>
      </c>
      <c r="GP199" s="43">
        <v>277</v>
      </c>
      <c r="GQ199" s="43">
        <v>601</v>
      </c>
      <c r="GR199" s="43">
        <v>301</v>
      </c>
    </row>
    <row r="200" spans="1:200">
      <c r="A200" s="5">
        <v>2921</v>
      </c>
      <c r="B200" s="1" t="s">
        <v>328</v>
      </c>
      <c r="C200" s="33">
        <v>1413</v>
      </c>
      <c r="D200" s="34">
        <v>978</v>
      </c>
      <c r="E200" s="19">
        <f t="shared" si="3"/>
        <v>0.69214437367303605</v>
      </c>
      <c r="F200" s="62">
        <v>345</v>
      </c>
      <c r="G200" s="43">
        <v>3</v>
      </c>
      <c r="H200" s="43">
        <v>52</v>
      </c>
      <c r="I200" s="43">
        <v>12</v>
      </c>
      <c r="J200" s="55">
        <v>546</v>
      </c>
      <c r="K200" s="6">
        <v>0</v>
      </c>
      <c r="L200" s="6">
        <v>0</v>
      </c>
      <c r="M200" s="43">
        <v>0</v>
      </c>
      <c r="N200" s="25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  <c r="V200" s="43">
        <v>0</v>
      </c>
      <c r="W200" s="43">
        <v>0</v>
      </c>
      <c r="X200" s="43">
        <v>0</v>
      </c>
      <c r="Y200" s="43">
        <v>0</v>
      </c>
      <c r="Z200" s="43">
        <v>0</v>
      </c>
      <c r="AA200" s="44">
        <v>0</v>
      </c>
      <c r="AB200" s="44">
        <v>0</v>
      </c>
      <c r="AC200" s="44">
        <v>15</v>
      </c>
      <c r="AD200" s="44">
        <v>32</v>
      </c>
      <c r="AE200" s="44">
        <v>579</v>
      </c>
      <c r="AF200" s="44">
        <v>14</v>
      </c>
      <c r="AG200" s="44">
        <v>0</v>
      </c>
      <c r="AH200" s="44">
        <v>289</v>
      </c>
      <c r="AI200" s="44">
        <v>614</v>
      </c>
      <c r="AJ200" s="44">
        <v>0</v>
      </c>
      <c r="AK200" s="44">
        <v>0</v>
      </c>
      <c r="AL200" s="44">
        <v>326</v>
      </c>
      <c r="AM200" s="48"/>
      <c r="AN200" s="48"/>
      <c r="AO200" s="48"/>
      <c r="AP200" s="44">
        <v>351</v>
      </c>
      <c r="AQ200" s="44">
        <v>541</v>
      </c>
      <c r="AR200" s="51"/>
      <c r="AS200" s="51"/>
      <c r="AT200" s="51"/>
      <c r="AU200" s="51"/>
      <c r="AV200" s="51"/>
      <c r="AW200" s="43">
        <v>338</v>
      </c>
      <c r="AX200" s="43">
        <v>547</v>
      </c>
      <c r="AY200" s="50"/>
      <c r="AZ200" s="50"/>
      <c r="BA200" s="50"/>
      <c r="BB200" s="50"/>
      <c r="BC200" s="50"/>
      <c r="BD200" s="50"/>
      <c r="BE200" s="43">
        <v>448</v>
      </c>
      <c r="BF200" s="43">
        <v>457</v>
      </c>
      <c r="BG200" s="43">
        <v>541</v>
      </c>
      <c r="BH200" s="43">
        <v>365</v>
      </c>
      <c r="BI200" s="43">
        <v>599</v>
      </c>
      <c r="BJ200" s="43">
        <v>304</v>
      </c>
      <c r="BK200" s="43">
        <v>377</v>
      </c>
      <c r="BL200" s="43">
        <v>533</v>
      </c>
      <c r="BM200" s="43">
        <v>396</v>
      </c>
      <c r="BN200" s="43">
        <v>512</v>
      </c>
      <c r="BO200" s="43">
        <v>338</v>
      </c>
      <c r="BP200" s="43">
        <v>538</v>
      </c>
      <c r="BQ200" s="43">
        <v>571</v>
      </c>
      <c r="BR200" s="43">
        <v>322</v>
      </c>
      <c r="BS200" s="43">
        <v>648</v>
      </c>
      <c r="BT200" s="43">
        <v>408</v>
      </c>
      <c r="BU200" s="43">
        <v>478</v>
      </c>
      <c r="BV200" s="43">
        <v>633</v>
      </c>
      <c r="BW200" s="43">
        <v>437</v>
      </c>
      <c r="BX200" s="43">
        <v>295</v>
      </c>
      <c r="BY200" s="43">
        <v>520</v>
      </c>
      <c r="BZ200" s="43">
        <v>279</v>
      </c>
      <c r="CA200" s="43">
        <v>565</v>
      </c>
      <c r="CB200" s="43">
        <v>402</v>
      </c>
      <c r="CC200" s="43">
        <v>308</v>
      </c>
      <c r="CD200" s="43">
        <v>549</v>
      </c>
      <c r="CE200" s="43">
        <v>297</v>
      </c>
      <c r="CF200" s="43">
        <v>465</v>
      </c>
      <c r="CG200" s="43">
        <v>426</v>
      </c>
      <c r="CH200" s="43">
        <v>272</v>
      </c>
      <c r="CI200" s="43">
        <v>187</v>
      </c>
      <c r="CJ200" s="43">
        <v>549</v>
      </c>
      <c r="CK200" s="43">
        <v>472</v>
      </c>
      <c r="CL200" s="43">
        <v>245</v>
      </c>
      <c r="CM200" s="43">
        <v>558</v>
      </c>
      <c r="CN200" s="43">
        <v>555</v>
      </c>
      <c r="CO200" s="43">
        <v>245</v>
      </c>
      <c r="CP200" s="43">
        <v>481</v>
      </c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43">
        <v>355</v>
      </c>
      <c r="FZ200" s="43">
        <v>571</v>
      </c>
      <c r="GA200" s="53"/>
      <c r="GB200" s="53"/>
      <c r="GC200" s="53"/>
      <c r="GD200" s="53"/>
      <c r="GE200" s="53"/>
      <c r="GF200" s="53"/>
      <c r="GG200" s="53"/>
      <c r="GH200" s="53"/>
      <c r="GI200" s="53"/>
      <c r="GJ200" s="53"/>
      <c r="GK200" s="53"/>
      <c r="GL200" s="53"/>
      <c r="GM200" s="53"/>
      <c r="GN200" s="53"/>
      <c r="GO200" s="43">
        <v>615</v>
      </c>
      <c r="GP200" s="43">
        <v>323</v>
      </c>
      <c r="GQ200" s="43">
        <v>575</v>
      </c>
      <c r="GR200" s="43">
        <v>348</v>
      </c>
    </row>
    <row r="201" spans="1:200">
      <c r="A201" s="5">
        <v>2931</v>
      </c>
      <c r="B201" s="1" t="s">
        <v>329</v>
      </c>
      <c r="C201" s="33">
        <v>1266</v>
      </c>
      <c r="D201" s="34">
        <v>802</v>
      </c>
      <c r="E201" s="19">
        <f t="shared" si="3"/>
        <v>0.63349131121642965</v>
      </c>
      <c r="F201" s="62">
        <v>365</v>
      </c>
      <c r="G201" s="43">
        <v>4</v>
      </c>
      <c r="H201" s="43">
        <v>41</v>
      </c>
      <c r="I201" s="43">
        <v>8</v>
      </c>
      <c r="J201" s="55">
        <v>369</v>
      </c>
      <c r="K201" s="6">
        <v>0</v>
      </c>
      <c r="L201" s="6">
        <v>0</v>
      </c>
      <c r="M201" s="43">
        <v>0</v>
      </c>
      <c r="N201" s="25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  <c r="V201" s="43">
        <v>0</v>
      </c>
      <c r="W201" s="43">
        <v>3</v>
      </c>
      <c r="X201" s="43">
        <v>0</v>
      </c>
      <c r="Y201" s="43">
        <v>0</v>
      </c>
      <c r="Z201" s="43">
        <v>0</v>
      </c>
      <c r="AA201" s="44">
        <v>0</v>
      </c>
      <c r="AB201" s="44">
        <v>0</v>
      </c>
      <c r="AC201" s="44">
        <v>11</v>
      </c>
      <c r="AD201" s="44">
        <v>19</v>
      </c>
      <c r="AE201" s="44">
        <v>428</v>
      </c>
      <c r="AF201" s="44">
        <v>22</v>
      </c>
      <c r="AG201" s="44">
        <v>0</v>
      </c>
      <c r="AH201" s="44">
        <v>295</v>
      </c>
      <c r="AI201" s="44">
        <v>437</v>
      </c>
      <c r="AJ201" s="44">
        <v>1</v>
      </c>
      <c r="AK201" s="44">
        <v>0</v>
      </c>
      <c r="AL201" s="44">
        <v>338</v>
      </c>
      <c r="AM201" s="48"/>
      <c r="AN201" s="48"/>
      <c r="AO201" s="48"/>
      <c r="AP201" s="44">
        <v>367</v>
      </c>
      <c r="AQ201" s="44">
        <v>386</v>
      </c>
      <c r="AR201" s="51"/>
      <c r="AS201" s="51"/>
      <c r="AT201" s="51"/>
      <c r="AU201" s="51"/>
      <c r="AV201" s="51"/>
      <c r="AW201" s="43">
        <v>345</v>
      </c>
      <c r="AX201" s="43">
        <v>396</v>
      </c>
      <c r="AY201" s="50"/>
      <c r="AZ201" s="50"/>
      <c r="BA201" s="50"/>
      <c r="BB201" s="50"/>
      <c r="BC201" s="50"/>
      <c r="BD201" s="50"/>
      <c r="BE201" s="43">
        <v>320</v>
      </c>
      <c r="BF201" s="43">
        <v>436</v>
      </c>
      <c r="BG201" s="43">
        <v>393</v>
      </c>
      <c r="BH201" s="43">
        <v>372</v>
      </c>
      <c r="BI201" s="43">
        <v>433</v>
      </c>
      <c r="BJ201" s="43">
        <v>315</v>
      </c>
      <c r="BK201" s="43">
        <v>377</v>
      </c>
      <c r="BL201" s="43">
        <v>384</v>
      </c>
      <c r="BM201" s="43">
        <v>267</v>
      </c>
      <c r="BN201" s="43">
        <v>485</v>
      </c>
      <c r="BO201" s="43">
        <v>323</v>
      </c>
      <c r="BP201" s="43">
        <v>416</v>
      </c>
      <c r="BQ201" s="43">
        <v>407</v>
      </c>
      <c r="BR201" s="43">
        <v>338</v>
      </c>
      <c r="BS201" s="43">
        <v>489</v>
      </c>
      <c r="BT201" s="43">
        <v>286</v>
      </c>
      <c r="BU201" s="43">
        <v>450</v>
      </c>
      <c r="BV201" s="43">
        <v>496</v>
      </c>
      <c r="BW201" s="43">
        <v>327</v>
      </c>
      <c r="BX201" s="43">
        <v>289</v>
      </c>
      <c r="BY201" s="43">
        <v>388</v>
      </c>
      <c r="BZ201" s="43">
        <v>261</v>
      </c>
      <c r="CA201" s="43">
        <v>455</v>
      </c>
      <c r="CB201" s="43">
        <v>272</v>
      </c>
      <c r="CC201" s="43">
        <v>341</v>
      </c>
      <c r="CD201" s="43">
        <v>448</v>
      </c>
      <c r="CE201" s="43">
        <v>268</v>
      </c>
      <c r="CF201" s="43">
        <v>363</v>
      </c>
      <c r="CG201" s="43">
        <v>320</v>
      </c>
      <c r="CH201" s="43">
        <v>252</v>
      </c>
      <c r="CI201" s="43">
        <v>177</v>
      </c>
      <c r="CJ201" s="43">
        <v>425</v>
      </c>
      <c r="CK201" s="43">
        <v>349</v>
      </c>
      <c r="CL201" s="43">
        <v>250</v>
      </c>
      <c r="CM201" s="43">
        <v>433</v>
      </c>
      <c r="CN201" s="43">
        <v>437</v>
      </c>
      <c r="CO201" s="43">
        <v>213</v>
      </c>
      <c r="CP201" s="43">
        <v>401</v>
      </c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43">
        <v>341</v>
      </c>
      <c r="FZ201" s="43">
        <v>425</v>
      </c>
      <c r="GA201" s="53"/>
      <c r="GB201" s="53"/>
      <c r="GC201" s="53"/>
      <c r="GD201" s="53"/>
      <c r="GE201" s="53"/>
      <c r="GF201" s="53"/>
      <c r="GG201" s="53"/>
      <c r="GH201" s="53"/>
      <c r="GI201" s="53"/>
      <c r="GJ201" s="53"/>
      <c r="GK201" s="53"/>
      <c r="GL201" s="53"/>
      <c r="GM201" s="53"/>
      <c r="GN201" s="53"/>
      <c r="GO201" s="43">
        <v>522</v>
      </c>
      <c r="GP201" s="43">
        <v>244</v>
      </c>
      <c r="GQ201" s="43">
        <v>493</v>
      </c>
      <c r="GR201" s="43">
        <v>276</v>
      </c>
    </row>
    <row r="202" spans="1:200">
      <c r="A202" s="5">
        <v>2941</v>
      </c>
      <c r="B202" s="1" t="s">
        <v>330</v>
      </c>
      <c r="C202" s="33">
        <v>1374</v>
      </c>
      <c r="D202" s="34">
        <v>1021</v>
      </c>
      <c r="E202" s="19">
        <f t="shared" si="3"/>
        <v>0.74308588064046577</v>
      </c>
      <c r="F202" s="62">
        <v>426</v>
      </c>
      <c r="G202" s="43">
        <v>4</v>
      </c>
      <c r="H202" s="43">
        <v>53</v>
      </c>
      <c r="I202" s="43">
        <v>14</v>
      </c>
      <c r="J202" s="55">
        <v>498</v>
      </c>
      <c r="K202" s="6">
        <v>0</v>
      </c>
      <c r="L202" s="6">
        <v>0</v>
      </c>
      <c r="M202" s="43">
        <v>0</v>
      </c>
      <c r="N202" s="25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  <c r="V202" s="43">
        <v>0</v>
      </c>
      <c r="W202" s="43">
        <v>3</v>
      </c>
      <c r="X202" s="43">
        <v>0</v>
      </c>
      <c r="Y202" s="43">
        <v>0</v>
      </c>
      <c r="Z202" s="43">
        <v>0</v>
      </c>
      <c r="AA202" s="44">
        <v>0</v>
      </c>
      <c r="AB202" s="44">
        <v>0</v>
      </c>
      <c r="AC202" s="44">
        <v>16</v>
      </c>
      <c r="AD202" s="44">
        <v>25</v>
      </c>
      <c r="AE202" s="44">
        <v>583</v>
      </c>
      <c r="AF202" s="44">
        <v>14</v>
      </c>
      <c r="AG202" s="44">
        <v>0</v>
      </c>
      <c r="AH202" s="44">
        <v>335</v>
      </c>
      <c r="AI202" s="44">
        <v>593</v>
      </c>
      <c r="AJ202" s="44">
        <v>0</v>
      </c>
      <c r="AK202" s="44">
        <v>0</v>
      </c>
      <c r="AL202" s="44">
        <v>389</v>
      </c>
      <c r="AM202" s="48"/>
      <c r="AN202" s="48"/>
      <c r="AO202" s="48"/>
      <c r="AP202" s="44">
        <v>391</v>
      </c>
      <c r="AQ202" s="44">
        <v>538</v>
      </c>
      <c r="AR202" s="51"/>
      <c r="AS202" s="51"/>
      <c r="AT202" s="51"/>
      <c r="AU202" s="51"/>
      <c r="AV202" s="51"/>
      <c r="AW202" s="43">
        <v>403</v>
      </c>
      <c r="AX202" s="43">
        <v>527</v>
      </c>
      <c r="AY202" s="50"/>
      <c r="AZ202" s="50"/>
      <c r="BA202" s="50"/>
      <c r="BB202" s="50"/>
      <c r="BC202" s="50"/>
      <c r="BD202" s="50"/>
      <c r="BE202" s="43">
        <v>417</v>
      </c>
      <c r="BF202" s="43">
        <v>519</v>
      </c>
      <c r="BG202" s="43">
        <v>526</v>
      </c>
      <c r="BH202" s="43">
        <v>423</v>
      </c>
      <c r="BI202" s="43">
        <v>587</v>
      </c>
      <c r="BJ202" s="43">
        <v>342</v>
      </c>
      <c r="BK202" s="43">
        <v>454</v>
      </c>
      <c r="BL202" s="43">
        <v>506</v>
      </c>
      <c r="BM202" s="43">
        <v>376</v>
      </c>
      <c r="BN202" s="43">
        <v>566</v>
      </c>
      <c r="BO202" s="43">
        <v>387</v>
      </c>
      <c r="BP202" s="43">
        <v>524</v>
      </c>
      <c r="BQ202" s="43">
        <v>572</v>
      </c>
      <c r="BR202" s="43">
        <v>342</v>
      </c>
      <c r="BS202" s="43">
        <v>650</v>
      </c>
      <c r="BT202" s="43">
        <v>379</v>
      </c>
      <c r="BU202" s="43">
        <v>546</v>
      </c>
      <c r="BV202" s="43">
        <v>643</v>
      </c>
      <c r="BW202" s="43">
        <v>439</v>
      </c>
      <c r="BX202" s="43">
        <v>326</v>
      </c>
      <c r="BY202" s="43">
        <v>532</v>
      </c>
      <c r="BZ202" s="43">
        <v>290</v>
      </c>
      <c r="CA202" s="43">
        <v>586</v>
      </c>
      <c r="CB202" s="43">
        <v>392</v>
      </c>
      <c r="CC202" s="43">
        <v>389</v>
      </c>
      <c r="CD202" s="43">
        <v>582</v>
      </c>
      <c r="CE202" s="43">
        <v>318</v>
      </c>
      <c r="CF202" s="43">
        <v>470</v>
      </c>
      <c r="CG202" s="43">
        <v>440</v>
      </c>
      <c r="CH202" s="43">
        <v>291</v>
      </c>
      <c r="CI202" s="43">
        <v>193</v>
      </c>
      <c r="CJ202" s="43">
        <v>571</v>
      </c>
      <c r="CK202" s="43">
        <v>461</v>
      </c>
      <c r="CL202" s="43">
        <v>291</v>
      </c>
      <c r="CM202" s="43">
        <v>560</v>
      </c>
      <c r="CN202" s="43">
        <v>564</v>
      </c>
      <c r="CO202" s="43">
        <v>276</v>
      </c>
      <c r="CP202" s="43">
        <v>470</v>
      </c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43">
        <v>381</v>
      </c>
      <c r="FZ202" s="43">
        <v>584</v>
      </c>
      <c r="GA202" s="53"/>
      <c r="GB202" s="53"/>
      <c r="GC202" s="53"/>
      <c r="GD202" s="53"/>
      <c r="GE202" s="53"/>
      <c r="GF202" s="53"/>
      <c r="GG202" s="53"/>
      <c r="GH202" s="53"/>
      <c r="GI202" s="53"/>
      <c r="GJ202" s="53"/>
      <c r="GK202" s="53"/>
      <c r="GL202" s="53"/>
      <c r="GM202" s="53"/>
      <c r="GN202" s="53"/>
      <c r="GO202" s="43">
        <v>669</v>
      </c>
      <c r="GP202" s="43">
        <v>299</v>
      </c>
      <c r="GQ202" s="43">
        <v>627</v>
      </c>
      <c r="GR202" s="43">
        <v>340</v>
      </c>
    </row>
    <row r="203" spans="1:200">
      <c r="A203" s="5">
        <v>3111</v>
      </c>
      <c r="B203" s="1" t="s">
        <v>331</v>
      </c>
      <c r="C203" s="33">
        <v>984</v>
      </c>
      <c r="D203" s="34">
        <v>727</v>
      </c>
      <c r="E203" s="19">
        <f t="shared" si="3"/>
        <v>0.73882113821138207</v>
      </c>
      <c r="F203" s="62">
        <v>290</v>
      </c>
      <c r="G203" s="43">
        <v>4</v>
      </c>
      <c r="H203" s="43">
        <v>42</v>
      </c>
      <c r="I203" s="43">
        <v>7</v>
      </c>
      <c r="J203" s="55">
        <v>362</v>
      </c>
      <c r="K203" s="6">
        <v>0</v>
      </c>
      <c r="L203" s="6">
        <v>0</v>
      </c>
      <c r="M203" s="43">
        <v>0</v>
      </c>
      <c r="N203" s="25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  <c r="V203" s="43">
        <v>0</v>
      </c>
      <c r="W203" s="43">
        <v>1</v>
      </c>
      <c r="X203" s="43">
        <v>0</v>
      </c>
      <c r="Y203" s="43">
        <v>0</v>
      </c>
      <c r="Z203" s="43">
        <v>0</v>
      </c>
      <c r="AA203" s="44">
        <v>0</v>
      </c>
      <c r="AB203" s="44">
        <v>0</v>
      </c>
      <c r="AC203" s="44">
        <v>9</v>
      </c>
      <c r="AD203" s="44">
        <v>18</v>
      </c>
      <c r="AE203" s="44">
        <v>437</v>
      </c>
      <c r="AF203" s="44">
        <v>10</v>
      </c>
      <c r="AG203" s="44">
        <v>0</v>
      </c>
      <c r="AH203" s="44">
        <v>225</v>
      </c>
      <c r="AI203" s="32"/>
      <c r="AJ203" s="32"/>
      <c r="AK203" s="32"/>
      <c r="AL203" s="32"/>
      <c r="AM203" s="44">
        <v>13</v>
      </c>
      <c r="AN203" s="44">
        <v>240</v>
      </c>
      <c r="AO203" s="44">
        <v>415</v>
      </c>
      <c r="AP203" s="44">
        <v>280</v>
      </c>
      <c r="AQ203" s="44">
        <v>363</v>
      </c>
      <c r="AR203" s="50"/>
      <c r="AS203" s="50"/>
      <c r="AT203" s="43">
        <v>421</v>
      </c>
      <c r="AU203" s="43">
        <v>248</v>
      </c>
      <c r="AV203" s="50"/>
      <c r="AW203" s="50"/>
      <c r="AX203" s="50"/>
      <c r="AY203" s="50"/>
      <c r="AZ203" s="50"/>
      <c r="BA203" s="50"/>
      <c r="BB203" s="50"/>
      <c r="BC203" s="50"/>
      <c r="BD203" s="50"/>
      <c r="BE203" s="43">
        <v>308</v>
      </c>
      <c r="BF203" s="43">
        <v>356</v>
      </c>
      <c r="BG203" s="43">
        <v>405</v>
      </c>
      <c r="BH203" s="43">
        <v>264</v>
      </c>
      <c r="BI203" s="43">
        <v>424</v>
      </c>
      <c r="BJ203" s="43">
        <v>237</v>
      </c>
      <c r="BK203" s="43">
        <v>319</v>
      </c>
      <c r="BL203" s="43">
        <v>352</v>
      </c>
      <c r="BM203" s="43">
        <v>295</v>
      </c>
      <c r="BN203" s="43">
        <v>362</v>
      </c>
      <c r="BO203" s="43">
        <v>258</v>
      </c>
      <c r="BP203" s="43">
        <v>392</v>
      </c>
      <c r="BQ203" s="43">
        <v>412</v>
      </c>
      <c r="BR203" s="43">
        <v>238</v>
      </c>
      <c r="BS203" s="43">
        <v>456</v>
      </c>
      <c r="BT203" s="43">
        <v>272</v>
      </c>
      <c r="BU203" s="43">
        <v>366</v>
      </c>
      <c r="BV203" s="43">
        <v>464</v>
      </c>
      <c r="BW203" s="43">
        <v>266</v>
      </c>
      <c r="BX203" s="43">
        <v>269</v>
      </c>
      <c r="BY203" s="43">
        <v>378</v>
      </c>
      <c r="BZ203" s="43">
        <v>199</v>
      </c>
      <c r="CA203" s="43">
        <v>415</v>
      </c>
      <c r="CB203" s="43">
        <v>272</v>
      </c>
      <c r="CC203" s="43">
        <v>245</v>
      </c>
      <c r="CD203" s="43">
        <v>406</v>
      </c>
      <c r="CE203" s="43">
        <v>232</v>
      </c>
      <c r="CF203" s="43">
        <v>295</v>
      </c>
      <c r="CG203" s="43">
        <v>293</v>
      </c>
      <c r="CH203" s="43">
        <v>217</v>
      </c>
      <c r="CI203" s="43">
        <v>145</v>
      </c>
      <c r="CJ203" s="43">
        <v>383</v>
      </c>
      <c r="CK203" s="43">
        <v>305</v>
      </c>
      <c r="CL203" s="43">
        <v>213</v>
      </c>
      <c r="CM203" s="43">
        <v>401</v>
      </c>
      <c r="CN203" s="43">
        <v>413</v>
      </c>
      <c r="CO203" s="43">
        <v>182</v>
      </c>
      <c r="CP203" s="43">
        <v>332</v>
      </c>
      <c r="CQ203" s="6"/>
      <c r="CR203" s="6"/>
      <c r="CS203" s="6"/>
      <c r="CT203" s="6"/>
      <c r="CU203" s="43">
        <v>425</v>
      </c>
      <c r="CV203" s="43">
        <v>279</v>
      </c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43"/>
      <c r="FZ203" s="43"/>
      <c r="GA203" s="43">
        <v>371</v>
      </c>
      <c r="GB203" s="43">
        <v>336</v>
      </c>
      <c r="GC203" s="53"/>
      <c r="GD203" s="53"/>
      <c r="GE203" s="53"/>
      <c r="GF203" s="53"/>
      <c r="GG203" s="53"/>
      <c r="GH203" s="53"/>
      <c r="GI203" s="53"/>
      <c r="GJ203" s="53"/>
      <c r="GK203" s="53"/>
      <c r="GL203" s="53"/>
      <c r="GM203" s="53"/>
      <c r="GN203" s="53"/>
      <c r="GO203" s="43">
        <v>458</v>
      </c>
      <c r="GP203" s="43">
        <v>243</v>
      </c>
      <c r="GQ203" s="43">
        <v>451</v>
      </c>
      <c r="GR203" s="43">
        <v>257</v>
      </c>
    </row>
    <row r="204" spans="1:200">
      <c r="A204" s="5">
        <v>3121</v>
      </c>
      <c r="B204" s="1" t="s">
        <v>332</v>
      </c>
      <c r="C204" s="33">
        <v>901</v>
      </c>
      <c r="D204" s="34">
        <v>712</v>
      </c>
      <c r="E204" s="19">
        <f t="shared" si="3"/>
        <v>0.79023307436182022</v>
      </c>
      <c r="F204" s="62">
        <v>289</v>
      </c>
      <c r="G204" s="43">
        <v>3</v>
      </c>
      <c r="H204" s="43">
        <v>44</v>
      </c>
      <c r="I204" s="43">
        <v>4</v>
      </c>
      <c r="J204" s="55">
        <v>351</v>
      </c>
      <c r="K204" s="6">
        <v>0</v>
      </c>
      <c r="L204" s="6">
        <v>0</v>
      </c>
      <c r="M204" s="43">
        <v>0</v>
      </c>
      <c r="N204" s="25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  <c r="V204" s="43">
        <v>0</v>
      </c>
      <c r="W204" s="43">
        <v>5</v>
      </c>
      <c r="X204" s="43">
        <v>0</v>
      </c>
      <c r="Y204" s="43">
        <v>0</v>
      </c>
      <c r="Z204" s="43">
        <v>0</v>
      </c>
      <c r="AA204" s="44">
        <v>0</v>
      </c>
      <c r="AB204" s="44">
        <v>0</v>
      </c>
      <c r="AC204" s="44">
        <v>9</v>
      </c>
      <c r="AD204" s="44">
        <v>13</v>
      </c>
      <c r="AE204" s="44">
        <v>451</v>
      </c>
      <c r="AF204" s="44">
        <v>5</v>
      </c>
      <c r="AG204" s="44">
        <v>0</v>
      </c>
      <c r="AH204" s="44">
        <v>207</v>
      </c>
      <c r="AI204" s="32"/>
      <c r="AJ204" s="32"/>
      <c r="AK204" s="32"/>
      <c r="AL204" s="32"/>
      <c r="AM204" s="44">
        <v>8</v>
      </c>
      <c r="AN204" s="44">
        <v>224</v>
      </c>
      <c r="AO204" s="44">
        <v>416</v>
      </c>
      <c r="AP204" s="44">
        <v>250</v>
      </c>
      <c r="AQ204" s="44">
        <v>378</v>
      </c>
      <c r="AR204" s="50"/>
      <c r="AS204" s="50"/>
      <c r="AT204" s="43">
        <v>436</v>
      </c>
      <c r="AU204" s="43">
        <v>208</v>
      </c>
      <c r="AV204" s="50"/>
      <c r="AW204" s="50"/>
      <c r="AX204" s="50"/>
      <c r="AY204" s="50"/>
      <c r="AZ204" s="50"/>
      <c r="BA204" s="50"/>
      <c r="BB204" s="50"/>
      <c r="BC204" s="50"/>
      <c r="BD204" s="50"/>
      <c r="BE204" s="43">
        <v>338</v>
      </c>
      <c r="BF204" s="43">
        <v>301</v>
      </c>
      <c r="BG204" s="43">
        <v>416</v>
      </c>
      <c r="BH204" s="43">
        <v>232</v>
      </c>
      <c r="BI204" s="43">
        <v>423</v>
      </c>
      <c r="BJ204" s="43">
        <v>213</v>
      </c>
      <c r="BK204" s="43">
        <v>282</v>
      </c>
      <c r="BL204" s="43">
        <v>371</v>
      </c>
      <c r="BM204" s="43">
        <v>322</v>
      </c>
      <c r="BN204" s="43">
        <v>313</v>
      </c>
      <c r="BO204" s="43">
        <v>237</v>
      </c>
      <c r="BP204" s="43">
        <v>379</v>
      </c>
      <c r="BQ204" s="43">
        <v>428</v>
      </c>
      <c r="BR204" s="43">
        <v>202</v>
      </c>
      <c r="BS204" s="43">
        <v>445</v>
      </c>
      <c r="BT204" s="43">
        <v>293</v>
      </c>
      <c r="BU204" s="43">
        <v>322</v>
      </c>
      <c r="BV204" s="43">
        <v>428</v>
      </c>
      <c r="BW204" s="43">
        <v>286</v>
      </c>
      <c r="BX204" s="43">
        <v>206</v>
      </c>
      <c r="BY204" s="43">
        <v>360</v>
      </c>
      <c r="BZ204" s="43">
        <v>185</v>
      </c>
      <c r="CA204" s="43">
        <v>391</v>
      </c>
      <c r="CB204" s="43">
        <v>285</v>
      </c>
      <c r="CC204" s="43">
        <v>204</v>
      </c>
      <c r="CD204" s="43">
        <v>376</v>
      </c>
      <c r="CE204" s="43">
        <v>205</v>
      </c>
      <c r="CF204" s="43">
        <v>292</v>
      </c>
      <c r="CG204" s="43">
        <v>297</v>
      </c>
      <c r="CH204" s="43">
        <v>170</v>
      </c>
      <c r="CI204" s="43">
        <v>125</v>
      </c>
      <c r="CJ204" s="43">
        <v>361</v>
      </c>
      <c r="CK204" s="43">
        <v>304</v>
      </c>
      <c r="CL204" s="43">
        <v>169</v>
      </c>
      <c r="CM204" s="43">
        <v>381</v>
      </c>
      <c r="CN204" s="43">
        <v>381</v>
      </c>
      <c r="CO204" s="43">
        <v>171</v>
      </c>
      <c r="CP204" s="43">
        <v>318</v>
      </c>
      <c r="CQ204" s="6"/>
      <c r="CR204" s="6"/>
      <c r="CS204" s="6"/>
      <c r="CT204" s="6"/>
      <c r="CU204" s="43">
        <v>425</v>
      </c>
      <c r="CV204" s="43">
        <v>255</v>
      </c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43"/>
      <c r="FZ204" s="43"/>
      <c r="GA204" s="43">
        <v>435</v>
      </c>
      <c r="GB204" s="43">
        <v>254</v>
      </c>
      <c r="GC204" s="53"/>
      <c r="GD204" s="53"/>
      <c r="GE204" s="53"/>
      <c r="GF204" s="53"/>
      <c r="GG204" s="53"/>
      <c r="GH204" s="53"/>
      <c r="GI204" s="53"/>
      <c r="GJ204" s="53"/>
      <c r="GK204" s="53"/>
      <c r="GL204" s="53"/>
      <c r="GM204" s="53"/>
      <c r="GN204" s="53"/>
      <c r="GO204" s="43">
        <v>472</v>
      </c>
      <c r="GP204" s="43">
        <v>206</v>
      </c>
      <c r="GQ204" s="43">
        <v>457</v>
      </c>
      <c r="GR204" s="43">
        <v>231</v>
      </c>
    </row>
    <row r="205" spans="1:200">
      <c r="A205" s="5">
        <v>3131</v>
      </c>
      <c r="B205" s="1" t="s">
        <v>333</v>
      </c>
      <c r="C205" s="33">
        <v>922</v>
      </c>
      <c r="D205" s="34">
        <v>687</v>
      </c>
      <c r="E205" s="19">
        <f t="shared" si="3"/>
        <v>0.74511930585683295</v>
      </c>
      <c r="F205" s="62">
        <v>240</v>
      </c>
      <c r="G205" s="43">
        <v>5</v>
      </c>
      <c r="H205" s="43">
        <v>41</v>
      </c>
      <c r="I205" s="43">
        <v>8</v>
      </c>
      <c r="J205" s="55">
        <v>375</v>
      </c>
      <c r="K205" s="6">
        <v>0</v>
      </c>
      <c r="L205" s="6">
        <v>0</v>
      </c>
      <c r="M205" s="43">
        <v>0</v>
      </c>
      <c r="N205" s="25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  <c r="V205" s="43">
        <v>0</v>
      </c>
      <c r="W205" s="43">
        <v>0</v>
      </c>
      <c r="X205" s="43">
        <v>0</v>
      </c>
      <c r="Y205" s="43">
        <v>0</v>
      </c>
      <c r="Z205" s="43">
        <v>0</v>
      </c>
      <c r="AA205" s="44">
        <v>0</v>
      </c>
      <c r="AB205" s="44">
        <v>0</v>
      </c>
      <c r="AC205" s="44">
        <v>10</v>
      </c>
      <c r="AD205" s="44">
        <v>19</v>
      </c>
      <c r="AE205" s="44">
        <v>436</v>
      </c>
      <c r="AF205" s="44">
        <v>6</v>
      </c>
      <c r="AG205" s="44">
        <v>0</v>
      </c>
      <c r="AH205" s="44">
        <v>182</v>
      </c>
      <c r="AI205" s="32"/>
      <c r="AJ205" s="32"/>
      <c r="AK205" s="32"/>
      <c r="AL205" s="32"/>
      <c r="AM205" s="44">
        <v>10</v>
      </c>
      <c r="AN205" s="44">
        <v>189</v>
      </c>
      <c r="AO205" s="44">
        <v>415</v>
      </c>
      <c r="AP205" s="44">
        <v>225</v>
      </c>
      <c r="AQ205" s="44">
        <v>374</v>
      </c>
      <c r="AR205" s="50"/>
      <c r="AS205" s="50"/>
      <c r="AT205" s="43">
        <v>423</v>
      </c>
      <c r="AU205" s="43">
        <v>198</v>
      </c>
      <c r="AV205" s="50"/>
      <c r="AW205" s="50"/>
      <c r="AX205" s="50"/>
      <c r="AY205" s="50"/>
      <c r="AZ205" s="50"/>
      <c r="BA205" s="50"/>
      <c r="BB205" s="50"/>
      <c r="BC205" s="50"/>
      <c r="BD205" s="50"/>
      <c r="BE205" s="43">
        <v>305</v>
      </c>
      <c r="BF205" s="43">
        <v>308</v>
      </c>
      <c r="BG205" s="43">
        <v>396</v>
      </c>
      <c r="BH205" s="43">
        <v>214</v>
      </c>
      <c r="BI205" s="43">
        <v>415</v>
      </c>
      <c r="BJ205" s="43">
        <v>205</v>
      </c>
      <c r="BK205" s="43">
        <v>249</v>
      </c>
      <c r="BL205" s="43">
        <v>368</v>
      </c>
      <c r="BM205" s="43">
        <v>282</v>
      </c>
      <c r="BN205" s="43">
        <v>337</v>
      </c>
      <c r="BO205" s="43">
        <v>201</v>
      </c>
      <c r="BP205" s="43">
        <v>387</v>
      </c>
      <c r="BQ205" s="43">
        <v>408</v>
      </c>
      <c r="BR205" s="43">
        <v>187</v>
      </c>
      <c r="BS205" s="43">
        <v>421</v>
      </c>
      <c r="BT205" s="43">
        <v>272</v>
      </c>
      <c r="BU205" s="43">
        <v>311</v>
      </c>
      <c r="BV205" s="43">
        <v>415</v>
      </c>
      <c r="BW205" s="43">
        <v>241</v>
      </c>
      <c r="BX205" s="43">
        <v>230</v>
      </c>
      <c r="BY205" s="43">
        <v>348</v>
      </c>
      <c r="BZ205" s="43">
        <v>174</v>
      </c>
      <c r="CA205" s="43">
        <v>372</v>
      </c>
      <c r="CB205" s="43">
        <v>248</v>
      </c>
      <c r="CC205" s="43">
        <v>191</v>
      </c>
      <c r="CD205" s="43">
        <v>353</v>
      </c>
      <c r="CE205" s="43">
        <v>175</v>
      </c>
      <c r="CF205" s="43">
        <v>282</v>
      </c>
      <c r="CG205" s="43">
        <v>251</v>
      </c>
      <c r="CH205" s="43">
        <v>181</v>
      </c>
      <c r="CI205" s="43">
        <v>116</v>
      </c>
      <c r="CJ205" s="43">
        <v>342</v>
      </c>
      <c r="CK205" s="43">
        <v>242</v>
      </c>
      <c r="CL205" s="43">
        <v>209</v>
      </c>
      <c r="CM205" s="43">
        <v>347</v>
      </c>
      <c r="CN205" s="43">
        <v>362</v>
      </c>
      <c r="CO205" s="43">
        <v>151</v>
      </c>
      <c r="CP205" s="43">
        <v>297</v>
      </c>
      <c r="CQ205" s="6"/>
      <c r="CR205" s="6"/>
      <c r="CS205" s="6"/>
      <c r="CT205" s="6"/>
      <c r="CU205" s="43">
        <v>401</v>
      </c>
      <c r="CV205" s="43">
        <v>259</v>
      </c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43"/>
      <c r="FZ205" s="43"/>
      <c r="GA205" s="43">
        <v>371</v>
      </c>
      <c r="GB205" s="43">
        <v>285</v>
      </c>
      <c r="GC205" s="53"/>
      <c r="GD205" s="53"/>
      <c r="GE205" s="53"/>
      <c r="GF205" s="53"/>
      <c r="GG205" s="53"/>
      <c r="GH205" s="53"/>
      <c r="GI205" s="53"/>
      <c r="GJ205" s="53"/>
      <c r="GK205" s="53"/>
      <c r="GL205" s="53"/>
      <c r="GM205" s="53"/>
      <c r="GN205" s="53"/>
      <c r="GO205" s="43">
        <v>430</v>
      </c>
      <c r="GP205" s="43">
        <v>225</v>
      </c>
      <c r="GQ205" s="43">
        <v>442</v>
      </c>
      <c r="GR205" s="43">
        <v>220</v>
      </c>
    </row>
    <row r="206" spans="1:200">
      <c r="A206" s="5">
        <v>3141</v>
      </c>
      <c r="B206" s="1" t="s">
        <v>334</v>
      </c>
      <c r="C206" s="33">
        <v>1114</v>
      </c>
      <c r="D206" s="34">
        <v>815</v>
      </c>
      <c r="E206" s="19">
        <f t="shared" si="3"/>
        <v>0.73159784560143626</v>
      </c>
      <c r="F206" s="62">
        <v>293</v>
      </c>
      <c r="G206" s="43">
        <v>0</v>
      </c>
      <c r="H206" s="43">
        <v>63</v>
      </c>
      <c r="I206" s="43">
        <v>13</v>
      </c>
      <c r="J206" s="55">
        <v>418</v>
      </c>
      <c r="K206" s="6">
        <v>0</v>
      </c>
      <c r="L206" s="6">
        <v>0</v>
      </c>
      <c r="M206" s="43">
        <v>0</v>
      </c>
      <c r="N206" s="25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  <c r="V206" s="43">
        <v>2</v>
      </c>
      <c r="W206" s="43">
        <v>4</v>
      </c>
      <c r="X206" s="43">
        <v>0</v>
      </c>
      <c r="Y206" s="43">
        <v>0</v>
      </c>
      <c r="Z206" s="43">
        <v>0</v>
      </c>
      <c r="AA206" s="44">
        <v>0</v>
      </c>
      <c r="AB206" s="44">
        <v>0</v>
      </c>
      <c r="AC206" s="44">
        <v>6</v>
      </c>
      <c r="AD206" s="44">
        <v>11</v>
      </c>
      <c r="AE206" s="44">
        <v>521</v>
      </c>
      <c r="AF206" s="44">
        <v>25</v>
      </c>
      <c r="AG206" s="44">
        <v>0</v>
      </c>
      <c r="AH206" s="44">
        <v>211</v>
      </c>
      <c r="AI206" s="32"/>
      <c r="AJ206" s="32"/>
      <c r="AK206" s="32"/>
      <c r="AL206" s="32"/>
      <c r="AM206" s="44">
        <v>13</v>
      </c>
      <c r="AN206" s="44">
        <v>227</v>
      </c>
      <c r="AO206" s="44">
        <v>514</v>
      </c>
      <c r="AP206" s="44">
        <v>271</v>
      </c>
      <c r="AQ206" s="44">
        <v>455</v>
      </c>
      <c r="AR206" s="50"/>
      <c r="AS206" s="50"/>
      <c r="AT206" s="43">
        <v>517</v>
      </c>
      <c r="AU206" s="43">
        <v>228</v>
      </c>
      <c r="AV206" s="50"/>
      <c r="AW206" s="50"/>
      <c r="AX206" s="50"/>
      <c r="AY206" s="50"/>
      <c r="AZ206" s="50"/>
      <c r="BA206" s="50"/>
      <c r="BB206" s="50"/>
      <c r="BC206" s="50"/>
      <c r="BD206" s="50"/>
      <c r="BE206" s="43">
        <v>389</v>
      </c>
      <c r="BF206" s="43">
        <v>345</v>
      </c>
      <c r="BG206" s="43">
        <v>490</v>
      </c>
      <c r="BH206" s="43">
        <v>253</v>
      </c>
      <c r="BI206" s="43">
        <v>503</v>
      </c>
      <c r="BJ206" s="43">
        <v>235</v>
      </c>
      <c r="BK206" s="43">
        <v>299</v>
      </c>
      <c r="BL206" s="43">
        <v>440</v>
      </c>
      <c r="BM206" s="43">
        <v>393</v>
      </c>
      <c r="BN206" s="43">
        <v>337</v>
      </c>
      <c r="BO206" s="43">
        <v>256</v>
      </c>
      <c r="BP206" s="43">
        <v>469</v>
      </c>
      <c r="BQ206" s="43">
        <v>502</v>
      </c>
      <c r="BR206" s="43">
        <v>219</v>
      </c>
      <c r="BS206" s="43">
        <v>533</v>
      </c>
      <c r="BT206" s="43">
        <v>361</v>
      </c>
      <c r="BU206" s="43">
        <v>353</v>
      </c>
      <c r="BV206" s="43">
        <v>510</v>
      </c>
      <c r="BW206" s="43">
        <v>331</v>
      </c>
      <c r="BX206" s="43">
        <v>268</v>
      </c>
      <c r="BY206" s="43">
        <v>433</v>
      </c>
      <c r="BZ206" s="43">
        <v>218</v>
      </c>
      <c r="CA206" s="43">
        <v>481</v>
      </c>
      <c r="CB206" s="43">
        <v>342</v>
      </c>
      <c r="CC206" s="43">
        <v>236</v>
      </c>
      <c r="CD206" s="43">
        <v>462</v>
      </c>
      <c r="CE206" s="43">
        <v>233</v>
      </c>
      <c r="CF206" s="43">
        <v>376</v>
      </c>
      <c r="CG206" s="43">
        <v>377</v>
      </c>
      <c r="CH206" s="43">
        <v>184</v>
      </c>
      <c r="CI206" s="43">
        <v>158</v>
      </c>
      <c r="CJ206" s="43">
        <v>418</v>
      </c>
      <c r="CK206" s="43">
        <v>345</v>
      </c>
      <c r="CL206" s="43">
        <v>239</v>
      </c>
      <c r="CM206" s="43">
        <v>457</v>
      </c>
      <c r="CN206" s="43">
        <v>465</v>
      </c>
      <c r="CO206" s="43">
        <v>214</v>
      </c>
      <c r="CP206" s="43">
        <v>366</v>
      </c>
      <c r="CQ206" s="6"/>
      <c r="CR206" s="6"/>
      <c r="CS206" s="6"/>
      <c r="CT206" s="6"/>
      <c r="CU206" s="43">
        <v>513</v>
      </c>
      <c r="CV206" s="43">
        <v>260</v>
      </c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43"/>
      <c r="FZ206" s="43"/>
      <c r="GA206" s="43">
        <v>491</v>
      </c>
      <c r="GB206" s="43">
        <v>285</v>
      </c>
      <c r="GC206" s="53"/>
      <c r="GD206" s="53"/>
      <c r="GE206" s="53"/>
      <c r="GF206" s="53"/>
      <c r="GG206" s="53"/>
      <c r="GH206" s="53"/>
      <c r="GI206" s="53"/>
      <c r="GJ206" s="53"/>
      <c r="GK206" s="53"/>
      <c r="GL206" s="53"/>
      <c r="GM206" s="53"/>
      <c r="GN206" s="53"/>
      <c r="GO206" s="43">
        <v>526</v>
      </c>
      <c r="GP206" s="43">
        <v>242</v>
      </c>
      <c r="GQ206" s="43">
        <v>519</v>
      </c>
      <c r="GR206" s="43">
        <v>256</v>
      </c>
    </row>
    <row r="207" spans="1:200">
      <c r="A207" s="7">
        <v>3201</v>
      </c>
      <c r="B207" s="1" t="s">
        <v>335</v>
      </c>
      <c r="C207" s="33">
        <v>1026</v>
      </c>
      <c r="D207" s="34">
        <v>727</v>
      </c>
      <c r="E207" s="19">
        <f t="shared" si="3"/>
        <v>0.70857699805068231</v>
      </c>
      <c r="F207" s="62">
        <v>606</v>
      </c>
      <c r="G207" s="43">
        <v>3</v>
      </c>
      <c r="H207" s="43">
        <v>9</v>
      </c>
      <c r="I207" s="43">
        <v>7</v>
      </c>
      <c r="J207" s="55">
        <v>93</v>
      </c>
      <c r="K207" s="6">
        <v>0</v>
      </c>
      <c r="L207" s="6">
        <v>0</v>
      </c>
      <c r="M207" s="43">
        <v>0</v>
      </c>
      <c r="N207" s="25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  <c r="V207" s="43">
        <v>0</v>
      </c>
      <c r="W207" s="43">
        <v>1</v>
      </c>
      <c r="X207" s="43">
        <v>0</v>
      </c>
      <c r="Y207" s="43">
        <v>0</v>
      </c>
      <c r="Z207" s="43">
        <v>0</v>
      </c>
      <c r="AA207" s="44">
        <v>0</v>
      </c>
      <c r="AB207" s="44">
        <v>0</v>
      </c>
      <c r="AC207" s="44">
        <v>6</v>
      </c>
      <c r="AD207" s="44">
        <v>12</v>
      </c>
      <c r="AE207" s="44">
        <v>147</v>
      </c>
      <c r="AF207" s="44">
        <v>10</v>
      </c>
      <c r="AG207" s="44">
        <v>0</v>
      </c>
      <c r="AH207" s="44">
        <v>532</v>
      </c>
      <c r="AI207" s="44">
        <v>150</v>
      </c>
      <c r="AJ207" s="44">
        <v>0</v>
      </c>
      <c r="AK207" s="44">
        <v>0</v>
      </c>
      <c r="AL207" s="44">
        <v>556</v>
      </c>
      <c r="AM207" s="48"/>
      <c r="AN207" s="48"/>
      <c r="AO207" s="48"/>
      <c r="AP207" s="44">
        <v>586</v>
      </c>
      <c r="AQ207" s="44">
        <v>105</v>
      </c>
      <c r="AR207" s="50"/>
      <c r="AS207" s="50"/>
      <c r="AT207" s="43">
        <v>125</v>
      </c>
      <c r="AU207" s="43">
        <v>563</v>
      </c>
      <c r="AV207" s="50"/>
      <c r="AW207" s="50"/>
      <c r="AX207" s="50"/>
      <c r="AY207" s="50"/>
      <c r="AZ207" s="50"/>
      <c r="BA207" s="50"/>
      <c r="BB207" s="50"/>
      <c r="BC207" s="50"/>
      <c r="BD207" s="50"/>
      <c r="BE207" s="43">
        <v>102</v>
      </c>
      <c r="BF207" s="43">
        <v>589</v>
      </c>
      <c r="BG207" s="43">
        <v>123</v>
      </c>
      <c r="BH207" s="43">
        <v>565</v>
      </c>
      <c r="BI207" s="43">
        <v>147</v>
      </c>
      <c r="BJ207" s="43">
        <v>538</v>
      </c>
      <c r="BK207" s="43">
        <v>551</v>
      </c>
      <c r="BL207" s="43">
        <v>141</v>
      </c>
      <c r="BM207" s="43">
        <v>101</v>
      </c>
      <c r="BN207" s="43">
        <v>593</v>
      </c>
      <c r="BO207" s="43">
        <v>570</v>
      </c>
      <c r="BP207" s="43">
        <v>116</v>
      </c>
      <c r="BQ207" s="43">
        <v>139</v>
      </c>
      <c r="BR207" s="43">
        <v>548</v>
      </c>
      <c r="BS207" s="43">
        <v>282</v>
      </c>
      <c r="BT207" s="43">
        <v>89</v>
      </c>
      <c r="BU207" s="43">
        <v>590</v>
      </c>
      <c r="BV207" s="43">
        <v>368</v>
      </c>
      <c r="BW207" s="43">
        <v>184</v>
      </c>
      <c r="BX207" s="43">
        <v>401</v>
      </c>
      <c r="BY207" s="43">
        <v>199</v>
      </c>
      <c r="BZ207" s="43">
        <v>426</v>
      </c>
      <c r="CA207" s="43">
        <v>347</v>
      </c>
      <c r="CB207" s="43">
        <v>127</v>
      </c>
      <c r="CC207" s="43">
        <v>455</v>
      </c>
      <c r="CD207" s="43">
        <v>437</v>
      </c>
      <c r="CE207" s="43">
        <v>427</v>
      </c>
      <c r="CF207" s="43">
        <v>155</v>
      </c>
      <c r="CG207" s="43">
        <v>156</v>
      </c>
      <c r="CH207" s="43">
        <v>406</v>
      </c>
      <c r="CI207" s="43">
        <v>351</v>
      </c>
      <c r="CJ207" s="43">
        <v>230</v>
      </c>
      <c r="CK207" s="43">
        <v>206</v>
      </c>
      <c r="CL207" s="43">
        <v>398</v>
      </c>
      <c r="CM207" s="43">
        <v>326</v>
      </c>
      <c r="CN207" s="43">
        <v>338</v>
      </c>
      <c r="CO207" s="43">
        <v>392</v>
      </c>
      <c r="CP207" s="43">
        <v>192</v>
      </c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43"/>
      <c r="FZ207" s="43"/>
      <c r="GA207" s="53"/>
      <c r="GB207" s="53"/>
      <c r="GC207" s="53"/>
      <c r="GD207" s="53"/>
      <c r="GE207" s="53"/>
      <c r="GF207" s="53"/>
      <c r="GG207" s="53"/>
      <c r="GH207" s="53"/>
      <c r="GI207" s="53"/>
      <c r="GJ207" s="53"/>
      <c r="GK207" s="43">
        <v>485</v>
      </c>
      <c r="GL207" s="43">
        <v>193</v>
      </c>
      <c r="GM207" s="53"/>
      <c r="GN207" s="53"/>
      <c r="GO207" s="43">
        <v>435</v>
      </c>
      <c r="GP207" s="43">
        <v>238</v>
      </c>
      <c r="GQ207" s="43">
        <v>486</v>
      </c>
      <c r="GR207" s="43">
        <v>187</v>
      </c>
    </row>
    <row r="208" spans="1:200">
      <c r="A208" s="7">
        <v>3202</v>
      </c>
      <c r="B208" s="1" t="s">
        <v>336</v>
      </c>
      <c r="C208" s="33">
        <v>974</v>
      </c>
      <c r="D208" s="34">
        <v>773</v>
      </c>
      <c r="E208" s="19">
        <f t="shared" si="3"/>
        <v>0.79363449691991783</v>
      </c>
      <c r="F208" s="62">
        <v>525</v>
      </c>
      <c r="G208" s="43">
        <v>5</v>
      </c>
      <c r="H208" s="43">
        <v>13</v>
      </c>
      <c r="I208" s="43">
        <v>6</v>
      </c>
      <c r="J208" s="55">
        <v>207</v>
      </c>
      <c r="K208" s="6">
        <v>0</v>
      </c>
      <c r="L208" s="6">
        <v>0</v>
      </c>
      <c r="M208" s="43">
        <v>0</v>
      </c>
      <c r="N208" s="25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  <c r="V208" s="43">
        <v>0</v>
      </c>
      <c r="W208" s="43">
        <v>1</v>
      </c>
      <c r="X208" s="43">
        <v>0</v>
      </c>
      <c r="Y208" s="43">
        <v>0</v>
      </c>
      <c r="Z208" s="43">
        <v>0</v>
      </c>
      <c r="AA208" s="44">
        <v>0</v>
      </c>
      <c r="AB208" s="44">
        <v>0</v>
      </c>
      <c r="AC208" s="44">
        <v>13</v>
      </c>
      <c r="AD208" s="44">
        <v>16</v>
      </c>
      <c r="AE208" s="44">
        <v>278</v>
      </c>
      <c r="AF208" s="44">
        <v>3</v>
      </c>
      <c r="AG208" s="44">
        <v>0</v>
      </c>
      <c r="AH208" s="44">
        <v>444</v>
      </c>
      <c r="AI208" s="44">
        <v>264</v>
      </c>
      <c r="AJ208" s="44">
        <v>0</v>
      </c>
      <c r="AK208" s="44">
        <v>0</v>
      </c>
      <c r="AL208" s="44">
        <v>476</v>
      </c>
      <c r="AM208" s="48"/>
      <c r="AN208" s="48"/>
      <c r="AO208" s="48"/>
      <c r="AP208" s="44">
        <v>503</v>
      </c>
      <c r="AQ208" s="44">
        <v>216</v>
      </c>
      <c r="AR208" s="50"/>
      <c r="AS208" s="50"/>
      <c r="AT208" s="43">
        <v>255</v>
      </c>
      <c r="AU208" s="43">
        <v>475</v>
      </c>
      <c r="AV208" s="50"/>
      <c r="AW208" s="50"/>
      <c r="AX208" s="50"/>
      <c r="AY208" s="50"/>
      <c r="AZ208" s="50"/>
      <c r="BA208" s="50"/>
      <c r="BB208" s="50"/>
      <c r="BC208" s="50"/>
      <c r="BD208" s="50"/>
      <c r="BE208" s="43">
        <v>200</v>
      </c>
      <c r="BF208" s="43">
        <v>535</v>
      </c>
      <c r="BG208" s="43">
        <v>246</v>
      </c>
      <c r="BH208" s="43">
        <v>485</v>
      </c>
      <c r="BI208" s="43">
        <v>280</v>
      </c>
      <c r="BJ208" s="43">
        <v>441</v>
      </c>
      <c r="BK208" s="43">
        <v>484</v>
      </c>
      <c r="BL208" s="43">
        <v>241</v>
      </c>
      <c r="BM208" s="43">
        <v>204</v>
      </c>
      <c r="BN208" s="43">
        <v>522</v>
      </c>
      <c r="BO208" s="43">
        <v>507</v>
      </c>
      <c r="BP208" s="43">
        <v>221</v>
      </c>
      <c r="BQ208" s="43">
        <v>265</v>
      </c>
      <c r="BR208" s="43">
        <v>458</v>
      </c>
      <c r="BS208" s="43">
        <v>370</v>
      </c>
      <c r="BT208" s="43">
        <v>185</v>
      </c>
      <c r="BU208" s="43">
        <v>539</v>
      </c>
      <c r="BV208" s="43">
        <v>406</v>
      </c>
      <c r="BW208" s="43">
        <v>245</v>
      </c>
      <c r="BX208" s="43">
        <v>358</v>
      </c>
      <c r="BY208" s="43">
        <v>281</v>
      </c>
      <c r="BZ208" s="43">
        <v>369</v>
      </c>
      <c r="CA208" s="43">
        <v>374</v>
      </c>
      <c r="CB208" s="43">
        <v>191</v>
      </c>
      <c r="CC208" s="43">
        <v>411</v>
      </c>
      <c r="CD208" s="43">
        <v>459</v>
      </c>
      <c r="CE208" s="43">
        <v>365</v>
      </c>
      <c r="CF208" s="43">
        <v>236</v>
      </c>
      <c r="CG208" s="43">
        <v>212</v>
      </c>
      <c r="CH208" s="43">
        <v>364</v>
      </c>
      <c r="CI208" s="43">
        <v>280</v>
      </c>
      <c r="CJ208" s="43">
        <v>309</v>
      </c>
      <c r="CK208" s="43">
        <v>277</v>
      </c>
      <c r="CL208" s="43">
        <v>328</v>
      </c>
      <c r="CM208" s="43">
        <v>366</v>
      </c>
      <c r="CN208" s="43">
        <v>387</v>
      </c>
      <c r="CO208" s="43">
        <v>335</v>
      </c>
      <c r="CP208" s="43">
        <v>268</v>
      </c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43"/>
      <c r="FZ208" s="43"/>
      <c r="GA208" s="53"/>
      <c r="GB208" s="53"/>
      <c r="GC208" s="53"/>
      <c r="GD208" s="53"/>
      <c r="GE208" s="53"/>
      <c r="GF208" s="53"/>
      <c r="GG208" s="53"/>
      <c r="GH208" s="53"/>
      <c r="GI208" s="53"/>
      <c r="GJ208" s="53"/>
      <c r="GK208" s="43">
        <v>403</v>
      </c>
      <c r="GL208" s="43">
        <v>337</v>
      </c>
      <c r="GM208" s="53"/>
      <c r="GN208" s="53"/>
      <c r="GO208" s="43">
        <v>456</v>
      </c>
      <c r="GP208" s="43">
        <v>279</v>
      </c>
      <c r="GQ208" s="43">
        <v>470</v>
      </c>
      <c r="GR208" s="43">
        <v>267</v>
      </c>
    </row>
    <row r="209" spans="1:200">
      <c r="A209" s="7">
        <v>3203</v>
      </c>
      <c r="B209" s="1" t="s">
        <v>337</v>
      </c>
      <c r="C209" s="33">
        <v>972</v>
      </c>
      <c r="D209" s="34">
        <v>705</v>
      </c>
      <c r="E209" s="19">
        <f t="shared" si="3"/>
        <v>0.72530864197530864</v>
      </c>
      <c r="F209" s="62">
        <v>577</v>
      </c>
      <c r="G209" s="43">
        <v>0</v>
      </c>
      <c r="H209" s="43">
        <v>8</v>
      </c>
      <c r="I209" s="43">
        <v>7</v>
      </c>
      <c r="J209" s="55">
        <v>100</v>
      </c>
      <c r="K209" s="6">
        <v>0</v>
      </c>
      <c r="L209" s="6">
        <v>0</v>
      </c>
      <c r="M209" s="43">
        <v>0</v>
      </c>
      <c r="N209" s="25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  <c r="V209" s="43">
        <v>0</v>
      </c>
      <c r="W209" s="43">
        <v>1</v>
      </c>
      <c r="X209" s="43">
        <v>0</v>
      </c>
      <c r="Y209" s="43">
        <v>0</v>
      </c>
      <c r="Z209" s="43">
        <v>0</v>
      </c>
      <c r="AA209" s="44">
        <v>0</v>
      </c>
      <c r="AB209" s="44">
        <v>0</v>
      </c>
      <c r="AC209" s="44">
        <v>13</v>
      </c>
      <c r="AD209" s="44">
        <v>12</v>
      </c>
      <c r="AE209" s="44">
        <v>129</v>
      </c>
      <c r="AF209" s="44">
        <v>3</v>
      </c>
      <c r="AG209" s="44">
        <v>0</v>
      </c>
      <c r="AH209" s="44">
        <v>528</v>
      </c>
      <c r="AI209" s="44">
        <v>139</v>
      </c>
      <c r="AJ209" s="44">
        <v>0</v>
      </c>
      <c r="AK209" s="44">
        <v>0</v>
      </c>
      <c r="AL209" s="44">
        <v>542</v>
      </c>
      <c r="AM209" s="48"/>
      <c r="AN209" s="48"/>
      <c r="AO209" s="48"/>
      <c r="AP209" s="44">
        <v>558</v>
      </c>
      <c r="AQ209" s="44">
        <v>93</v>
      </c>
      <c r="AR209" s="50"/>
      <c r="AS209" s="50"/>
      <c r="AT209" s="43">
        <v>129</v>
      </c>
      <c r="AU209" s="43">
        <v>546</v>
      </c>
      <c r="AV209" s="50"/>
      <c r="AW209" s="50"/>
      <c r="AX209" s="50"/>
      <c r="AY209" s="50"/>
      <c r="AZ209" s="50"/>
      <c r="BA209" s="50"/>
      <c r="BB209" s="50"/>
      <c r="BC209" s="50"/>
      <c r="BD209" s="50"/>
      <c r="BE209" s="43">
        <v>91</v>
      </c>
      <c r="BF209" s="43">
        <v>587</v>
      </c>
      <c r="BG209" s="43">
        <v>114</v>
      </c>
      <c r="BH209" s="43">
        <v>558</v>
      </c>
      <c r="BI209" s="43">
        <v>147</v>
      </c>
      <c r="BJ209" s="43">
        <v>525</v>
      </c>
      <c r="BK209" s="43">
        <v>521</v>
      </c>
      <c r="BL209" s="43">
        <v>144</v>
      </c>
      <c r="BM209" s="43">
        <v>85</v>
      </c>
      <c r="BN209" s="43">
        <v>571</v>
      </c>
      <c r="BO209" s="43">
        <v>550</v>
      </c>
      <c r="BP209" s="43">
        <v>103</v>
      </c>
      <c r="BQ209" s="43">
        <v>124</v>
      </c>
      <c r="BR209" s="43">
        <v>536</v>
      </c>
      <c r="BS209" s="43">
        <v>300</v>
      </c>
      <c r="BT209" s="43">
        <v>85</v>
      </c>
      <c r="BU209" s="43">
        <v>578</v>
      </c>
      <c r="BV209" s="43">
        <v>374</v>
      </c>
      <c r="BW209" s="43">
        <v>198</v>
      </c>
      <c r="BX209" s="43">
        <v>350</v>
      </c>
      <c r="BY209" s="43">
        <v>203</v>
      </c>
      <c r="BZ209" s="43">
        <v>381</v>
      </c>
      <c r="CA209" s="43">
        <v>344</v>
      </c>
      <c r="CB209" s="43">
        <v>115</v>
      </c>
      <c r="CC209" s="43">
        <v>423</v>
      </c>
      <c r="CD209" s="43">
        <v>425</v>
      </c>
      <c r="CE209" s="43">
        <v>396</v>
      </c>
      <c r="CF209" s="43">
        <v>145</v>
      </c>
      <c r="CG209" s="43">
        <v>147</v>
      </c>
      <c r="CH209" s="43">
        <v>369</v>
      </c>
      <c r="CI209" s="43">
        <v>316</v>
      </c>
      <c r="CJ209" s="43">
        <v>233</v>
      </c>
      <c r="CK209" s="43">
        <v>229</v>
      </c>
      <c r="CL209" s="43">
        <v>332</v>
      </c>
      <c r="CM209" s="43">
        <v>341</v>
      </c>
      <c r="CN209" s="43">
        <v>351</v>
      </c>
      <c r="CO209" s="43">
        <v>337</v>
      </c>
      <c r="CP209" s="43">
        <v>222</v>
      </c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43"/>
      <c r="FZ209" s="43"/>
      <c r="GA209" s="53"/>
      <c r="GB209" s="53"/>
      <c r="GC209" s="53"/>
      <c r="GD209" s="53"/>
      <c r="GE209" s="53"/>
      <c r="GF209" s="53"/>
      <c r="GG209" s="53"/>
      <c r="GH209" s="53"/>
      <c r="GI209" s="53"/>
      <c r="GJ209" s="53"/>
      <c r="GK209" s="43">
        <v>445</v>
      </c>
      <c r="GL209" s="43">
        <v>223</v>
      </c>
      <c r="GM209" s="53"/>
      <c r="GN209" s="53"/>
      <c r="GO209" s="43">
        <v>412</v>
      </c>
      <c r="GP209" s="43">
        <v>249</v>
      </c>
      <c r="GQ209" s="43">
        <v>478</v>
      </c>
      <c r="GR209" s="43">
        <v>186</v>
      </c>
    </row>
    <row r="210" spans="1:200">
      <c r="A210" s="7">
        <v>3204</v>
      </c>
      <c r="B210" s="1" t="s">
        <v>338</v>
      </c>
      <c r="C210" s="33">
        <v>1008</v>
      </c>
      <c r="D210" s="34">
        <v>712</v>
      </c>
      <c r="E210" s="19">
        <f t="shared" si="3"/>
        <v>0.70634920634920639</v>
      </c>
      <c r="F210" s="62">
        <v>559</v>
      </c>
      <c r="G210" s="43">
        <v>4</v>
      </c>
      <c r="H210" s="43">
        <v>14</v>
      </c>
      <c r="I210" s="43">
        <v>10</v>
      </c>
      <c r="J210" s="55">
        <v>112</v>
      </c>
      <c r="K210" s="6">
        <v>0</v>
      </c>
      <c r="L210" s="6">
        <v>0</v>
      </c>
      <c r="M210" s="43">
        <v>0</v>
      </c>
      <c r="N210" s="25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  <c r="V210" s="43">
        <v>0</v>
      </c>
      <c r="W210" s="43">
        <v>1</v>
      </c>
      <c r="X210" s="43">
        <v>0</v>
      </c>
      <c r="Y210" s="43">
        <v>0</v>
      </c>
      <c r="Z210" s="43">
        <v>0</v>
      </c>
      <c r="AA210" s="44">
        <v>0</v>
      </c>
      <c r="AB210" s="44">
        <v>0</v>
      </c>
      <c r="AC210" s="44">
        <v>10</v>
      </c>
      <c r="AD210" s="44">
        <v>16</v>
      </c>
      <c r="AE210" s="44">
        <v>146</v>
      </c>
      <c r="AF210" s="44">
        <v>8</v>
      </c>
      <c r="AG210" s="44">
        <v>0</v>
      </c>
      <c r="AH210" s="44">
        <v>498</v>
      </c>
      <c r="AI210" s="44">
        <v>141</v>
      </c>
      <c r="AJ210" s="44">
        <v>0</v>
      </c>
      <c r="AK210" s="44">
        <v>0</v>
      </c>
      <c r="AL210" s="44">
        <v>539</v>
      </c>
      <c r="AM210" s="48"/>
      <c r="AN210" s="48"/>
      <c r="AO210" s="48"/>
      <c r="AP210" s="44">
        <v>553</v>
      </c>
      <c r="AQ210" s="44">
        <v>104</v>
      </c>
      <c r="AR210" s="50"/>
      <c r="AS210" s="50"/>
      <c r="AT210" s="43">
        <v>146</v>
      </c>
      <c r="AU210" s="43">
        <v>527</v>
      </c>
      <c r="AV210" s="50"/>
      <c r="AW210" s="50"/>
      <c r="AX210" s="50"/>
      <c r="AY210" s="50"/>
      <c r="AZ210" s="50"/>
      <c r="BA210" s="50"/>
      <c r="BB210" s="50"/>
      <c r="BC210" s="50"/>
      <c r="BD210" s="50"/>
      <c r="BE210" s="43">
        <v>91</v>
      </c>
      <c r="BF210" s="43">
        <v>573</v>
      </c>
      <c r="BG210" s="43">
        <v>137</v>
      </c>
      <c r="BH210" s="43">
        <v>531</v>
      </c>
      <c r="BI210" s="43">
        <v>154</v>
      </c>
      <c r="BJ210" s="43">
        <v>518</v>
      </c>
      <c r="BK210" s="43">
        <v>527</v>
      </c>
      <c r="BL210" s="43">
        <v>134</v>
      </c>
      <c r="BM210" s="43">
        <v>94</v>
      </c>
      <c r="BN210" s="43">
        <v>560</v>
      </c>
      <c r="BO210" s="43">
        <v>551</v>
      </c>
      <c r="BP210" s="43">
        <v>110</v>
      </c>
      <c r="BQ210" s="43">
        <v>138</v>
      </c>
      <c r="BR210" s="43">
        <v>528</v>
      </c>
      <c r="BS210" s="43">
        <v>276</v>
      </c>
      <c r="BT210" s="43">
        <v>101</v>
      </c>
      <c r="BU210" s="43">
        <v>553</v>
      </c>
      <c r="BV210" s="43">
        <v>352</v>
      </c>
      <c r="BW210" s="43">
        <v>173</v>
      </c>
      <c r="BX210" s="43">
        <v>388</v>
      </c>
      <c r="BY210" s="43">
        <v>203</v>
      </c>
      <c r="BZ210" s="43">
        <v>380</v>
      </c>
      <c r="CA210" s="43">
        <v>337</v>
      </c>
      <c r="CB210" s="43">
        <v>131</v>
      </c>
      <c r="CC210" s="43">
        <v>420</v>
      </c>
      <c r="CD210" s="43">
        <v>422</v>
      </c>
      <c r="CE210" s="43">
        <v>392</v>
      </c>
      <c r="CF210" s="43">
        <v>152</v>
      </c>
      <c r="CG210" s="43">
        <v>169</v>
      </c>
      <c r="CH210" s="43">
        <v>350</v>
      </c>
      <c r="CI210" s="43">
        <v>329</v>
      </c>
      <c r="CJ210" s="43">
        <v>231</v>
      </c>
      <c r="CK210" s="43">
        <v>212</v>
      </c>
      <c r="CL210" s="43">
        <v>363</v>
      </c>
      <c r="CM210" s="43">
        <v>327</v>
      </c>
      <c r="CN210" s="43">
        <v>349</v>
      </c>
      <c r="CO210" s="43">
        <v>328</v>
      </c>
      <c r="CP210" s="43">
        <v>226</v>
      </c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43"/>
      <c r="FZ210" s="43"/>
      <c r="GA210" s="53"/>
      <c r="GB210" s="53"/>
      <c r="GC210" s="53"/>
      <c r="GD210" s="53"/>
      <c r="GE210" s="53"/>
      <c r="GF210" s="53"/>
      <c r="GG210" s="53"/>
      <c r="GH210" s="53"/>
      <c r="GI210" s="53"/>
      <c r="GJ210" s="53"/>
      <c r="GK210" s="43">
        <v>415</v>
      </c>
      <c r="GL210" s="43">
        <v>251</v>
      </c>
      <c r="GM210" s="53"/>
      <c r="GN210" s="53"/>
      <c r="GO210" s="43">
        <v>395</v>
      </c>
      <c r="GP210" s="43">
        <v>255</v>
      </c>
      <c r="GQ210" s="43">
        <v>450</v>
      </c>
      <c r="GR210" s="43">
        <v>202</v>
      </c>
    </row>
    <row r="211" spans="1:200">
      <c r="A211" s="7">
        <v>3205</v>
      </c>
      <c r="B211" s="1" t="s">
        <v>339</v>
      </c>
      <c r="C211" s="33">
        <v>1010</v>
      </c>
      <c r="D211" s="34">
        <v>731</v>
      </c>
      <c r="E211" s="19">
        <f t="shared" si="3"/>
        <v>0.72376237623762374</v>
      </c>
      <c r="F211" s="62">
        <v>573</v>
      </c>
      <c r="G211" s="43">
        <v>2</v>
      </c>
      <c r="H211" s="43">
        <v>14</v>
      </c>
      <c r="I211" s="43">
        <v>7</v>
      </c>
      <c r="J211" s="55">
        <v>124</v>
      </c>
      <c r="K211" s="6">
        <v>0</v>
      </c>
      <c r="L211" s="6">
        <v>0</v>
      </c>
      <c r="M211" s="43">
        <v>0</v>
      </c>
      <c r="N211" s="25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  <c r="V211" s="43">
        <v>0</v>
      </c>
      <c r="W211" s="43">
        <v>1</v>
      </c>
      <c r="X211" s="43">
        <v>0</v>
      </c>
      <c r="Y211" s="43">
        <v>0</v>
      </c>
      <c r="Z211" s="43">
        <v>0</v>
      </c>
      <c r="AA211" s="44">
        <v>0</v>
      </c>
      <c r="AB211" s="44">
        <v>0</v>
      </c>
      <c r="AC211" s="44">
        <v>10</v>
      </c>
      <c r="AD211" s="44">
        <v>17</v>
      </c>
      <c r="AE211" s="44">
        <v>185</v>
      </c>
      <c r="AF211" s="44">
        <v>14</v>
      </c>
      <c r="AG211" s="44">
        <v>0</v>
      </c>
      <c r="AH211" s="44">
        <v>469</v>
      </c>
      <c r="AI211" s="44">
        <v>183</v>
      </c>
      <c r="AJ211" s="44">
        <v>0</v>
      </c>
      <c r="AK211" s="44">
        <v>0</v>
      </c>
      <c r="AL211" s="44">
        <v>515</v>
      </c>
      <c r="AM211" s="48"/>
      <c r="AN211" s="48"/>
      <c r="AO211" s="48"/>
      <c r="AP211" s="44">
        <v>550</v>
      </c>
      <c r="AQ211" s="44">
        <v>135</v>
      </c>
      <c r="AR211" s="50"/>
      <c r="AS211" s="50"/>
      <c r="AT211" s="43">
        <v>171</v>
      </c>
      <c r="AU211" s="43">
        <v>521</v>
      </c>
      <c r="AV211" s="50"/>
      <c r="AW211" s="50"/>
      <c r="AX211" s="50"/>
      <c r="AY211" s="50"/>
      <c r="AZ211" s="50"/>
      <c r="BA211" s="50"/>
      <c r="BB211" s="50"/>
      <c r="BC211" s="50"/>
      <c r="BD211" s="50"/>
      <c r="BE211" s="43">
        <v>114</v>
      </c>
      <c r="BF211" s="43">
        <v>572</v>
      </c>
      <c r="BG211" s="43">
        <v>169</v>
      </c>
      <c r="BH211" s="43">
        <v>520</v>
      </c>
      <c r="BI211" s="43">
        <v>195</v>
      </c>
      <c r="BJ211" s="43">
        <v>493</v>
      </c>
      <c r="BK211" s="43">
        <v>521</v>
      </c>
      <c r="BL211" s="43">
        <v>170</v>
      </c>
      <c r="BM211" s="43">
        <v>119</v>
      </c>
      <c r="BN211" s="43">
        <v>573</v>
      </c>
      <c r="BO211" s="43">
        <v>550</v>
      </c>
      <c r="BP211" s="43">
        <v>137</v>
      </c>
      <c r="BQ211" s="43">
        <v>169</v>
      </c>
      <c r="BR211" s="43">
        <v>518</v>
      </c>
      <c r="BS211" s="43">
        <v>309</v>
      </c>
      <c r="BT211" s="43">
        <v>117</v>
      </c>
      <c r="BU211" s="43">
        <v>561</v>
      </c>
      <c r="BV211" s="43">
        <v>364</v>
      </c>
      <c r="BW211" s="43">
        <v>193</v>
      </c>
      <c r="BX211" s="43">
        <v>381</v>
      </c>
      <c r="BY211" s="43">
        <v>217</v>
      </c>
      <c r="BZ211" s="43">
        <v>395</v>
      </c>
      <c r="CA211" s="43">
        <v>323</v>
      </c>
      <c r="CB211" s="43">
        <v>136</v>
      </c>
      <c r="CC211" s="43">
        <v>433</v>
      </c>
      <c r="CD211" s="43">
        <v>415</v>
      </c>
      <c r="CE211" s="43">
        <v>394</v>
      </c>
      <c r="CF211" s="43">
        <v>168</v>
      </c>
      <c r="CG211" s="43">
        <v>177</v>
      </c>
      <c r="CH211" s="43">
        <v>365</v>
      </c>
      <c r="CI211" s="43">
        <v>336</v>
      </c>
      <c r="CJ211" s="43">
        <v>233</v>
      </c>
      <c r="CK211" s="43">
        <v>222</v>
      </c>
      <c r="CL211" s="43">
        <v>351</v>
      </c>
      <c r="CM211" s="43">
        <v>315</v>
      </c>
      <c r="CN211" s="43">
        <v>344</v>
      </c>
      <c r="CO211" s="43">
        <v>375</v>
      </c>
      <c r="CP211" s="43">
        <v>213</v>
      </c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43"/>
      <c r="FZ211" s="43"/>
      <c r="GA211" s="53"/>
      <c r="GB211" s="53"/>
      <c r="GC211" s="53"/>
      <c r="GD211" s="53"/>
      <c r="GE211" s="53"/>
      <c r="GF211" s="53"/>
      <c r="GG211" s="53"/>
      <c r="GH211" s="53"/>
      <c r="GI211" s="53"/>
      <c r="GJ211" s="53"/>
      <c r="GK211" s="43">
        <v>411</v>
      </c>
      <c r="GL211" s="43">
        <v>275</v>
      </c>
      <c r="GM211" s="53"/>
      <c r="GN211" s="53"/>
      <c r="GO211" s="43">
        <v>400</v>
      </c>
      <c r="GP211" s="43">
        <v>282</v>
      </c>
      <c r="GQ211" s="43">
        <v>471</v>
      </c>
      <c r="GR211" s="43">
        <v>210</v>
      </c>
    </row>
    <row r="212" spans="1:200">
      <c r="A212" s="7">
        <v>3206</v>
      </c>
      <c r="B212" s="1" t="s">
        <v>340</v>
      </c>
      <c r="C212" s="33">
        <v>562</v>
      </c>
      <c r="D212" s="34">
        <v>413</v>
      </c>
      <c r="E212" s="19">
        <f t="shared" si="3"/>
        <v>0.73487544483985767</v>
      </c>
      <c r="F212" s="62">
        <v>308</v>
      </c>
      <c r="G212" s="43">
        <v>1</v>
      </c>
      <c r="H212" s="43">
        <v>11</v>
      </c>
      <c r="I212" s="43">
        <v>1</v>
      </c>
      <c r="J212" s="55">
        <v>90</v>
      </c>
      <c r="K212" s="6">
        <v>0</v>
      </c>
      <c r="L212" s="6">
        <v>0</v>
      </c>
      <c r="M212" s="43">
        <v>0</v>
      </c>
      <c r="N212" s="25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  <c r="V212" s="43">
        <v>0</v>
      </c>
      <c r="W212" s="43">
        <v>0</v>
      </c>
      <c r="X212" s="43">
        <v>0</v>
      </c>
      <c r="Y212" s="43">
        <v>0</v>
      </c>
      <c r="Z212" s="43">
        <v>0</v>
      </c>
      <c r="AA212" s="44">
        <v>0</v>
      </c>
      <c r="AB212" s="44">
        <v>0</v>
      </c>
      <c r="AC212" s="44">
        <v>4</v>
      </c>
      <c r="AD212" s="44">
        <v>3</v>
      </c>
      <c r="AE212" s="44">
        <v>117</v>
      </c>
      <c r="AF212" s="44">
        <v>8</v>
      </c>
      <c r="AG212" s="44">
        <v>0</v>
      </c>
      <c r="AH212" s="44">
        <v>274</v>
      </c>
      <c r="AI212" s="44">
        <v>115</v>
      </c>
      <c r="AJ212" s="44">
        <v>0</v>
      </c>
      <c r="AK212" s="44">
        <v>0</v>
      </c>
      <c r="AL212" s="44">
        <v>289</v>
      </c>
      <c r="AM212" s="48"/>
      <c r="AN212" s="48"/>
      <c r="AO212" s="48"/>
      <c r="AP212" s="44">
        <v>290</v>
      </c>
      <c r="AQ212" s="44">
        <v>98</v>
      </c>
      <c r="AR212" s="50"/>
      <c r="AS212" s="50"/>
      <c r="AT212" s="43">
        <v>112</v>
      </c>
      <c r="AU212" s="43">
        <v>279</v>
      </c>
      <c r="AV212" s="50"/>
      <c r="AW212" s="50"/>
      <c r="AX212" s="50"/>
      <c r="AY212" s="50"/>
      <c r="AZ212" s="50"/>
      <c r="BA212" s="50"/>
      <c r="BB212" s="50"/>
      <c r="BC212" s="50"/>
      <c r="BD212" s="50"/>
      <c r="BE212" s="43">
        <v>88</v>
      </c>
      <c r="BF212" s="43">
        <v>304</v>
      </c>
      <c r="BG212" s="43">
        <v>99</v>
      </c>
      <c r="BH212" s="43">
        <v>292</v>
      </c>
      <c r="BI212" s="43">
        <v>124</v>
      </c>
      <c r="BJ212" s="43">
        <v>268</v>
      </c>
      <c r="BK212" s="43">
        <v>278</v>
      </c>
      <c r="BL212" s="43">
        <v>112</v>
      </c>
      <c r="BM212" s="43">
        <v>85</v>
      </c>
      <c r="BN212" s="43">
        <v>306</v>
      </c>
      <c r="BO212" s="43">
        <v>295</v>
      </c>
      <c r="BP212" s="43">
        <v>95</v>
      </c>
      <c r="BQ212" s="43">
        <v>112</v>
      </c>
      <c r="BR212" s="43">
        <v>276</v>
      </c>
      <c r="BS212" s="43">
        <v>177</v>
      </c>
      <c r="BT212" s="43">
        <v>86</v>
      </c>
      <c r="BU212" s="43">
        <v>301</v>
      </c>
      <c r="BV212" s="43">
        <v>232</v>
      </c>
      <c r="BW212" s="43">
        <v>116</v>
      </c>
      <c r="BX212" s="43">
        <v>198</v>
      </c>
      <c r="BY212" s="43">
        <v>135</v>
      </c>
      <c r="BZ212" s="43">
        <v>214</v>
      </c>
      <c r="CA212" s="43">
        <v>202</v>
      </c>
      <c r="CB212" s="43">
        <v>84</v>
      </c>
      <c r="CC212" s="43">
        <v>240</v>
      </c>
      <c r="CD212" s="43">
        <v>245</v>
      </c>
      <c r="CE212" s="43">
        <v>228</v>
      </c>
      <c r="CF212" s="43">
        <v>86</v>
      </c>
      <c r="CG212" s="43">
        <v>112</v>
      </c>
      <c r="CH212" s="43">
        <v>194</v>
      </c>
      <c r="CI212" s="43">
        <v>184</v>
      </c>
      <c r="CJ212" s="43">
        <v>143</v>
      </c>
      <c r="CK212" s="43">
        <v>125</v>
      </c>
      <c r="CL212" s="43">
        <v>207</v>
      </c>
      <c r="CM212" s="43">
        <v>193</v>
      </c>
      <c r="CN212" s="43">
        <v>203</v>
      </c>
      <c r="CO212" s="43">
        <v>192</v>
      </c>
      <c r="CP212" s="43">
        <v>129</v>
      </c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43"/>
      <c r="FZ212" s="43"/>
      <c r="GA212" s="53"/>
      <c r="GB212" s="53"/>
      <c r="GC212" s="53"/>
      <c r="GD212" s="53"/>
      <c r="GE212" s="53"/>
      <c r="GF212" s="53"/>
      <c r="GG212" s="53"/>
      <c r="GH212" s="53"/>
      <c r="GI212" s="53"/>
      <c r="GJ212" s="53"/>
      <c r="GK212" s="43"/>
      <c r="GL212" s="43"/>
      <c r="GM212" s="53"/>
      <c r="GN212" s="53"/>
      <c r="GO212" s="43">
        <v>276</v>
      </c>
      <c r="GP212" s="43">
        <v>119</v>
      </c>
      <c r="GQ212" s="43">
        <v>295</v>
      </c>
      <c r="GR212" s="43">
        <v>102</v>
      </c>
    </row>
    <row r="213" spans="1:200">
      <c r="A213" s="7">
        <v>3207</v>
      </c>
      <c r="B213" s="1" t="s">
        <v>341</v>
      </c>
      <c r="C213" s="33">
        <v>937</v>
      </c>
      <c r="D213" s="34">
        <v>660</v>
      </c>
      <c r="E213" s="19">
        <f t="shared" si="3"/>
        <v>0.70437566702241194</v>
      </c>
      <c r="F213" s="62">
        <v>584</v>
      </c>
      <c r="G213" s="43">
        <v>3</v>
      </c>
      <c r="H213" s="43">
        <v>7</v>
      </c>
      <c r="I213" s="43">
        <v>5</v>
      </c>
      <c r="J213" s="55">
        <v>53</v>
      </c>
      <c r="K213" s="6">
        <v>0</v>
      </c>
      <c r="L213" s="6">
        <v>0</v>
      </c>
      <c r="M213" s="43">
        <v>0</v>
      </c>
      <c r="N213" s="25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  <c r="V213" s="43">
        <v>0</v>
      </c>
      <c r="W213" s="43">
        <v>0</v>
      </c>
      <c r="X213" s="43">
        <v>0</v>
      </c>
      <c r="Y213" s="43">
        <v>0</v>
      </c>
      <c r="Z213" s="43">
        <v>0</v>
      </c>
      <c r="AA213" s="44">
        <v>0</v>
      </c>
      <c r="AB213" s="44">
        <v>0</v>
      </c>
      <c r="AC213" s="44">
        <v>7</v>
      </c>
      <c r="AD213" s="44">
        <v>7</v>
      </c>
      <c r="AE213" s="44">
        <v>78</v>
      </c>
      <c r="AF213" s="44">
        <v>5</v>
      </c>
      <c r="AG213" s="44">
        <v>0</v>
      </c>
      <c r="AH213" s="44">
        <v>536</v>
      </c>
      <c r="AI213" s="44">
        <v>98</v>
      </c>
      <c r="AJ213" s="44">
        <v>0</v>
      </c>
      <c r="AK213" s="44">
        <v>0</v>
      </c>
      <c r="AL213" s="44">
        <v>535</v>
      </c>
      <c r="AM213" s="48"/>
      <c r="AN213" s="48"/>
      <c r="AO213" s="48"/>
      <c r="AP213" s="44">
        <v>572</v>
      </c>
      <c r="AQ213" s="44">
        <v>57</v>
      </c>
      <c r="AR213" s="50"/>
      <c r="AS213" s="50"/>
      <c r="AT213" s="43">
        <v>89</v>
      </c>
      <c r="AU213" s="43">
        <v>536</v>
      </c>
      <c r="AV213" s="50"/>
      <c r="AW213" s="50"/>
      <c r="AX213" s="50"/>
      <c r="AY213" s="50"/>
      <c r="AZ213" s="50"/>
      <c r="BA213" s="50"/>
      <c r="BB213" s="50"/>
      <c r="BC213" s="50"/>
      <c r="BD213" s="50"/>
      <c r="BE213" s="43">
        <v>63</v>
      </c>
      <c r="BF213" s="43">
        <v>566</v>
      </c>
      <c r="BG213" s="43">
        <v>85</v>
      </c>
      <c r="BH213" s="43">
        <v>544</v>
      </c>
      <c r="BI213" s="43">
        <v>118</v>
      </c>
      <c r="BJ213" s="43">
        <v>514</v>
      </c>
      <c r="BK213" s="43">
        <v>521</v>
      </c>
      <c r="BL213" s="43">
        <v>99</v>
      </c>
      <c r="BM213" s="43">
        <v>66</v>
      </c>
      <c r="BN213" s="43">
        <v>562</v>
      </c>
      <c r="BO213" s="43">
        <v>553</v>
      </c>
      <c r="BP213" s="43">
        <v>71</v>
      </c>
      <c r="BQ213" s="43">
        <v>93</v>
      </c>
      <c r="BR213" s="43">
        <v>533</v>
      </c>
      <c r="BS213" s="43">
        <v>252</v>
      </c>
      <c r="BT213" s="43">
        <v>68</v>
      </c>
      <c r="BU213" s="43">
        <v>564</v>
      </c>
      <c r="BV213" s="43">
        <v>336</v>
      </c>
      <c r="BW213" s="43">
        <v>155</v>
      </c>
      <c r="BX213" s="43">
        <v>370</v>
      </c>
      <c r="BY213" s="43">
        <v>155</v>
      </c>
      <c r="BZ213" s="43">
        <v>411</v>
      </c>
      <c r="CA213" s="43">
        <v>298</v>
      </c>
      <c r="CB213" s="43">
        <v>97</v>
      </c>
      <c r="CC213" s="43">
        <v>438</v>
      </c>
      <c r="CD213" s="43">
        <v>411</v>
      </c>
      <c r="CE213" s="43">
        <v>410</v>
      </c>
      <c r="CF213" s="43">
        <v>133</v>
      </c>
      <c r="CG213" s="43">
        <v>145</v>
      </c>
      <c r="CH213" s="43">
        <v>353</v>
      </c>
      <c r="CI213" s="43">
        <v>311</v>
      </c>
      <c r="CJ213" s="43">
        <v>210</v>
      </c>
      <c r="CK213" s="43">
        <v>223</v>
      </c>
      <c r="CL213" s="43">
        <v>329</v>
      </c>
      <c r="CM213" s="43">
        <v>280</v>
      </c>
      <c r="CN213" s="43">
        <v>309</v>
      </c>
      <c r="CO213" s="43">
        <v>344</v>
      </c>
      <c r="CP213" s="43">
        <v>188</v>
      </c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43"/>
      <c r="FZ213" s="43"/>
      <c r="GA213" s="53"/>
      <c r="GB213" s="53"/>
      <c r="GC213" s="53"/>
      <c r="GD213" s="53"/>
      <c r="GE213" s="53"/>
      <c r="GF213" s="53"/>
      <c r="GG213" s="53"/>
      <c r="GH213" s="53"/>
      <c r="GI213" s="53"/>
      <c r="GJ213" s="53"/>
      <c r="GK213" s="43">
        <v>377</v>
      </c>
      <c r="GL213" s="43">
        <v>243</v>
      </c>
      <c r="GM213" s="53"/>
      <c r="GN213" s="53"/>
      <c r="GO213" s="43">
        <v>345</v>
      </c>
      <c r="GP213" s="43">
        <v>277</v>
      </c>
      <c r="GQ213" s="43">
        <v>416</v>
      </c>
      <c r="GR213" s="43">
        <v>204</v>
      </c>
    </row>
    <row r="214" spans="1:200">
      <c r="A214" s="7">
        <v>3208</v>
      </c>
      <c r="B214" s="1" t="s">
        <v>342</v>
      </c>
      <c r="C214" s="33">
        <v>757</v>
      </c>
      <c r="D214" s="34">
        <v>569</v>
      </c>
      <c r="E214" s="19">
        <f t="shared" si="3"/>
        <v>0.75165125495376484</v>
      </c>
      <c r="F214" s="62">
        <v>477</v>
      </c>
      <c r="G214" s="43">
        <v>2</v>
      </c>
      <c r="H214" s="43">
        <v>2</v>
      </c>
      <c r="I214" s="43">
        <v>8</v>
      </c>
      <c r="J214" s="55">
        <v>72</v>
      </c>
      <c r="K214" s="6">
        <v>0</v>
      </c>
      <c r="L214" s="6">
        <v>0</v>
      </c>
      <c r="M214" s="43">
        <v>0</v>
      </c>
      <c r="N214" s="25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  <c r="V214" s="43">
        <v>0</v>
      </c>
      <c r="W214" s="43">
        <v>0</v>
      </c>
      <c r="X214" s="43">
        <v>0</v>
      </c>
      <c r="Y214" s="43">
        <v>0</v>
      </c>
      <c r="Z214" s="43">
        <v>0</v>
      </c>
      <c r="AA214" s="44">
        <v>0</v>
      </c>
      <c r="AB214" s="44">
        <v>0</v>
      </c>
      <c r="AC214" s="44">
        <v>13</v>
      </c>
      <c r="AD214" s="44">
        <v>5</v>
      </c>
      <c r="AE214" s="44">
        <v>102</v>
      </c>
      <c r="AF214" s="44">
        <v>2</v>
      </c>
      <c r="AG214" s="44">
        <v>0</v>
      </c>
      <c r="AH214" s="44">
        <v>416</v>
      </c>
      <c r="AI214" s="44">
        <v>113</v>
      </c>
      <c r="AJ214" s="44">
        <v>0</v>
      </c>
      <c r="AK214" s="44">
        <v>0</v>
      </c>
      <c r="AL214" s="44">
        <v>433</v>
      </c>
      <c r="AM214" s="48"/>
      <c r="AN214" s="48"/>
      <c r="AO214" s="48"/>
      <c r="AP214" s="44">
        <v>463</v>
      </c>
      <c r="AQ214" s="44">
        <v>71</v>
      </c>
      <c r="AR214" s="50"/>
      <c r="AS214" s="50"/>
      <c r="AT214" s="43">
        <v>95</v>
      </c>
      <c r="AU214" s="43">
        <v>445</v>
      </c>
      <c r="AV214" s="50"/>
      <c r="AW214" s="50"/>
      <c r="AX214" s="50"/>
      <c r="AY214" s="50"/>
      <c r="AZ214" s="50"/>
      <c r="BA214" s="50"/>
      <c r="BB214" s="50"/>
      <c r="BC214" s="50"/>
      <c r="BD214" s="50"/>
      <c r="BE214" s="43">
        <v>68</v>
      </c>
      <c r="BF214" s="43">
        <v>472</v>
      </c>
      <c r="BG214" s="43">
        <v>89</v>
      </c>
      <c r="BH214" s="43">
        <v>451</v>
      </c>
      <c r="BI214" s="43">
        <v>113</v>
      </c>
      <c r="BJ214" s="43">
        <v>426</v>
      </c>
      <c r="BK214" s="43">
        <v>439</v>
      </c>
      <c r="BL214" s="43">
        <v>100</v>
      </c>
      <c r="BM214" s="43">
        <v>67</v>
      </c>
      <c r="BN214" s="43">
        <v>471</v>
      </c>
      <c r="BO214" s="43">
        <v>451</v>
      </c>
      <c r="BP214" s="43">
        <v>73</v>
      </c>
      <c r="BQ214" s="43">
        <v>94</v>
      </c>
      <c r="BR214" s="43">
        <v>435</v>
      </c>
      <c r="BS214" s="43">
        <v>199</v>
      </c>
      <c r="BT214" s="43">
        <v>56</v>
      </c>
      <c r="BU214" s="43">
        <v>468</v>
      </c>
      <c r="BV214" s="43">
        <v>270</v>
      </c>
      <c r="BW214" s="43">
        <v>134</v>
      </c>
      <c r="BX214" s="43">
        <v>315</v>
      </c>
      <c r="BY214" s="43">
        <v>164</v>
      </c>
      <c r="BZ214" s="43">
        <v>321</v>
      </c>
      <c r="CA214" s="43">
        <v>258</v>
      </c>
      <c r="CB214" s="43">
        <v>99</v>
      </c>
      <c r="CC214" s="43">
        <v>348</v>
      </c>
      <c r="CD214" s="43">
        <v>325</v>
      </c>
      <c r="CE214" s="43">
        <v>328</v>
      </c>
      <c r="CF214" s="43">
        <v>117</v>
      </c>
      <c r="CG214" s="43">
        <v>141</v>
      </c>
      <c r="CH214" s="43">
        <v>276</v>
      </c>
      <c r="CI214" s="43">
        <v>267</v>
      </c>
      <c r="CJ214" s="43">
        <v>183</v>
      </c>
      <c r="CK214" s="43">
        <v>180</v>
      </c>
      <c r="CL214" s="43">
        <v>271</v>
      </c>
      <c r="CM214" s="43">
        <v>238</v>
      </c>
      <c r="CN214" s="43">
        <v>258</v>
      </c>
      <c r="CO214" s="43">
        <v>270</v>
      </c>
      <c r="CP214" s="43">
        <v>174</v>
      </c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43"/>
      <c r="FZ214" s="43"/>
      <c r="GA214" s="53"/>
      <c r="GB214" s="53"/>
      <c r="GC214" s="53"/>
      <c r="GD214" s="53"/>
      <c r="GE214" s="53"/>
      <c r="GF214" s="53"/>
      <c r="GG214" s="53"/>
      <c r="GH214" s="53"/>
      <c r="GI214" s="53"/>
      <c r="GJ214" s="53"/>
      <c r="GK214" s="43">
        <v>333</v>
      </c>
      <c r="GL214" s="43">
        <v>201</v>
      </c>
      <c r="GM214" s="53"/>
      <c r="GN214" s="53"/>
      <c r="GO214" s="43">
        <v>319</v>
      </c>
      <c r="GP214" s="43">
        <v>215</v>
      </c>
      <c r="GQ214" s="43">
        <v>353</v>
      </c>
      <c r="GR214" s="43">
        <v>175</v>
      </c>
    </row>
    <row r="215" spans="1:200">
      <c r="A215" s="7">
        <v>3209</v>
      </c>
      <c r="B215" s="1" t="s">
        <v>343</v>
      </c>
      <c r="C215" s="33">
        <v>1013</v>
      </c>
      <c r="D215" s="34">
        <v>754</v>
      </c>
      <c r="E215" s="19">
        <f t="shared" si="3"/>
        <v>0.74432379072063182</v>
      </c>
      <c r="F215" s="62">
        <v>589</v>
      </c>
      <c r="G215" s="43">
        <v>0</v>
      </c>
      <c r="H215" s="43">
        <v>8</v>
      </c>
      <c r="I215" s="43">
        <v>6</v>
      </c>
      <c r="J215" s="55">
        <v>137</v>
      </c>
      <c r="K215" s="6">
        <v>0</v>
      </c>
      <c r="L215" s="6">
        <v>0</v>
      </c>
      <c r="M215" s="43">
        <v>0</v>
      </c>
      <c r="N215" s="25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  <c r="V215" s="43">
        <v>0</v>
      </c>
      <c r="W215" s="43">
        <v>1</v>
      </c>
      <c r="X215" s="43">
        <v>0</v>
      </c>
      <c r="Y215" s="43">
        <v>0</v>
      </c>
      <c r="Z215" s="43">
        <v>0</v>
      </c>
      <c r="AA215" s="44">
        <v>0</v>
      </c>
      <c r="AB215" s="44">
        <v>0</v>
      </c>
      <c r="AC215" s="44">
        <v>8</v>
      </c>
      <c r="AD215" s="44">
        <v>10</v>
      </c>
      <c r="AE215" s="44">
        <v>202</v>
      </c>
      <c r="AF215" s="44">
        <v>8</v>
      </c>
      <c r="AG215" s="44">
        <v>0</v>
      </c>
      <c r="AH215" s="44">
        <v>502</v>
      </c>
      <c r="AI215" s="44">
        <v>188</v>
      </c>
      <c r="AJ215" s="44">
        <v>0</v>
      </c>
      <c r="AK215" s="44">
        <v>0</v>
      </c>
      <c r="AL215" s="44">
        <v>547</v>
      </c>
      <c r="AM215" s="48"/>
      <c r="AN215" s="48"/>
      <c r="AO215" s="48"/>
      <c r="AP215" s="44">
        <v>562</v>
      </c>
      <c r="AQ215" s="44">
        <v>154</v>
      </c>
      <c r="AR215" s="50"/>
      <c r="AS215" s="50"/>
      <c r="AT215" s="43">
        <v>184</v>
      </c>
      <c r="AU215" s="43">
        <v>538</v>
      </c>
      <c r="AV215" s="50"/>
      <c r="AW215" s="50"/>
      <c r="AX215" s="50"/>
      <c r="AY215" s="50"/>
      <c r="AZ215" s="50"/>
      <c r="BA215" s="50"/>
      <c r="BB215" s="50"/>
      <c r="BC215" s="50"/>
      <c r="BD215" s="50"/>
      <c r="BE215" s="43">
        <v>129</v>
      </c>
      <c r="BF215" s="43">
        <v>599</v>
      </c>
      <c r="BG215" s="43">
        <v>163</v>
      </c>
      <c r="BH215" s="43">
        <v>561</v>
      </c>
      <c r="BI215" s="43">
        <v>204</v>
      </c>
      <c r="BJ215" s="43">
        <v>519</v>
      </c>
      <c r="BK215" s="43">
        <v>539</v>
      </c>
      <c r="BL215" s="43">
        <v>180</v>
      </c>
      <c r="BM215" s="43">
        <v>125</v>
      </c>
      <c r="BN215" s="43">
        <v>598</v>
      </c>
      <c r="BO215" s="43">
        <v>579</v>
      </c>
      <c r="BP215" s="43">
        <v>142</v>
      </c>
      <c r="BQ215" s="43">
        <v>194</v>
      </c>
      <c r="BR215" s="43">
        <v>516</v>
      </c>
      <c r="BS215" s="43">
        <v>318</v>
      </c>
      <c r="BT215" s="43">
        <v>125</v>
      </c>
      <c r="BU215" s="43">
        <v>587</v>
      </c>
      <c r="BV215" s="43">
        <v>405</v>
      </c>
      <c r="BW215" s="43">
        <v>240</v>
      </c>
      <c r="BX215" s="43">
        <v>392</v>
      </c>
      <c r="BY215" s="43">
        <v>249</v>
      </c>
      <c r="BZ215" s="43">
        <v>415</v>
      </c>
      <c r="CA215" s="43">
        <v>364</v>
      </c>
      <c r="CB215" s="43">
        <v>155</v>
      </c>
      <c r="CC215" s="43">
        <v>472</v>
      </c>
      <c r="CD215" s="43">
        <v>458</v>
      </c>
      <c r="CE215" s="43">
        <v>420</v>
      </c>
      <c r="CF215" s="43">
        <v>199</v>
      </c>
      <c r="CG215" s="43">
        <v>207</v>
      </c>
      <c r="CH215" s="43">
        <v>392</v>
      </c>
      <c r="CI215" s="43">
        <v>370</v>
      </c>
      <c r="CJ215" s="43">
        <v>259</v>
      </c>
      <c r="CK215" s="43">
        <v>253</v>
      </c>
      <c r="CL215" s="43">
        <v>380</v>
      </c>
      <c r="CM215" s="43">
        <v>347</v>
      </c>
      <c r="CN215" s="43">
        <v>357</v>
      </c>
      <c r="CO215" s="43">
        <v>394</v>
      </c>
      <c r="CP215" s="43">
        <v>242</v>
      </c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43"/>
      <c r="FZ215" s="43"/>
      <c r="GA215" s="53"/>
      <c r="GB215" s="53"/>
      <c r="GC215" s="53"/>
      <c r="GD215" s="53"/>
      <c r="GE215" s="53"/>
      <c r="GF215" s="53"/>
      <c r="GG215" s="53"/>
      <c r="GH215" s="53"/>
      <c r="GI215" s="53"/>
      <c r="GJ215" s="53"/>
      <c r="GK215" s="43">
        <v>466</v>
      </c>
      <c r="GL215" s="43">
        <v>259</v>
      </c>
      <c r="GM215" s="53"/>
      <c r="GN215" s="53"/>
      <c r="GO215" s="43">
        <v>456</v>
      </c>
      <c r="GP215" s="43">
        <v>258</v>
      </c>
      <c r="GQ215" s="43">
        <v>523</v>
      </c>
      <c r="GR215" s="43">
        <v>196</v>
      </c>
    </row>
    <row r="216" spans="1:200">
      <c r="A216" s="7">
        <v>3210</v>
      </c>
      <c r="B216" s="1" t="s">
        <v>344</v>
      </c>
      <c r="C216" s="33">
        <v>848</v>
      </c>
      <c r="D216" s="34">
        <v>678</v>
      </c>
      <c r="E216" s="19">
        <f t="shared" si="3"/>
        <v>0.79952830188679247</v>
      </c>
      <c r="F216" s="62">
        <v>595</v>
      </c>
      <c r="G216" s="43">
        <v>2</v>
      </c>
      <c r="H216" s="43">
        <v>11</v>
      </c>
      <c r="I216" s="43">
        <v>4</v>
      </c>
      <c r="J216" s="55">
        <v>61</v>
      </c>
      <c r="K216" s="6">
        <v>0</v>
      </c>
      <c r="L216" s="6">
        <v>0</v>
      </c>
      <c r="M216" s="43">
        <v>0</v>
      </c>
      <c r="N216" s="25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  <c r="V216" s="43">
        <v>0</v>
      </c>
      <c r="W216" s="43">
        <v>0</v>
      </c>
      <c r="X216" s="43">
        <v>0</v>
      </c>
      <c r="Y216" s="43">
        <v>0</v>
      </c>
      <c r="Z216" s="43">
        <v>0</v>
      </c>
      <c r="AA216" s="44">
        <v>0</v>
      </c>
      <c r="AB216" s="44">
        <v>0</v>
      </c>
      <c r="AC216" s="44">
        <v>5</v>
      </c>
      <c r="AD216" s="44">
        <v>7</v>
      </c>
      <c r="AE216" s="44">
        <v>116</v>
      </c>
      <c r="AF216" s="44">
        <v>6</v>
      </c>
      <c r="AG216" s="44">
        <v>0</v>
      </c>
      <c r="AH216" s="44">
        <v>528</v>
      </c>
      <c r="AI216" s="44">
        <v>106</v>
      </c>
      <c r="AJ216" s="44">
        <v>2</v>
      </c>
      <c r="AK216" s="44">
        <v>0</v>
      </c>
      <c r="AL216" s="44">
        <v>547</v>
      </c>
      <c r="AM216" s="48"/>
      <c r="AN216" s="48"/>
      <c r="AO216" s="48"/>
      <c r="AP216" s="44">
        <v>570</v>
      </c>
      <c r="AQ216" s="44">
        <v>68</v>
      </c>
      <c r="AR216" s="50"/>
      <c r="AS216" s="50"/>
      <c r="AT216" s="43">
        <v>98</v>
      </c>
      <c r="AU216" s="43">
        <v>546</v>
      </c>
      <c r="AV216" s="50"/>
      <c r="AW216" s="50"/>
      <c r="AX216" s="50"/>
      <c r="AY216" s="50"/>
      <c r="AZ216" s="50"/>
      <c r="BA216" s="50"/>
      <c r="BB216" s="50"/>
      <c r="BC216" s="50"/>
      <c r="BD216" s="50"/>
      <c r="BE216" s="43">
        <v>54</v>
      </c>
      <c r="BF216" s="43">
        <v>594</v>
      </c>
      <c r="BG216" s="43">
        <v>86</v>
      </c>
      <c r="BH216" s="43">
        <v>562</v>
      </c>
      <c r="BI216" s="43">
        <v>112</v>
      </c>
      <c r="BJ216" s="43">
        <v>532</v>
      </c>
      <c r="BK216" s="43">
        <v>555</v>
      </c>
      <c r="BL216" s="43">
        <v>99</v>
      </c>
      <c r="BM216" s="43">
        <v>67</v>
      </c>
      <c r="BN216" s="43">
        <v>579</v>
      </c>
      <c r="BO216" s="43">
        <v>587</v>
      </c>
      <c r="BP216" s="43">
        <v>65</v>
      </c>
      <c r="BQ216" s="43">
        <v>104</v>
      </c>
      <c r="BR216" s="43">
        <v>542</v>
      </c>
      <c r="BS216" s="43">
        <v>264</v>
      </c>
      <c r="BT216" s="43">
        <v>55</v>
      </c>
      <c r="BU216" s="43">
        <v>585</v>
      </c>
      <c r="BV216" s="43">
        <v>342</v>
      </c>
      <c r="BW216" s="43">
        <v>179</v>
      </c>
      <c r="BX216" s="43">
        <v>337</v>
      </c>
      <c r="BY216" s="43">
        <v>180</v>
      </c>
      <c r="BZ216" s="43">
        <v>389</v>
      </c>
      <c r="CA216" s="43">
        <v>311</v>
      </c>
      <c r="CB216" s="43">
        <v>93</v>
      </c>
      <c r="CC216" s="43">
        <v>437</v>
      </c>
      <c r="CD216" s="43">
        <v>378</v>
      </c>
      <c r="CE216" s="43">
        <v>405</v>
      </c>
      <c r="CF216" s="43">
        <v>133</v>
      </c>
      <c r="CG216" s="43">
        <v>158</v>
      </c>
      <c r="CH216" s="43">
        <v>349</v>
      </c>
      <c r="CI216" s="43">
        <v>332</v>
      </c>
      <c r="CJ216" s="43">
        <v>192</v>
      </c>
      <c r="CK216" s="43">
        <v>213</v>
      </c>
      <c r="CL216" s="43">
        <v>333</v>
      </c>
      <c r="CM216" s="43">
        <v>308</v>
      </c>
      <c r="CN216" s="43">
        <v>319</v>
      </c>
      <c r="CO216" s="43">
        <v>348</v>
      </c>
      <c r="CP216" s="43">
        <v>191</v>
      </c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43"/>
      <c r="FZ216" s="43"/>
      <c r="GA216" s="53"/>
      <c r="GB216" s="53"/>
      <c r="GC216" s="53"/>
      <c r="GD216" s="53"/>
      <c r="GE216" s="53"/>
      <c r="GF216" s="53"/>
      <c r="GG216" s="53"/>
      <c r="GH216" s="53"/>
      <c r="GI216" s="53"/>
      <c r="GJ216" s="53"/>
      <c r="GK216" s="43">
        <v>421</v>
      </c>
      <c r="GL216" s="43">
        <v>224</v>
      </c>
      <c r="GM216" s="53"/>
      <c r="GN216" s="53"/>
      <c r="GO216" s="43">
        <v>422</v>
      </c>
      <c r="GP216" s="43">
        <v>219</v>
      </c>
      <c r="GQ216" s="43">
        <v>450</v>
      </c>
      <c r="GR216" s="43">
        <v>186</v>
      </c>
    </row>
    <row r="217" spans="1:200">
      <c r="A217" s="7">
        <v>3211</v>
      </c>
      <c r="B217" s="1" t="s">
        <v>345</v>
      </c>
      <c r="C217" s="33">
        <v>1225</v>
      </c>
      <c r="D217" s="34">
        <v>792</v>
      </c>
      <c r="E217" s="19">
        <f t="shared" si="3"/>
        <v>0.64653061224489794</v>
      </c>
      <c r="F217" s="62">
        <v>633</v>
      </c>
      <c r="G217" s="43">
        <v>3</v>
      </c>
      <c r="H217" s="43">
        <v>8</v>
      </c>
      <c r="I217" s="43">
        <v>4</v>
      </c>
      <c r="J217" s="55">
        <v>133</v>
      </c>
      <c r="K217" s="6">
        <v>0</v>
      </c>
      <c r="L217" s="6">
        <v>0</v>
      </c>
      <c r="M217" s="43">
        <v>0</v>
      </c>
      <c r="N217" s="25">
        <v>0</v>
      </c>
      <c r="O217" s="43">
        <v>0</v>
      </c>
      <c r="P217" s="43">
        <v>0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  <c r="V217" s="43">
        <v>0</v>
      </c>
      <c r="W217" s="43">
        <v>1</v>
      </c>
      <c r="X217" s="43">
        <v>0</v>
      </c>
      <c r="Y217" s="43">
        <v>0</v>
      </c>
      <c r="Z217" s="43">
        <v>0</v>
      </c>
      <c r="AA217" s="44">
        <v>0</v>
      </c>
      <c r="AB217" s="44">
        <v>0</v>
      </c>
      <c r="AC217" s="44">
        <v>15</v>
      </c>
      <c r="AD217" s="44">
        <v>14</v>
      </c>
      <c r="AE217" s="44">
        <v>178</v>
      </c>
      <c r="AF217" s="44">
        <v>13</v>
      </c>
      <c r="AG217" s="44">
        <v>0</v>
      </c>
      <c r="AH217" s="44">
        <v>548</v>
      </c>
      <c r="AI217" s="44">
        <v>169</v>
      </c>
      <c r="AJ217" s="44">
        <v>0</v>
      </c>
      <c r="AK217" s="44">
        <v>0</v>
      </c>
      <c r="AL217" s="44">
        <v>595</v>
      </c>
      <c r="AM217" s="48"/>
      <c r="AN217" s="48"/>
      <c r="AO217" s="48"/>
      <c r="AP217" s="44">
        <v>612</v>
      </c>
      <c r="AQ217" s="44">
        <v>138</v>
      </c>
      <c r="AR217" s="50"/>
      <c r="AS217" s="50"/>
      <c r="AT217" s="43">
        <v>173</v>
      </c>
      <c r="AU217" s="43">
        <v>577</v>
      </c>
      <c r="AV217" s="50"/>
      <c r="AW217" s="50"/>
      <c r="AX217" s="50"/>
      <c r="AY217" s="50"/>
      <c r="AZ217" s="50"/>
      <c r="BA217" s="50"/>
      <c r="BB217" s="50"/>
      <c r="BC217" s="50"/>
      <c r="BD217" s="50"/>
      <c r="BE217" s="43">
        <v>123</v>
      </c>
      <c r="BF217" s="43">
        <v>629</v>
      </c>
      <c r="BG217" s="43">
        <v>156</v>
      </c>
      <c r="BH217" s="43">
        <v>600</v>
      </c>
      <c r="BI217" s="43">
        <v>195</v>
      </c>
      <c r="BJ217" s="43">
        <v>557</v>
      </c>
      <c r="BK217" s="43">
        <v>585</v>
      </c>
      <c r="BL217" s="43">
        <v>169</v>
      </c>
      <c r="BM217" s="43">
        <v>113</v>
      </c>
      <c r="BN217" s="43">
        <v>636</v>
      </c>
      <c r="BO217" s="43">
        <v>601</v>
      </c>
      <c r="BP217" s="43">
        <v>136</v>
      </c>
      <c r="BQ217" s="43">
        <v>163</v>
      </c>
      <c r="BR217" s="43">
        <v>584</v>
      </c>
      <c r="BS217" s="43">
        <v>322</v>
      </c>
      <c r="BT217" s="43">
        <v>110</v>
      </c>
      <c r="BU217" s="43">
        <v>637</v>
      </c>
      <c r="BV217" s="43">
        <v>420</v>
      </c>
      <c r="BW217" s="43">
        <v>224</v>
      </c>
      <c r="BX217" s="43">
        <v>388</v>
      </c>
      <c r="BY217" s="43">
        <v>268</v>
      </c>
      <c r="BZ217" s="43">
        <v>410</v>
      </c>
      <c r="CA217" s="43">
        <v>376</v>
      </c>
      <c r="CB217" s="43">
        <v>145</v>
      </c>
      <c r="CC217" s="43">
        <v>475</v>
      </c>
      <c r="CD217" s="43">
        <v>457</v>
      </c>
      <c r="CE217" s="43">
        <v>430</v>
      </c>
      <c r="CF217" s="43">
        <v>189</v>
      </c>
      <c r="CG217" s="43">
        <v>201</v>
      </c>
      <c r="CH217" s="43">
        <v>380</v>
      </c>
      <c r="CI217" s="43">
        <v>333</v>
      </c>
      <c r="CJ217" s="43">
        <v>274</v>
      </c>
      <c r="CK217" s="43">
        <v>298</v>
      </c>
      <c r="CL217" s="43">
        <v>336</v>
      </c>
      <c r="CM217" s="43">
        <v>364</v>
      </c>
      <c r="CN217" s="43">
        <v>390</v>
      </c>
      <c r="CO217" s="43">
        <v>345</v>
      </c>
      <c r="CP217" s="43">
        <v>265</v>
      </c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43"/>
      <c r="FZ217" s="43"/>
      <c r="GA217" s="53"/>
      <c r="GB217" s="53"/>
      <c r="GC217" s="53"/>
      <c r="GD217" s="53"/>
      <c r="GE217" s="53"/>
      <c r="GF217" s="53"/>
      <c r="GG217" s="53"/>
      <c r="GH217" s="53"/>
      <c r="GI217" s="53"/>
      <c r="GJ217" s="53"/>
      <c r="GK217" s="43">
        <v>500</v>
      </c>
      <c r="GL217" s="43">
        <v>251</v>
      </c>
      <c r="GM217" s="53"/>
      <c r="GN217" s="53"/>
      <c r="GO217" s="43">
        <v>461</v>
      </c>
      <c r="GP217" s="43">
        <v>285</v>
      </c>
      <c r="GQ217" s="43">
        <v>514</v>
      </c>
      <c r="GR217" s="43">
        <v>226</v>
      </c>
    </row>
    <row r="218" spans="1:200">
      <c r="A218" s="7">
        <v>3212</v>
      </c>
      <c r="B218" s="1" t="s">
        <v>346</v>
      </c>
      <c r="C218" s="33">
        <v>1129</v>
      </c>
      <c r="D218" s="34">
        <v>794</v>
      </c>
      <c r="E218" s="19">
        <f t="shared" si="3"/>
        <v>0.7032772364924712</v>
      </c>
      <c r="F218" s="62">
        <v>616</v>
      </c>
      <c r="G218" s="43">
        <v>3</v>
      </c>
      <c r="H218" s="43">
        <v>13</v>
      </c>
      <c r="I218" s="43">
        <v>10</v>
      </c>
      <c r="J218" s="55">
        <v>143</v>
      </c>
      <c r="K218" s="6">
        <v>0</v>
      </c>
      <c r="L218" s="6">
        <v>0</v>
      </c>
      <c r="M218" s="43">
        <v>0</v>
      </c>
      <c r="N218" s="25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  <c r="V218" s="43">
        <v>0</v>
      </c>
      <c r="W218" s="43">
        <v>1</v>
      </c>
      <c r="X218" s="43">
        <v>0</v>
      </c>
      <c r="Y218" s="43">
        <v>0</v>
      </c>
      <c r="Z218" s="43">
        <v>0</v>
      </c>
      <c r="AA218" s="44">
        <v>0</v>
      </c>
      <c r="AB218" s="44">
        <v>0</v>
      </c>
      <c r="AC218" s="44">
        <v>10</v>
      </c>
      <c r="AD218" s="44">
        <v>8</v>
      </c>
      <c r="AE218" s="44">
        <v>192</v>
      </c>
      <c r="AF218" s="44">
        <v>7</v>
      </c>
      <c r="AG218" s="44">
        <v>0</v>
      </c>
      <c r="AH218" s="44">
        <v>552</v>
      </c>
      <c r="AI218" s="44">
        <v>196</v>
      </c>
      <c r="AJ218" s="44">
        <v>0</v>
      </c>
      <c r="AK218" s="44">
        <v>0</v>
      </c>
      <c r="AL218" s="44">
        <v>581</v>
      </c>
      <c r="AM218" s="48"/>
      <c r="AN218" s="48"/>
      <c r="AO218" s="48"/>
      <c r="AP218" s="44">
        <v>593</v>
      </c>
      <c r="AQ218" s="44">
        <v>158</v>
      </c>
      <c r="AR218" s="50"/>
      <c r="AS218" s="50"/>
      <c r="AT218" s="43">
        <v>184</v>
      </c>
      <c r="AU218" s="43">
        <v>572</v>
      </c>
      <c r="AV218" s="50"/>
      <c r="AW218" s="50"/>
      <c r="AX218" s="50"/>
      <c r="AY218" s="50"/>
      <c r="AZ218" s="50"/>
      <c r="BA218" s="50"/>
      <c r="BB218" s="50"/>
      <c r="BC218" s="50"/>
      <c r="BD218" s="50"/>
      <c r="BE218" s="43">
        <v>135</v>
      </c>
      <c r="BF218" s="43">
        <v>623</v>
      </c>
      <c r="BG218" s="43">
        <v>173</v>
      </c>
      <c r="BH218" s="43">
        <v>584</v>
      </c>
      <c r="BI218" s="43">
        <v>209</v>
      </c>
      <c r="BJ218" s="43">
        <v>549</v>
      </c>
      <c r="BK218" s="43">
        <v>580</v>
      </c>
      <c r="BL218" s="43">
        <v>189</v>
      </c>
      <c r="BM218" s="43">
        <v>135</v>
      </c>
      <c r="BN218" s="43">
        <v>623</v>
      </c>
      <c r="BO218" s="43">
        <v>596</v>
      </c>
      <c r="BP218" s="43">
        <v>162</v>
      </c>
      <c r="BQ218" s="43">
        <v>202</v>
      </c>
      <c r="BR218" s="43">
        <v>562</v>
      </c>
      <c r="BS218" s="43">
        <v>347</v>
      </c>
      <c r="BT218" s="43">
        <v>137</v>
      </c>
      <c r="BU218" s="43">
        <v>611</v>
      </c>
      <c r="BV218" s="43">
        <v>410</v>
      </c>
      <c r="BW218" s="43">
        <v>233</v>
      </c>
      <c r="BX218" s="43">
        <v>428</v>
      </c>
      <c r="BY218" s="43">
        <v>218</v>
      </c>
      <c r="BZ218" s="43">
        <v>475</v>
      </c>
      <c r="CA218" s="43">
        <v>381</v>
      </c>
      <c r="CB218" s="43">
        <v>164</v>
      </c>
      <c r="CC218" s="43">
        <v>490</v>
      </c>
      <c r="CD218" s="43">
        <v>489</v>
      </c>
      <c r="CE218" s="43">
        <v>449</v>
      </c>
      <c r="CF218" s="43">
        <v>186</v>
      </c>
      <c r="CG218" s="43">
        <v>197</v>
      </c>
      <c r="CH218" s="43">
        <v>427</v>
      </c>
      <c r="CI218" s="43">
        <v>404</v>
      </c>
      <c r="CJ218" s="43">
        <v>246</v>
      </c>
      <c r="CK218" s="43">
        <v>247</v>
      </c>
      <c r="CL218" s="43">
        <v>427</v>
      </c>
      <c r="CM218" s="43">
        <v>373</v>
      </c>
      <c r="CN218" s="43">
        <v>393</v>
      </c>
      <c r="CO218" s="43">
        <v>449</v>
      </c>
      <c r="CP218" s="43">
        <v>228</v>
      </c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43"/>
      <c r="FZ218" s="43"/>
      <c r="GA218" s="53"/>
      <c r="GB218" s="53"/>
      <c r="GC218" s="53"/>
      <c r="GD218" s="53"/>
      <c r="GE218" s="53"/>
      <c r="GF218" s="53"/>
      <c r="GG218" s="53"/>
      <c r="GH218" s="53"/>
      <c r="GI218" s="53"/>
      <c r="GJ218" s="53"/>
      <c r="GK218" s="43">
        <v>483</v>
      </c>
      <c r="GL218" s="43">
        <v>260</v>
      </c>
      <c r="GM218" s="53"/>
      <c r="GN218" s="53"/>
      <c r="GO218" s="43">
        <v>474</v>
      </c>
      <c r="GP218" s="43">
        <v>273</v>
      </c>
      <c r="GQ218" s="43">
        <v>540</v>
      </c>
      <c r="GR218" s="43">
        <v>202</v>
      </c>
    </row>
    <row r="219" spans="1:200">
      <c r="A219" s="7">
        <v>3213</v>
      </c>
      <c r="B219" s="1" t="s">
        <v>347</v>
      </c>
      <c r="C219" s="33">
        <v>1116</v>
      </c>
      <c r="D219" s="34">
        <v>781</v>
      </c>
      <c r="E219" s="19">
        <f t="shared" si="3"/>
        <v>0.69982078853046592</v>
      </c>
      <c r="F219" s="62">
        <v>643</v>
      </c>
      <c r="G219" s="43">
        <v>3</v>
      </c>
      <c r="H219" s="43">
        <v>11</v>
      </c>
      <c r="I219" s="43">
        <v>7</v>
      </c>
      <c r="J219" s="55">
        <v>98</v>
      </c>
      <c r="K219" s="6">
        <v>0</v>
      </c>
      <c r="L219" s="6">
        <v>0</v>
      </c>
      <c r="M219" s="43">
        <v>0</v>
      </c>
      <c r="N219" s="25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  <c r="V219" s="43">
        <v>0</v>
      </c>
      <c r="W219" s="43">
        <v>3</v>
      </c>
      <c r="X219" s="43">
        <v>0</v>
      </c>
      <c r="Y219" s="43">
        <v>0</v>
      </c>
      <c r="Z219" s="43">
        <v>0</v>
      </c>
      <c r="AA219" s="44">
        <v>0</v>
      </c>
      <c r="AB219" s="44">
        <v>0</v>
      </c>
      <c r="AC219" s="44">
        <v>8</v>
      </c>
      <c r="AD219" s="44">
        <v>12</v>
      </c>
      <c r="AE219" s="44">
        <v>145</v>
      </c>
      <c r="AF219" s="44">
        <v>5</v>
      </c>
      <c r="AG219" s="44">
        <v>0</v>
      </c>
      <c r="AH219" s="44">
        <v>582</v>
      </c>
      <c r="AI219" s="44">
        <v>149</v>
      </c>
      <c r="AJ219" s="44">
        <v>0</v>
      </c>
      <c r="AK219" s="44">
        <v>0</v>
      </c>
      <c r="AL219" s="44">
        <v>602</v>
      </c>
      <c r="AM219" s="48"/>
      <c r="AN219" s="48"/>
      <c r="AO219" s="48"/>
      <c r="AP219" s="44">
        <v>635</v>
      </c>
      <c r="AQ219" s="44">
        <v>104</v>
      </c>
      <c r="AR219" s="50"/>
      <c r="AS219" s="50"/>
      <c r="AT219" s="43">
        <v>119</v>
      </c>
      <c r="AU219" s="43">
        <v>620</v>
      </c>
      <c r="AV219" s="50"/>
      <c r="AW219" s="50"/>
      <c r="AX219" s="50"/>
      <c r="AY219" s="50"/>
      <c r="AZ219" s="50"/>
      <c r="BA219" s="50"/>
      <c r="BB219" s="50"/>
      <c r="BC219" s="50"/>
      <c r="BD219" s="50"/>
      <c r="BE219" s="43">
        <v>106</v>
      </c>
      <c r="BF219" s="43">
        <v>633</v>
      </c>
      <c r="BG219" s="43">
        <v>119</v>
      </c>
      <c r="BH219" s="43">
        <v>625</v>
      </c>
      <c r="BI219" s="43">
        <v>150</v>
      </c>
      <c r="BJ219" s="43">
        <v>589</v>
      </c>
      <c r="BK219" s="43">
        <v>598</v>
      </c>
      <c r="BL219" s="43">
        <v>144</v>
      </c>
      <c r="BM219" s="43">
        <v>103</v>
      </c>
      <c r="BN219" s="43">
        <v>635</v>
      </c>
      <c r="BO219" s="43">
        <v>609</v>
      </c>
      <c r="BP219" s="43">
        <v>126</v>
      </c>
      <c r="BQ219" s="43">
        <v>151</v>
      </c>
      <c r="BR219" s="43">
        <v>585</v>
      </c>
      <c r="BS219" s="43">
        <v>319</v>
      </c>
      <c r="BT219" s="43">
        <v>86</v>
      </c>
      <c r="BU219" s="43">
        <v>644</v>
      </c>
      <c r="BV219" s="43">
        <v>406</v>
      </c>
      <c r="BW219" s="43">
        <v>203</v>
      </c>
      <c r="BX219" s="43">
        <v>418</v>
      </c>
      <c r="BY219" s="43">
        <v>190</v>
      </c>
      <c r="BZ219" s="43">
        <v>478</v>
      </c>
      <c r="CA219" s="43">
        <v>366</v>
      </c>
      <c r="CB219" s="43">
        <v>116</v>
      </c>
      <c r="CC219" s="43">
        <v>510</v>
      </c>
      <c r="CD219" s="43">
        <v>497</v>
      </c>
      <c r="CE219" s="43">
        <v>480</v>
      </c>
      <c r="CF219" s="43">
        <v>145</v>
      </c>
      <c r="CG219" s="43">
        <v>165</v>
      </c>
      <c r="CH219" s="43">
        <v>429</v>
      </c>
      <c r="CI219" s="43">
        <v>389</v>
      </c>
      <c r="CJ219" s="43">
        <v>241</v>
      </c>
      <c r="CK219" s="43">
        <v>253</v>
      </c>
      <c r="CL219" s="43">
        <v>390</v>
      </c>
      <c r="CM219" s="43">
        <v>346</v>
      </c>
      <c r="CN219" s="43">
        <v>368</v>
      </c>
      <c r="CO219" s="43">
        <v>418</v>
      </c>
      <c r="CP219" s="43">
        <v>217</v>
      </c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43"/>
      <c r="FZ219" s="43"/>
      <c r="GA219" s="53"/>
      <c r="GB219" s="53"/>
      <c r="GC219" s="53"/>
      <c r="GD219" s="53"/>
      <c r="GE219" s="53"/>
      <c r="GF219" s="53"/>
      <c r="GG219" s="53"/>
      <c r="GH219" s="53"/>
      <c r="GI219" s="53"/>
      <c r="GJ219" s="53"/>
      <c r="GK219" s="43">
        <v>461</v>
      </c>
      <c r="GL219" s="43">
        <v>280</v>
      </c>
      <c r="GM219" s="53"/>
      <c r="GN219" s="53"/>
      <c r="GO219" s="43">
        <v>457</v>
      </c>
      <c r="GP219" s="43">
        <v>284</v>
      </c>
      <c r="GQ219" s="43">
        <v>507</v>
      </c>
      <c r="GR219" s="43">
        <v>233</v>
      </c>
    </row>
    <row r="220" spans="1:200">
      <c r="A220" s="5">
        <v>3401</v>
      </c>
      <c r="B220" s="1" t="s">
        <v>348</v>
      </c>
      <c r="C220" s="33">
        <v>1287</v>
      </c>
      <c r="D220" s="34">
        <v>841</v>
      </c>
      <c r="E220" s="19">
        <f t="shared" si="3"/>
        <v>0.6534576534576535</v>
      </c>
      <c r="F220" s="62">
        <v>157</v>
      </c>
      <c r="G220" s="43">
        <v>2</v>
      </c>
      <c r="H220" s="43">
        <v>38</v>
      </c>
      <c r="I220" s="43">
        <v>9</v>
      </c>
      <c r="J220" s="55">
        <v>624</v>
      </c>
      <c r="K220" s="6">
        <v>0</v>
      </c>
      <c r="L220" s="6">
        <v>0</v>
      </c>
      <c r="M220" s="43">
        <v>0</v>
      </c>
      <c r="N220" s="25">
        <v>0</v>
      </c>
      <c r="O220" s="43">
        <v>0</v>
      </c>
      <c r="P220" s="43">
        <v>1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  <c r="V220" s="43">
        <v>0</v>
      </c>
      <c r="W220" s="43">
        <v>0</v>
      </c>
      <c r="X220" s="43">
        <v>0</v>
      </c>
      <c r="Y220" s="43">
        <v>0</v>
      </c>
      <c r="Z220" s="43">
        <v>0</v>
      </c>
      <c r="AA220" s="44">
        <v>0</v>
      </c>
      <c r="AB220" s="44">
        <v>0</v>
      </c>
      <c r="AC220" s="44">
        <v>17</v>
      </c>
      <c r="AD220" s="44">
        <v>21</v>
      </c>
      <c r="AE220" s="44">
        <v>623</v>
      </c>
      <c r="AF220" s="44">
        <v>10</v>
      </c>
      <c r="AG220" s="44">
        <v>0</v>
      </c>
      <c r="AH220" s="44">
        <v>141</v>
      </c>
      <c r="AI220" s="44">
        <v>622</v>
      </c>
      <c r="AJ220" s="44">
        <v>0</v>
      </c>
      <c r="AK220" s="44">
        <v>0</v>
      </c>
      <c r="AL220" s="44">
        <v>176</v>
      </c>
      <c r="AM220" s="48"/>
      <c r="AN220" s="48"/>
      <c r="AO220" s="48"/>
      <c r="AP220" s="44">
        <v>189</v>
      </c>
      <c r="AQ220" s="44">
        <v>580</v>
      </c>
      <c r="AR220" s="51"/>
      <c r="AS220" s="51"/>
      <c r="AT220" s="51"/>
      <c r="AU220" s="51"/>
      <c r="AV220" s="43">
        <v>588</v>
      </c>
      <c r="AW220" s="50"/>
      <c r="AX220" s="50"/>
      <c r="AY220" s="50"/>
      <c r="AZ220" s="50"/>
      <c r="BA220" s="50"/>
      <c r="BB220" s="50"/>
      <c r="BC220" s="50"/>
      <c r="BD220" s="50"/>
      <c r="BE220" s="43">
        <v>516</v>
      </c>
      <c r="BF220" s="43">
        <v>263</v>
      </c>
      <c r="BG220" s="43">
        <v>618</v>
      </c>
      <c r="BH220" s="43">
        <v>174</v>
      </c>
      <c r="BI220" s="43">
        <v>613</v>
      </c>
      <c r="BJ220" s="43">
        <v>167</v>
      </c>
      <c r="BK220" s="43">
        <v>203</v>
      </c>
      <c r="BL220" s="43">
        <v>575</v>
      </c>
      <c r="BM220" s="43">
        <v>453</v>
      </c>
      <c r="BN220" s="43">
        <v>326</v>
      </c>
      <c r="BO220" s="43">
        <v>185</v>
      </c>
      <c r="BP220" s="43">
        <v>570</v>
      </c>
      <c r="BQ220" s="43">
        <v>628</v>
      </c>
      <c r="BR220" s="43">
        <v>142</v>
      </c>
      <c r="BS220" s="43">
        <v>609</v>
      </c>
      <c r="BT220" s="43">
        <v>492</v>
      </c>
      <c r="BU220" s="43">
        <v>264</v>
      </c>
      <c r="BV220" s="43">
        <v>572</v>
      </c>
      <c r="BW220" s="43">
        <v>405</v>
      </c>
      <c r="BX220" s="43">
        <v>233</v>
      </c>
      <c r="BY220" s="43">
        <v>510</v>
      </c>
      <c r="BZ220" s="43">
        <v>177</v>
      </c>
      <c r="CA220" s="43">
        <v>509</v>
      </c>
      <c r="CB220" s="43">
        <v>411</v>
      </c>
      <c r="CC220" s="43">
        <v>204</v>
      </c>
      <c r="CD220" s="43">
        <v>470</v>
      </c>
      <c r="CE220" s="43">
        <v>199</v>
      </c>
      <c r="CF220" s="43">
        <v>457</v>
      </c>
      <c r="CG220" s="43">
        <v>402</v>
      </c>
      <c r="CH220" s="43">
        <v>197</v>
      </c>
      <c r="CI220" s="43">
        <v>145</v>
      </c>
      <c r="CJ220" s="43">
        <v>493</v>
      </c>
      <c r="CK220" s="43">
        <v>398</v>
      </c>
      <c r="CL220" s="43">
        <v>231</v>
      </c>
      <c r="CM220" s="43">
        <v>506</v>
      </c>
      <c r="CN220" s="43">
        <v>496</v>
      </c>
      <c r="CO220" s="43">
        <v>225</v>
      </c>
      <c r="CP220" s="43">
        <v>415</v>
      </c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43"/>
      <c r="FZ220" s="43"/>
      <c r="GA220" s="53"/>
      <c r="GB220" s="53"/>
      <c r="GC220" s="53"/>
      <c r="GD220" s="53"/>
      <c r="GE220" s="53"/>
      <c r="GF220" s="53"/>
      <c r="GG220" s="53"/>
      <c r="GH220" s="53"/>
      <c r="GI220" s="53"/>
      <c r="GJ220" s="53"/>
      <c r="GK220" s="43"/>
      <c r="GL220" s="43"/>
      <c r="GM220" s="53"/>
      <c r="GN220" s="53"/>
      <c r="GO220" s="43">
        <v>468</v>
      </c>
      <c r="GP220" s="43">
        <v>333</v>
      </c>
      <c r="GQ220" s="43">
        <v>438</v>
      </c>
      <c r="GR220" s="43">
        <v>360</v>
      </c>
    </row>
    <row r="221" spans="1:200">
      <c r="A221" s="5">
        <v>3402</v>
      </c>
      <c r="B221" s="1" t="s">
        <v>349</v>
      </c>
      <c r="C221" s="33">
        <v>1354</v>
      </c>
      <c r="D221" s="34">
        <v>898</v>
      </c>
      <c r="E221" s="19">
        <f t="shared" si="3"/>
        <v>0.66322008862629245</v>
      </c>
      <c r="F221" s="62">
        <v>174</v>
      </c>
      <c r="G221" s="43">
        <v>6</v>
      </c>
      <c r="H221" s="43">
        <v>22</v>
      </c>
      <c r="I221" s="43">
        <v>13</v>
      </c>
      <c r="J221" s="55">
        <v>648</v>
      </c>
      <c r="K221" s="6">
        <v>0</v>
      </c>
      <c r="L221" s="6">
        <v>0</v>
      </c>
      <c r="M221" s="43">
        <v>0</v>
      </c>
      <c r="N221" s="25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  <c r="V221" s="43">
        <v>0</v>
      </c>
      <c r="W221" s="43">
        <v>1</v>
      </c>
      <c r="X221" s="43">
        <v>0</v>
      </c>
      <c r="Y221" s="43">
        <v>0</v>
      </c>
      <c r="Z221" s="43">
        <v>0</v>
      </c>
      <c r="AA221" s="44">
        <v>0</v>
      </c>
      <c r="AB221" s="44">
        <v>0</v>
      </c>
      <c r="AC221" s="44">
        <v>20</v>
      </c>
      <c r="AD221" s="44">
        <v>11</v>
      </c>
      <c r="AE221" s="44">
        <v>660</v>
      </c>
      <c r="AF221" s="44">
        <v>13</v>
      </c>
      <c r="AG221" s="44">
        <v>0</v>
      </c>
      <c r="AH221" s="44">
        <v>134</v>
      </c>
      <c r="AI221" s="44">
        <v>675</v>
      </c>
      <c r="AJ221" s="44">
        <v>0</v>
      </c>
      <c r="AK221" s="44">
        <v>0</v>
      </c>
      <c r="AL221" s="44">
        <v>176</v>
      </c>
      <c r="AM221" s="48"/>
      <c r="AN221" s="48"/>
      <c r="AO221" s="48"/>
      <c r="AP221" s="44">
        <v>205</v>
      </c>
      <c r="AQ221" s="44">
        <v>612</v>
      </c>
      <c r="AR221" s="51"/>
      <c r="AS221" s="51"/>
      <c r="AT221" s="51"/>
      <c r="AU221" s="51"/>
      <c r="AV221" s="43">
        <v>648</v>
      </c>
      <c r="AW221" s="50"/>
      <c r="AX221" s="50"/>
      <c r="AY221" s="50"/>
      <c r="AZ221" s="50"/>
      <c r="BA221" s="50"/>
      <c r="BB221" s="50"/>
      <c r="BC221" s="50"/>
      <c r="BD221" s="50"/>
      <c r="BE221" s="43">
        <v>520</v>
      </c>
      <c r="BF221" s="43">
        <v>312</v>
      </c>
      <c r="BG221" s="43">
        <v>654</v>
      </c>
      <c r="BH221" s="43">
        <v>187</v>
      </c>
      <c r="BI221" s="43">
        <v>655</v>
      </c>
      <c r="BJ221" s="43">
        <v>182</v>
      </c>
      <c r="BK221" s="43">
        <v>217</v>
      </c>
      <c r="BL221" s="43">
        <v>624</v>
      </c>
      <c r="BM221" s="43">
        <v>466</v>
      </c>
      <c r="BN221" s="43">
        <v>374</v>
      </c>
      <c r="BO221" s="43">
        <v>187</v>
      </c>
      <c r="BP221" s="43">
        <v>629</v>
      </c>
      <c r="BQ221" s="43">
        <v>667</v>
      </c>
      <c r="BR221" s="43">
        <v>163</v>
      </c>
      <c r="BS221" s="43">
        <v>670</v>
      </c>
      <c r="BT221" s="43">
        <v>509</v>
      </c>
      <c r="BU221" s="43">
        <v>287</v>
      </c>
      <c r="BV221" s="43">
        <v>595</v>
      </c>
      <c r="BW221" s="43">
        <v>393</v>
      </c>
      <c r="BX221" s="43">
        <v>284</v>
      </c>
      <c r="BY221" s="43">
        <v>556</v>
      </c>
      <c r="BZ221" s="43">
        <v>173</v>
      </c>
      <c r="CA221" s="43">
        <v>559</v>
      </c>
      <c r="CB221" s="43">
        <v>418</v>
      </c>
      <c r="CC221" s="43">
        <v>234</v>
      </c>
      <c r="CD221" s="43">
        <v>527</v>
      </c>
      <c r="CE221" s="43">
        <v>185</v>
      </c>
      <c r="CF221" s="43">
        <v>491</v>
      </c>
      <c r="CG221" s="43">
        <v>376</v>
      </c>
      <c r="CH221" s="43">
        <v>258</v>
      </c>
      <c r="CI221" s="43">
        <v>140</v>
      </c>
      <c r="CJ221" s="43">
        <v>522</v>
      </c>
      <c r="CK221" s="43">
        <v>385</v>
      </c>
      <c r="CL221" s="43">
        <v>268</v>
      </c>
      <c r="CM221" s="43">
        <v>556</v>
      </c>
      <c r="CN221" s="43">
        <v>553</v>
      </c>
      <c r="CO221" s="43">
        <v>211</v>
      </c>
      <c r="CP221" s="43">
        <v>455</v>
      </c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43"/>
      <c r="FZ221" s="43"/>
      <c r="GA221" s="53"/>
      <c r="GB221" s="53"/>
      <c r="GC221" s="53"/>
      <c r="GD221" s="53"/>
      <c r="GE221" s="53"/>
      <c r="GF221" s="53"/>
      <c r="GG221" s="53"/>
      <c r="GH221" s="53"/>
      <c r="GI221" s="53"/>
      <c r="GJ221" s="53"/>
      <c r="GK221" s="43"/>
      <c r="GL221" s="43"/>
      <c r="GM221" s="53"/>
      <c r="GN221" s="53"/>
      <c r="GO221" s="43">
        <v>528</v>
      </c>
      <c r="GP221" s="43">
        <v>327</v>
      </c>
      <c r="GQ221" s="43">
        <v>504</v>
      </c>
      <c r="GR221" s="43">
        <v>347</v>
      </c>
    </row>
    <row r="222" spans="1:200">
      <c r="A222" s="5">
        <v>3403</v>
      </c>
      <c r="B222" s="1" t="s">
        <v>350</v>
      </c>
      <c r="C222" s="33">
        <v>1592</v>
      </c>
      <c r="D222" s="34">
        <v>1199</v>
      </c>
      <c r="E222" s="19">
        <f t="shared" si="3"/>
        <v>0.75314070351758799</v>
      </c>
      <c r="F222" s="62">
        <v>220</v>
      </c>
      <c r="G222" s="43">
        <v>2</v>
      </c>
      <c r="H222" s="43">
        <v>43</v>
      </c>
      <c r="I222" s="43">
        <v>5</v>
      </c>
      <c r="J222" s="55">
        <v>903</v>
      </c>
      <c r="K222" s="6">
        <v>0</v>
      </c>
      <c r="L222" s="6">
        <v>0</v>
      </c>
      <c r="M222" s="43">
        <v>0</v>
      </c>
      <c r="N222" s="25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  <c r="V222" s="43">
        <v>0</v>
      </c>
      <c r="W222" s="43">
        <v>2</v>
      </c>
      <c r="X222" s="43">
        <v>0</v>
      </c>
      <c r="Y222" s="43">
        <v>0</v>
      </c>
      <c r="Z222" s="43">
        <v>0</v>
      </c>
      <c r="AA222" s="44">
        <v>0</v>
      </c>
      <c r="AB222" s="44">
        <v>0</v>
      </c>
      <c r="AC222" s="44">
        <v>16</v>
      </c>
      <c r="AD222" s="44">
        <v>15</v>
      </c>
      <c r="AE222" s="44">
        <v>939</v>
      </c>
      <c r="AF222" s="44">
        <v>17</v>
      </c>
      <c r="AG222" s="44">
        <v>0</v>
      </c>
      <c r="AH222" s="44">
        <v>170</v>
      </c>
      <c r="AI222" s="44">
        <v>952</v>
      </c>
      <c r="AJ222" s="44">
        <v>0</v>
      </c>
      <c r="AK222" s="44">
        <v>0</v>
      </c>
      <c r="AL222" s="44">
        <v>202</v>
      </c>
      <c r="AM222" s="48"/>
      <c r="AN222" s="48"/>
      <c r="AO222" s="48"/>
      <c r="AP222" s="44">
        <v>228</v>
      </c>
      <c r="AQ222" s="44">
        <v>860</v>
      </c>
      <c r="AR222" s="51"/>
      <c r="AS222" s="51"/>
      <c r="AT222" s="51"/>
      <c r="AU222" s="51"/>
      <c r="AV222" s="43">
        <v>873</v>
      </c>
      <c r="AW222" s="50"/>
      <c r="AX222" s="50"/>
      <c r="AY222" s="50"/>
      <c r="AZ222" s="50"/>
      <c r="BA222" s="50"/>
      <c r="BB222" s="50"/>
      <c r="BC222" s="50"/>
      <c r="BD222" s="50"/>
      <c r="BE222" s="43">
        <v>737</v>
      </c>
      <c r="BF222" s="43">
        <v>371</v>
      </c>
      <c r="BG222" s="43">
        <v>884</v>
      </c>
      <c r="BH222" s="43">
        <v>238</v>
      </c>
      <c r="BI222" s="43">
        <v>886</v>
      </c>
      <c r="BJ222" s="43">
        <v>231</v>
      </c>
      <c r="BK222" s="43">
        <v>290</v>
      </c>
      <c r="BL222" s="43">
        <v>819</v>
      </c>
      <c r="BM222" s="43">
        <v>630</v>
      </c>
      <c r="BN222" s="43">
        <v>490</v>
      </c>
      <c r="BO222" s="43">
        <v>204</v>
      </c>
      <c r="BP222" s="43">
        <v>875</v>
      </c>
      <c r="BQ222" s="43">
        <v>934</v>
      </c>
      <c r="BR222" s="43">
        <v>160</v>
      </c>
      <c r="BS222" s="43">
        <v>890</v>
      </c>
      <c r="BT222" s="43">
        <v>687</v>
      </c>
      <c r="BU222" s="43">
        <v>379</v>
      </c>
      <c r="BV222" s="43">
        <v>799</v>
      </c>
      <c r="BW222" s="43">
        <v>577</v>
      </c>
      <c r="BX222" s="43">
        <v>312</v>
      </c>
      <c r="BY222" s="43">
        <v>788</v>
      </c>
      <c r="BZ222" s="43">
        <v>196</v>
      </c>
      <c r="CA222" s="43">
        <v>738</v>
      </c>
      <c r="CB222" s="43">
        <v>616</v>
      </c>
      <c r="CC222" s="43">
        <v>240</v>
      </c>
      <c r="CD222" s="43">
        <v>654</v>
      </c>
      <c r="CE222" s="43">
        <v>250</v>
      </c>
      <c r="CF222" s="43">
        <v>683</v>
      </c>
      <c r="CG222" s="43">
        <v>613</v>
      </c>
      <c r="CH222" s="43">
        <v>231</v>
      </c>
      <c r="CI222" s="43">
        <v>145</v>
      </c>
      <c r="CJ222" s="43">
        <v>747</v>
      </c>
      <c r="CK222" s="43">
        <v>624</v>
      </c>
      <c r="CL222" s="43">
        <v>261</v>
      </c>
      <c r="CM222" s="43">
        <v>706</v>
      </c>
      <c r="CN222" s="43">
        <v>694</v>
      </c>
      <c r="CO222" s="43">
        <v>238</v>
      </c>
      <c r="CP222" s="43">
        <v>634</v>
      </c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43"/>
      <c r="FZ222" s="43"/>
      <c r="GA222" s="53"/>
      <c r="GB222" s="53"/>
      <c r="GC222" s="53"/>
      <c r="GD222" s="53"/>
      <c r="GE222" s="53"/>
      <c r="GF222" s="53"/>
      <c r="GG222" s="53"/>
      <c r="GH222" s="53"/>
      <c r="GI222" s="53"/>
      <c r="GJ222" s="53"/>
      <c r="GK222" s="43"/>
      <c r="GL222" s="43"/>
      <c r="GM222" s="53"/>
      <c r="GN222" s="53"/>
      <c r="GO222" s="43">
        <v>762</v>
      </c>
      <c r="GP222" s="43">
        <v>374</v>
      </c>
      <c r="GQ222" s="43">
        <v>680</v>
      </c>
      <c r="GR222" s="43">
        <v>453</v>
      </c>
    </row>
    <row r="223" spans="1:200">
      <c r="A223" s="5">
        <v>3404</v>
      </c>
      <c r="B223" s="1" t="s">
        <v>351</v>
      </c>
      <c r="C223" s="33">
        <v>1092</v>
      </c>
      <c r="D223" s="34">
        <v>854</v>
      </c>
      <c r="E223" s="19">
        <f t="shared" si="3"/>
        <v>0.78205128205128205</v>
      </c>
      <c r="F223" s="62">
        <v>170</v>
      </c>
      <c r="G223" s="43">
        <v>4</v>
      </c>
      <c r="H223" s="43">
        <v>23</v>
      </c>
      <c r="I223" s="43">
        <v>10</v>
      </c>
      <c r="J223" s="55">
        <v>636</v>
      </c>
      <c r="K223" s="6">
        <v>0</v>
      </c>
      <c r="L223" s="6">
        <v>0</v>
      </c>
      <c r="M223" s="43">
        <v>0</v>
      </c>
      <c r="N223" s="25">
        <v>0</v>
      </c>
      <c r="O223" s="43">
        <v>0</v>
      </c>
      <c r="P223" s="43">
        <v>0</v>
      </c>
      <c r="Q223" s="43">
        <v>0</v>
      </c>
      <c r="R223" s="43">
        <v>0</v>
      </c>
      <c r="S223" s="43">
        <v>0</v>
      </c>
      <c r="T223" s="43">
        <v>0</v>
      </c>
      <c r="U223" s="43">
        <v>0</v>
      </c>
      <c r="V223" s="43">
        <v>0</v>
      </c>
      <c r="W223" s="43">
        <v>2</v>
      </c>
      <c r="X223" s="43">
        <v>0</v>
      </c>
      <c r="Y223" s="43">
        <v>0</v>
      </c>
      <c r="Z223" s="43">
        <v>0</v>
      </c>
      <c r="AA223" s="44">
        <v>0</v>
      </c>
      <c r="AB223" s="44">
        <v>0</v>
      </c>
      <c r="AC223" s="44">
        <v>17</v>
      </c>
      <c r="AD223" s="44">
        <v>9</v>
      </c>
      <c r="AE223" s="44">
        <v>663</v>
      </c>
      <c r="AF223" s="44">
        <v>14</v>
      </c>
      <c r="AG223" s="44">
        <v>0</v>
      </c>
      <c r="AH223" s="44">
        <v>130</v>
      </c>
      <c r="AI223" s="44">
        <v>669</v>
      </c>
      <c r="AJ223" s="44">
        <v>0</v>
      </c>
      <c r="AK223" s="44">
        <v>0</v>
      </c>
      <c r="AL223" s="44">
        <v>166</v>
      </c>
      <c r="AM223" s="48"/>
      <c r="AN223" s="48"/>
      <c r="AO223" s="48"/>
      <c r="AP223" s="44">
        <v>180</v>
      </c>
      <c r="AQ223" s="44">
        <v>607</v>
      </c>
      <c r="AR223" s="51"/>
      <c r="AS223" s="51"/>
      <c r="AT223" s="51"/>
      <c r="AU223" s="51"/>
      <c r="AV223" s="43">
        <v>606</v>
      </c>
      <c r="AW223" s="50"/>
      <c r="AX223" s="50"/>
      <c r="AY223" s="50"/>
      <c r="AZ223" s="50"/>
      <c r="BA223" s="50"/>
      <c r="BB223" s="50"/>
      <c r="BC223" s="50"/>
      <c r="BD223" s="50"/>
      <c r="BE223" s="43">
        <v>517</v>
      </c>
      <c r="BF223" s="43">
        <v>286</v>
      </c>
      <c r="BG223" s="43">
        <v>619</v>
      </c>
      <c r="BH223" s="43">
        <v>192</v>
      </c>
      <c r="BI223" s="43">
        <v>633</v>
      </c>
      <c r="BJ223" s="43">
        <v>164</v>
      </c>
      <c r="BK223" s="43">
        <v>203</v>
      </c>
      <c r="BL223" s="43">
        <v>603</v>
      </c>
      <c r="BM223" s="43">
        <v>416</v>
      </c>
      <c r="BN223" s="43">
        <v>399</v>
      </c>
      <c r="BO223" s="43">
        <v>163</v>
      </c>
      <c r="BP223" s="43">
        <v>624</v>
      </c>
      <c r="BQ223" s="43">
        <v>659</v>
      </c>
      <c r="BR223" s="43">
        <v>138</v>
      </c>
      <c r="BS223" s="43">
        <v>622</v>
      </c>
      <c r="BT223" s="43">
        <v>490</v>
      </c>
      <c r="BU223" s="43">
        <v>292</v>
      </c>
      <c r="BV223" s="43">
        <v>568</v>
      </c>
      <c r="BW223" s="43">
        <v>432</v>
      </c>
      <c r="BX223" s="43">
        <v>231</v>
      </c>
      <c r="BY223" s="43">
        <v>546</v>
      </c>
      <c r="BZ223" s="43">
        <v>175</v>
      </c>
      <c r="CA223" s="43">
        <v>518</v>
      </c>
      <c r="CB223" s="43">
        <v>437</v>
      </c>
      <c r="CC223" s="43">
        <v>206</v>
      </c>
      <c r="CD223" s="43">
        <v>465</v>
      </c>
      <c r="CE223" s="43">
        <v>164</v>
      </c>
      <c r="CF223" s="43">
        <v>509</v>
      </c>
      <c r="CG223" s="43">
        <v>397</v>
      </c>
      <c r="CH223" s="43">
        <v>232</v>
      </c>
      <c r="CI223" s="43">
        <v>97</v>
      </c>
      <c r="CJ223" s="43">
        <v>570</v>
      </c>
      <c r="CK223" s="43">
        <v>440</v>
      </c>
      <c r="CL223" s="43">
        <v>224</v>
      </c>
      <c r="CM223" s="43">
        <v>507</v>
      </c>
      <c r="CN223" s="43">
        <v>498</v>
      </c>
      <c r="CO223" s="43">
        <v>168</v>
      </c>
      <c r="CP223" s="43">
        <v>497</v>
      </c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43"/>
      <c r="FZ223" s="43"/>
      <c r="GA223" s="53"/>
      <c r="GB223" s="53"/>
      <c r="GC223" s="53"/>
      <c r="GD223" s="53"/>
      <c r="GE223" s="53"/>
      <c r="GF223" s="53"/>
      <c r="GG223" s="53"/>
      <c r="GH223" s="53"/>
      <c r="GI223" s="53"/>
      <c r="GJ223" s="53"/>
      <c r="GK223" s="43"/>
      <c r="GL223" s="43"/>
      <c r="GM223" s="53"/>
      <c r="GN223" s="53"/>
      <c r="GO223" s="43">
        <v>492</v>
      </c>
      <c r="GP223" s="43">
        <v>325</v>
      </c>
      <c r="GQ223" s="43">
        <v>463</v>
      </c>
      <c r="GR223" s="43">
        <v>349</v>
      </c>
    </row>
    <row r="224" spans="1:200">
      <c r="A224" s="5">
        <v>3405</v>
      </c>
      <c r="B224" s="1" t="s">
        <v>352</v>
      </c>
      <c r="C224" s="33">
        <v>1355</v>
      </c>
      <c r="D224" s="34">
        <v>1109</v>
      </c>
      <c r="E224" s="19">
        <f t="shared" si="3"/>
        <v>0.81845018450184504</v>
      </c>
      <c r="F224" s="62">
        <v>181</v>
      </c>
      <c r="G224" s="43">
        <v>3</v>
      </c>
      <c r="H224" s="43">
        <v>32</v>
      </c>
      <c r="I224" s="43">
        <v>5</v>
      </c>
      <c r="J224" s="55">
        <v>869</v>
      </c>
      <c r="K224" s="6">
        <v>0</v>
      </c>
      <c r="L224" s="6">
        <v>0</v>
      </c>
      <c r="M224" s="43">
        <v>0</v>
      </c>
      <c r="N224" s="25">
        <v>0</v>
      </c>
      <c r="O224" s="43">
        <v>0</v>
      </c>
      <c r="P224" s="43">
        <v>1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  <c r="V224" s="43">
        <v>0</v>
      </c>
      <c r="W224" s="43">
        <v>1</v>
      </c>
      <c r="X224" s="43">
        <v>0</v>
      </c>
      <c r="Y224" s="43">
        <v>0</v>
      </c>
      <c r="Z224" s="43">
        <v>0</v>
      </c>
      <c r="AA224" s="44">
        <v>0</v>
      </c>
      <c r="AB224" s="44">
        <v>0</v>
      </c>
      <c r="AC224" s="44">
        <v>22</v>
      </c>
      <c r="AD224" s="44">
        <v>10</v>
      </c>
      <c r="AE224" s="44">
        <v>880</v>
      </c>
      <c r="AF224" s="44">
        <v>10</v>
      </c>
      <c r="AG224" s="44">
        <v>0</v>
      </c>
      <c r="AH224" s="44">
        <v>138</v>
      </c>
      <c r="AI224" s="44">
        <v>904</v>
      </c>
      <c r="AJ224" s="44">
        <v>0</v>
      </c>
      <c r="AK224" s="44">
        <v>0</v>
      </c>
      <c r="AL224" s="44">
        <v>160</v>
      </c>
      <c r="AM224" s="48"/>
      <c r="AN224" s="48"/>
      <c r="AO224" s="48"/>
      <c r="AP224" s="44">
        <v>188</v>
      </c>
      <c r="AQ224" s="44">
        <v>794</v>
      </c>
      <c r="AR224" s="51"/>
      <c r="AS224" s="51"/>
      <c r="AT224" s="51"/>
      <c r="AU224" s="51"/>
      <c r="AV224" s="43">
        <v>787</v>
      </c>
      <c r="AW224" s="50"/>
      <c r="AX224" s="50"/>
      <c r="AY224" s="50"/>
      <c r="AZ224" s="50"/>
      <c r="BA224" s="50"/>
      <c r="BB224" s="50"/>
      <c r="BC224" s="50"/>
      <c r="BD224" s="50"/>
      <c r="BE224" s="43">
        <v>698</v>
      </c>
      <c r="BF224" s="43">
        <v>319</v>
      </c>
      <c r="BG224" s="43">
        <v>822</v>
      </c>
      <c r="BH224" s="43">
        <v>208</v>
      </c>
      <c r="BI224" s="43">
        <v>835</v>
      </c>
      <c r="BJ224" s="43">
        <v>187</v>
      </c>
      <c r="BK224" s="43">
        <v>216</v>
      </c>
      <c r="BL224" s="43">
        <v>802</v>
      </c>
      <c r="BM224" s="43">
        <v>552</v>
      </c>
      <c r="BN224" s="43">
        <v>484</v>
      </c>
      <c r="BO224" s="43">
        <v>188</v>
      </c>
      <c r="BP224" s="43">
        <v>790</v>
      </c>
      <c r="BQ224" s="43">
        <v>874</v>
      </c>
      <c r="BR224" s="43">
        <v>123</v>
      </c>
      <c r="BS224" s="43">
        <v>792</v>
      </c>
      <c r="BT224" s="43">
        <v>606</v>
      </c>
      <c r="BU224" s="43">
        <v>363</v>
      </c>
      <c r="BV224" s="43">
        <v>712</v>
      </c>
      <c r="BW224" s="43">
        <v>508</v>
      </c>
      <c r="BX224" s="43">
        <v>255</v>
      </c>
      <c r="BY224" s="43">
        <v>699</v>
      </c>
      <c r="BZ224" s="43">
        <v>161</v>
      </c>
      <c r="CA224" s="43">
        <v>630</v>
      </c>
      <c r="CB224" s="43">
        <v>530</v>
      </c>
      <c r="CC224" s="43">
        <v>192</v>
      </c>
      <c r="CD224" s="43">
        <v>585</v>
      </c>
      <c r="CE224" s="43">
        <v>177</v>
      </c>
      <c r="CF224" s="43">
        <v>617</v>
      </c>
      <c r="CG224" s="43">
        <v>464</v>
      </c>
      <c r="CH224" s="43">
        <v>253</v>
      </c>
      <c r="CI224" s="43">
        <v>115</v>
      </c>
      <c r="CJ224" s="43">
        <v>652</v>
      </c>
      <c r="CK224" s="43">
        <v>552</v>
      </c>
      <c r="CL224" s="43">
        <v>213</v>
      </c>
      <c r="CM224" s="43">
        <v>596</v>
      </c>
      <c r="CN224" s="43">
        <v>589</v>
      </c>
      <c r="CO224" s="43">
        <v>211</v>
      </c>
      <c r="CP224" s="43">
        <v>545</v>
      </c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43"/>
      <c r="FZ224" s="43"/>
      <c r="GA224" s="53"/>
      <c r="GB224" s="53"/>
      <c r="GC224" s="53"/>
      <c r="GD224" s="53"/>
      <c r="GE224" s="53"/>
      <c r="GF224" s="53"/>
      <c r="GG224" s="53"/>
      <c r="GH224" s="53"/>
      <c r="GI224" s="43"/>
      <c r="GJ224" s="53"/>
      <c r="GK224" s="43"/>
      <c r="GL224" s="43"/>
      <c r="GM224" s="53"/>
      <c r="GN224" s="53"/>
      <c r="GO224" s="43">
        <v>727</v>
      </c>
      <c r="GP224" s="43">
        <v>352</v>
      </c>
      <c r="GQ224" s="43">
        <v>620</v>
      </c>
      <c r="GR224" s="43">
        <v>436</v>
      </c>
    </row>
    <row r="225" spans="1:200">
      <c r="A225" s="5">
        <v>3406</v>
      </c>
      <c r="B225" s="1" t="s">
        <v>353</v>
      </c>
      <c r="C225" s="33">
        <v>555</v>
      </c>
      <c r="D225" s="34">
        <v>536</v>
      </c>
      <c r="E225" s="19">
        <f t="shared" si="3"/>
        <v>0.96576576576576578</v>
      </c>
      <c r="F225" s="62">
        <v>116</v>
      </c>
      <c r="G225" s="43">
        <v>1</v>
      </c>
      <c r="H225" s="43">
        <v>29</v>
      </c>
      <c r="I225" s="43">
        <v>1</v>
      </c>
      <c r="J225" s="55">
        <v>377</v>
      </c>
      <c r="K225" s="6">
        <v>0</v>
      </c>
      <c r="L225" s="6">
        <v>0</v>
      </c>
      <c r="M225" s="43">
        <v>0</v>
      </c>
      <c r="N225" s="25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  <c r="V225" s="43">
        <v>0</v>
      </c>
      <c r="W225" s="43">
        <v>1</v>
      </c>
      <c r="X225" s="43">
        <v>0</v>
      </c>
      <c r="Y225" s="43">
        <v>0</v>
      </c>
      <c r="Z225" s="43">
        <v>0</v>
      </c>
      <c r="AA225" s="44">
        <v>0</v>
      </c>
      <c r="AB225" s="44">
        <v>0</v>
      </c>
      <c r="AC225" s="44">
        <v>4</v>
      </c>
      <c r="AD225" s="44">
        <v>5</v>
      </c>
      <c r="AE225" s="44">
        <v>421</v>
      </c>
      <c r="AF225" s="44">
        <v>5</v>
      </c>
      <c r="AG225" s="44">
        <v>1</v>
      </c>
      <c r="AH225" s="44">
        <v>75</v>
      </c>
      <c r="AI225" s="44">
        <v>431</v>
      </c>
      <c r="AJ225" s="44">
        <v>0</v>
      </c>
      <c r="AK225" s="44">
        <v>0</v>
      </c>
      <c r="AL225" s="44">
        <v>80</v>
      </c>
      <c r="AM225" s="48"/>
      <c r="AN225" s="48"/>
      <c r="AO225" s="48"/>
      <c r="AP225" s="44">
        <v>97</v>
      </c>
      <c r="AQ225" s="44">
        <v>378</v>
      </c>
      <c r="AR225" s="51"/>
      <c r="AS225" s="51"/>
      <c r="AT225" s="51"/>
      <c r="AU225" s="51"/>
      <c r="AV225" s="43">
        <v>362</v>
      </c>
      <c r="AW225" s="50"/>
      <c r="AX225" s="50"/>
      <c r="AY225" s="50"/>
      <c r="AZ225" s="50"/>
      <c r="BA225" s="50"/>
      <c r="BB225" s="50"/>
      <c r="BC225" s="50"/>
      <c r="BD225" s="50"/>
      <c r="BE225" s="43">
        <v>329</v>
      </c>
      <c r="BF225" s="43">
        <v>147</v>
      </c>
      <c r="BG225" s="43">
        <v>382</v>
      </c>
      <c r="BH225" s="43">
        <v>108</v>
      </c>
      <c r="BI225" s="43">
        <v>372</v>
      </c>
      <c r="BJ225" s="43">
        <v>107</v>
      </c>
      <c r="BK225" s="43">
        <v>106</v>
      </c>
      <c r="BL225" s="43">
        <v>376</v>
      </c>
      <c r="BM225" s="43">
        <v>258</v>
      </c>
      <c r="BN225" s="43">
        <v>237</v>
      </c>
      <c r="BO225" s="43">
        <v>97</v>
      </c>
      <c r="BP225" s="43">
        <v>357</v>
      </c>
      <c r="BQ225" s="43">
        <v>395</v>
      </c>
      <c r="BR225" s="43">
        <v>70</v>
      </c>
      <c r="BS225" s="43">
        <v>372</v>
      </c>
      <c r="BT225" s="43">
        <v>272</v>
      </c>
      <c r="BU225" s="43">
        <v>182</v>
      </c>
      <c r="BV225" s="43">
        <v>333</v>
      </c>
      <c r="BW225" s="43">
        <v>207</v>
      </c>
      <c r="BX225" s="43">
        <v>160</v>
      </c>
      <c r="BY225" s="43">
        <v>316</v>
      </c>
      <c r="BZ225" s="43">
        <v>77</v>
      </c>
      <c r="CA225" s="43">
        <v>305</v>
      </c>
      <c r="CB225" s="43">
        <v>256</v>
      </c>
      <c r="CC225" s="43">
        <v>97</v>
      </c>
      <c r="CD225" s="43">
        <v>287</v>
      </c>
      <c r="CE225" s="43">
        <v>84</v>
      </c>
      <c r="CF225" s="43">
        <v>288</v>
      </c>
      <c r="CG225" s="43">
        <v>199</v>
      </c>
      <c r="CH225" s="43">
        <v>145</v>
      </c>
      <c r="CI225" s="43">
        <v>50</v>
      </c>
      <c r="CJ225" s="43">
        <v>330</v>
      </c>
      <c r="CK225" s="43">
        <v>213</v>
      </c>
      <c r="CL225" s="43">
        <v>137</v>
      </c>
      <c r="CM225" s="43">
        <v>289</v>
      </c>
      <c r="CN225" s="43">
        <v>287</v>
      </c>
      <c r="CO225" s="43">
        <v>84</v>
      </c>
      <c r="CP225" s="43">
        <v>275</v>
      </c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43"/>
      <c r="FZ225" s="43"/>
      <c r="GA225" s="53"/>
      <c r="GB225" s="53"/>
      <c r="GC225" s="53"/>
      <c r="GD225" s="53"/>
      <c r="GE225" s="53"/>
      <c r="GF225" s="53"/>
      <c r="GG225" s="53"/>
      <c r="GH225" s="53"/>
      <c r="GI225" s="43"/>
      <c r="GJ225" s="53"/>
      <c r="GK225" s="43"/>
      <c r="GL225" s="43"/>
      <c r="GM225" s="53"/>
      <c r="GN225" s="53"/>
      <c r="GO225" s="43">
        <v>392</v>
      </c>
      <c r="GP225" s="43">
        <v>119</v>
      </c>
      <c r="GQ225" s="43">
        <v>309</v>
      </c>
      <c r="GR225" s="43">
        <v>181</v>
      </c>
    </row>
    <row r="226" spans="1:200">
      <c r="A226" s="7">
        <v>3501</v>
      </c>
      <c r="B226" s="1" t="s">
        <v>354</v>
      </c>
      <c r="C226" s="33">
        <v>673</v>
      </c>
      <c r="D226" s="34">
        <v>563</v>
      </c>
      <c r="E226" s="19">
        <f t="shared" si="3"/>
        <v>0.83655274888558695</v>
      </c>
      <c r="F226" s="62">
        <v>211</v>
      </c>
      <c r="G226" s="43">
        <v>0</v>
      </c>
      <c r="H226" s="43">
        <v>14</v>
      </c>
      <c r="I226" s="43">
        <v>2</v>
      </c>
      <c r="J226" s="55">
        <v>307</v>
      </c>
      <c r="K226" s="6">
        <v>0</v>
      </c>
      <c r="L226" s="6">
        <v>0</v>
      </c>
      <c r="M226" s="43">
        <v>0</v>
      </c>
      <c r="N226" s="25">
        <v>0</v>
      </c>
      <c r="O226" s="43">
        <v>0</v>
      </c>
      <c r="P226" s="43">
        <v>0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  <c r="V226" s="43">
        <v>0</v>
      </c>
      <c r="W226" s="43">
        <v>2</v>
      </c>
      <c r="X226" s="43">
        <v>0</v>
      </c>
      <c r="Y226" s="43">
        <v>1</v>
      </c>
      <c r="Z226" s="43">
        <v>0</v>
      </c>
      <c r="AA226" s="44">
        <v>0</v>
      </c>
      <c r="AB226" s="44">
        <v>0</v>
      </c>
      <c r="AC226" s="44">
        <v>1</v>
      </c>
      <c r="AD226" s="44">
        <v>5</v>
      </c>
      <c r="AE226" s="44">
        <v>424</v>
      </c>
      <c r="AF226" s="44">
        <v>1</v>
      </c>
      <c r="AG226" s="44">
        <v>0</v>
      </c>
      <c r="AH226" s="44">
        <v>122</v>
      </c>
      <c r="AI226" s="44">
        <v>363</v>
      </c>
      <c r="AJ226" s="44">
        <v>0</v>
      </c>
      <c r="AK226" s="44">
        <v>0</v>
      </c>
      <c r="AL226" s="44">
        <v>183</v>
      </c>
      <c r="AM226" s="48"/>
      <c r="AN226" s="48"/>
      <c r="AO226" s="48"/>
      <c r="AP226" s="44"/>
      <c r="AQ226" s="44"/>
      <c r="AR226" s="43">
        <v>389</v>
      </c>
      <c r="AS226" s="43">
        <v>137</v>
      </c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43">
        <v>332</v>
      </c>
      <c r="BF226" s="43">
        <v>199</v>
      </c>
      <c r="BG226" s="43">
        <v>373</v>
      </c>
      <c r="BH226" s="43">
        <v>162</v>
      </c>
      <c r="BI226" s="43">
        <v>403</v>
      </c>
      <c r="BJ226" s="43">
        <v>121</v>
      </c>
      <c r="BK226" s="43">
        <v>193</v>
      </c>
      <c r="BL226" s="43">
        <v>328</v>
      </c>
      <c r="BM226" s="43">
        <v>334</v>
      </c>
      <c r="BN226" s="43">
        <v>181</v>
      </c>
      <c r="BO226" s="43">
        <v>156</v>
      </c>
      <c r="BP226" s="43">
        <v>355</v>
      </c>
      <c r="BQ226" s="43">
        <v>421</v>
      </c>
      <c r="BR226" s="43">
        <v>101</v>
      </c>
      <c r="BS226" s="43">
        <v>404</v>
      </c>
      <c r="BT226" s="43">
        <v>265</v>
      </c>
      <c r="BU226" s="43">
        <v>257</v>
      </c>
      <c r="BV226" s="43">
        <v>401</v>
      </c>
      <c r="BW226" s="43">
        <v>328</v>
      </c>
      <c r="BX226" s="43">
        <v>114</v>
      </c>
      <c r="BY226" s="43">
        <v>317</v>
      </c>
      <c r="BZ226" s="43">
        <v>159</v>
      </c>
      <c r="CA226" s="43">
        <v>368</v>
      </c>
      <c r="CB226" s="43">
        <v>324</v>
      </c>
      <c r="CC226" s="43">
        <v>117</v>
      </c>
      <c r="CD226" s="43">
        <v>276</v>
      </c>
      <c r="CE226" s="43">
        <v>159</v>
      </c>
      <c r="CF226" s="43">
        <v>299</v>
      </c>
      <c r="CG226" s="43">
        <v>333</v>
      </c>
      <c r="CH226" s="43">
        <v>108</v>
      </c>
      <c r="CI226" s="43">
        <v>91</v>
      </c>
      <c r="CJ226" s="43">
        <v>342</v>
      </c>
      <c r="CK226" s="43">
        <v>302</v>
      </c>
      <c r="CL226" s="43">
        <v>127</v>
      </c>
      <c r="CM226" s="43">
        <v>347</v>
      </c>
      <c r="CN226" s="43">
        <v>353</v>
      </c>
      <c r="CO226" s="43">
        <v>112</v>
      </c>
      <c r="CP226" s="43">
        <v>329</v>
      </c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43"/>
      <c r="FZ226" s="43"/>
      <c r="GA226" s="53"/>
      <c r="GB226" s="53"/>
      <c r="GC226" s="53"/>
      <c r="GD226" s="53"/>
      <c r="GE226" s="53"/>
      <c r="GF226" s="53"/>
      <c r="GG226" s="53"/>
      <c r="GH226" s="53"/>
      <c r="GI226" s="43"/>
      <c r="GJ226" s="53"/>
      <c r="GK226" s="43"/>
      <c r="GL226" s="43"/>
      <c r="GM226" s="53"/>
      <c r="GN226" s="53"/>
      <c r="GO226" s="43">
        <v>398</v>
      </c>
      <c r="GP226" s="43">
        <v>130</v>
      </c>
      <c r="GQ226" s="43">
        <v>398</v>
      </c>
      <c r="GR226" s="43">
        <v>131</v>
      </c>
    </row>
    <row r="227" spans="1:200">
      <c r="A227" s="7">
        <v>3502</v>
      </c>
      <c r="B227" s="1" t="s">
        <v>355</v>
      </c>
      <c r="C227" s="33">
        <v>1125</v>
      </c>
      <c r="D227" s="34">
        <v>924</v>
      </c>
      <c r="E227" s="19">
        <f t="shared" si="3"/>
        <v>0.82133333333333336</v>
      </c>
      <c r="F227" s="62">
        <v>273</v>
      </c>
      <c r="G227" s="43">
        <v>0</v>
      </c>
      <c r="H227" s="43">
        <v>28</v>
      </c>
      <c r="I227" s="43">
        <v>5</v>
      </c>
      <c r="J227" s="55">
        <v>576</v>
      </c>
      <c r="K227" s="6">
        <v>0</v>
      </c>
      <c r="L227" s="6">
        <v>0</v>
      </c>
      <c r="M227" s="43">
        <v>0</v>
      </c>
      <c r="N227" s="25">
        <v>0</v>
      </c>
      <c r="O227" s="43">
        <v>0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  <c r="V227" s="43">
        <v>0</v>
      </c>
      <c r="W227" s="43">
        <v>5</v>
      </c>
      <c r="X227" s="43">
        <v>0</v>
      </c>
      <c r="Y227" s="43">
        <v>0</v>
      </c>
      <c r="Z227" s="43">
        <v>0</v>
      </c>
      <c r="AA227" s="44">
        <v>0</v>
      </c>
      <c r="AB227" s="44">
        <v>0</v>
      </c>
      <c r="AC227" s="44">
        <v>4</v>
      </c>
      <c r="AD227" s="44">
        <v>5</v>
      </c>
      <c r="AE227" s="44">
        <v>735</v>
      </c>
      <c r="AF227" s="44">
        <v>3</v>
      </c>
      <c r="AG227" s="44">
        <v>0</v>
      </c>
      <c r="AH227" s="44">
        <v>164</v>
      </c>
      <c r="AI227" s="44">
        <v>675</v>
      </c>
      <c r="AJ227" s="44">
        <v>0</v>
      </c>
      <c r="AK227" s="44">
        <v>0</v>
      </c>
      <c r="AL227" s="44">
        <v>227</v>
      </c>
      <c r="AM227" s="48"/>
      <c r="AN227" s="48"/>
      <c r="AO227" s="48"/>
      <c r="AP227" s="44"/>
      <c r="AQ227" s="44"/>
      <c r="AR227" s="43">
        <v>667</v>
      </c>
      <c r="AS227" s="43">
        <v>200</v>
      </c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43">
        <v>618</v>
      </c>
      <c r="BF227" s="43">
        <v>255</v>
      </c>
      <c r="BG227" s="43">
        <v>669</v>
      </c>
      <c r="BH227" s="43">
        <v>214</v>
      </c>
      <c r="BI227" s="43">
        <v>702</v>
      </c>
      <c r="BJ227" s="43">
        <v>174</v>
      </c>
      <c r="BK227" s="43">
        <v>260</v>
      </c>
      <c r="BL227" s="43">
        <v>615</v>
      </c>
      <c r="BM227" s="43">
        <v>611</v>
      </c>
      <c r="BN227" s="43">
        <v>241</v>
      </c>
      <c r="BO227" s="43">
        <v>191</v>
      </c>
      <c r="BP227" s="43">
        <v>658</v>
      </c>
      <c r="BQ227" s="43">
        <v>726</v>
      </c>
      <c r="BR227" s="43">
        <v>154</v>
      </c>
      <c r="BS227" s="43">
        <v>685</v>
      </c>
      <c r="BT227" s="43">
        <v>476</v>
      </c>
      <c r="BU227" s="43">
        <v>388</v>
      </c>
      <c r="BV227" s="43">
        <v>674</v>
      </c>
      <c r="BW227" s="43">
        <v>567</v>
      </c>
      <c r="BX227" s="43">
        <v>180</v>
      </c>
      <c r="BY227" s="43">
        <v>603</v>
      </c>
      <c r="BZ227" s="43">
        <v>208</v>
      </c>
      <c r="CA227" s="43">
        <v>631</v>
      </c>
      <c r="CB227" s="43">
        <v>596</v>
      </c>
      <c r="CC227" s="43">
        <v>167</v>
      </c>
      <c r="CD227" s="43">
        <v>470</v>
      </c>
      <c r="CE227" s="43">
        <v>208</v>
      </c>
      <c r="CF227" s="43">
        <v>545</v>
      </c>
      <c r="CG227" s="43">
        <v>616</v>
      </c>
      <c r="CH227" s="43">
        <v>135</v>
      </c>
      <c r="CI227" s="43">
        <v>117</v>
      </c>
      <c r="CJ227" s="43">
        <v>610</v>
      </c>
      <c r="CK227" s="43">
        <v>530</v>
      </c>
      <c r="CL227" s="43">
        <v>186</v>
      </c>
      <c r="CM227" s="43">
        <v>593</v>
      </c>
      <c r="CN227" s="43">
        <v>595</v>
      </c>
      <c r="CO227" s="43">
        <v>143</v>
      </c>
      <c r="CP227" s="43">
        <v>580</v>
      </c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43"/>
      <c r="FZ227" s="43"/>
      <c r="GA227" s="53"/>
      <c r="GB227" s="53"/>
      <c r="GC227" s="53"/>
      <c r="GD227" s="53"/>
      <c r="GE227" s="53"/>
      <c r="GF227" s="53"/>
      <c r="GG227" s="53"/>
      <c r="GH227" s="53"/>
      <c r="GI227" s="43"/>
      <c r="GJ227" s="53"/>
      <c r="GK227" s="43"/>
      <c r="GL227" s="43"/>
      <c r="GM227" s="53"/>
      <c r="GN227" s="53"/>
      <c r="GO227" s="43">
        <v>637</v>
      </c>
      <c r="GP227" s="43">
        <v>230</v>
      </c>
      <c r="GQ227" s="43">
        <v>678</v>
      </c>
      <c r="GR227" s="43">
        <v>198</v>
      </c>
    </row>
    <row r="228" spans="1:200">
      <c r="A228" s="7">
        <v>3503</v>
      </c>
      <c r="B228" s="1" t="s">
        <v>356</v>
      </c>
      <c r="C228" s="33">
        <v>868</v>
      </c>
      <c r="D228" s="34">
        <v>703</v>
      </c>
      <c r="E228" s="19">
        <f t="shared" si="3"/>
        <v>0.80990783410138245</v>
      </c>
      <c r="F228" s="62">
        <v>273</v>
      </c>
      <c r="G228" s="43">
        <v>2</v>
      </c>
      <c r="H228" s="43">
        <v>20</v>
      </c>
      <c r="I228" s="43">
        <v>4</v>
      </c>
      <c r="J228" s="55">
        <v>375</v>
      </c>
      <c r="K228" s="6">
        <v>0</v>
      </c>
      <c r="L228" s="6">
        <v>0</v>
      </c>
      <c r="M228" s="43">
        <v>0</v>
      </c>
      <c r="N228" s="25">
        <v>0</v>
      </c>
      <c r="O228" s="43">
        <v>0</v>
      </c>
      <c r="P228" s="43">
        <v>0</v>
      </c>
      <c r="Q228" s="43">
        <v>0</v>
      </c>
      <c r="R228" s="43">
        <v>0</v>
      </c>
      <c r="S228" s="43">
        <v>0</v>
      </c>
      <c r="T228" s="43">
        <v>0</v>
      </c>
      <c r="U228" s="43">
        <v>0</v>
      </c>
      <c r="V228" s="43">
        <v>0</v>
      </c>
      <c r="W228" s="43">
        <v>4</v>
      </c>
      <c r="X228" s="43">
        <v>0</v>
      </c>
      <c r="Y228" s="43">
        <v>0</v>
      </c>
      <c r="Z228" s="43">
        <v>0</v>
      </c>
      <c r="AA228" s="44">
        <v>0</v>
      </c>
      <c r="AB228" s="44">
        <v>0</v>
      </c>
      <c r="AC228" s="44">
        <v>2</v>
      </c>
      <c r="AD228" s="44">
        <v>4</v>
      </c>
      <c r="AE228" s="44">
        <v>520</v>
      </c>
      <c r="AF228" s="44">
        <v>1</v>
      </c>
      <c r="AG228" s="44">
        <v>0</v>
      </c>
      <c r="AH228" s="44">
        <v>164</v>
      </c>
      <c r="AI228" s="44">
        <v>465</v>
      </c>
      <c r="AJ228" s="44">
        <v>0</v>
      </c>
      <c r="AK228" s="44">
        <v>0</v>
      </c>
      <c r="AL228" s="44">
        <v>218</v>
      </c>
      <c r="AM228" s="48"/>
      <c r="AN228" s="48"/>
      <c r="AO228" s="48"/>
      <c r="AP228" s="44"/>
      <c r="AQ228" s="44"/>
      <c r="AR228" s="43">
        <v>469</v>
      </c>
      <c r="AS228" s="43">
        <v>187</v>
      </c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43">
        <v>416</v>
      </c>
      <c r="BF228" s="43">
        <v>245</v>
      </c>
      <c r="BG228" s="43">
        <v>445</v>
      </c>
      <c r="BH228" s="43">
        <v>217</v>
      </c>
      <c r="BI228" s="43">
        <v>473</v>
      </c>
      <c r="BJ228" s="43">
        <v>178</v>
      </c>
      <c r="BK228" s="43">
        <v>267</v>
      </c>
      <c r="BL228" s="43">
        <v>392</v>
      </c>
      <c r="BM228" s="43">
        <v>412</v>
      </c>
      <c r="BN228" s="43">
        <v>239</v>
      </c>
      <c r="BO228" s="43">
        <v>203</v>
      </c>
      <c r="BP228" s="43">
        <v>446</v>
      </c>
      <c r="BQ228" s="43">
        <v>504</v>
      </c>
      <c r="BR228" s="43">
        <v>154</v>
      </c>
      <c r="BS228" s="43">
        <v>511</v>
      </c>
      <c r="BT228" s="43">
        <v>314</v>
      </c>
      <c r="BU228" s="43">
        <v>351</v>
      </c>
      <c r="BV228" s="43">
        <v>504</v>
      </c>
      <c r="BW228" s="43">
        <v>399</v>
      </c>
      <c r="BX228" s="43">
        <v>167</v>
      </c>
      <c r="BY228" s="43">
        <v>427</v>
      </c>
      <c r="BZ228" s="43">
        <v>172</v>
      </c>
      <c r="CA228" s="43">
        <v>465</v>
      </c>
      <c r="CB228" s="43">
        <v>420</v>
      </c>
      <c r="CC228" s="43">
        <v>155</v>
      </c>
      <c r="CD228" s="43">
        <v>388</v>
      </c>
      <c r="CE228" s="43">
        <v>218</v>
      </c>
      <c r="CF228" s="43">
        <v>341</v>
      </c>
      <c r="CG228" s="43">
        <v>420</v>
      </c>
      <c r="CH228" s="43">
        <v>136</v>
      </c>
      <c r="CI228" s="43">
        <v>97</v>
      </c>
      <c r="CJ228" s="43">
        <v>444</v>
      </c>
      <c r="CK228" s="43">
        <v>388</v>
      </c>
      <c r="CL228" s="43">
        <v>146</v>
      </c>
      <c r="CM228" s="43">
        <v>434</v>
      </c>
      <c r="CN228" s="43">
        <v>437</v>
      </c>
      <c r="CO228" s="43">
        <v>136</v>
      </c>
      <c r="CP228" s="43">
        <v>405</v>
      </c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43"/>
      <c r="FZ228" s="43"/>
      <c r="GA228" s="53"/>
      <c r="GB228" s="53"/>
      <c r="GC228" s="53"/>
      <c r="GD228" s="53"/>
      <c r="GE228" s="53"/>
      <c r="GF228" s="53"/>
      <c r="GG228" s="53"/>
      <c r="GH228" s="53"/>
      <c r="GI228" s="43"/>
      <c r="GJ228" s="53"/>
      <c r="GK228" s="43"/>
      <c r="GL228" s="43"/>
      <c r="GM228" s="53"/>
      <c r="GN228" s="53"/>
      <c r="GO228" s="43">
        <v>503</v>
      </c>
      <c r="GP228" s="43">
        <v>167</v>
      </c>
      <c r="GQ228" s="43">
        <v>503</v>
      </c>
      <c r="GR228" s="43">
        <v>160</v>
      </c>
    </row>
    <row r="229" spans="1:200">
      <c r="A229" s="7">
        <v>3504</v>
      </c>
      <c r="B229" s="1" t="s">
        <v>357</v>
      </c>
      <c r="C229" s="33">
        <v>715</v>
      </c>
      <c r="D229" s="34">
        <v>589</v>
      </c>
      <c r="E229" s="19">
        <f t="shared" si="3"/>
        <v>0.82377622377622373</v>
      </c>
      <c r="F229" s="62">
        <v>198</v>
      </c>
      <c r="G229" s="43">
        <v>0</v>
      </c>
      <c r="H229" s="43">
        <v>14</v>
      </c>
      <c r="I229" s="43">
        <v>3</v>
      </c>
      <c r="J229" s="55">
        <v>337</v>
      </c>
      <c r="K229" s="6">
        <v>0</v>
      </c>
      <c r="L229" s="6">
        <v>0</v>
      </c>
      <c r="M229" s="43">
        <v>0</v>
      </c>
      <c r="N229" s="25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  <c r="V229" s="43">
        <v>0</v>
      </c>
      <c r="W229" s="43">
        <v>2</v>
      </c>
      <c r="X229" s="43">
        <v>0</v>
      </c>
      <c r="Y229" s="43">
        <v>0</v>
      </c>
      <c r="Z229" s="43">
        <v>0</v>
      </c>
      <c r="AA229" s="44">
        <v>0</v>
      </c>
      <c r="AB229" s="44">
        <v>0</v>
      </c>
      <c r="AC229" s="44">
        <v>7</v>
      </c>
      <c r="AD229" s="44">
        <v>2</v>
      </c>
      <c r="AE229" s="44">
        <v>478</v>
      </c>
      <c r="AF229" s="44">
        <v>2</v>
      </c>
      <c r="AG229" s="44">
        <v>0</v>
      </c>
      <c r="AH229" s="44">
        <v>86</v>
      </c>
      <c r="AI229" s="44">
        <v>436</v>
      </c>
      <c r="AJ229" s="44">
        <v>0</v>
      </c>
      <c r="AK229" s="44">
        <v>0</v>
      </c>
      <c r="AL229" s="44">
        <v>137</v>
      </c>
      <c r="AM229" s="48"/>
      <c r="AN229" s="48"/>
      <c r="AO229" s="48"/>
      <c r="AP229" s="44"/>
      <c r="AQ229" s="44"/>
      <c r="AR229" s="43">
        <v>444</v>
      </c>
      <c r="AS229" s="43">
        <v>110</v>
      </c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43">
        <v>400</v>
      </c>
      <c r="BF229" s="43">
        <v>159</v>
      </c>
      <c r="BG229" s="43">
        <v>425</v>
      </c>
      <c r="BH229" s="43">
        <v>131</v>
      </c>
      <c r="BI229" s="43">
        <v>439</v>
      </c>
      <c r="BJ229" s="43">
        <v>105</v>
      </c>
      <c r="BK229" s="43">
        <v>172</v>
      </c>
      <c r="BL229" s="43">
        <v>381</v>
      </c>
      <c r="BM229" s="43">
        <v>377</v>
      </c>
      <c r="BN229" s="43">
        <v>171</v>
      </c>
      <c r="BO229" s="43">
        <v>136</v>
      </c>
      <c r="BP229" s="43">
        <v>410</v>
      </c>
      <c r="BQ229" s="43">
        <v>467</v>
      </c>
      <c r="BR229" s="43">
        <v>87</v>
      </c>
      <c r="BS229" s="43">
        <v>447</v>
      </c>
      <c r="BT229" s="43">
        <v>299</v>
      </c>
      <c r="BU229" s="43">
        <v>268</v>
      </c>
      <c r="BV229" s="43">
        <v>432</v>
      </c>
      <c r="BW229" s="43">
        <v>370</v>
      </c>
      <c r="BX229" s="43">
        <v>105</v>
      </c>
      <c r="BY229" s="43">
        <v>359</v>
      </c>
      <c r="BZ229" s="43">
        <v>137</v>
      </c>
      <c r="CA229" s="43">
        <v>418</v>
      </c>
      <c r="CB229" s="43">
        <v>371</v>
      </c>
      <c r="CC229" s="43">
        <v>113</v>
      </c>
      <c r="CD229" s="43">
        <v>325</v>
      </c>
      <c r="CE229" s="43">
        <v>122</v>
      </c>
      <c r="CF229" s="43">
        <v>367</v>
      </c>
      <c r="CG229" s="43">
        <v>394</v>
      </c>
      <c r="CH229" s="43">
        <v>86</v>
      </c>
      <c r="CI229" s="43">
        <v>51</v>
      </c>
      <c r="CJ229" s="43">
        <v>412</v>
      </c>
      <c r="CK229" s="43">
        <v>341</v>
      </c>
      <c r="CL229" s="43">
        <v>117</v>
      </c>
      <c r="CM229" s="43">
        <v>387</v>
      </c>
      <c r="CN229" s="43">
        <v>386</v>
      </c>
      <c r="CO229" s="43">
        <v>77</v>
      </c>
      <c r="CP229" s="43">
        <v>389</v>
      </c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43"/>
      <c r="FZ229" s="43"/>
      <c r="GA229" s="53"/>
      <c r="GB229" s="53"/>
      <c r="GC229" s="43">
        <v>13</v>
      </c>
      <c r="GD229" s="43">
        <v>26</v>
      </c>
      <c r="GE229" s="53"/>
      <c r="GF229" s="53"/>
      <c r="GG229" s="53"/>
      <c r="GH229" s="53"/>
      <c r="GI229" s="43"/>
      <c r="GJ229" s="53"/>
      <c r="GK229" s="43"/>
      <c r="GL229" s="43"/>
      <c r="GM229" s="53"/>
      <c r="GN229" s="53"/>
      <c r="GO229" s="43">
        <v>389</v>
      </c>
      <c r="GP229" s="43">
        <v>172</v>
      </c>
      <c r="GQ229" s="43">
        <v>403</v>
      </c>
      <c r="GR229" s="43">
        <v>163</v>
      </c>
    </row>
    <row r="230" spans="1:200">
      <c r="A230" s="7">
        <v>3505</v>
      </c>
      <c r="B230" s="1" t="s">
        <v>358</v>
      </c>
      <c r="C230" s="33">
        <v>993</v>
      </c>
      <c r="D230" s="34">
        <v>770</v>
      </c>
      <c r="E230" s="19">
        <f t="shared" si="3"/>
        <v>0.77542799597180256</v>
      </c>
      <c r="F230" s="62">
        <v>294</v>
      </c>
      <c r="G230" s="43">
        <v>0</v>
      </c>
      <c r="H230" s="43">
        <v>23</v>
      </c>
      <c r="I230" s="43">
        <v>6</v>
      </c>
      <c r="J230" s="55">
        <v>412</v>
      </c>
      <c r="K230" s="6">
        <v>0</v>
      </c>
      <c r="L230" s="6">
        <v>0</v>
      </c>
      <c r="M230" s="43">
        <v>1</v>
      </c>
      <c r="N230" s="25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  <c r="V230" s="43">
        <v>0</v>
      </c>
      <c r="W230" s="43">
        <v>4</v>
      </c>
      <c r="X230" s="43">
        <v>0</v>
      </c>
      <c r="Y230" s="43">
        <v>0</v>
      </c>
      <c r="Z230" s="43">
        <v>0</v>
      </c>
      <c r="AA230" s="44">
        <v>0</v>
      </c>
      <c r="AB230" s="44">
        <v>0</v>
      </c>
      <c r="AC230" s="44">
        <v>2</v>
      </c>
      <c r="AD230" s="44">
        <v>4</v>
      </c>
      <c r="AE230" s="44">
        <v>578</v>
      </c>
      <c r="AF230" s="44">
        <v>3</v>
      </c>
      <c r="AG230" s="44">
        <v>0</v>
      </c>
      <c r="AH230" s="44">
        <v>160</v>
      </c>
      <c r="AI230" s="44">
        <v>522</v>
      </c>
      <c r="AJ230" s="44">
        <v>0</v>
      </c>
      <c r="AK230" s="44">
        <v>0</v>
      </c>
      <c r="AL230" s="44">
        <v>221</v>
      </c>
      <c r="AM230" s="48"/>
      <c r="AN230" s="48"/>
      <c r="AO230" s="48"/>
      <c r="AP230" s="44"/>
      <c r="AQ230" s="44"/>
      <c r="AR230" s="43">
        <v>541</v>
      </c>
      <c r="AS230" s="43">
        <v>190</v>
      </c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43">
        <v>478</v>
      </c>
      <c r="BF230" s="43">
        <v>244</v>
      </c>
      <c r="BG230" s="43">
        <v>507</v>
      </c>
      <c r="BH230" s="43">
        <v>216</v>
      </c>
      <c r="BI230" s="43">
        <v>527</v>
      </c>
      <c r="BJ230" s="43">
        <v>190</v>
      </c>
      <c r="BK230" s="43">
        <v>258</v>
      </c>
      <c r="BL230" s="43">
        <v>459</v>
      </c>
      <c r="BM230" s="43">
        <v>457</v>
      </c>
      <c r="BN230" s="43">
        <v>251</v>
      </c>
      <c r="BO230" s="43">
        <v>202</v>
      </c>
      <c r="BP230" s="43">
        <v>503</v>
      </c>
      <c r="BQ230" s="43">
        <v>556</v>
      </c>
      <c r="BR230" s="43">
        <v>162</v>
      </c>
      <c r="BS230" s="43">
        <v>571</v>
      </c>
      <c r="BT230" s="43">
        <v>367</v>
      </c>
      <c r="BU230" s="43">
        <v>340</v>
      </c>
      <c r="BV230" s="43">
        <v>575</v>
      </c>
      <c r="BW230" s="43">
        <v>475</v>
      </c>
      <c r="BX230" s="43">
        <v>150</v>
      </c>
      <c r="BY230" s="43">
        <v>460</v>
      </c>
      <c r="BZ230" s="43">
        <v>206</v>
      </c>
      <c r="CA230" s="43">
        <v>542</v>
      </c>
      <c r="CB230" s="43">
        <v>425</v>
      </c>
      <c r="CC230" s="43">
        <v>190</v>
      </c>
      <c r="CD230" s="43">
        <v>426</v>
      </c>
      <c r="CE230" s="43">
        <v>216</v>
      </c>
      <c r="CF230" s="43">
        <v>406</v>
      </c>
      <c r="CG230" s="43">
        <v>439</v>
      </c>
      <c r="CH230" s="43">
        <v>153</v>
      </c>
      <c r="CI230" s="43">
        <v>121</v>
      </c>
      <c r="CJ230" s="43">
        <v>476</v>
      </c>
      <c r="CK230" s="43">
        <v>421</v>
      </c>
      <c r="CL230" s="43">
        <v>160</v>
      </c>
      <c r="CM230" s="43">
        <v>508</v>
      </c>
      <c r="CN230" s="43">
        <v>514</v>
      </c>
      <c r="CO230" s="43">
        <v>168</v>
      </c>
      <c r="CP230" s="43">
        <v>436</v>
      </c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43"/>
      <c r="FZ230" s="43"/>
      <c r="GA230" s="53"/>
      <c r="GB230" s="53"/>
      <c r="GC230" s="53"/>
      <c r="GD230" s="53"/>
      <c r="GE230" s="53"/>
      <c r="GF230" s="53"/>
      <c r="GG230" s="53"/>
      <c r="GH230" s="53"/>
      <c r="GI230" s="43"/>
      <c r="GJ230" s="53"/>
      <c r="GK230" s="43"/>
      <c r="GL230" s="43"/>
      <c r="GM230" s="53"/>
      <c r="GN230" s="53"/>
      <c r="GO230" s="43">
        <v>501</v>
      </c>
      <c r="GP230" s="43">
        <v>215</v>
      </c>
      <c r="GQ230" s="43">
        <v>551</v>
      </c>
      <c r="GR230" s="43">
        <v>172</v>
      </c>
    </row>
    <row r="231" spans="1:200">
      <c r="A231" s="7">
        <v>3506</v>
      </c>
      <c r="B231" s="1" t="s">
        <v>359</v>
      </c>
      <c r="C231" s="33">
        <v>674</v>
      </c>
      <c r="D231" s="34">
        <v>547</v>
      </c>
      <c r="E231" s="19">
        <f t="shared" si="3"/>
        <v>0.81157270029673589</v>
      </c>
      <c r="F231" s="62">
        <v>181</v>
      </c>
      <c r="G231" s="43">
        <v>0</v>
      </c>
      <c r="H231" s="43">
        <v>17</v>
      </c>
      <c r="I231" s="43">
        <v>1</v>
      </c>
      <c r="J231" s="55">
        <v>328</v>
      </c>
      <c r="K231" s="6">
        <v>0</v>
      </c>
      <c r="L231" s="6">
        <v>0</v>
      </c>
      <c r="M231" s="43">
        <v>0</v>
      </c>
      <c r="N231" s="25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  <c r="V231" s="43">
        <v>0</v>
      </c>
      <c r="W231" s="43">
        <v>1</v>
      </c>
      <c r="X231" s="43">
        <v>0</v>
      </c>
      <c r="Y231" s="43">
        <v>0</v>
      </c>
      <c r="Z231" s="43">
        <v>0</v>
      </c>
      <c r="AA231" s="44">
        <v>0</v>
      </c>
      <c r="AB231" s="44">
        <v>0</v>
      </c>
      <c r="AC231" s="44">
        <v>0</v>
      </c>
      <c r="AD231" s="44">
        <v>8</v>
      </c>
      <c r="AE231" s="44">
        <v>438</v>
      </c>
      <c r="AF231" s="44">
        <v>1</v>
      </c>
      <c r="AG231" s="44">
        <v>0</v>
      </c>
      <c r="AH231" s="44">
        <v>91</v>
      </c>
      <c r="AI231" s="44">
        <v>386</v>
      </c>
      <c r="AJ231" s="44">
        <v>0</v>
      </c>
      <c r="AK231" s="44">
        <v>0</v>
      </c>
      <c r="AL231" s="44">
        <v>146</v>
      </c>
      <c r="AM231" s="48"/>
      <c r="AN231" s="48"/>
      <c r="AO231" s="48"/>
      <c r="AP231" s="44"/>
      <c r="AQ231" s="44"/>
      <c r="AR231" s="43">
        <v>400</v>
      </c>
      <c r="AS231" s="43">
        <v>122</v>
      </c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43">
        <v>367</v>
      </c>
      <c r="BF231" s="43">
        <v>157</v>
      </c>
      <c r="BG231" s="43">
        <v>391</v>
      </c>
      <c r="BH231" s="43">
        <v>134</v>
      </c>
      <c r="BI231" s="43">
        <v>408</v>
      </c>
      <c r="BJ231" s="43">
        <v>115</v>
      </c>
      <c r="BK231" s="43">
        <v>168</v>
      </c>
      <c r="BL231" s="43">
        <v>357</v>
      </c>
      <c r="BM231" s="43">
        <v>353</v>
      </c>
      <c r="BN231" s="43">
        <v>161</v>
      </c>
      <c r="BO231" s="43">
        <v>123</v>
      </c>
      <c r="BP231" s="43">
        <v>391</v>
      </c>
      <c r="BQ231" s="43">
        <v>422</v>
      </c>
      <c r="BR231" s="43">
        <v>96</v>
      </c>
      <c r="BS231" s="43">
        <v>414</v>
      </c>
      <c r="BT231" s="43">
        <v>264</v>
      </c>
      <c r="BU231" s="43">
        <v>265</v>
      </c>
      <c r="BV231" s="43">
        <v>417</v>
      </c>
      <c r="BW231" s="43">
        <v>332</v>
      </c>
      <c r="BX231" s="43">
        <v>117</v>
      </c>
      <c r="BY231" s="43">
        <v>332</v>
      </c>
      <c r="BZ231" s="43">
        <v>136</v>
      </c>
      <c r="CA231" s="43">
        <v>394</v>
      </c>
      <c r="CB231" s="43">
        <v>333</v>
      </c>
      <c r="CC231" s="43">
        <v>110</v>
      </c>
      <c r="CD231" s="43">
        <v>301</v>
      </c>
      <c r="CE231" s="43">
        <v>143</v>
      </c>
      <c r="CF231" s="43">
        <v>307</v>
      </c>
      <c r="CG231" s="43">
        <v>334</v>
      </c>
      <c r="CH231" s="43">
        <v>107</v>
      </c>
      <c r="CI231" s="43">
        <v>64</v>
      </c>
      <c r="CJ231" s="43">
        <v>374</v>
      </c>
      <c r="CK231" s="43">
        <v>316</v>
      </c>
      <c r="CL231" s="43">
        <v>108</v>
      </c>
      <c r="CM231" s="43">
        <v>370</v>
      </c>
      <c r="CN231" s="43">
        <v>371</v>
      </c>
      <c r="CO231" s="43">
        <v>74</v>
      </c>
      <c r="CP231" s="43">
        <v>367</v>
      </c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43"/>
      <c r="FZ231" s="43"/>
      <c r="GA231" s="53"/>
      <c r="GB231" s="53"/>
      <c r="GC231" s="53"/>
      <c r="GD231" s="53"/>
      <c r="GE231" s="53"/>
      <c r="GF231" s="53"/>
      <c r="GG231" s="53"/>
      <c r="GH231" s="53"/>
      <c r="GI231" s="43"/>
      <c r="GJ231" s="53"/>
      <c r="GK231" s="43"/>
      <c r="GL231" s="43"/>
      <c r="GM231" s="53"/>
      <c r="GN231" s="53"/>
      <c r="GO231" s="43">
        <v>391</v>
      </c>
      <c r="GP231" s="43">
        <v>129</v>
      </c>
      <c r="GQ231" s="43">
        <v>392</v>
      </c>
      <c r="GR231" s="43">
        <v>132</v>
      </c>
    </row>
    <row r="232" spans="1:200">
      <c r="A232" s="7">
        <v>3701</v>
      </c>
      <c r="B232" s="1" t="s">
        <v>360</v>
      </c>
      <c r="C232" s="33">
        <v>760</v>
      </c>
      <c r="D232" s="34">
        <v>630</v>
      </c>
      <c r="E232" s="19">
        <f t="shared" si="3"/>
        <v>0.82894736842105265</v>
      </c>
      <c r="F232" s="62">
        <v>241</v>
      </c>
      <c r="G232" s="43">
        <v>0</v>
      </c>
      <c r="H232" s="43">
        <v>38</v>
      </c>
      <c r="I232" s="43">
        <v>5</v>
      </c>
      <c r="J232" s="55">
        <v>329</v>
      </c>
      <c r="K232" s="6">
        <v>0</v>
      </c>
      <c r="L232" s="6">
        <v>0</v>
      </c>
      <c r="M232" s="43">
        <v>0</v>
      </c>
      <c r="N232" s="25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  <c r="V232" s="43">
        <v>0</v>
      </c>
      <c r="W232" s="43">
        <v>1</v>
      </c>
      <c r="X232" s="43">
        <v>0</v>
      </c>
      <c r="Y232" s="43">
        <v>0</v>
      </c>
      <c r="Z232" s="43">
        <v>0</v>
      </c>
      <c r="AA232" s="44">
        <v>0</v>
      </c>
      <c r="AB232" s="44">
        <v>0</v>
      </c>
      <c r="AC232" s="44">
        <v>3</v>
      </c>
      <c r="AD232" s="44">
        <v>6</v>
      </c>
      <c r="AE232" s="44">
        <v>431</v>
      </c>
      <c r="AF232" s="44">
        <v>4</v>
      </c>
      <c r="AG232" s="44">
        <v>0</v>
      </c>
      <c r="AH232" s="44">
        <v>171</v>
      </c>
      <c r="AI232" s="32"/>
      <c r="AJ232" s="32"/>
      <c r="AK232" s="32"/>
      <c r="AL232" s="32"/>
      <c r="AM232" s="44">
        <v>16</v>
      </c>
      <c r="AN232" s="44">
        <v>155</v>
      </c>
      <c r="AO232" s="44">
        <v>440</v>
      </c>
      <c r="AP232" s="44"/>
      <c r="AQ232" s="44"/>
      <c r="AR232" s="43">
        <v>419</v>
      </c>
      <c r="AS232" s="43">
        <v>181</v>
      </c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43">
        <v>352</v>
      </c>
      <c r="BF232" s="43">
        <v>231</v>
      </c>
      <c r="BG232" s="43">
        <v>401</v>
      </c>
      <c r="BH232" s="43">
        <v>195</v>
      </c>
      <c r="BI232" s="43">
        <v>411</v>
      </c>
      <c r="BJ232" s="43">
        <v>170</v>
      </c>
      <c r="BK232" s="43">
        <v>218</v>
      </c>
      <c r="BL232" s="43">
        <v>364</v>
      </c>
      <c r="BM232" s="43">
        <v>323</v>
      </c>
      <c r="BN232" s="43">
        <v>255</v>
      </c>
      <c r="BO232" s="43">
        <v>191</v>
      </c>
      <c r="BP232" s="43">
        <v>373</v>
      </c>
      <c r="BQ232" s="43">
        <v>421</v>
      </c>
      <c r="BR232" s="43">
        <v>148</v>
      </c>
      <c r="BS232" s="43">
        <v>443</v>
      </c>
      <c r="BT232" s="43">
        <v>299</v>
      </c>
      <c r="BU232" s="43">
        <v>270</v>
      </c>
      <c r="BV232" s="43">
        <v>405</v>
      </c>
      <c r="BW232" s="43">
        <v>302</v>
      </c>
      <c r="BX232" s="43">
        <v>154</v>
      </c>
      <c r="BY232" s="43">
        <v>326</v>
      </c>
      <c r="BZ232" s="43">
        <v>174</v>
      </c>
      <c r="CA232" s="43">
        <v>366</v>
      </c>
      <c r="CB232" s="43">
        <v>278</v>
      </c>
      <c r="CC232" s="43">
        <v>161</v>
      </c>
      <c r="CD232" s="43">
        <v>334</v>
      </c>
      <c r="CE232" s="43">
        <v>173</v>
      </c>
      <c r="CF232" s="43">
        <v>286</v>
      </c>
      <c r="CG232" s="43">
        <v>276</v>
      </c>
      <c r="CH232" s="43">
        <v>131</v>
      </c>
      <c r="CI232" s="43">
        <v>112</v>
      </c>
      <c r="CJ232" s="43">
        <v>325</v>
      </c>
      <c r="CK232" s="43">
        <v>270</v>
      </c>
      <c r="CL232" s="43">
        <v>144</v>
      </c>
      <c r="CM232" s="43">
        <v>353</v>
      </c>
      <c r="CN232" s="43">
        <v>350</v>
      </c>
      <c r="CO232" s="43">
        <v>139</v>
      </c>
      <c r="CP232" s="43">
        <v>285</v>
      </c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43"/>
      <c r="FZ232" s="43"/>
      <c r="GA232" s="53"/>
      <c r="GB232" s="53"/>
      <c r="GC232" s="53"/>
      <c r="GD232" s="53"/>
      <c r="GE232" s="53"/>
      <c r="GF232" s="53"/>
      <c r="GG232" s="53"/>
      <c r="GH232" s="53"/>
      <c r="GI232" s="43">
        <v>49</v>
      </c>
      <c r="GJ232" s="43">
        <v>36</v>
      </c>
      <c r="GK232" s="43"/>
      <c r="GL232" s="43"/>
      <c r="GM232" s="53"/>
      <c r="GN232" s="53"/>
      <c r="GO232" s="43">
        <v>435</v>
      </c>
      <c r="GP232" s="43">
        <v>169</v>
      </c>
      <c r="GQ232" s="43">
        <v>444</v>
      </c>
      <c r="GR232" s="43">
        <v>157</v>
      </c>
    </row>
    <row r="233" spans="1:200">
      <c r="A233" s="7">
        <v>3702</v>
      </c>
      <c r="B233" s="1" t="s">
        <v>361</v>
      </c>
      <c r="C233" s="33">
        <v>1308</v>
      </c>
      <c r="D233" s="34">
        <v>878</v>
      </c>
      <c r="E233" s="19">
        <f t="shared" si="3"/>
        <v>0.67125382262996947</v>
      </c>
      <c r="F233" s="62">
        <v>317</v>
      </c>
      <c r="G233" s="43">
        <v>1</v>
      </c>
      <c r="H233" s="43">
        <v>29</v>
      </c>
      <c r="I233" s="43">
        <v>8</v>
      </c>
      <c r="J233" s="55">
        <v>500</v>
      </c>
      <c r="K233" s="6">
        <v>0</v>
      </c>
      <c r="L233" s="6">
        <v>0</v>
      </c>
      <c r="M233" s="43">
        <v>1</v>
      </c>
      <c r="N233" s="25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  <c r="V233" s="43">
        <v>0</v>
      </c>
      <c r="W233" s="43">
        <v>2</v>
      </c>
      <c r="X233" s="43">
        <v>0</v>
      </c>
      <c r="Y233" s="43">
        <v>0</v>
      </c>
      <c r="Z233" s="43">
        <v>0</v>
      </c>
      <c r="AA233" s="44">
        <v>0</v>
      </c>
      <c r="AB233" s="44">
        <v>0</v>
      </c>
      <c r="AC233" s="44">
        <v>7</v>
      </c>
      <c r="AD233" s="44">
        <v>23</v>
      </c>
      <c r="AE233" s="44">
        <v>561</v>
      </c>
      <c r="AF233" s="44">
        <v>11</v>
      </c>
      <c r="AG233" s="44">
        <v>0</v>
      </c>
      <c r="AH233" s="44">
        <v>253</v>
      </c>
      <c r="AI233" s="32"/>
      <c r="AJ233" s="32"/>
      <c r="AK233" s="32"/>
      <c r="AL233" s="32"/>
      <c r="AM233" s="44">
        <v>21</v>
      </c>
      <c r="AN233" s="44">
        <v>251</v>
      </c>
      <c r="AO233" s="44">
        <v>548</v>
      </c>
      <c r="AP233" s="44"/>
      <c r="AQ233" s="44"/>
      <c r="AR233" s="43">
        <v>521</v>
      </c>
      <c r="AS233" s="43">
        <v>288</v>
      </c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43">
        <v>439</v>
      </c>
      <c r="BF233" s="43">
        <v>369</v>
      </c>
      <c r="BG233" s="43">
        <v>523</v>
      </c>
      <c r="BH233" s="43">
        <v>297</v>
      </c>
      <c r="BI233" s="43">
        <v>554</v>
      </c>
      <c r="BJ233" s="43">
        <v>262</v>
      </c>
      <c r="BK233" s="43">
        <v>315</v>
      </c>
      <c r="BL233" s="43">
        <v>491</v>
      </c>
      <c r="BM233" s="43">
        <v>430</v>
      </c>
      <c r="BN233" s="43">
        <v>369</v>
      </c>
      <c r="BO233" s="43">
        <v>302</v>
      </c>
      <c r="BP233" s="43">
        <v>490</v>
      </c>
      <c r="BQ233" s="43">
        <v>525</v>
      </c>
      <c r="BR233" s="43">
        <v>266</v>
      </c>
      <c r="BS233" s="43">
        <v>607</v>
      </c>
      <c r="BT233" s="43">
        <v>426</v>
      </c>
      <c r="BU233" s="43">
        <v>368</v>
      </c>
      <c r="BV233" s="43">
        <v>571</v>
      </c>
      <c r="BW233" s="43">
        <v>373</v>
      </c>
      <c r="BX233" s="43">
        <v>274</v>
      </c>
      <c r="BY233" s="43">
        <v>449</v>
      </c>
      <c r="BZ233" s="43">
        <v>252</v>
      </c>
      <c r="CA233" s="43">
        <v>523</v>
      </c>
      <c r="CB233" s="43">
        <v>328</v>
      </c>
      <c r="CC233" s="43">
        <v>297</v>
      </c>
      <c r="CD233" s="43">
        <v>490</v>
      </c>
      <c r="CE233" s="43">
        <v>263</v>
      </c>
      <c r="CF233" s="43">
        <v>362</v>
      </c>
      <c r="CG233" s="43">
        <v>361</v>
      </c>
      <c r="CH233" s="43">
        <v>232</v>
      </c>
      <c r="CI233" s="43">
        <v>154</v>
      </c>
      <c r="CJ233" s="43">
        <v>482</v>
      </c>
      <c r="CK233" s="43">
        <v>382</v>
      </c>
      <c r="CL233" s="43">
        <v>235</v>
      </c>
      <c r="CM233" s="43">
        <v>501</v>
      </c>
      <c r="CN233" s="43">
        <v>509</v>
      </c>
      <c r="CO233" s="43">
        <v>200</v>
      </c>
      <c r="CP233" s="43">
        <v>441</v>
      </c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43"/>
      <c r="FZ233" s="43"/>
      <c r="GA233" s="53"/>
      <c r="GB233" s="53"/>
      <c r="GC233" s="53"/>
      <c r="GD233" s="53"/>
      <c r="GE233" s="53"/>
      <c r="GF233" s="53"/>
      <c r="GG233" s="53"/>
      <c r="GH233" s="53"/>
      <c r="GI233" s="53"/>
      <c r="GJ233" s="53"/>
      <c r="GK233" s="43"/>
      <c r="GL233" s="43"/>
      <c r="GM233" s="53"/>
      <c r="GN233" s="53"/>
      <c r="GO233" s="43">
        <v>568</v>
      </c>
      <c r="GP233" s="43">
        <v>257</v>
      </c>
      <c r="GQ233" s="43">
        <v>579</v>
      </c>
      <c r="GR233" s="43">
        <v>247</v>
      </c>
    </row>
    <row r="234" spans="1:200">
      <c r="A234" s="7">
        <v>3703</v>
      </c>
      <c r="B234" s="1" t="s">
        <v>362</v>
      </c>
      <c r="C234" s="33">
        <v>1103</v>
      </c>
      <c r="D234" s="34">
        <v>861</v>
      </c>
      <c r="E234" s="19">
        <f t="shared" si="3"/>
        <v>0.78059836808703531</v>
      </c>
      <c r="F234" s="62">
        <v>341</v>
      </c>
      <c r="G234" s="43">
        <v>1</v>
      </c>
      <c r="H234" s="43">
        <v>20</v>
      </c>
      <c r="I234" s="43">
        <v>3</v>
      </c>
      <c r="J234" s="55">
        <v>472</v>
      </c>
      <c r="K234" s="6">
        <v>0</v>
      </c>
      <c r="L234" s="6">
        <v>0</v>
      </c>
      <c r="M234" s="43">
        <v>0</v>
      </c>
      <c r="N234" s="25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  <c r="V234" s="43">
        <v>0</v>
      </c>
      <c r="W234" s="43">
        <v>2</v>
      </c>
      <c r="X234" s="43">
        <v>0</v>
      </c>
      <c r="Y234" s="43">
        <v>0</v>
      </c>
      <c r="Z234" s="43">
        <v>0</v>
      </c>
      <c r="AA234" s="44">
        <v>0</v>
      </c>
      <c r="AB234" s="44">
        <v>0</v>
      </c>
      <c r="AC234" s="44">
        <v>5</v>
      </c>
      <c r="AD234" s="44">
        <v>7</v>
      </c>
      <c r="AE234" s="44">
        <v>546</v>
      </c>
      <c r="AF234" s="44">
        <v>7</v>
      </c>
      <c r="AG234" s="44">
        <v>0</v>
      </c>
      <c r="AH234" s="44">
        <v>232</v>
      </c>
      <c r="AI234" s="32"/>
      <c r="AJ234" s="32"/>
      <c r="AK234" s="32"/>
      <c r="AL234" s="32"/>
      <c r="AM234" s="44">
        <v>18</v>
      </c>
      <c r="AN234" s="44">
        <v>240</v>
      </c>
      <c r="AO234" s="44">
        <v>510</v>
      </c>
      <c r="AP234" s="44"/>
      <c r="AQ234" s="44"/>
      <c r="AR234" s="43">
        <v>517</v>
      </c>
      <c r="AS234" s="43">
        <v>254</v>
      </c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43">
        <v>414</v>
      </c>
      <c r="BF234" s="43">
        <v>356</v>
      </c>
      <c r="BG234" s="43">
        <v>492</v>
      </c>
      <c r="BH234" s="43">
        <v>280</v>
      </c>
      <c r="BI234" s="43">
        <v>534</v>
      </c>
      <c r="BJ234" s="43">
        <v>241</v>
      </c>
      <c r="BK234" s="43">
        <v>319</v>
      </c>
      <c r="BL234" s="43">
        <v>451</v>
      </c>
      <c r="BM234" s="43">
        <v>420</v>
      </c>
      <c r="BN234" s="43">
        <v>340</v>
      </c>
      <c r="BO234" s="43">
        <v>256</v>
      </c>
      <c r="BP234" s="43">
        <v>497</v>
      </c>
      <c r="BQ234" s="43">
        <v>524</v>
      </c>
      <c r="BR234" s="43">
        <v>234</v>
      </c>
      <c r="BS234" s="43">
        <v>570</v>
      </c>
      <c r="BT234" s="43">
        <v>399</v>
      </c>
      <c r="BU234" s="43">
        <v>355</v>
      </c>
      <c r="BV234" s="43">
        <v>536</v>
      </c>
      <c r="BW234" s="43">
        <v>366</v>
      </c>
      <c r="BX234" s="43">
        <v>255</v>
      </c>
      <c r="BY234" s="43">
        <v>442</v>
      </c>
      <c r="BZ234" s="43">
        <v>216</v>
      </c>
      <c r="CA234" s="43">
        <v>498</v>
      </c>
      <c r="CB234" s="43">
        <v>342</v>
      </c>
      <c r="CC234" s="43">
        <v>253</v>
      </c>
      <c r="CD234" s="43">
        <v>480</v>
      </c>
      <c r="CE234" s="43">
        <v>254</v>
      </c>
      <c r="CF234" s="43">
        <v>357</v>
      </c>
      <c r="CG234" s="43">
        <v>376</v>
      </c>
      <c r="CH234" s="43">
        <v>198</v>
      </c>
      <c r="CI234" s="43">
        <v>132</v>
      </c>
      <c r="CJ234" s="43">
        <v>474</v>
      </c>
      <c r="CK234" s="43">
        <v>354</v>
      </c>
      <c r="CL234" s="43">
        <v>230</v>
      </c>
      <c r="CM234" s="43">
        <v>472</v>
      </c>
      <c r="CN234" s="43">
        <v>483</v>
      </c>
      <c r="CO234" s="43">
        <v>191</v>
      </c>
      <c r="CP234" s="43">
        <v>408</v>
      </c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43"/>
      <c r="FZ234" s="43"/>
      <c r="GA234" s="53"/>
      <c r="GB234" s="53"/>
      <c r="GC234" s="53"/>
      <c r="GD234" s="53"/>
      <c r="GE234" s="53"/>
      <c r="GF234" s="53"/>
      <c r="GG234" s="53"/>
      <c r="GH234" s="53"/>
      <c r="GI234" s="43">
        <v>144</v>
      </c>
      <c r="GJ234" s="43">
        <v>126</v>
      </c>
      <c r="GK234" s="43"/>
      <c r="GL234" s="43"/>
      <c r="GM234" s="53"/>
      <c r="GN234" s="53"/>
      <c r="GO234" s="43">
        <v>564</v>
      </c>
      <c r="GP234" s="43">
        <v>226</v>
      </c>
      <c r="GQ234" s="43">
        <v>564</v>
      </c>
      <c r="GR234" s="43">
        <v>222</v>
      </c>
    </row>
    <row r="235" spans="1:200">
      <c r="A235" s="7">
        <v>3704</v>
      </c>
      <c r="B235" s="1" t="s">
        <v>363</v>
      </c>
      <c r="C235" s="33">
        <v>959</v>
      </c>
      <c r="D235" s="34">
        <v>611</v>
      </c>
      <c r="E235" s="19">
        <f t="shared" si="3"/>
        <v>0.63712200208550573</v>
      </c>
      <c r="F235" s="62">
        <v>236</v>
      </c>
      <c r="G235" s="43">
        <v>3</v>
      </c>
      <c r="H235" s="43">
        <v>26</v>
      </c>
      <c r="I235" s="43">
        <v>5</v>
      </c>
      <c r="J235" s="55">
        <v>328</v>
      </c>
      <c r="K235" s="6">
        <v>0</v>
      </c>
      <c r="L235" s="6">
        <v>0</v>
      </c>
      <c r="M235" s="43">
        <v>0</v>
      </c>
      <c r="N235" s="25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  <c r="V235" s="43">
        <v>0</v>
      </c>
      <c r="W235" s="43">
        <v>3</v>
      </c>
      <c r="X235" s="43">
        <v>0</v>
      </c>
      <c r="Y235" s="43">
        <v>0</v>
      </c>
      <c r="Z235" s="43">
        <v>0</v>
      </c>
      <c r="AA235" s="44">
        <v>0</v>
      </c>
      <c r="AB235" s="44">
        <v>0</v>
      </c>
      <c r="AC235" s="44">
        <v>8</v>
      </c>
      <c r="AD235" s="44">
        <v>20</v>
      </c>
      <c r="AE235" s="44">
        <v>391</v>
      </c>
      <c r="AF235" s="44">
        <v>12</v>
      </c>
      <c r="AG235" s="44">
        <v>0</v>
      </c>
      <c r="AH235" s="44">
        <v>164</v>
      </c>
      <c r="AI235" s="32"/>
      <c r="AJ235" s="32"/>
      <c r="AK235" s="32"/>
      <c r="AL235" s="32"/>
      <c r="AM235" s="44">
        <v>15</v>
      </c>
      <c r="AN235" s="44">
        <v>192</v>
      </c>
      <c r="AO235" s="44">
        <v>359</v>
      </c>
      <c r="AP235" s="44"/>
      <c r="AQ235" s="44"/>
      <c r="AR235" s="43">
        <v>346</v>
      </c>
      <c r="AS235" s="43">
        <v>207</v>
      </c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43">
        <v>288</v>
      </c>
      <c r="BF235" s="43">
        <v>270</v>
      </c>
      <c r="BG235" s="43">
        <v>351</v>
      </c>
      <c r="BH235" s="43">
        <v>217</v>
      </c>
      <c r="BI235" s="43">
        <v>376</v>
      </c>
      <c r="BJ235" s="43">
        <v>186</v>
      </c>
      <c r="BK235" s="43">
        <v>232</v>
      </c>
      <c r="BL235" s="43">
        <v>331</v>
      </c>
      <c r="BM235" s="43">
        <v>300</v>
      </c>
      <c r="BN235" s="43">
        <v>258</v>
      </c>
      <c r="BO235" s="43">
        <v>204</v>
      </c>
      <c r="BP235" s="43">
        <v>340</v>
      </c>
      <c r="BQ235" s="43">
        <v>362</v>
      </c>
      <c r="BR235" s="43">
        <v>185</v>
      </c>
      <c r="BS235" s="43">
        <v>412</v>
      </c>
      <c r="BT235" s="43">
        <v>281</v>
      </c>
      <c r="BU235" s="43">
        <v>265</v>
      </c>
      <c r="BV235" s="43">
        <v>399</v>
      </c>
      <c r="BW235" s="43">
        <v>270</v>
      </c>
      <c r="BX235" s="43">
        <v>194</v>
      </c>
      <c r="BY235" s="43">
        <v>305</v>
      </c>
      <c r="BZ235" s="43">
        <v>189</v>
      </c>
      <c r="CA235" s="43">
        <v>370</v>
      </c>
      <c r="CB235" s="43">
        <v>236</v>
      </c>
      <c r="CC235" s="43">
        <v>211</v>
      </c>
      <c r="CD235" s="43">
        <v>358</v>
      </c>
      <c r="CE235" s="43">
        <v>194</v>
      </c>
      <c r="CF235" s="43">
        <v>262</v>
      </c>
      <c r="CG235" s="43">
        <v>234</v>
      </c>
      <c r="CH235" s="43">
        <v>194</v>
      </c>
      <c r="CI235" s="43">
        <v>121</v>
      </c>
      <c r="CJ235" s="43">
        <v>331</v>
      </c>
      <c r="CK235" s="43">
        <v>245</v>
      </c>
      <c r="CL235" s="43">
        <v>198</v>
      </c>
      <c r="CM235" s="43">
        <v>358</v>
      </c>
      <c r="CN235" s="43">
        <v>359</v>
      </c>
      <c r="CO235" s="43">
        <v>191</v>
      </c>
      <c r="CP235" s="43">
        <v>259</v>
      </c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43"/>
      <c r="FZ235" s="43"/>
      <c r="GA235" s="53"/>
      <c r="GB235" s="53"/>
      <c r="GC235" s="53"/>
      <c r="GD235" s="53"/>
      <c r="GE235" s="53"/>
      <c r="GF235" s="53"/>
      <c r="GG235" s="53"/>
      <c r="GH235" s="53"/>
      <c r="GI235" s="43"/>
      <c r="GJ235" s="43"/>
      <c r="GK235" s="43"/>
      <c r="GL235" s="43"/>
      <c r="GM235" s="53"/>
      <c r="GN235" s="53"/>
      <c r="GO235" s="43">
        <v>401</v>
      </c>
      <c r="GP235" s="43">
        <v>177</v>
      </c>
      <c r="GQ235" s="43">
        <v>368</v>
      </c>
      <c r="GR235" s="43">
        <v>202</v>
      </c>
    </row>
    <row r="236" spans="1:200">
      <c r="A236" s="7">
        <v>3705</v>
      </c>
      <c r="B236" s="1" t="s">
        <v>364</v>
      </c>
      <c r="C236" s="33">
        <v>993</v>
      </c>
      <c r="D236" s="34">
        <v>791</v>
      </c>
      <c r="E236" s="19">
        <f t="shared" si="3"/>
        <v>0.79657603222557904</v>
      </c>
      <c r="F236" s="62">
        <v>280</v>
      </c>
      <c r="G236" s="43">
        <v>1</v>
      </c>
      <c r="H236" s="43">
        <v>37</v>
      </c>
      <c r="I236" s="43">
        <v>6</v>
      </c>
      <c r="J236" s="55">
        <v>453</v>
      </c>
      <c r="K236" s="6">
        <v>0</v>
      </c>
      <c r="L236" s="6">
        <v>0</v>
      </c>
      <c r="M236" s="43">
        <v>1</v>
      </c>
      <c r="N236" s="25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  <c r="V236" s="43">
        <v>0</v>
      </c>
      <c r="W236" s="43">
        <v>3</v>
      </c>
      <c r="X236" s="43">
        <v>0</v>
      </c>
      <c r="Y236" s="43">
        <v>0</v>
      </c>
      <c r="Z236" s="43">
        <v>0</v>
      </c>
      <c r="AA236" s="44">
        <v>0</v>
      </c>
      <c r="AB236" s="44">
        <v>0</v>
      </c>
      <c r="AC236" s="44">
        <v>8</v>
      </c>
      <c r="AD236" s="44">
        <v>12</v>
      </c>
      <c r="AE236" s="44">
        <v>541</v>
      </c>
      <c r="AF236" s="44">
        <v>12</v>
      </c>
      <c r="AG236" s="44">
        <v>0</v>
      </c>
      <c r="AH236" s="44">
        <v>203</v>
      </c>
      <c r="AI236" s="32"/>
      <c r="AJ236" s="32"/>
      <c r="AK236" s="32"/>
      <c r="AL236" s="32"/>
      <c r="AM236" s="44">
        <v>28</v>
      </c>
      <c r="AN236" s="44">
        <v>185</v>
      </c>
      <c r="AO236" s="44">
        <v>519</v>
      </c>
      <c r="AP236" s="44"/>
      <c r="AQ236" s="44"/>
      <c r="AR236" s="43">
        <v>500</v>
      </c>
      <c r="AS236" s="43">
        <v>227</v>
      </c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43">
        <v>434</v>
      </c>
      <c r="BF236" s="43">
        <v>285</v>
      </c>
      <c r="BG236" s="43">
        <v>501</v>
      </c>
      <c r="BH236" s="43">
        <v>231</v>
      </c>
      <c r="BI236" s="43">
        <v>515</v>
      </c>
      <c r="BJ236" s="43">
        <v>211</v>
      </c>
      <c r="BK236" s="43">
        <v>266</v>
      </c>
      <c r="BL236" s="43">
        <v>461</v>
      </c>
      <c r="BM236" s="43">
        <v>396</v>
      </c>
      <c r="BN236" s="43">
        <v>320</v>
      </c>
      <c r="BO236" s="43">
        <v>229</v>
      </c>
      <c r="BP236" s="43">
        <v>471</v>
      </c>
      <c r="BQ236" s="43">
        <v>512</v>
      </c>
      <c r="BR236" s="43">
        <v>192</v>
      </c>
      <c r="BS236" s="43">
        <v>520</v>
      </c>
      <c r="BT236" s="43">
        <v>387</v>
      </c>
      <c r="BU236" s="43">
        <v>320</v>
      </c>
      <c r="BV236" s="43">
        <v>493</v>
      </c>
      <c r="BW236" s="43">
        <v>372</v>
      </c>
      <c r="BX236" s="43">
        <v>200</v>
      </c>
      <c r="BY236" s="43">
        <v>436</v>
      </c>
      <c r="BZ236" s="43">
        <v>194</v>
      </c>
      <c r="CA236" s="43">
        <v>455</v>
      </c>
      <c r="CB236" s="43">
        <v>350</v>
      </c>
      <c r="CC236" s="43">
        <v>197</v>
      </c>
      <c r="CD236" s="43">
        <v>404</v>
      </c>
      <c r="CE236" s="43">
        <v>199</v>
      </c>
      <c r="CF236" s="43">
        <v>367</v>
      </c>
      <c r="CG236" s="43">
        <v>341</v>
      </c>
      <c r="CH236" s="43">
        <v>177</v>
      </c>
      <c r="CI236" s="43">
        <v>132</v>
      </c>
      <c r="CJ236" s="43">
        <v>410</v>
      </c>
      <c r="CK236" s="43">
        <v>362</v>
      </c>
      <c r="CL236" s="43">
        <v>176</v>
      </c>
      <c r="CM236" s="43">
        <v>428</v>
      </c>
      <c r="CN236" s="43">
        <v>440</v>
      </c>
      <c r="CO236" s="43">
        <v>175</v>
      </c>
      <c r="CP236" s="43">
        <v>375</v>
      </c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43"/>
      <c r="FZ236" s="43"/>
      <c r="GA236" s="53"/>
      <c r="GB236" s="53"/>
      <c r="GC236" s="53"/>
      <c r="GD236" s="53"/>
      <c r="GE236" s="53"/>
      <c r="GF236" s="53"/>
      <c r="GG236" s="53"/>
      <c r="GH236" s="53"/>
      <c r="GI236" s="43"/>
      <c r="GJ236" s="43"/>
      <c r="GK236" s="43"/>
      <c r="GL236" s="43"/>
      <c r="GM236" s="53"/>
      <c r="GN236" s="53"/>
      <c r="GO236" s="43">
        <v>552</v>
      </c>
      <c r="GP236" s="43">
        <v>202</v>
      </c>
      <c r="GQ236" s="43">
        <v>571</v>
      </c>
      <c r="GR236" s="43">
        <v>183</v>
      </c>
    </row>
    <row r="237" spans="1:200">
      <c r="A237" s="7">
        <v>3706</v>
      </c>
      <c r="B237" s="1" t="s">
        <v>365</v>
      </c>
      <c r="C237" s="33">
        <v>757</v>
      </c>
      <c r="D237" s="34">
        <v>592</v>
      </c>
      <c r="E237" s="19">
        <f t="shared" si="3"/>
        <v>0.78203434610303835</v>
      </c>
      <c r="F237" s="62">
        <v>211</v>
      </c>
      <c r="G237" s="43">
        <v>0</v>
      </c>
      <c r="H237" s="43">
        <v>18</v>
      </c>
      <c r="I237" s="43">
        <v>6</v>
      </c>
      <c r="J237" s="55">
        <v>346</v>
      </c>
      <c r="K237" s="6">
        <v>0</v>
      </c>
      <c r="L237" s="6">
        <v>0</v>
      </c>
      <c r="M237" s="43">
        <v>0</v>
      </c>
      <c r="N237" s="25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  <c r="V237" s="43">
        <v>0</v>
      </c>
      <c r="W237" s="43">
        <v>3</v>
      </c>
      <c r="X237" s="43">
        <v>0</v>
      </c>
      <c r="Y237" s="43">
        <v>0</v>
      </c>
      <c r="Z237" s="43">
        <v>0</v>
      </c>
      <c r="AA237" s="44">
        <v>0</v>
      </c>
      <c r="AB237" s="44">
        <v>0</v>
      </c>
      <c r="AC237" s="44">
        <v>6</v>
      </c>
      <c r="AD237" s="44">
        <v>5</v>
      </c>
      <c r="AE237" s="44">
        <v>415</v>
      </c>
      <c r="AF237" s="44">
        <v>6</v>
      </c>
      <c r="AG237" s="44">
        <v>0</v>
      </c>
      <c r="AH237" s="44">
        <v>144</v>
      </c>
      <c r="AI237" s="32"/>
      <c r="AJ237" s="32"/>
      <c r="AK237" s="32"/>
      <c r="AL237" s="32"/>
      <c r="AM237" s="44">
        <v>6</v>
      </c>
      <c r="AN237" s="44">
        <v>152</v>
      </c>
      <c r="AO237" s="44">
        <v>394</v>
      </c>
      <c r="AP237" s="44"/>
      <c r="AQ237" s="44"/>
      <c r="AR237" s="43">
        <v>378</v>
      </c>
      <c r="AS237" s="43">
        <v>166</v>
      </c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43">
        <v>325</v>
      </c>
      <c r="BF237" s="43">
        <v>225</v>
      </c>
      <c r="BG237" s="43">
        <v>352</v>
      </c>
      <c r="BH237" s="43">
        <v>193</v>
      </c>
      <c r="BI237" s="43">
        <v>380</v>
      </c>
      <c r="BJ237" s="43">
        <v>163</v>
      </c>
      <c r="BK237" s="43">
        <v>188</v>
      </c>
      <c r="BL237" s="43">
        <v>349</v>
      </c>
      <c r="BM237" s="43">
        <v>322</v>
      </c>
      <c r="BN237" s="43">
        <v>219</v>
      </c>
      <c r="BO237" s="43">
        <v>161</v>
      </c>
      <c r="BP237" s="43">
        <v>372</v>
      </c>
      <c r="BQ237" s="43">
        <v>372</v>
      </c>
      <c r="BR237" s="43">
        <v>157</v>
      </c>
      <c r="BS237" s="43">
        <v>406</v>
      </c>
      <c r="BT237" s="43">
        <v>296</v>
      </c>
      <c r="BU237" s="43">
        <v>230</v>
      </c>
      <c r="BV237" s="43">
        <v>384</v>
      </c>
      <c r="BW237" s="43">
        <v>244</v>
      </c>
      <c r="BX237" s="43">
        <v>169</v>
      </c>
      <c r="BY237" s="43">
        <v>313</v>
      </c>
      <c r="BZ237" s="43">
        <v>142</v>
      </c>
      <c r="CA237" s="43">
        <v>348</v>
      </c>
      <c r="CB237" s="43">
        <v>223</v>
      </c>
      <c r="CC237" s="43">
        <v>176</v>
      </c>
      <c r="CD237" s="43">
        <v>308</v>
      </c>
      <c r="CE237" s="43">
        <v>160</v>
      </c>
      <c r="CF237" s="43">
        <v>250</v>
      </c>
      <c r="CG237" s="43">
        <v>243</v>
      </c>
      <c r="CH237" s="43">
        <v>137</v>
      </c>
      <c r="CI237" s="43">
        <v>80</v>
      </c>
      <c r="CJ237" s="43">
        <v>317</v>
      </c>
      <c r="CK237" s="43">
        <v>261</v>
      </c>
      <c r="CL237" s="43">
        <v>142</v>
      </c>
      <c r="CM237" s="43">
        <v>321</v>
      </c>
      <c r="CN237" s="43">
        <v>323</v>
      </c>
      <c r="CO237" s="43">
        <v>128</v>
      </c>
      <c r="CP237" s="43">
        <v>275</v>
      </c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43"/>
      <c r="FZ237" s="43"/>
      <c r="GA237" s="53"/>
      <c r="GB237" s="53"/>
      <c r="GC237" s="53"/>
      <c r="GD237" s="53"/>
      <c r="GE237" s="53"/>
      <c r="GF237" s="53"/>
      <c r="GG237" s="53"/>
      <c r="GH237" s="53"/>
      <c r="GI237" s="43"/>
      <c r="GJ237" s="43"/>
      <c r="GK237" s="43"/>
      <c r="GL237" s="43"/>
      <c r="GM237" s="53"/>
      <c r="GN237" s="53"/>
      <c r="GO237" s="43">
        <v>373</v>
      </c>
      <c r="GP237" s="43">
        <v>199</v>
      </c>
      <c r="GQ237" s="43">
        <v>392</v>
      </c>
      <c r="GR237" s="43">
        <v>177</v>
      </c>
    </row>
    <row r="238" spans="1:200">
      <c r="A238" s="7">
        <v>3707</v>
      </c>
      <c r="B238" s="1" t="s">
        <v>366</v>
      </c>
      <c r="C238" s="33">
        <v>613</v>
      </c>
      <c r="D238" s="34">
        <v>518</v>
      </c>
      <c r="E238" s="19">
        <f t="shared" si="3"/>
        <v>0.84502446982055468</v>
      </c>
      <c r="F238" s="62">
        <v>200</v>
      </c>
      <c r="G238" s="43">
        <v>2</v>
      </c>
      <c r="H238" s="43">
        <v>21</v>
      </c>
      <c r="I238" s="43">
        <v>4</v>
      </c>
      <c r="J238" s="55">
        <v>266</v>
      </c>
      <c r="K238" s="6">
        <v>0</v>
      </c>
      <c r="L238" s="6">
        <v>0</v>
      </c>
      <c r="M238" s="43">
        <v>0</v>
      </c>
      <c r="N238" s="25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  <c r="V238" s="43">
        <v>0</v>
      </c>
      <c r="W238" s="43">
        <v>6</v>
      </c>
      <c r="X238" s="43">
        <v>0</v>
      </c>
      <c r="Y238" s="43">
        <v>0</v>
      </c>
      <c r="Z238" s="43">
        <v>0</v>
      </c>
      <c r="AA238" s="44">
        <v>0</v>
      </c>
      <c r="AB238" s="44">
        <v>0</v>
      </c>
      <c r="AC238" s="44">
        <v>2</v>
      </c>
      <c r="AD238" s="44">
        <v>4</v>
      </c>
      <c r="AE238" s="44">
        <v>355</v>
      </c>
      <c r="AF238" s="44">
        <v>3</v>
      </c>
      <c r="AG238" s="44">
        <v>0</v>
      </c>
      <c r="AH238" s="44">
        <v>139</v>
      </c>
      <c r="AI238" s="32"/>
      <c r="AJ238" s="32"/>
      <c r="AK238" s="32"/>
      <c r="AL238" s="32"/>
      <c r="AM238" s="44">
        <v>8</v>
      </c>
      <c r="AN238" s="44">
        <v>121</v>
      </c>
      <c r="AO238" s="44">
        <v>345</v>
      </c>
      <c r="AP238" s="44"/>
      <c r="AQ238" s="44"/>
      <c r="AR238" s="43">
        <v>320</v>
      </c>
      <c r="AS238" s="43">
        <v>149</v>
      </c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43">
        <v>263</v>
      </c>
      <c r="BF238" s="43">
        <v>218</v>
      </c>
      <c r="BG238" s="43">
        <v>321</v>
      </c>
      <c r="BH238" s="43">
        <v>167</v>
      </c>
      <c r="BI238" s="43">
        <v>351</v>
      </c>
      <c r="BJ238" s="43">
        <v>128</v>
      </c>
      <c r="BK238" s="43">
        <v>181</v>
      </c>
      <c r="BL238" s="43">
        <v>293</v>
      </c>
      <c r="BM238" s="43">
        <v>262</v>
      </c>
      <c r="BN238" s="43">
        <v>208</v>
      </c>
      <c r="BO238" s="43">
        <v>153</v>
      </c>
      <c r="BP238" s="43">
        <v>297</v>
      </c>
      <c r="BQ238" s="43">
        <v>329</v>
      </c>
      <c r="BR238" s="43">
        <v>118</v>
      </c>
      <c r="BS238" s="43">
        <v>334</v>
      </c>
      <c r="BT238" s="43">
        <v>225</v>
      </c>
      <c r="BU238" s="43">
        <v>225</v>
      </c>
      <c r="BV238" s="43">
        <v>316</v>
      </c>
      <c r="BW238" s="43">
        <v>233</v>
      </c>
      <c r="BX238" s="43">
        <v>129</v>
      </c>
      <c r="BY238" s="43">
        <v>277</v>
      </c>
      <c r="BZ238" s="43">
        <v>128</v>
      </c>
      <c r="CA238" s="43">
        <v>275</v>
      </c>
      <c r="CB238" s="43">
        <v>215</v>
      </c>
      <c r="CC238" s="43">
        <v>140</v>
      </c>
      <c r="CD238" s="43">
        <v>259</v>
      </c>
      <c r="CE238" s="43">
        <v>161</v>
      </c>
      <c r="CF238" s="43">
        <v>208</v>
      </c>
      <c r="CG238" s="43">
        <v>242</v>
      </c>
      <c r="CH238" s="43">
        <v>108</v>
      </c>
      <c r="CI238" s="43">
        <v>87</v>
      </c>
      <c r="CJ238" s="43">
        <v>264</v>
      </c>
      <c r="CK238" s="43">
        <v>226</v>
      </c>
      <c r="CL238" s="43">
        <v>122</v>
      </c>
      <c r="CM238" s="43">
        <v>262</v>
      </c>
      <c r="CN238" s="43">
        <v>268</v>
      </c>
      <c r="CO238" s="43">
        <v>128</v>
      </c>
      <c r="CP238" s="43">
        <v>214</v>
      </c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43"/>
      <c r="FZ238" s="43"/>
      <c r="GA238" s="53"/>
      <c r="GB238" s="53"/>
      <c r="GC238" s="53"/>
      <c r="GD238" s="53"/>
      <c r="GE238" s="53"/>
      <c r="GF238" s="53"/>
      <c r="GG238" s="53"/>
      <c r="GH238" s="53"/>
      <c r="GI238" s="43"/>
      <c r="GJ238" s="43"/>
      <c r="GK238" s="43"/>
      <c r="GL238" s="43"/>
      <c r="GM238" s="53"/>
      <c r="GN238" s="53"/>
      <c r="GO238" s="43">
        <v>397</v>
      </c>
      <c r="GP238" s="43">
        <v>97</v>
      </c>
      <c r="GQ238" s="43">
        <v>401</v>
      </c>
      <c r="GR238" s="43">
        <v>94</v>
      </c>
    </row>
    <row r="239" spans="1:200">
      <c r="A239" s="7">
        <v>3801</v>
      </c>
      <c r="B239" s="1" t="s">
        <v>367</v>
      </c>
      <c r="C239" s="33">
        <v>1089</v>
      </c>
      <c r="D239" s="34">
        <v>916</v>
      </c>
      <c r="E239" s="19">
        <f t="shared" si="3"/>
        <v>0.84113865932047749</v>
      </c>
      <c r="F239" s="62">
        <v>411</v>
      </c>
      <c r="G239" s="43">
        <v>1</v>
      </c>
      <c r="H239" s="43">
        <v>35</v>
      </c>
      <c r="I239" s="43">
        <v>3</v>
      </c>
      <c r="J239" s="55">
        <v>427</v>
      </c>
      <c r="K239" s="6">
        <v>0</v>
      </c>
      <c r="L239" s="6">
        <v>0</v>
      </c>
      <c r="M239" s="43">
        <v>0</v>
      </c>
      <c r="N239" s="25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  <c r="V239" s="43">
        <v>1</v>
      </c>
      <c r="W239" s="43">
        <v>5</v>
      </c>
      <c r="X239" s="43">
        <v>0</v>
      </c>
      <c r="Y239" s="43">
        <v>0</v>
      </c>
      <c r="Z239" s="43">
        <v>0</v>
      </c>
      <c r="AA239" s="44">
        <v>0</v>
      </c>
      <c r="AB239" s="44">
        <v>0</v>
      </c>
      <c r="AC239" s="44">
        <v>9</v>
      </c>
      <c r="AD239" s="44">
        <v>13</v>
      </c>
      <c r="AE239" s="44">
        <v>588</v>
      </c>
      <c r="AF239" s="44">
        <v>7</v>
      </c>
      <c r="AG239" s="44">
        <v>0</v>
      </c>
      <c r="AH239" s="44">
        <v>272</v>
      </c>
      <c r="AI239" s="32"/>
      <c r="AJ239" s="32"/>
      <c r="AK239" s="32"/>
      <c r="AL239" s="32"/>
      <c r="AM239" s="44">
        <v>34</v>
      </c>
      <c r="AN239" s="44">
        <v>249</v>
      </c>
      <c r="AO239" s="44">
        <v>572</v>
      </c>
      <c r="AP239" s="44">
        <v>312</v>
      </c>
      <c r="AQ239" s="44">
        <v>516</v>
      </c>
      <c r="AR239" s="50"/>
      <c r="AS239" s="50"/>
      <c r="AT239" s="43">
        <v>560</v>
      </c>
      <c r="AU239" s="43">
        <v>296</v>
      </c>
      <c r="AV239" s="50"/>
      <c r="AW239" s="50"/>
      <c r="AX239" s="50"/>
      <c r="AY239" s="50"/>
      <c r="AZ239" s="50"/>
      <c r="BA239" s="50"/>
      <c r="BB239" s="50"/>
      <c r="BC239" s="50"/>
      <c r="BD239" s="50"/>
      <c r="BE239" s="43">
        <v>435</v>
      </c>
      <c r="BF239" s="43">
        <v>415</v>
      </c>
      <c r="BG239" s="43">
        <v>502</v>
      </c>
      <c r="BH239" s="43">
        <v>346</v>
      </c>
      <c r="BI239" s="43">
        <v>552</v>
      </c>
      <c r="BJ239" s="43">
        <v>287</v>
      </c>
      <c r="BK239" s="43">
        <v>382</v>
      </c>
      <c r="BL239" s="43">
        <v>463</v>
      </c>
      <c r="BM239" s="43">
        <v>413</v>
      </c>
      <c r="BN239" s="43">
        <v>413</v>
      </c>
      <c r="BO239" s="43">
        <v>298</v>
      </c>
      <c r="BP239" s="43">
        <v>503</v>
      </c>
      <c r="BQ239" s="43">
        <v>576</v>
      </c>
      <c r="BR239" s="43">
        <v>245</v>
      </c>
      <c r="BS239" s="43">
        <v>586</v>
      </c>
      <c r="BT239" s="43">
        <v>327</v>
      </c>
      <c r="BU239" s="43">
        <v>488</v>
      </c>
      <c r="BV239" s="43">
        <v>570</v>
      </c>
      <c r="BW239" s="43">
        <v>385</v>
      </c>
      <c r="BX239" s="43">
        <v>271</v>
      </c>
      <c r="BY239" s="43">
        <v>454</v>
      </c>
      <c r="BZ239" s="43">
        <v>252</v>
      </c>
      <c r="CA239" s="43">
        <v>498</v>
      </c>
      <c r="CB239" s="43">
        <v>359</v>
      </c>
      <c r="CC239" s="43">
        <v>265</v>
      </c>
      <c r="CD239" s="43">
        <v>478</v>
      </c>
      <c r="CE239" s="43">
        <v>264</v>
      </c>
      <c r="CF239" s="43">
        <v>389</v>
      </c>
      <c r="CG239" s="43">
        <v>369</v>
      </c>
      <c r="CH239" s="43">
        <v>264</v>
      </c>
      <c r="CI239" s="43">
        <v>167</v>
      </c>
      <c r="CJ239" s="43">
        <v>471</v>
      </c>
      <c r="CK239" s="43">
        <v>373</v>
      </c>
      <c r="CL239" s="43">
        <v>258</v>
      </c>
      <c r="CM239" s="43">
        <v>468</v>
      </c>
      <c r="CN239" s="43">
        <v>460</v>
      </c>
      <c r="CO239" s="43">
        <v>216</v>
      </c>
      <c r="CP239" s="43">
        <v>415</v>
      </c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43"/>
      <c r="FZ239" s="43"/>
      <c r="GA239" s="53"/>
      <c r="GB239" s="53"/>
      <c r="GC239" s="43">
        <v>542</v>
      </c>
      <c r="GD239" s="43">
        <v>335</v>
      </c>
      <c r="GE239" s="53"/>
      <c r="GF239" s="53"/>
      <c r="GG239" s="53"/>
      <c r="GH239" s="53"/>
      <c r="GI239" s="43"/>
      <c r="GJ239" s="43"/>
      <c r="GK239" s="43"/>
      <c r="GL239" s="43"/>
      <c r="GM239" s="53"/>
      <c r="GN239" s="53"/>
      <c r="GO239" s="43">
        <v>659</v>
      </c>
      <c r="GP239" s="43">
        <v>220</v>
      </c>
      <c r="GQ239" s="43">
        <v>647</v>
      </c>
      <c r="GR239" s="43">
        <v>219</v>
      </c>
    </row>
    <row r="240" spans="1:200">
      <c r="A240" s="7">
        <v>3802</v>
      </c>
      <c r="B240" s="1" t="s">
        <v>368</v>
      </c>
      <c r="C240" s="33">
        <v>711</v>
      </c>
      <c r="D240" s="34">
        <v>577</v>
      </c>
      <c r="E240" s="19">
        <f t="shared" si="3"/>
        <v>0.8115330520393812</v>
      </c>
      <c r="F240" s="62">
        <v>235</v>
      </c>
      <c r="G240" s="43">
        <v>2</v>
      </c>
      <c r="H240" s="43">
        <v>22</v>
      </c>
      <c r="I240" s="43">
        <v>4</v>
      </c>
      <c r="J240" s="55">
        <v>290</v>
      </c>
      <c r="K240" s="6">
        <v>0</v>
      </c>
      <c r="L240" s="6">
        <v>0</v>
      </c>
      <c r="M240" s="43">
        <v>0</v>
      </c>
      <c r="N240" s="25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  <c r="V240" s="43">
        <v>4</v>
      </c>
      <c r="W240" s="43">
        <v>1</v>
      </c>
      <c r="X240" s="43">
        <v>0</v>
      </c>
      <c r="Y240" s="43">
        <v>0</v>
      </c>
      <c r="Z240" s="43">
        <v>0</v>
      </c>
      <c r="AA240" s="44">
        <v>0</v>
      </c>
      <c r="AB240" s="44">
        <v>0</v>
      </c>
      <c r="AC240" s="44">
        <v>3</v>
      </c>
      <c r="AD240" s="44">
        <v>2</v>
      </c>
      <c r="AE240" s="44">
        <v>406</v>
      </c>
      <c r="AF240" s="44">
        <v>6</v>
      </c>
      <c r="AG240" s="44">
        <v>0</v>
      </c>
      <c r="AH240" s="44">
        <v>145</v>
      </c>
      <c r="AI240" s="32"/>
      <c r="AJ240" s="32"/>
      <c r="AK240" s="32"/>
      <c r="AL240" s="32"/>
      <c r="AM240" s="44">
        <v>13</v>
      </c>
      <c r="AN240" s="44">
        <v>129</v>
      </c>
      <c r="AO240" s="44">
        <v>398</v>
      </c>
      <c r="AP240" s="44">
        <v>168</v>
      </c>
      <c r="AQ240" s="44">
        <v>362</v>
      </c>
      <c r="AR240" s="50"/>
      <c r="AS240" s="50"/>
      <c r="AT240" s="43">
        <v>388</v>
      </c>
      <c r="AU240" s="43">
        <v>151</v>
      </c>
      <c r="AV240" s="50"/>
      <c r="AW240" s="50"/>
      <c r="AX240" s="50"/>
      <c r="AY240" s="50"/>
      <c r="AZ240" s="50"/>
      <c r="BA240" s="50"/>
      <c r="BB240" s="50"/>
      <c r="BC240" s="50"/>
      <c r="BD240" s="50"/>
      <c r="BE240" s="43">
        <v>312</v>
      </c>
      <c r="BF240" s="43">
        <v>223</v>
      </c>
      <c r="BG240" s="43">
        <v>368</v>
      </c>
      <c r="BH240" s="43">
        <v>177</v>
      </c>
      <c r="BI240" s="43">
        <v>397</v>
      </c>
      <c r="BJ240" s="43">
        <v>130</v>
      </c>
      <c r="BK240" s="43">
        <v>223</v>
      </c>
      <c r="BL240" s="43">
        <v>316</v>
      </c>
      <c r="BM240" s="43">
        <v>288</v>
      </c>
      <c r="BN240" s="43">
        <v>232</v>
      </c>
      <c r="BO240" s="43">
        <v>160</v>
      </c>
      <c r="BP240" s="43">
        <v>354</v>
      </c>
      <c r="BQ240" s="43">
        <v>391</v>
      </c>
      <c r="BR240" s="43">
        <v>126</v>
      </c>
      <c r="BS240" s="43">
        <v>398</v>
      </c>
      <c r="BT240" s="43">
        <v>256</v>
      </c>
      <c r="BU240" s="43">
        <v>256</v>
      </c>
      <c r="BV240" s="43">
        <v>374</v>
      </c>
      <c r="BW240" s="43">
        <v>277</v>
      </c>
      <c r="BX240" s="43">
        <v>144</v>
      </c>
      <c r="BY240" s="43">
        <v>330</v>
      </c>
      <c r="BZ240" s="43">
        <v>137</v>
      </c>
      <c r="CA240" s="43">
        <v>343</v>
      </c>
      <c r="CB240" s="43">
        <v>269</v>
      </c>
      <c r="CC240" s="43">
        <v>135</v>
      </c>
      <c r="CD240" s="43">
        <v>316</v>
      </c>
      <c r="CE240" s="43">
        <v>150</v>
      </c>
      <c r="CF240" s="43">
        <v>277</v>
      </c>
      <c r="CG240" s="43">
        <v>281</v>
      </c>
      <c r="CH240" s="43">
        <v>124</v>
      </c>
      <c r="CI240" s="43">
        <v>91</v>
      </c>
      <c r="CJ240" s="43">
        <v>313</v>
      </c>
      <c r="CK240" s="43">
        <v>262</v>
      </c>
      <c r="CL240" s="43">
        <v>134</v>
      </c>
      <c r="CM240" s="43">
        <v>327</v>
      </c>
      <c r="CN240" s="43">
        <v>320</v>
      </c>
      <c r="CO240" s="43">
        <v>113</v>
      </c>
      <c r="CP240" s="43">
        <v>288</v>
      </c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43"/>
      <c r="FZ240" s="43"/>
      <c r="GA240" s="53"/>
      <c r="GB240" s="53"/>
      <c r="GC240" s="43">
        <v>331</v>
      </c>
      <c r="GD240" s="43">
        <v>227</v>
      </c>
      <c r="GE240" s="53"/>
      <c r="GF240" s="53"/>
      <c r="GG240" s="53"/>
      <c r="GH240" s="53"/>
      <c r="GI240" s="43"/>
      <c r="GJ240" s="43"/>
      <c r="GK240" s="43"/>
      <c r="GL240" s="43"/>
      <c r="GM240" s="53"/>
      <c r="GN240" s="53"/>
      <c r="GO240" s="43">
        <v>405</v>
      </c>
      <c r="GP240" s="43">
        <v>150</v>
      </c>
      <c r="GQ240" s="43">
        <v>419</v>
      </c>
      <c r="GR240" s="43">
        <v>134</v>
      </c>
    </row>
    <row r="241" spans="1:200">
      <c r="A241" s="7">
        <v>3803</v>
      </c>
      <c r="B241" s="1" t="s">
        <v>369</v>
      </c>
      <c r="C241" s="33">
        <v>842</v>
      </c>
      <c r="D241" s="34">
        <v>697</v>
      </c>
      <c r="E241" s="19">
        <f t="shared" si="3"/>
        <v>0.82779097387173395</v>
      </c>
      <c r="F241" s="62">
        <v>309</v>
      </c>
      <c r="G241" s="43">
        <v>0</v>
      </c>
      <c r="H241" s="43">
        <v>28</v>
      </c>
      <c r="I241" s="43">
        <v>7</v>
      </c>
      <c r="J241" s="55">
        <v>331</v>
      </c>
      <c r="K241" s="6">
        <v>0</v>
      </c>
      <c r="L241" s="6">
        <v>0</v>
      </c>
      <c r="M241" s="43">
        <v>0</v>
      </c>
      <c r="N241" s="25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  <c r="V241" s="43">
        <v>0</v>
      </c>
      <c r="W241" s="43">
        <v>4</v>
      </c>
      <c r="X241" s="43">
        <v>0</v>
      </c>
      <c r="Y241" s="43">
        <v>0</v>
      </c>
      <c r="Z241" s="43">
        <v>0</v>
      </c>
      <c r="AA241" s="44">
        <v>0</v>
      </c>
      <c r="AB241" s="44">
        <v>0</v>
      </c>
      <c r="AC241" s="44">
        <v>3</v>
      </c>
      <c r="AD241" s="44">
        <v>5</v>
      </c>
      <c r="AE241" s="44">
        <v>470</v>
      </c>
      <c r="AF241" s="44">
        <v>6</v>
      </c>
      <c r="AG241" s="44">
        <v>0</v>
      </c>
      <c r="AH241" s="44">
        <v>189</v>
      </c>
      <c r="AI241" s="32"/>
      <c r="AJ241" s="32"/>
      <c r="AK241" s="32"/>
      <c r="AL241" s="32"/>
      <c r="AM241" s="44">
        <v>24</v>
      </c>
      <c r="AN241" s="44">
        <v>183</v>
      </c>
      <c r="AO241" s="44">
        <v>444</v>
      </c>
      <c r="AP241" s="44">
        <v>224</v>
      </c>
      <c r="AQ241" s="44">
        <v>401</v>
      </c>
      <c r="AR241" s="50"/>
      <c r="AS241" s="50"/>
      <c r="AT241" s="43">
        <v>461</v>
      </c>
      <c r="AU241" s="43">
        <v>199</v>
      </c>
      <c r="AV241" s="50"/>
      <c r="AW241" s="50"/>
      <c r="AX241" s="50"/>
      <c r="AY241" s="50"/>
      <c r="AZ241" s="50"/>
      <c r="BA241" s="50"/>
      <c r="BB241" s="50"/>
      <c r="BC241" s="50"/>
      <c r="BD241" s="50"/>
      <c r="BE241" s="43">
        <v>341</v>
      </c>
      <c r="BF241" s="43">
        <v>303</v>
      </c>
      <c r="BG241" s="43">
        <v>409</v>
      </c>
      <c r="BH241" s="43">
        <v>240</v>
      </c>
      <c r="BI241" s="43">
        <v>447</v>
      </c>
      <c r="BJ241" s="43">
        <v>197</v>
      </c>
      <c r="BK241" s="43">
        <v>281</v>
      </c>
      <c r="BL241" s="43">
        <v>354</v>
      </c>
      <c r="BM241" s="43">
        <v>336</v>
      </c>
      <c r="BN241" s="43">
        <v>287</v>
      </c>
      <c r="BO241" s="43">
        <v>216</v>
      </c>
      <c r="BP241" s="43">
        <v>402</v>
      </c>
      <c r="BQ241" s="43">
        <v>444</v>
      </c>
      <c r="BR241" s="43">
        <v>187</v>
      </c>
      <c r="BS241" s="43">
        <v>463</v>
      </c>
      <c r="BT241" s="43">
        <v>272</v>
      </c>
      <c r="BU241" s="43">
        <v>352</v>
      </c>
      <c r="BV241" s="43">
        <v>440</v>
      </c>
      <c r="BW241" s="43">
        <v>339</v>
      </c>
      <c r="BX241" s="43">
        <v>181</v>
      </c>
      <c r="BY241" s="43">
        <v>373</v>
      </c>
      <c r="BZ241" s="43">
        <v>185</v>
      </c>
      <c r="CA241" s="43">
        <v>398</v>
      </c>
      <c r="CB241" s="43">
        <v>294</v>
      </c>
      <c r="CC241" s="43">
        <v>214</v>
      </c>
      <c r="CD241" s="43">
        <v>346</v>
      </c>
      <c r="CE241" s="43">
        <v>192</v>
      </c>
      <c r="CF241" s="43">
        <v>341</v>
      </c>
      <c r="CG241" s="43">
        <v>311</v>
      </c>
      <c r="CH241" s="43">
        <v>179</v>
      </c>
      <c r="CI241" s="43">
        <v>122</v>
      </c>
      <c r="CJ241" s="43">
        <v>380</v>
      </c>
      <c r="CK241" s="43">
        <v>323</v>
      </c>
      <c r="CL241" s="43">
        <v>171</v>
      </c>
      <c r="CM241" s="43">
        <v>379</v>
      </c>
      <c r="CN241" s="43">
        <v>378</v>
      </c>
      <c r="CO241" s="43">
        <v>126</v>
      </c>
      <c r="CP241" s="43">
        <v>376</v>
      </c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43"/>
      <c r="FZ241" s="43"/>
      <c r="GA241" s="53"/>
      <c r="GB241" s="53"/>
      <c r="GC241" s="43">
        <v>393</v>
      </c>
      <c r="GD241" s="43">
        <v>272</v>
      </c>
      <c r="GE241" s="53"/>
      <c r="GF241" s="53"/>
      <c r="GG241" s="53"/>
      <c r="GH241" s="53"/>
      <c r="GI241" s="43"/>
      <c r="GJ241" s="43"/>
      <c r="GK241" s="43"/>
      <c r="GL241" s="43"/>
      <c r="GM241" s="53"/>
      <c r="GN241" s="53"/>
      <c r="GO241" s="43">
        <v>498</v>
      </c>
      <c r="GP241" s="43">
        <v>168</v>
      </c>
      <c r="GQ241" s="43">
        <v>470</v>
      </c>
      <c r="GR241" s="43">
        <v>191</v>
      </c>
    </row>
    <row r="242" spans="1:200">
      <c r="A242" s="7">
        <v>3804</v>
      </c>
      <c r="B242" s="1" t="s">
        <v>370</v>
      </c>
      <c r="C242" s="33">
        <v>1193</v>
      </c>
      <c r="D242" s="34">
        <v>1024</v>
      </c>
      <c r="E242" s="19">
        <f t="shared" si="3"/>
        <v>0.85834031852472759</v>
      </c>
      <c r="F242" s="62">
        <v>460</v>
      </c>
      <c r="G242" s="43">
        <v>3</v>
      </c>
      <c r="H242" s="43">
        <v>34</v>
      </c>
      <c r="I242" s="43">
        <v>4</v>
      </c>
      <c r="J242" s="55">
        <v>484</v>
      </c>
      <c r="K242" s="6">
        <v>0</v>
      </c>
      <c r="L242" s="6">
        <v>0</v>
      </c>
      <c r="M242" s="43">
        <v>0</v>
      </c>
      <c r="N242" s="25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  <c r="V242" s="43">
        <v>0</v>
      </c>
      <c r="W242" s="43">
        <v>16</v>
      </c>
      <c r="X242" s="43">
        <v>0</v>
      </c>
      <c r="Y242" s="43">
        <v>0</v>
      </c>
      <c r="Z242" s="43">
        <v>0</v>
      </c>
      <c r="AA242" s="44">
        <v>0</v>
      </c>
      <c r="AB242" s="44">
        <v>0</v>
      </c>
      <c r="AC242" s="44">
        <v>8</v>
      </c>
      <c r="AD242" s="44">
        <v>14</v>
      </c>
      <c r="AE242" s="44">
        <v>671</v>
      </c>
      <c r="AF242" s="44">
        <v>5</v>
      </c>
      <c r="AG242" s="44">
        <v>0</v>
      </c>
      <c r="AH242" s="44">
        <v>297</v>
      </c>
      <c r="AI242" s="32"/>
      <c r="AJ242" s="32"/>
      <c r="AK242" s="32"/>
      <c r="AL242" s="32"/>
      <c r="AM242" s="44">
        <v>34</v>
      </c>
      <c r="AN242" s="44">
        <v>272</v>
      </c>
      <c r="AO242" s="44">
        <v>650</v>
      </c>
      <c r="AP242" s="44">
        <v>360</v>
      </c>
      <c r="AQ242" s="44">
        <v>566</v>
      </c>
      <c r="AR242" s="50"/>
      <c r="AS242" s="50"/>
      <c r="AT242" s="43">
        <v>643</v>
      </c>
      <c r="AU242" s="43">
        <v>314</v>
      </c>
      <c r="AV242" s="50"/>
      <c r="AW242" s="50"/>
      <c r="AX242" s="50"/>
      <c r="AY242" s="50"/>
      <c r="AZ242" s="50"/>
      <c r="BA242" s="50"/>
      <c r="BB242" s="50"/>
      <c r="BC242" s="50"/>
      <c r="BD242" s="50"/>
      <c r="BE242" s="43">
        <v>519</v>
      </c>
      <c r="BF242" s="43">
        <v>431</v>
      </c>
      <c r="BG242" s="43">
        <v>583</v>
      </c>
      <c r="BH242" s="43">
        <v>384</v>
      </c>
      <c r="BI242" s="43">
        <v>634</v>
      </c>
      <c r="BJ242" s="43">
        <v>294</v>
      </c>
      <c r="BK242" s="43">
        <v>411</v>
      </c>
      <c r="BL242" s="43">
        <v>535</v>
      </c>
      <c r="BM242" s="43">
        <v>478</v>
      </c>
      <c r="BN242" s="43">
        <v>450</v>
      </c>
      <c r="BO242" s="43">
        <v>345</v>
      </c>
      <c r="BP242" s="43">
        <v>569</v>
      </c>
      <c r="BQ242" s="43">
        <v>634</v>
      </c>
      <c r="BR242" s="43">
        <v>291</v>
      </c>
      <c r="BS242" s="43">
        <v>641</v>
      </c>
      <c r="BT242" s="43">
        <v>386</v>
      </c>
      <c r="BU242" s="43">
        <v>524</v>
      </c>
      <c r="BV242" s="43">
        <v>629</v>
      </c>
      <c r="BW242" s="43">
        <v>494</v>
      </c>
      <c r="BX242" s="43">
        <v>242</v>
      </c>
      <c r="BY242" s="43">
        <v>526</v>
      </c>
      <c r="BZ242" s="43">
        <v>293</v>
      </c>
      <c r="CA242" s="43">
        <v>565</v>
      </c>
      <c r="CB242" s="43">
        <v>426</v>
      </c>
      <c r="CC242" s="43">
        <v>289</v>
      </c>
      <c r="CD242" s="43">
        <v>517</v>
      </c>
      <c r="CE242" s="43">
        <v>293</v>
      </c>
      <c r="CF242" s="43">
        <v>465</v>
      </c>
      <c r="CG242" s="43">
        <v>471</v>
      </c>
      <c r="CH242" s="43">
        <v>243</v>
      </c>
      <c r="CI242" s="43">
        <v>183</v>
      </c>
      <c r="CJ242" s="43">
        <v>557</v>
      </c>
      <c r="CK242" s="43">
        <v>471</v>
      </c>
      <c r="CL242" s="43">
        <v>238</v>
      </c>
      <c r="CM242" s="43">
        <v>550</v>
      </c>
      <c r="CN242" s="43">
        <v>551</v>
      </c>
      <c r="CO242" s="43">
        <v>234</v>
      </c>
      <c r="CP242" s="43">
        <v>494</v>
      </c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43"/>
      <c r="FZ242" s="43"/>
      <c r="GA242" s="53"/>
      <c r="GB242" s="53"/>
      <c r="GC242" s="43">
        <v>601</v>
      </c>
      <c r="GD242" s="43">
        <v>347</v>
      </c>
      <c r="GE242" s="53"/>
      <c r="GF242" s="53"/>
      <c r="GG242" s="53"/>
      <c r="GH242" s="53"/>
      <c r="GI242" s="43"/>
      <c r="GJ242" s="43"/>
      <c r="GK242" s="43"/>
      <c r="GL242" s="43"/>
      <c r="GM242" s="53"/>
      <c r="GN242" s="53"/>
      <c r="GO242" s="43">
        <v>735</v>
      </c>
      <c r="GP242" s="43">
        <v>259</v>
      </c>
      <c r="GQ242" s="43">
        <v>722</v>
      </c>
      <c r="GR242" s="43">
        <v>263</v>
      </c>
    </row>
    <row r="243" spans="1:200">
      <c r="A243" s="7">
        <v>3805</v>
      </c>
      <c r="B243" s="1" t="s">
        <v>371</v>
      </c>
      <c r="C243" s="33">
        <v>599</v>
      </c>
      <c r="D243" s="34">
        <v>482</v>
      </c>
      <c r="E243" s="19">
        <f t="shared" si="3"/>
        <v>0.80467445742904842</v>
      </c>
      <c r="F243" s="62">
        <v>189</v>
      </c>
      <c r="G243" s="43">
        <v>1</v>
      </c>
      <c r="H243" s="43">
        <v>27</v>
      </c>
      <c r="I243" s="43">
        <v>5</v>
      </c>
      <c r="J243" s="55">
        <v>241</v>
      </c>
      <c r="K243" s="6">
        <v>0</v>
      </c>
      <c r="L243" s="6">
        <v>0</v>
      </c>
      <c r="M243" s="43">
        <v>0</v>
      </c>
      <c r="N243" s="25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  <c r="V243" s="43">
        <v>0</v>
      </c>
      <c r="W243" s="43">
        <v>6</v>
      </c>
      <c r="X243" s="43">
        <v>0</v>
      </c>
      <c r="Y243" s="43">
        <v>0</v>
      </c>
      <c r="Z243" s="43">
        <v>0</v>
      </c>
      <c r="AA243" s="44">
        <v>0</v>
      </c>
      <c r="AB243" s="44">
        <v>0</v>
      </c>
      <c r="AC243" s="44">
        <v>7</v>
      </c>
      <c r="AD243" s="44">
        <v>3</v>
      </c>
      <c r="AE243" s="44">
        <v>318</v>
      </c>
      <c r="AF243" s="44">
        <v>2</v>
      </c>
      <c r="AG243" s="44">
        <v>0</v>
      </c>
      <c r="AH243" s="44">
        <v>134</v>
      </c>
      <c r="AI243" s="32"/>
      <c r="AJ243" s="32"/>
      <c r="AK243" s="32"/>
      <c r="AL243" s="32"/>
      <c r="AM243" s="44">
        <v>22</v>
      </c>
      <c r="AN243" s="44">
        <v>119</v>
      </c>
      <c r="AO243" s="44">
        <v>311</v>
      </c>
      <c r="AP243" s="44">
        <v>157</v>
      </c>
      <c r="AQ243" s="44">
        <v>271</v>
      </c>
      <c r="AR243" s="50"/>
      <c r="AS243" s="50"/>
      <c r="AT243" s="43">
        <v>305</v>
      </c>
      <c r="AU243" s="43">
        <v>139</v>
      </c>
      <c r="AV243" s="50"/>
      <c r="AW243" s="50"/>
      <c r="AX243" s="50"/>
      <c r="AY243" s="50"/>
      <c r="AZ243" s="50"/>
      <c r="BA243" s="50"/>
      <c r="BB243" s="50"/>
      <c r="BC243" s="50"/>
      <c r="BD243" s="50"/>
      <c r="BE243" s="43">
        <v>242</v>
      </c>
      <c r="BF243" s="43">
        <v>208</v>
      </c>
      <c r="BG243" s="43">
        <v>289</v>
      </c>
      <c r="BH243" s="43">
        <v>161</v>
      </c>
      <c r="BI243" s="43">
        <v>319</v>
      </c>
      <c r="BJ243" s="43">
        <v>127</v>
      </c>
      <c r="BK243" s="43">
        <v>176</v>
      </c>
      <c r="BL243" s="43">
        <v>267</v>
      </c>
      <c r="BM243" s="43">
        <v>233</v>
      </c>
      <c r="BN243" s="43">
        <v>196</v>
      </c>
      <c r="BO243" s="43">
        <v>151</v>
      </c>
      <c r="BP243" s="43">
        <v>272</v>
      </c>
      <c r="BQ243" s="43">
        <v>303</v>
      </c>
      <c r="BR243" s="43">
        <v>128</v>
      </c>
      <c r="BS243" s="43">
        <v>328</v>
      </c>
      <c r="BT243" s="43">
        <v>193</v>
      </c>
      <c r="BU243" s="43">
        <v>239</v>
      </c>
      <c r="BV243" s="43">
        <v>319</v>
      </c>
      <c r="BW243" s="43">
        <v>226</v>
      </c>
      <c r="BX243" s="43">
        <v>134</v>
      </c>
      <c r="BY243" s="43">
        <v>256</v>
      </c>
      <c r="BZ243" s="43">
        <v>139</v>
      </c>
      <c r="CA243" s="43">
        <v>291</v>
      </c>
      <c r="CB243" s="43">
        <v>209</v>
      </c>
      <c r="CC243" s="43">
        <v>144</v>
      </c>
      <c r="CD243" s="43">
        <v>272</v>
      </c>
      <c r="CE243" s="43">
        <v>134</v>
      </c>
      <c r="CF243" s="43">
        <v>226</v>
      </c>
      <c r="CG243" s="43">
        <v>228</v>
      </c>
      <c r="CH243" s="43">
        <v>115</v>
      </c>
      <c r="CI243" s="43">
        <v>71</v>
      </c>
      <c r="CJ243" s="43">
        <v>283</v>
      </c>
      <c r="CK243" s="43">
        <v>225</v>
      </c>
      <c r="CL243" s="43">
        <v>126</v>
      </c>
      <c r="CM243" s="43">
        <v>278</v>
      </c>
      <c r="CN243" s="43">
        <v>277</v>
      </c>
      <c r="CO243" s="43">
        <v>97</v>
      </c>
      <c r="CP243" s="43">
        <v>251</v>
      </c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43"/>
      <c r="FZ243" s="43"/>
      <c r="GA243" s="53"/>
      <c r="GB243" s="53"/>
      <c r="GC243" s="43">
        <v>270</v>
      </c>
      <c r="GD243" s="43">
        <v>202</v>
      </c>
      <c r="GE243" s="53"/>
      <c r="GF243" s="53"/>
      <c r="GG243" s="53"/>
      <c r="GH243" s="53"/>
      <c r="GI243" s="43"/>
      <c r="GJ243" s="43"/>
      <c r="GK243" s="43"/>
      <c r="GL243" s="43"/>
      <c r="GM243" s="53"/>
      <c r="GN243" s="53"/>
      <c r="GO243" s="43">
        <v>348</v>
      </c>
      <c r="GP243" s="43">
        <v>119</v>
      </c>
      <c r="GQ243" s="43">
        <v>345</v>
      </c>
      <c r="GR243" s="43">
        <v>114</v>
      </c>
    </row>
    <row r="244" spans="1:200">
      <c r="A244" s="7">
        <v>3806</v>
      </c>
      <c r="B244" s="1" t="s">
        <v>372</v>
      </c>
      <c r="C244" s="33">
        <v>1090</v>
      </c>
      <c r="D244" s="34">
        <v>896</v>
      </c>
      <c r="E244" s="19">
        <f t="shared" si="3"/>
        <v>0.82201834862385326</v>
      </c>
      <c r="F244" s="62">
        <v>345</v>
      </c>
      <c r="G244" s="43">
        <v>3</v>
      </c>
      <c r="H244" s="43">
        <v>36</v>
      </c>
      <c r="I244" s="43">
        <v>2</v>
      </c>
      <c r="J244" s="55">
        <v>461</v>
      </c>
      <c r="K244" s="6">
        <v>0</v>
      </c>
      <c r="L244" s="6">
        <v>0</v>
      </c>
      <c r="M244" s="43">
        <v>0</v>
      </c>
      <c r="N244" s="25">
        <v>0</v>
      </c>
      <c r="O244" s="43">
        <v>0</v>
      </c>
      <c r="P244" s="43">
        <v>0</v>
      </c>
      <c r="Q244" s="43">
        <v>0</v>
      </c>
      <c r="R244" s="43">
        <v>1</v>
      </c>
      <c r="S244" s="43">
        <v>0</v>
      </c>
      <c r="T244" s="43">
        <v>0</v>
      </c>
      <c r="U244" s="43">
        <v>0</v>
      </c>
      <c r="V244" s="43">
        <v>0</v>
      </c>
      <c r="W244" s="43">
        <v>12</v>
      </c>
      <c r="X244" s="43">
        <v>0</v>
      </c>
      <c r="Y244" s="43">
        <v>0</v>
      </c>
      <c r="Z244" s="43">
        <v>0</v>
      </c>
      <c r="AA244" s="44">
        <v>0</v>
      </c>
      <c r="AB244" s="44">
        <v>0</v>
      </c>
      <c r="AC244" s="44">
        <v>12</v>
      </c>
      <c r="AD244" s="44">
        <v>9</v>
      </c>
      <c r="AE244" s="44">
        <v>617</v>
      </c>
      <c r="AF244" s="44">
        <v>6</v>
      </c>
      <c r="AG244" s="44">
        <v>0</v>
      </c>
      <c r="AH244" s="44">
        <v>213</v>
      </c>
      <c r="AI244" s="32"/>
      <c r="AJ244" s="32"/>
      <c r="AK244" s="32"/>
      <c r="AL244" s="32"/>
      <c r="AM244" s="44">
        <v>14</v>
      </c>
      <c r="AN244" s="44">
        <v>210</v>
      </c>
      <c r="AO244" s="44">
        <v>620</v>
      </c>
      <c r="AP244" s="44">
        <v>257</v>
      </c>
      <c r="AQ244" s="44">
        <v>545</v>
      </c>
      <c r="AR244" s="50"/>
      <c r="AS244" s="50"/>
      <c r="AT244" s="43">
        <v>591</v>
      </c>
      <c r="AU244" s="43">
        <v>244</v>
      </c>
      <c r="AV244" s="50"/>
      <c r="AW244" s="50"/>
      <c r="AX244" s="50"/>
      <c r="AY244" s="50"/>
      <c r="AZ244" s="50"/>
      <c r="BA244" s="50"/>
      <c r="BB244" s="50"/>
      <c r="BC244" s="50"/>
      <c r="BD244" s="50"/>
      <c r="BE244" s="43">
        <v>481</v>
      </c>
      <c r="BF244" s="43">
        <v>342</v>
      </c>
      <c r="BG244" s="43">
        <v>577</v>
      </c>
      <c r="BH244" s="43">
        <v>264</v>
      </c>
      <c r="BI244" s="43">
        <v>613</v>
      </c>
      <c r="BJ244" s="43">
        <v>214</v>
      </c>
      <c r="BK244" s="43">
        <v>344</v>
      </c>
      <c r="BL244" s="43">
        <v>476</v>
      </c>
      <c r="BM244" s="43">
        <v>471</v>
      </c>
      <c r="BN244" s="43">
        <v>335</v>
      </c>
      <c r="BO244" s="43">
        <v>253</v>
      </c>
      <c r="BP244" s="43">
        <v>549</v>
      </c>
      <c r="BQ244" s="43">
        <v>607</v>
      </c>
      <c r="BR244" s="43">
        <v>205</v>
      </c>
      <c r="BS244" s="43">
        <v>622</v>
      </c>
      <c r="BT244" s="43">
        <v>371</v>
      </c>
      <c r="BU244" s="43">
        <v>420</v>
      </c>
      <c r="BV244" s="43">
        <v>574</v>
      </c>
      <c r="BW244" s="43">
        <v>444</v>
      </c>
      <c r="BX244" s="43">
        <v>210</v>
      </c>
      <c r="BY244" s="43">
        <v>527</v>
      </c>
      <c r="BZ244" s="43">
        <v>191</v>
      </c>
      <c r="CA244" s="43">
        <v>525</v>
      </c>
      <c r="CB244" s="43">
        <v>418</v>
      </c>
      <c r="CC244" s="43">
        <v>209</v>
      </c>
      <c r="CD244" s="43">
        <v>481</v>
      </c>
      <c r="CE244" s="43">
        <v>239</v>
      </c>
      <c r="CF244" s="43">
        <v>421</v>
      </c>
      <c r="CG244" s="43">
        <v>445</v>
      </c>
      <c r="CH244" s="43">
        <v>170</v>
      </c>
      <c r="CI244" s="43">
        <v>129</v>
      </c>
      <c r="CJ244" s="43">
        <v>505</v>
      </c>
      <c r="CK244" s="43">
        <v>397</v>
      </c>
      <c r="CL244" s="43">
        <v>206</v>
      </c>
      <c r="CM244" s="43">
        <v>496</v>
      </c>
      <c r="CN244" s="43">
        <v>480</v>
      </c>
      <c r="CO244" s="43">
        <v>179</v>
      </c>
      <c r="CP244" s="43">
        <v>439</v>
      </c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43"/>
      <c r="FZ244" s="43"/>
      <c r="GA244" s="53"/>
      <c r="GB244" s="53"/>
      <c r="GC244" s="43">
        <v>536</v>
      </c>
      <c r="GD244" s="43">
        <v>331</v>
      </c>
      <c r="GE244" s="53"/>
      <c r="GF244" s="53"/>
      <c r="GG244" s="53"/>
      <c r="GH244" s="53"/>
      <c r="GI244" s="43"/>
      <c r="GJ244" s="43"/>
      <c r="GK244" s="43"/>
      <c r="GL244" s="43"/>
      <c r="GM244" s="53"/>
      <c r="GN244" s="53"/>
      <c r="GO244" s="43">
        <v>616</v>
      </c>
      <c r="GP244" s="43">
        <v>242</v>
      </c>
      <c r="GQ244" s="43">
        <v>625</v>
      </c>
      <c r="GR244" s="43">
        <v>225</v>
      </c>
    </row>
    <row r="245" spans="1:200">
      <c r="A245" s="7">
        <v>3807</v>
      </c>
      <c r="B245" s="1" t="s">
        <v>373</v>
      </c>
      <c r="C245" s="33">
        <v>666</v>
      </c>
      <c r="D245" s="34">
        <v>550</v>
      </c>
      <c r="E245" s="19">
        <f t="shared" si="3"/>
        <v>0.82582582582582587</v>
      </c>
      <c r="F245" s="62">
        <v>231</v>
      </c>
      <c r="G245" s="43">
        <v>2</v>
      </c>
      <c r="H245" s="43">
        <v>23</v>
      </c>
      <c r="I245" s="43">
        <v>7</v>
      </c>
      <c r="J245" s="55">
        <v>261</v>
      </c>
      <c r="K245" s="6">
        <v>0</v>
      </c>
      <c r="L245" s="6">
        <v>0</v>
      </c>
      <c r="M245" s="43">
        <v>0</v>
      </c>
      <c r="N245" s="25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  <c r="V245" s="43">
        <v>0</v>
      </c>
      <c r="W245" s="43">
        <v>6</v>
      </c>
      <c r="X245" s="43">
        <v>0</v>
      </c>
      <c r="Y245" s="43">
        <v>0</v>
      </c>
      <c r="Z245" s="43">
        <v>0</v>
      </c>
      <c r="AA245" s="44">
        <v>0</v>
      </c>
      <c r="AB245" s="44">
        <v>0</v>
      </c>
      <c r="AC245" s="44">
        <v>7</v>
      </c>
      <c r="AD245" s="44">
        <v>11</v>
      </c>
      <c r="AE245" s="44">
        <v>357</v>
      </c>
      <c r="AF245" s="44">
        <v>3</v>
      </c>
      <c r="AG245" s="44">
        <v>0</v>
      </c>
      <c r="AH245" s="44">
        <v>156</v>
      </c>
      <c r="AI245" s="32"/>
      <c r="AJ245" s="32"/>
      <c r="AK245" s="32"/>
      <c r="AL245" s="32"/>
      <c r="AM245" s="44">
        <v>9</v>
      </c>
      <c r="AN245" s="44">
        <v>153</v>
      </c>
      <c r="AO245" s="44">
        <v>347</v>
      </c>
      <c r="AP245" s="44">
        <v>187</v>
      </c>
      <c r="AQ245" s="44">
        <v>300</v>
      </c>
      <c r="AR245" s="50"/>
      <c r="AS245" s="50"/>
      <c r="AT245" s="43">
        <v>342</v>
      </c>
      <c r="AU245" s="43">
        <v>170</v>
      </c>
      <c r="AV245" s="50"/>
      <c r="AW245" s="50"/>
      <c r="AX245" s="50"/>
      <c r="AY245" s="50"/>
      <c r="AZ245" s="50"/>
      <c r="BA245" s="50"/>
      <c r="BB245" s="50"/>
      <c r="BC245" s="50"/>
      <c r="BD245" s="50"/>
      <c r="BE245" s="43">
        <v>268</v>
      </c>
      <c r="BF245" s="43">
        <v>229</v>
      </c>
      <c r="BG245" s="43">
        <v>314</v>
      </c>
      <c r="BH245" s="43">
        <v>192</v>
      </c>
      <c r="BI245" s="43">
        <v>356</v>
      </c>
      <c r="BJ245" s="43">
        <v>158</v>
      </c>
      <c r="BK245" s="43">
        <v>218</v>
      </c>
      <c r="BL245" s="43">
        <v>284</v>
      </c>
      <c r="BM245" s="43">
        <v>256</v>
      </c>
      <c r="BN245" s="43">
        <v>240</v>
      </c>
      <c r="BO245" s="43">
        <v>175</v>
      </c>
      <c r="BP245" s="43">
        <v>307</v>
      </c>
      <c r="BQ245" s="43">
        <v>345</v>
      </c>
      <c r="BR245" s="43">
        <v>152</v>
      </c>
      <c r="BS245" s="43">
        <v>346</v>
      </c>
      <c r="BT245" s="43">
        <v>202</v>
      </c>
      <c r="BU245" s="43">
        <v>271</v>
      </c>
      <c r="BV245" s="43">
        <v>330</v>
      </c>
      <c r="BW245" s="43">
        <v>236</v>
      </c>
      <c r="BX245" s="43">
        <v>148</v>
      </c>
      <c r="BY245" s="43">
        <v>278</v>
      </c>
      <c r="BZ245" s="43">
        <v>141</v>
      </c>
      <c r="CA245" s="43">
        <v>300</v>
      </c>
      <c r="CB245" s="43">
        <v>246</v>
      </c>
      <c r="CC245" s="43">
        <v>143</v>
      </c>
      <c r="CD245" s="43">
        <v>276</v>
      </c>
      <c r="CE245" s="43">
        <v>145</v>
      </c>
      <c r="CF245" s="43">
        <v>243</v>
      </c>
      <c r="CG245" s="43">
        <v>241</v>
      </c>
      <c r="CH245" s="43">
        <v>134</v>
      </c>
      <c r="CI245" s="43">
        <v>99</v>
      </c>
      <c r="CJ245" s="43">
        <v>287</v>
      </c>
      <c r="CK245" s="43">
        <v>234</v>
      </c>
      <c r="CL245" s="43">
        <v>132</v>
      </c>
      <c r="CM245" s="43">
        <v>284</v>
      </c>
      <c r="CN245" s="43">
        <v>281</v>
      </c>
      <c r="CO245" s="43">
        <v>115</v>
      </c>
      <c r="CP245" s="43">
        <v>260</v>
      </c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43"/>
      <c r="FZ245" s="43"/>
      <c r="GA245" s="53"/>
      <c r="GB245" s="53"/>
      <c r="GC245" s="43">
        <v>340</v>
      </c>
      <c r="GD245" s="43">
        <v>198</v>
      </c>
      <c r="GE245" s="53"/>
      <c r="GF245" s="53"/>
      <c r="GG245" s="53"/>
      <c r="GH245" s="53"/>
      <c r="GI245" s="43"/>
      <c r="GJ245" s="43"/>
      <c r="GK245" s="43"/>
      <c r="GL245" s="43"/>
      <c r="GM245" s="53"/>
      <c r="GN245" s="53"/>
      <c r="GO245" s="43">
        <v>398</v>
      </c>
      <c r="GP245" s="43">
        <v>135</v>
      </c>
      <c r="GQ245" s="43">
        <v>385</v>
      </c>
      <c r="GR245" s="43">
        <v>142</v>
      </c>
    </row>
    <row r="246" spans="1:200">
      <c r="A246" s="7">
        <v>3808</v>
      </c>
      <c r="B246" s="1" t="s">
        <v>374</v>
      </c>
      <c r="C246" s="33">
        <v>762</v>
      </c>
      <c r="D246" s="34">
        <v>625</v>
      </c>
      <c r="E246" s="19">
        <f t="shared" si="3"/>
        <v>0.82020997375328086</v>
      </c>
      <c r="F246" s="62">
        <v>269</v>
      </c>
      <c r="G246" s="43">
        <v>2</v>
      </c>
      <c r="H246" s="43">
        <v>28</v>
      </c>
      <c r="I246" s="43">
        <v>4</v>
      </c>
      <c r="J246" s="55">
        <v>292</v>
      </c>
      <c r="K246" s="6">
        <v>0</v>
      </c>
      <c r="L246" s="6">
        <v>0</v>
      </c>
      <c r="M246" s="43">
        <v>0</v>
      </c>
      <c r="N246" s="25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  <c r="V246" s="43">
        <v>0</v>
      </c>
      <c r="W246" s="43">
        <v>7</v>
      </c>
      <c r="X246" s="43">
        <v>0</v>
      </c>
      <c r="Y246" s="43">
        <v>0</v>
      </c>
      <c r="Z246" s="43">
        <v>0</v>
      </c>
      <c r="AA246" s="44">
        <v>0</v>
      </c>
      <c r="AB246" s="44">
        <v>0</v>
      </c>
      <c r="AC246" s="44">
        <v>3</v>
      </c>
      <c r="AD246" s="44">
        <v>9</v>
      </c>
      <c r="AE246" s="44">
        <v>438</v>
      </c>
      <c r="AF246" s="44">
        <v>4</v>
      </c>
      <c r="AG246" s="44">
        <v>0</v>
      </c>
      <c r="AH246" s="44">
        <v>154</v>
      </c>
      <c r="AI246" s="32"/>
      <c r="AJ246" s="32"/>
      <c r="AK246" s="32"/>
      <c r="AL246" s="32"/>
      <c r="AM246" s="44">
        <v>19</v>
      </c>
      <c r="AN246" s="44">
        <v>148</v>
      </c>
      <c r="AO246" s="44">
        <v>430</v>
      </c>
      <c r="AP246" s="44">
        <v>179</v>
      </c>
      <c r="AQ246" s="44">
        <v>384</v>
      </c>
      <c r="AR246" s="50"/>
      <c r="AS246" s="50"/>
      <c r="AT246" s="43">
        <v>408</v>
      </c>
      <c r="AU246" s="43">
        <v>183</v>
      </c>
      <c r="AV246" s="50"/>
      <c r="AW246" s="50"/>
      <c r="AX246" s="50"/>
      <c r="AY246" s="50"/>
      <c r="AZ246" s="50"/>
      <c r="BA246" s="50"/>
      <c r="BB246" s="50"/>
      <c r="BC246" s="50"/>
      <c r="BD246" s="50"/>
      <c r="BE246" s="43">
        <v>332</v>
      </c>
      <c r="BF246" s="43">
        <v>252</v>
      </c>
      <c r="BG246" s="43">
        <v>373</v>
      </c>
      <c r="BH246" s="43">
        <v>204</v>
      </c>
      <c r="BI246" s="43">
        <v>409</v>
      </c>
      <c r="BJ246" s="43">
        <v>164</v>
      </c>
      <c r="BK246" s="43">
        <v>249</v>
      </c>
      <c r="BL246" s="43">
        <v>336</v>
      </c>
      <c r="BM246" s="43">
        <v>331</v>
      </c>
      <c r="BN246" s="43">
        <v>240</v>
      </c>
      <c r="BO246" s="43">
        <v>195</v>
      </c>
      <c r="BP246" s="43">
        <v>360</v>
      </c>
      <c r="BQ246" s="43">
        <v>430</v>
      </c>
      <c r="BR246" s="43">
        <v>141</v>
      </c>
      <c r="BS246" s="43">
        <v>425</v>
      </c>
      <c r="BT246" s="43">
        <v>259</v>
      </c>
      <c r="BU246" s="43">
        <v>301</v>
      </c>
      <c r="BV246" s="43">
        <v>408</v>
      </c>
      <c r="BW246" s="43">
        <v>306</v>
      </c>
      <c r="BX246" s="43">
        <v>155</v>
      </c>
      <c r="BY246" s="43">
        <v>337</v>
      </c>
      <c r="BZ246" s="43">
        <v>172</v>
      </c>
      <c r="CA246" s="43">
        <v>371</v>
      </c>
      <c r="CB246" s="43">
        <v>274</v>
      </c>
      <c r="CC246" s="43">
        <v>181</v>
      </c>
      <c r="CD246" s="43">
        <v>327</v>
      </c>
      <c r="CE246" s="43">
        <v>184</v>
      </c>
      <c r="CF246" s="43">
        <v>286</v>
      </c>
      <c r="CG246" s="43">
        <v>299</v>
      </c>
      <c r="CH246" s="43">
        <v>142</v>
      </c>
      <c r="CI246" s="43">
        <v>117</v>
      </c>
      <c r="CJ246" s="43">
        <v>337</v>
      </c>
      <c r="CK246" s="43">
        <v>298</v>
      </c>
      <c r="CL246" s="43">
        <v>146</v>
      </c>
      <c r="CM246" s="43">
        <v>345</v>
      </c>
      <c r="CN246" s="43">
        <v>345</v>
      </c>
      <c r="CO246" s="43">
        <v>138</v>
      </c>
      <c r="CP246" s="43">
        <v>304</v>
      </c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43">
        <v>7</v>
      </c>
      <c r="FZ246" s="43">
        <v>4</v>
      </c>
      <c r="GA246" s="53"/>
      <c r="GB246" s="53"/>
      <c r="GC246" s="43">
        <v>362</v>
      </c>
      <c r="GD246" s="43">
        <v>233</v>
      </c>
      <c r="GE246" s="53"/>
      <c r="GF246" s="53"/>
      <c r="GG246" s="53"/>
      <c r="GH246" s="53"/>
      <c r="GI246" s="43"/>
      <c r="GJ246" s="43"/>
      <c r="GK246" s="43"/>
      <c r="GL246" s="43"/>
      <c r="GM246" s="53"/>
      <c r="GN246" s="53"/>
      <c r="GO246" s="43">
        <v>441</v>
      </c>
      <c r="GP246" s="43">
        <v>163</v>
      </c>
      <c r="GQ246" s="43">
        <v>456</v>
      </c>
      <c r="GR246" s="43">
        <v>148</v>
      </c>
    </row>
    <row r="247" spans="1:200">
      <c r="A247" s="7">
        <v>4001</v>
      </c>
      <c r="B247" s="1" t="s">
        <v>375</v>
      </c>
      <c r="C247" s="33">
        <v>1223</v>
      </c>
      <c r="D247" s="34">
        <v>1013</v>
      </c>
      <c r="E247" s="19">
        <f t="shared" si="3"/>
        <v>0.8282910874897792</v>
      </c>
      <c r="F247" s="62">
        <v>437</v>
      </c>
      <c r="G247" s="43">
        <v>1</v>
      </c>
      <c r="H247" s="43">
        <v>40</v>
      </c>
      <c r="I247" s="43">
        <v>6</v>
      </c>
      <c r="J247" s="55">
        <v>488</v>
      </c>
      <c r="K247" s="6">
        <v>0</v>
      </c>
      <c r="L247" s="6">
        <v>0</v>
      </c>
      <c r="M247" s="43">
        <v>2</v>
      </c>
      <c r="N247" s="25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  <c r="V247" s="43">
        <v>0</v>
      </c>
      <c r="W247" s="43">
        <v>4</v>
      </c>
      <c r="X247" s="43">
        <v>0</v>
      </c>
      <c r="Y247" s="43">
        <v>0</v>
      </c>
      <c r="Z247" s="43">
        <v>0</v>
      </c>
      <c r="AA247" s="44">
        <v>0</v>
      </c>
      <c r="AB247" s="44">
        <v>0</v>
      </c>
      <c r="AC247" s="44">
        <v>3</v>
      </c>
      <c r="AD247" s="44">
        <v>9</v>
      </c>
      <c r="AE247" s="44">
        <v>690</v>
      </c>
      <c r="AF247" s="44">
        <v>8</v>
      </c>
      <c r="AG247" s="44">
        <v>0</v>
      </c>
      <c r="AH247" s="44">
        <v>266</v>
      </c>
      <c r="AI247" s="44">
        <v>639</v>
      </c>
      <c r="AJ247" s="44">
        <v>0</v>
      </c>
      <c r="AK247" s="44">
        <v>0</v>
      </c>
      <c r="AL247" s="44">
        <v>326</v>
      </c>
      <c r="AM247" s="48"/>
      <c r="AN247" s="48"/>
      <c r="AO247" s="48"/>
      <c r="AP247" s="44">
        <v>331</v>
      </c>
      <c r="AQ247" s="44">
        <v>587</v>
      </c>
      <c r="AR247" s="50"/>
      <c r="AS247" s="50"/>
      <c r="AT247" s="43">
        <v>623</v>
      </c>
      <c r="AU247" s="43">
        <v>311</v>
      </c>
      <c r="AV247" s="50"/>
      <c r="AW247" s="50"/>
      <c r="AX247" s="50"/>
      <c r="AY247" s="50"/>
      <c r="AZ247" s="50"/>
      <c r="BA247" s="50"/>
      <c r="BB247" s="50"/>
      <c r="BC247" s="50"/>
      <c r="BD247" s="50"/>
      <c r="BE247" s="43">
        <v>504</v>
      </c>
      <c r="BF247" s="43">
        <v>417</v>
      </c>
      <c r="BG247" s="43">
        <v>597</v>
      </c>
      <c r="BH247" s="43">
        <v>338</v>
      </c>
      <c r="BI247" s="43">
        <v>643</v>
      </c>
      <c r="BJ247" s="43">
        <v>276</v>
      </c>
      <c r="BK247" s="43">
        <v>377</v>
      </c>
      <c r="BL247" s="43">
        <v>551</v>
      </c>
      <c r="BM247" s="43">
        <v>505</v>
      </c>
      <c r="BN247" s="43">
        <v>406</v>
      </c>
      <c r="BO247" s="43">
        <v>315</v>
      </c>
      <c r="BP247" s="43">
        <v>578</v>
      </c>
      <c r="BQ247" s="43">
        <v>660</v>
      </c>
      <c r="BR247" s="43">
        <v>254</v>
      </c>
      <c r="BS247" s="43">
        <v>674</v>
      </c>
      <c r="BT247" s="43">
        <v>431</v>
      </c>
      <c r="BU247" s="43">
        <v>463</v>
      </c>
      <c r="BV247" s="43">
        <v>633</v>
      </c>
      <c r="BW247" s="43">
        <v>461</v>
      </c>
      <c r="BX247" s="43">
        <v>279</v>
      </c>
      <c r="BY247" s="43">
        <v>532</v>
      </c>
      <c r="BZ247" s="43">
        <v>274</v>
      </c>
      <c r="CA247" s="43">
        <v>579</v>
      </c>
      <c r="CB247" s="43">
        <v>451</v>
      </c>
      <c r="CC247" s="43">
        <v>263</v>
      </c>
      <c r="CD247" s="43">
        <v>539</v>
      </c>
      <c r="CE247" s="43">
        <v>286</v>
      </c>
      <c r="CF247" s="43">
        <v>458</v>
      </c>
      <c r="CG247" s="43">
        <v>446</v>
      </c>
      <c r="CH247" s="43">
        <v>252</v>
      </c>
      <c r="CI247" s="43">
        <v>184</v>
      </c>
      <c r="CJ247" s="43">
        <v>518</v>
      </c>
      <c r="CK247" s="43">
        <v>422</v>
      </c>
      <c r="CL247" s="43">
        <v>281</v>
      </c>
      <c r="CM247" s="43">
        <v>524</v>
      </c>
      <c r="CN247" s="43">
        <v>531</v>
      </c>
      <c r="CO247" s="43">
        <v>232</v>
      </c>
      <c r="CP247" s="43">
        <v>468</v>
      </c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43"/>
      <c r="FZ247" s="43"/>
      <c r="GA247" s="53"/>
      <c r="GB247" s="53"/>
      <c r="GC247" s="53"/>
      <c r="GD247" s="53"/>
      <c r="GE247" s="53"/>
      <c r="GF247" s="53"/>
      <c r="GG247" s="53"/>
      <c r="GH247" s="53"/>
      <c r="GI247" s="43">
        <v>576</v>
      </c>
      <c r="GJ247" s="43">
        <v>396</v>
      </c>
      <c r="GK247" s="43"/>
      <c r="GL247" s="43"/>
      <c r="GM247" s="53"/>
      <c r="GN247" s="53"/>
      <c r="GO247" s="43">
        <v>715</v>
      </c>
      <c r="GP247" s="43">
        <v>250</v>
      </c>
      <c r="GQ247" s="43">
        <v>739</v>
      </c>
      <c r="GR247" s="43">
        <v>223</v>
      </c>
    </row>
    <row r="248" spans="1:200">
      <c r="A248" s="7">
        <v>4002</v>
      </c>
      <c r="B248" s="1" t="s">
        <v>376</v>
      </c>
      <c r="C248" s="33">
        <v>1159</v>
      </c>
      <c r="D248" s="34">
        <v>987</v>
      </c>
      <c r="E248" s="19">
        <f t="shared" si="3"/>
        <v>0.85159620362381361</v>
      </c>
      <c r="F248" s="62">
        <v>368</v>
      </c>
      <c r="G248" s="43">
        <v>2</v>
      </c>
      <c r="H248" s="43">
        <v>36</v>
      </c>
      <c r="I248" s="43">
        <v>7</v>
      </c>
      <c r="J248" s="55">
        <v>540</v>
      </c>
      <c r="K248" s="6">
        <v>0</v>
      </c>
      <c r="L248" s="6">
        <v>0</v>
      </c>
      <c r="M248" s="43">
        <v>0</v>
      </c>
      <c r="N248" s="25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  <c r="V248" s="43">
        <v>0</v>
      </c>
      <c r="W248" s="43">
        <v>3</v>
      </c>
      <c r="X248" s="43">
        <v>0</v>
      </c>
      <c r="Y248" s="43">
        <v>0</v>
      </c>
      <c r="Z248" s="43">
        <v>0</v>
      </c>
      <c r="AA248" s="44">
        <v>0</v>
      </c>
      <c r="AB248" s="44">
        <v>0</v>
      </c>
      <c r="AC248" s="44">
        <v>10</v>
      </c>
      <c r="AD248" s="44">
        <v>6</v>
      </c>
      <c r="AE248" s="44">
        <v>674</v>
      </c>
      <c r="AF248" s="44">
        <v>4</v>
      </c>
      <c r="AG248" s="44">
        <v>0</v>
      </c>
      <c r="AH248" s="44">
        <v>274</v>
      </c>
      <c r="AI248" s="44">
        <v>654</v>
      </c>
      <c r="AJ248" s="44">
        <v>0</v>
      </c>
      <c r="AK248" s="44">
        <v>0</v>
      </c>
      <c r="AL248" s="44">
        <v>298</v>
      </c>
      <c r="AM248" s="48"/>
      <c r="AN248" s="48"/>
      <c r="AO248" s="48"/>
      <c r="AP248" s="44">
        <v>295</v>
      </c>
      <c r="AQ248" s="44">
        <v>616</v>
      </c>
      <c r="AR248" s="50"/>
      <c r="AS248" s="50"/>
      <c r="AT248" s="43">
        <v>646</v>
      </c>
      <c r="AU248" s="43">
        <v>286</v>
      </c>
      <c r="AV248" s="50"/>
      <c r="AW248" s="50"/>
      <c r="AX248" s="50"/>
      <c r="AY248" s="50"/>
      <c r="AZ248" s="50"/>
      <c r="BA248" s="50"/>
      <c r="BB248" s="50"/>
      <c r="BC248" s="50"/>
      <c r="BD248" s="50"/>
      <c r="BE248" s="43">
        <v>547</v>
      </c>
      <c r="BF248" s="43">
        <v>383</v>
      </c>
      <c r="BG248" s="43">
        <v>612</v>
      </c>
      <c r="BH248" s="43">
        <v>323</v>
      </c>
      <c r="BI248" s="43">
        <v>646</v>
      </c>
      <c r="BJ248" s="43">
        <v>259</v>
      </c>
      <c r="BK248" s="43">
        <v>357</v>
      </c>
      <c r="BL248" s="43">
        <v>570</v>
      </c>
      <c r="BM248" s="43">
        <v>521</v>
      </c>
      <c r="BN248" s="43">
        <v>391</v>
      </c>
      <c r="BO248" s="43">
        <v>305</v>
      </c>
      <c r="BP248" s="43">
        <v>595</v>
      </c>
      <c r="BQ248" s="43">
        <v>654</v>
      </c>
      <c r="BR248" s="43">
        <v>255</v>
      </c>
      <c r="BS248" s="43">
        <v>676</v>
      </c>
      <c r="BT248" s="43">
        <v>437</v>
      </c>
      <c r="BU248" s="43">
        <v>455</v>
      </c>
      <c r="BV248" s="43">
        <v>645</v>
      </c>
      <c r="BW248" s="43">
        <v>545</v>
      </c>
      <c r="BX248" s="43">
        <v>241</v>
      </c>
      <c r="BY248" s="43">
        <v>565</v>
      </c>
      <c r="BZ248" s="43">
        <v>269</v>
      </c>
      <c r="CA248" s="43">
        <v>590</v>
      </c>
      <c r="CB248" s="43">
        <v>524</v>
      </c>
      <c r="CC248" s="43">
        <v>238</v>
      </c>
      <c r="CD248" s="43">
        <v>527</v>
      </c>
      <c r="CE248" s="43">
        <v>263</v>
      </c>
      <c r="CF248" s="43">
        <v>529</v>
      </c>
      <c r="CG248" s="43">
        <v>523</v>
      </c>
      <c r="CH248" s="43">
        <v>219</v>
      </c>
      <c r="CI248" s="43">
        <v>185</v>
      </c>
      <c r="CJ248" s="43">
        <v>574</v>
      </c>
      <c r="CK248" s="43">
        <v>504</v>
      </c>
      <c r="CL248" s="43">
        <v>243</v>
      </c>
      <c r="CM248" s="43">
        <v>553</v>
      </c>
      <c r="CN248" s="43">
        <v>546</v>
      </c>
      <c r="CO248" s="43">
        <v>236</v>
      </c>
      <c r="CP248" s="43">
        <v>517</v>
      </c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43"/>
      <c r="FZ248" s="43"/>
      <c r="GA248" s="53"/>
      <c r="GB248" s="53"/>
      <c r="GC248" s="53"/>
      <c r="GD248" s="53"/>
      <c r="GE248" s="53"/>
      <c r="GF248" s="53"/>
      <c r="GG248" s="53"/>
      <c r="GH248" s="53"/>
      <c r="GI248" s="43">
        <v>544</v>
      </c>
      <c r="GJ248" s="43">
        <v>424</v>
      </c>
      <c r="GK248" s="43"/>
      <c r="GL248" s="43"/>
      <c r="GM248" s="53"/>
      <c r="GN248" s="53"/>
      <c r="GO248" s="43">
        <v>680</v>
      </c>
      <c r="GP248" s="43">
        <v>276</v>
      </c>
      <c r="GQ248" s="43">
        <v>708</v>
      </c>
      <c r="GR248" s="43">
        <v>241</v>
      </c>
    </row>
    <row r="249" spans="1:200">
      <c r="A249" s="7">
        <v>4003</v>
      </c>
      <c r="B249" s="1" t="s">
        <v>377</v>
      </c>
      <c r="C249" s="33">
        <v>1256</v>
      </c>
      <c r="D249" s="34">
        <v>1037</v>
      </c>
      <c r="E249" s="19">
        <f t="shared" si="3"/>
        <v>0.82563694267515919</v>
      </c>
      <c r="F249" s="62">
        <v>445</v>
      </c>
      <c r="G249" s="43">
        <v>2</v>
      </c>
      <c r="H249" s="43">
        <v>46</v>
      </c>
      <c r="I249" s="43">
        <v>6</v>
      </c>
      <c r="J249" s="55">
        <v>498</v>
      </c>
      <c r="K249" s="6">
        <v>0</v>
      </c>
      <c r="L249" s="6">
        <v>0</v>
      </c>
      <c r="M249" s="43">
        <v>0</v>
      </c>
      <c r="N249" s="25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  <c r="V249" s="43">
        <v>0</v>
      </c>
      <c r="W249" s="43">
        <v>8</v>
      </c>
      <c r="X249" s="43">
        <v>0</v>
      </c>
      <c r="Y249" s="43">
        <v>0</v>
      </c>
      <c r="Z249" s="43">
        <v>0</v>
      </c>
      <c r="AA249" s="44">
        <v>0</v>
      </c>
      <c r="AB249" s="44">
        <v>0</v>
      </c>
      <c r="AC249" s="44">
        <v>8</v>
      </c>
      <c r="AD249" s="44">
        <v>11</v>
      </c>
      <c r="AE249" s="44">
        <v>688</v>
      </c>
      <c r="AF249" s="44">
        <v>9</v>
      </c>
      <c r="AG249" s="44">
        <v>0</v>
      </c>
      <c r="AH249" s="44">
        <v>293</v>
      </c>
      <c r="AI249" s="44">
        <v>622</v>
      </c>
      <c r="AJ249" s="44">
        <v>1</v>
      </c>
      <c r="AK249" s="44">
        <v>0</v>
      </c>
      <c r="AL249" s="44">
        <v>379</v>
      </c>
      <c r="AM249" s="48"/>
      <c r="AN249" s="48"/>
      <c r="AO249" s="48"/>
      <c r="AP249" s="44">
        <v>343</v>
      </c>
      <c r="AQ249" s="44">
        <v>607</v>
      </c>
      <c r="AR249" s="50"/>
      <c r="AS249" s="50"/>
      <c r="AT249" s="43">
        <v>639</v>
      </c>
      <c r="AU249" s="43">
        <v>335</v>
      </c>
      <c r="AV249" s="50"/>
      <c r="AW249" s="50"/>
      <c r="AX249" s="50"/>
      <c r="AY249" s="50"/>
      <c r="AZ249" s="50"/>
      <c r="BA249" s="50"/>
      <c r="BB249" s="50"/>
      <c r="BC249" s="50"/>
      <c r="BD249" s="50"/>
      <c r="BE249" s="43">
        <v>520</v>
      </c>
      <c r="BF249" s="43">
        <v>451</v>
      </c>
      <c r="BG249" s="43">
        <v>604</v>
      </c>
      <c r="BH249" s="43">
        <v>385</v>
      </c>
      <c r="BI249" s="43">
        <v>651</v>
      </c>
      <c r="BJ249" s="43">
        <v>314</v>
      </c>
      <c r="BK249" s="43">
        <v>400</v>
      </c>
      <c r="BL249" s="43">
        <v>564</v>
      </c>
      <c r="BM249" s="43">
        <v>501</v>
      </c>
      <c r="BN249" s="43">
        <v>448</v>
      </c>
      <c r="BO249" s="43">
        <v>365</v>
      </c>
      <c r="BP249" s="43">
        <v>567</v>
      </c>
      <c r="BQ249" s="43">
        <v>652</v>
      </c>
      <c r="BR249" s="43">
        <v>296</v>
      </c>
      <c r="BS249" s="43">
        <v>685</v>
      </c>
      <c r="BT249" s="43">
        <v>428</v>
      </c>
      <c r="BU249" s="43">
        <v>510</v>
      </c>
      <c r="BV249" s="43">
        <v>669</v>
      </c>
      <c r="BW249" s="43">
        <v>492</v>
      </c>
      <c r="BX249" s="43">
        <v>274</v>
      </c>
      <c r="BY249" s="43">
        <v>534</v>
      </c>
      <c r="BZ249" s="43">
        <v>315</v>
      </c>
      <c r="CA249" s="43">
        <v>623</v>
      </c>
      <c r="CB249" s="43">
        <v>461</v>
      </c>
      <c r="CC249" s="43">
        <v>303</v>
      </c>
      <c r="CD249" s="43">
        <v>562</v>
      </c>
      <c r="CE249" s="43">
        <v>323</v>
      </c>
      <c r="CF249" s="43">
        <v>468</v>
      </c>
      <c r="CG249" s="43">
        <v>469</v>
      </c>
      <c r="CH249" s="43">
        <v>268</v>
      </c>
      <c r="CI249" s="43">
        <v>199</v>
      </c>
      <c r="CJ249" s="43">
        <v>555</v>
      </c>
      <c r="CK249" s="43">
        <v>460</v>
      </c>
      <c r="CL249" s="43">
        <v>292</v>
      </c>
      <c r="CM249" s="43">
        <v>561</v>
      </c>
      <c r="CN249" s="43">
        <v>565</v>
      </c>
      <c r="CO249" s="43">
        <v>257</v>
      </c>
      <c r="CP249" s="43">
        <v>502</v>
      </c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43"/>
      <c r="FZ249" s="43"/>
      <c r="GA249" s="53"/>
      <c r="GB249" s="53"/>
      <c r="GC249" s="53"/>
      <c r="GD249" s="53"/>
      <c r="GE249" s="53"/>
      <c r="GF249" s="53"/>
      <c r="GG249" s="53"/>
      <c r="GH249" s="53"/>
      <c r="GI249" s="43">
        <v>640</v>
      </c>
      <c r="GJ249" s="43">
        <v>358</v>
      </c>
      <c r="GK249" s="43"/>
      <c r="GL249" s="43"/>
      <c r="GM249" s="53"/>
      <c r="GN249" s="53"/>
      <c r="GO249" s="43">
        <v>761</v>
      </c>
      <c r="GP249" s="43">
        <v>233</v>
      </c>
      <c r="GQ249" s="43">
        <v>771</v>
      </c>
      <c r="GR249" s="43">
        <v>215</v>
      </c>
    </row>
    <row r="250" spans="1:200">
      <c r="A250" s="7">
        <v>4004</v>
      </c>
      <c r="B250" s="1" t="s">
        <v>378</v>
      </c>
      <c r="C250" s="33">
        <v>613</v>
      </c>
      <c r="D250" s="34">
        <v>507</v>
      </c>
      <c r="E250" s="19">
        <f t="shared" si="3"/>
        <v>0.82707993474714514</v>
      </c>
      <c r="F250" s="62">
        <v>257</v>
      </c>
      <c r="G250" s="43">
        <v>0</v>
      </c>
      <c r="H250" s="43">
        <v>20</v>
      </c>
      <c r="I250" s="43">
        <v>6</v>
      </c>
      <c r="J250" s="55">
        <v>209</v>
      </c>
      <c r="K250" s="6">
        <v>0</v>
      </c>
      <c r="L250" s="6">
        <v>0</v>
      </c>
      <c r="M250" s="43">
        <v>0</v>
      </c>
      <c r="N250" s="25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  <c r="V250" s="43">
        <v>0</v>
      </c>
      <c r="W250" s="43">
        <v>4</v>
      </c>
      <c r="X250" s="43">
        <v>0</v>
      </c>
      <c r="Y250" s="43">
        <v>0</v>
      </c>
      <c r="Z250" s="43">
        <v>0</v>
      </c>
      <c r="AA250" s="44">
        <v>0</v>
      </c>
      <c r="AB250" s="44">
        <v>0</v>
      </c>
      <c r="AC250" s="44">
        <v>1</v>
      </c>
      <c r="AD250" s="44">
        <v>8</v>
      </c>
      <c r="AE250" s="44">
        <v>297</v>
      </c>
      <c r="AF250" s="44">
        <v>5</v>
      </c>
      <c r="AG250" s="44">
        <v>0</v>
      </c>
      <c r="AH250" s="44">
        <v>181</v>
      </c>
      <c r="AI250" s="44">
        <v>282</v>
      </c>
      <c r="AJ250" s="44">
        <v>0</v>
      </c>
      <c r="AK250" s="44">
        <v>0</v>
      </c>
      <c r="AL250" s="44">
        <v>212</v>
      </c>
      <c r="AM250" s="48"/>
      <c r="AN250" s="48"/>
      <c r="AO250" s="48"/>
      <c r="AP250" s="44">
        <v>203</v>
      </c>
      <c r="AQ250" s="44">
        <v>262</v>
      </c>
      <c r="AR250" s="50"/>
      <c r="AS250" s="50"/>
      <c r="AT250" s="43">
        <v>295</v>
      </c>
      <c r="AU250" s="43">
        <v>188</v>
      </c>
      <c r="AV250" s="50"/>
      <c r="AW250" s="50"/>
      <c r="AX250" s="50"/>
      <c r="AY250" s="50"/>
      <c r="AZ250" s="50"/>
      <c r="BA250" s="50"/>
      <c r="BB250" s="50"/>
      <c r="BC250" s="50"/>
      <c r="BD250" s="50"/>
      <c r="BE250" s="43">
        <v>223</v>
      </c>
      <c r="BF250" s="43">
        <v>251</v>
      </c>
      <c r="BG250" s="43">
        <v>254</v>
      </c>
      <c r="BH250" s="43">
        <v>221</v>
      </c>
      <c r="BI250" s="43">
        <v>282</v>
      </c>
      <c r="BJ250" s="43">
        <v>183</v>
      </c>
      <c r="BK250" s="43">
        <v>222</v>
      </c>
      <c r="BL250" s="43">
        <v>243</v>
      </c>
      <c r="BM250" s="43">
        <v>217</v>
      </c>
      <c r="BN250" s="43">
        <v>240</v>
      </c>
      <c r="BO250" s="43">
        <v>204</v>
      </c>
      <c r="BP250" s="43">
        <v>249</v>
      </c>
      <c r="BQ250" s="43">
        <v>294</v>
      </c>
      <c r="BR250" s="43">
        <v>168</v>
      </c>
      <c r="BS250" s="43">
        <v>320</v>
      </c>
      <c r="BT250" s="43">
        <v>183</v>
      </c>
      <c r="BU250" s="43">
        <v>276</v>
      </c>
      <c r="BV250" s="43">
        <v>324</v>
      </c>
      <c r="BW250" s="43">
        <v>239</v>
      </c>
      <c r="BX250" s="43">
        <v>146</v>
      </c>
      <c r="BY250" s="43">
        <v>232</v>
      </c>
      <c r="BZ250" s="43">
        <v>183</v>
      </c>
      <c r="CA250" s="43">
        <v>284</v>
      </c>
      <c r="CB250" s="43">
        <v>190</v>
      </c>
      <c r="CC250" s="43">
        <v>177</v>
      </c>
      <c r="CD250" s="43">
        <v>277</v>
      </c>
      <c r="CE250" s="43">
        <v>182</v>
      </c>
      <c r="CF250" s="43">
        <v>201</v>
      </c>
      <c r="CG250" s="43">
        <v>213</v>
      </c>
      <c r="CH250" s="43">
        <v>144</v>
      </c>
      <c r="CI250" s="43">
        <v>125</v>
      </c>
      <c r="CJ250" s="43">
        <v>245</v>
      </c>
      <c r="CK250" s="43">
        <v>222</v>
      </c>
      <c r="CL250" s="43">
        <v>141</v>
      </c>
      <c r="CM250" s="43">
        <v>253</v>
      </c>
      <c r="CN250" s="43">
        <v>262</v>
      </c>
      <c r="CO250" s="43">
        <v>145</v>
      </c>
      <c r="CP250" s="43">
        <v>219</v>
      </c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43"/>
      <c r="FZ250" s="43"/>
      <c r="GA250" s="53"/>
      <c r="GB250" s="53"/>
      <c r="GC250" s="53"/>
      <c r="GD250" s="53"/>
      <c r="GE250" s="53"/>
      <c r="GF250" s="53"/>
      <c r="GG250" s="53"/>
      <c r="GH250" s="53"/>
      <c r="GI250" s="43">
        <v>316</v>
      </c>
      <c r="GJ250" s="43">
        <v>180</v>
      </c>
      <c r="GK250" s="43"/>
      <c r="GL250" s="43"/>
      <c r="GM250" s="53"/>
      <c r="GN250" s="53"/>
      <c r="GO250" s="43">
        <v>390</v>
      </c>
      <c r="GP250" s="43">
        <v>102</v>
      </c>
      <c r="GQ250" s="43">
        <v>375</v>
      </c>
      <c r="GR250" s="43">
        <v>116</v>
      </c>
    </row>
    <row r="251" spans="1:200">
      <c r="A251" s="7">
        <v>4005</v>
      </c>
      <c r="B251" s="1" t="s">
        <v>379</v>
      </c>
      <c r="C251" s="33">
        <v>664</v>
      </c>
      <c r="D251" s="34">
        <v>534</v>
      </c>
      <c r="E251" s="19">
        <f t="shared" si="3"/>
        <v>0.80421686746987953</v>
      </c>
      <c r="F251" s="62">
        <v>270</v>
      </c>
      <c r="G251" s="43">
        <v>2</v>
      </c>
      <c r="H251" s="43">
        <v>17</v>
      </c>
      <c r="I251" s="43">
        <v>3</v>
      </c>
      <c r="J251" s="55">
        <v>232</v>
      </c>
      <c r="K251" s="6">
        <v>0</v>
      </c>
      <c r="L251" s="6">
        <v>0</v>
      </c>
      <c r="M251" s="43">
        <v>0</v>
      </c>
      <c r="N251" s="25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  <c r="V251" s="43">
        <v>0</v>
      </c>
      <c r="W251" s="43">
        <v>1</v>
      </c>
      <c r="X251" s="43">
        <v>0</v>
      </c>
      <c r="Y251" s="43">
        <v>0</v>
      </c>
      <c r="Z251" s="43">
        <v>0</v>
      </c>
      <c r="AA251" s="44">
        <v>0</v>
      </c>
      <c r="AB251" s="44">
        <v>0</v>
      </c>
      <c r="AC251" s="44">
        <v>6</v>
      </c>
      <c r="AD251" s="44">
        <v>9</v>
      </c>
      <c r="AE251" s="44">
        <v>317</v>
      </c>
      <c r="AF251" s="44">
        <v>1</v>
      </c>
      <c r="AG251" s="44">
        <v>0</v>
      </c>
      <c r="AH251" s="44">
        <v>188</v>
      </c>
      <c r="AI251" s="44">
        <v>293</v>
      </c>
      <c r="AJ251" s="44">
        <v>0</v>
      </c>
      <c r="AK251" s="44">
        <v>0</v>
      </c>
      <c r="AL251" s="44">
        <v>219</v>
      </c>
      <c r="AM251" s="48"/>
      <c r="AN251" s="48"/>
      <c r="AO251" s="48"/>
      <c r="AP251" s="44">
        <v>214</v>
      </c>
      <c r="AQ251" s="44">
        <v>264</v>
      </c>
      <c r="AR251" s="50"/>
      <c r="AS251" s="50"/>
      <c r="AT251" s="43">
        <v>279</v>
      </c>
      <c r="AU251" s="43">
        <v>207</v>
      </c>
      <c r="AV251" s="50"/>
      <c r="AW251" s="50"/>
      <c r="AX251" s="50"/>
      <c r="AY251" s="50"/>
      <c r="AZ251" s="50"/>
      <c r="BA251" s="50"/>
      <c r="BB251" s="50"/>
      <c r="BC251" s="50"/>
      <c r="BD251" s="50"/>
      <c r="BE251" s="43">
        <v>220</v>
      </c>
      <c r="BF251" s="43">
        <v>263</v>
      </c>
      <c r="BG251" s="43">
        <v>268</v>
      </c>
      <c r="BH251" s="43">
        <v>224</v>
      </c>
      <c r="BI251" s="43">
        <v>293</v>
      </c>
      <c r="BJ251" s="43">
        <v>192</v>
      </c>
      <c r="BK251" s="43">
        <v>240</v>
      </c>
      <c r="BL251" s="43">
        <v>238</v>
      </c>
      <c r="BM251" s="43">
        <v>216</v>
      </c>
      <c r="BN251" s="43">
        <v>258</v>
      </c>
      <c r="BO251" s="43">
        <v>207</v>
      </c>
      <c r="BP251" s="43">
        <v>266</v>
      </c>
      <c r="BQ251" s="43">
        <v>299</v>
      </c>
      <c r="BR251" s="43">
        <v>184</v>
      </c>
      <c r="BS251" s="43">
        <v>324</v>
      </c>
      <c r="BT251" s="43">
        <v>184</v>
      </c>
      <c r="BU251" s="43">
        <v>277</v>
      </c>
      <c r="BV251" s="43">
        <v>319</v>
      </c>
      <c r="BW251" s="43">
        <v>203</v>
      </c>
      <c r="BX251" s="43">
        <v>184</v>
      </c>
      <c r="BY251" s="43">
        <v>248</v>
      </c>
      <c r="BZ251" s="43">
        <v>171</v>
      </c>
      <c r="CA251" s="43">
        <v>287</v>
      </c>
      <c r="CB251" s="43">
        <v>184</v>
      </c>
      <c r="CC251" s="43">
        <v>178</v>
      </c>
      <c r="CD251" s="43">
        <v>321</v>
      </c>
      <c r="CE251" s="43">
        <v>182</v>
      </c>
      <c r="CF251" s="43">
        <v>198</v>
      </c>
      <c r="CG251" s="43">
        <v>202</v>
      </c>
      <c r="CH251" s="43">
        <v>161</v>
      </c>
      <c r="CI251" s="43">
        <v>124</v>
      </c>
      <c r="CJ251" s="43">
        <v>245</v>
      </c>
      <c r="CK251" s="43">
        <v>186</v>
      </c>
      <c r="CL251" s="43">
        <v>183</v>
      </c>
      <c r="CM251" s="43">
        <v>279</v>
      </c>
      <c r="CN251" s="43">
        <v>271</v>
      </c>
      <c r="CO251" s="43">
        <v>156</v>
      </c>
      <c r="CP251" s="43">
        <v>206</v>
      </c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43"/>
      <c r="FZ251" s="43"/>
      <c r="GA251" s="53"/>
      <c r="GB251" s="53"/>
      <c r="GC251" s="53"/>
      <c r="GD251" s="53"/>
      <c r="GE251" s="53"/>
      <c r="GF251" s="53"/>
      <c r="GG251" s="53"/>
      <c r="GH251" s="53"/>
      <c r="GI251" s="43">
        <v>320</v>
      </c>
      <c r="GJ251" s="43">
        <v>183</v>
      </c>
      <c r="GK251" s="43"/>
      <c r="GL251" s="43"/>
      <c r="GM251" s="53"/>
      <c r="GN251" s="53"/>
      <c r="GO251" s="43">
        <v>360</v>
      </c>
      <c r="GP251" s="43">
        <v>140</v>
      </c>
      <c r="GQ251" s="43">
        <v>370</v>
      </c>
      <c r="GR251" s="43">
        <v>133</v>
      </c>
    </row>
    <row r="252" spans="1:200">
      <c r="A252" s="7">
        <v>4006</v>
      </c>
      <c r="B252" s="1" t="s">
        <v>380</v>
      </c>
      <c r="C252" s="33">
        <v>996</v>
      </c>
      <c r="D252" s="34">
        <v>843</v>
      </c>
      <c r="E252" s="19">
        <f t="shared" si="3"/>
        <v>0.84638554216867468</v>
      </c>
      <c r="F252" s="62">
        <v>358</v>
      </c>
      <c r="G252" s="43">
        <v>1</v>
      </c>
      <c r="H252" s="43">
        <v>31</v>
      </c>
      <c r="I252" s="43">
        <v>12</v>
      </c>
      <c r="J252" s="55">
        <v>408</v>
      </c>
      <c r="K252" s="6">
        <v>0</v>
      </c>
      <c r="L252" s="6">
        <v>0</v>
      </c>
      <c r="M252" s="43">
        <v>0</v>
      </c>
      <c r="N252" s="25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  <c r="V252" s="43">
        <v>0</v>
      </c>
      <c r="W252" s="43">
        <v>6</v>
      </c>
      <c r="X252" s="43">
        <v>0</v>
      </c>
      <c r="Y252" s="43">
        <v>0</v>
      </c>
      <c r="Z252" s="43">
        <v>0</v>
      </c>
      <c r="AA252" s="44">
        <v>0</v>
      </c>
      <c r="AB252" s="44">
        <v>0</v>
      </c>
      <c r="AC252" s="44">
        <v>6</v>
      </c>
      <c r="AD252" s="44">
        <v>10</v>
      </c>
      <c r="AE252" s="44">
        <v>546</v>
      </c>
      <c r="AF252" s="44">
        <v>3</v>
      </c>
      <c r="AG252" s="44">
        <v>0</v>
      </c>
      <c r="AH252" s="44">
        <v>247</v>
      </c>
      <c r="AI252" s="44">
        <v>525</v>
      </c>
      <c r="AJ252" s="44">
        <v>0</v>
      </c>
      <c r="AK252" s="44">
        <v>0</v>
      </c>
      <c r="AL252" s="44">
        <v>279</v>
      </c>
      <c r="AM252" s="48"/>
      <c r="AN252" s="48"/>
      <c r="AO252" s="48"/>
      <c r="AP252" s="44">
        <v>274</v>
      </c>
      <c r="AQ252" s="44">
        <v>496</v>
      </c>
      <c r="AR252" s="50"/>
      <c r="AS252" s="50"/>
      <c r="AT252" s="43">
        <v>519</v>
      </c>
      <c r="AU252" s="43">
        <v>260</v>
      </c>
      <c r="AV252" s="50"/>
      <c r="AW252" s="50"/>
      <c r="AX252" s="50"/>
      <c r="AY252" s="50"/>
      <c r="AZ252" s="50"/>
      <c r="BA252" s="50"/>
      <c r="BB252" s="50"/>
      <c r="BC252" s="50"/>
      <c r="BD252" s="50"/>
      <c r="BE252" s="43">
        <v>447</v>
      </c>
      <c r="BF252" s="43">
        <v>332</v>
      </c>
      <c r="BG252" s="43">
        <v>498</v>
      </c>
      <c r="BH252" s="43">
        <v>294</v>
      </c>
      <c r="BI252" s="43">
        <v>537</v>
      </c>
      <c r="BJ252" s="43">
        <v>242</v>
      </c>
      <c r="BK252" s="43">
        <v>329</v>
      </c>
      <c r="BL252" s="43">
        <v>453</v>
      </c>
      <c r="BM252" s="43">
        <v>447</v>
      </c>
      <c r="BN252" s="43">
        <v>320</v>
      </c>
      <c r="BO252" s="43">
        <v>281</v>
      </c>
      <c r="BP252" s="43">
        <v>477</v>
      </c>
      <c r="BQ252" s="43">
        <v>540</v>
      </c>
      <c r="BR252" s="43">
        <v>230</v>
      </c>
      <c r="BS252" s="43">
        <v>565</v>
      </c>
      <c r="BT252" s="43">
        <v>363</v>
      </c>
      <c r="BU252" s="43">
        <v>388</v>
      </c>
      <c r="BV252" s="43">
        <v>544</v>
      </c>
      <c r="BW252" s="43">
        <v>404</v>
      </c>
      <c r="BX252" s="43">
        <v>209</v>
      </c>
      <c r="BY252" s="43">
        <v>441</v>
      </c>
      <c r="BZ252" s="43">
        <v>233</v>
      </c>
      <c r="CA252" s="43">
        <v>506</v>
      </c>
      <c r="CB252" s="43">
        <v>373</v>
      </c>
      <c r="CC252" s="43">
        <v>226</v>
      </c>
      <c r="CD252" s="43">
        <v>446</v>
      </c>
      <c r="CE252" s="43">
        <v>263</v>
      </c>
      <c r="CF252" s="43">
        <v>357</v>
      </c>
      <c r="CG252" s="43">
        <v>386</v>
      </c>
      <c r="CH252" s="43">
        <v>202</v>
      </c>
      <c r="CI252" s="43">
        <v>161</v>
      </c>
      <c r="CJ252" s="43">
        <v>444</v>
      </c>
      <c r="CK252" s="43">
        <v>387</v>
      </c>
      <c r="CL252" s="43">
        <v>208</v>
      </c>
      <c r="CM252" s="43">
        <v>457</v>
      </c>
      <c r="CN252" s="43">
        <v>455</v>
      </c>
      <c r="CO252" s="43">
        <v>217</v>
      </c>
      <c r="CP252" s="43">
        <v>381</v>
      </c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43"/>
      <c r="FZ252" s="43"/>
      <c r="GA252" s="53"/>
      <c r="GB252" s="53"/>
      <c r="GC252" s="53"/>
      <c r="GD252" s="53"/>
      <c r="GE252" s="53"/>
      <c r="GF252" s="53"/>
      <c r="GG252" s="53"/>
      <c r="GH252" s="53"/>
      <c r="GI252" s="43">
        <v>505</v>
      </c>
      <c r="GJ252" s="43">
        <v>306</v>
      </c>
      <c r="GK252" s="43"/>
      <c r="GL252" s="43"/>
      <c r="GM252" s="53"/>
      <c r="GN252" s="53"/>
      <c r="GO252" s="43">
        <v>600</v>
      </c>
      <c r="GP252" s="43">
        <v>208</v>
      </c>
      <c r="GQ252" s="43">
        <v>606</v>
      </c>
      <c r="GR252" s="43">
        <v>194</v>
      </c>
    </row>
    <row r="253" spans="1:200">
      <c r="A253" s="7">
        <v>4007</v>
      </c>
      <c r="B253" s="1" t="s">
        <v>381</v>
      </c>
      <c r="C253" s="33">
        <v>596</v>
      </c>
      <c r="D253" s="34">
        <v>513</v>
      </c>
      <c r="E253" s="19">
        <f t="shared" si="3"/>
        <v>0.86073825503355705</v>
      </c>
      <c r="F253" s="62">
        <v>232</v>
      </c>
      <c r="G253" s="43">
        <v>0</v>
      </c>
      <c r="H253" s="43">
        <v>18</v>
      </c>
      <c r="I253" s="43">
        <v>6</v>
      </c>
      <c r="J253" s="55">
        <v>244</v>
      </c>
      <c r="K253" s="6">
        <v>0</v>
      </c>
      <c r="L253" s="6">
        <v>0</v>
      </c>
      <c r="M253" s="43">
        <v>0</v>
      </c>
      <c r="N253" s="25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  <c r="V253" s="43">
        <v>0</v>
      </c>
      <c r="W253" s="43">
        <v>0</v>
      </c>
      <c r="X253" s="43">
        <v>0</v>
      </c>
      <c r="Y253" s="43">
        <v>0</v>
      </c>
      <c r="Z253" s="43">
        <v>0</v>
      </c>
      <c r="AA253" s="44">
        <v>0</v>
      </c>
      <c r="AB253" s="44">
        <v>0</v>
      </c>
      <c r="AC253" s="44">
        <v>0</v>
      </c>
      <c r="AD253" s="44">
        <v>6</v>
      </c>
      <c r="AE253" s="44">
        <v>347</v>
      </c>
      <c r="AF253" s="44">
        <v>3</v>
      </c>
      <c r="AG253" s="44">
        <v>0</v>
      </c>
      <c r="AH253" s="44">
        <v>148</v>
      </c>
      <c r="AI253" s="44">
        <v>316</v>
      </c>
      <c r="AJ253" s="44">
        <v>1</v>
      </c>
      <c r="AK253" s="44">
        <v>0</v>
      </c>
      <c r="AL253" s="44">
        <v>181</v>
      </c>
      <c r="AM253" s="48"/>
      <c r="AN253" s="48"/>
      <c r="AO253" s="48"/>
      <c r="AP253" s="44">
        <v>185</v>
      </c>
      <c r="AQ253" s="44">
        <v>287</v>
      </c>
      <c r="AR253" s="50"/>
      <c r="AS253" s="50"/>
      <c r="AT253" s="43">
        <v>322</v>
      </c>
      <c r="AU253" s="43">
        <v>163</v>
      </c>
      <c r="AV253" s="50"/>
      <c r="AW253" s="50"/>
      <c r="AX253" s="50"/>
      <c r="AY253" s="50"/>
      <c r="AZ253" s="50"/>
      <c r="BA253" s="50"/>
      <c r="BB253" s="50"/>
      <c r="BC253" s="50"/>
      <c r="BD253" s="50"/>
      <c r="BE253" s="43">
        <v>269</v>
      </c>
      <c r="BF253" s="43">
        <v>217</v>
      </c>
      <c r="BG253" s="43">
        <v>299</v>
      </c>
      <c r="BH253" s="43">
        <v>185</v>
      </c>
      <c r="BI253" s="43">
        <v>319</v>
      </c>
      <c r="BJ253" s="43">
        <v>161</v>
      </c>
      <c r="BK253" s="43">
        <v>207</v>
      </c>
      <c r="BL253" s="43">
        <v>275</v>
      </c>
      <c r="BM253" s="43">
        <v>267</v>
      </c>
      <c r="BN253" s="43">
        <v>209</v>
      </c>
      <c r="BO253" s="43">
        <v>178</v>
      </c>
      <c r="BP253" s="43">
        <v>294</v>
      </c>
      <c r="BQ253" s="43">
        <v>325</v>
      </c>
      <c r="BR253" s="43">
        <v>150</v>
      </c>
      <c r="BS253" s="43">
        <v>352</v>
      </c>
      <c r="BT253" s="43">
        <v>227</v>
      </c>
      <c r="BU253" s="43">
        <v>237</v>
      </c>
      <c r="BV253" s="43">
        <v>344</v>
      </c>
      <c r="BW253" s="43">
        <v>266</v>
      </c>
      <c r="BX253" s="43">
        <v>137</v>
      </c>
      <c r="BY253" s="43">
        <v>269</v>
      </c>
      <c r="BZ253" s="43">
        <v>166</v>
      </c>
      <c r="CA253" s="43">
        <v>326</v>
      </c>
      <c r="CB253" s="43">
        <v>230</v>
      </c>
      <c r="CC253" s="43">
        <v>159</v>
      </c>
      <c r="CD253" s="43">
        <v>292</v>
      </c>
      <c r="CE253" s="43">
        <v>154</v>
      </c>
      <c r="CF253" s="43">
        <v>256</v>
      </c>
      <c r="CG253" s="43">
        <v>239</v>
      </c>
      <c r="CH253" s="43">
        <v>149</v>
      </c>
      <c r="CI253" s="43">
        <v>104</v>
      </c>
      <c r="CJ253" s="43">
        <v>290</v>
      </c>
      <c r="CK253" s="43">
        <v>237</v>
      </c>
      <c r="CL253" s="43">
        <v>156</v>
      </c>
      <c r="CM253" s="43">
        <v>297</v>
      </c>
      <c r="CN253" s="43">
        <v>291</v>
      </c>
      <c r="CO253" s="43">
        <v>129</v>
      </c>
      <c r="CP253" s="43">
        <v>266</v>
      </c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43"/>
      <c r="FZ253" s="43"/>
      <c r="GA253" s="53"/>
      <c r="GB253" s="53"/>
      <c r="GC253" s="53"/>
      <c r="GD253" s="53"/>
      <c r="GE253" s="53"/>
      <c r="GF253" s="53"/>
      <c r="GG253" s="53"/>
      <c r="GH253" s="53"/>
      <c r="GI253" s="43">
        <v>312</v>
      </c>
      <c r="GJ253" s="43">
        <v>188</v>
      </c>
      <c r="GK253" s="43"/>
      <c r="GL253" s="43"/>
      <c r="GM253" s="53"/>
      <c r="GN253" s="53"/>
      <c r="GO253" s="43">
        <v>367</v>
      </c>
      <c r="GP253" s="43">
        <v>128</v>
      </c>
      <c r="GQ253" s="43">
        <v>376</v>
      </c>
      <c r="GR253" s="43">
        <v>118</v>
      </c>
    </row>
    <row r="254" spans="1:200">
      <c r="A254" s="7">
        <v>4008</v>
      </c>
      <c r="B254" s="1" t="s">
        <v>382</v>
      </c>
      <c r="C254" s="33">
        <v>991</v>
      </c>
      <c r="D254" s="34">
        <v>790</v>
      </c>
      <c r="E254" s="19">
        <f t="shared" si="3"/>
        <v>0.79717457114026236</v>
      </c>
      <c r="F254" s="62">
        <v>333</v>
      </c>
      <c r="G254" s="43">
        <v>3</v>
      </c>
      <c r="H254" s="43">
        <v>34</v>
      </c>
      <c r="I254" s="43">
        <v>7</v>
      </c>
      <c r="J254" s="55">
        <v>382</v>
      </c>
      <c r="K254" s="6">
        <v>0</v>
      </c>
      <c r="L254" s="6">
        <v>0</v>
      </c>
      <c r="M254" s="43">
        <v>0</v>
      </c>
      <c r="N254" s="25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  <c r="V254" s="43">
        <v>0</v>
      </c>
      <c r="W254" s="43">
        <v>7</v>
      </c>
      <c r="X254" s="43">
        <v>0</v>
      </c>
      <c r="Y254" s="43">
        <v>0</v>
      </c>
      <c r="Z254" s="43">
        <v>0</v>
      </c>
      <c r="AA254" s="44">
        <v>0</v>
      </c>
      <c r="AB254" s="44">
        <v>0</v>
      </c>
      <c r="AC254" s="44">
        <v>0</v>
      </c>
      <c r="AD254" s="44">
        <v>9</v>
      </c>
      <c r="AE254" s="44">
        <v>557</v>
      </c>
      <c r="AF254" s="44">
        <v>4</v>
      </c>
      <c r="AG254" s="44">
        <v>0</v>
      </c>
      <c r="AH254" s="44">
        <v>204</v>
      </c>
      <c r="AI254" s="44">
        <v>527</v>
      </c>
      <c r="AJ254" s="44">
        <v>0</v>
      </c>
      <c r="AK254" s="44">
        <v>0</v>
      </c>
      <c r="AL254" s="44">
        <v>240</v>
      </c>
      <c r="AM254" s="48"/>
      <c r="AN254" s="48"/>
      <c r="AO254" s="48"/>
      <c r="AP254" s="44">
        <v>233</v>
      </c>
      <c r="AQ254" s="44">
        <v>487</v>
      </c>
      <c r="AR254" s="50"/>
      <c r="AS254" s="50"/>
      <c r="AT254" s="43">
        <v>521</v>
      </c>
      <c r="AU254" s="43">
        <v>224</v>
      </c>
      <c r="AV254" s="50"/>
      <c r="AW254" s="50"/>
      <c r="AX254" s="50"/>
      <c r="AY254" s="50"/>
      <c r="AZ254" s="50"/>
      <c r="BA254" s="50"/>
      <c r="BB254" s="50"/>
      <c r="BC254" s="50"/>
      <c r="BD254" s="50"/>
      <c r="BE254" s="43">
        <v>446</v>
      </c>
      <c r="BF254" s="43">
        <v>288</v>
      </c>
      <c r="BG254" s="43">
        <v>491</v>
      </c>
      <c r="BH254" s="43">
        <v>253</v>
      </c>
      <c r="BI254" s="43">
        <v>529</v>
      </c>
      <c r="BJ254" s="43">
        <v>204</v>
      </c>
      <c r="BK254" s="43">
        <v>285</v>
      </c>
      <c r="BL254" s="43">
        <v>447</v>
      </c>
      <c r="BM254" s="43">
        <v>422</v>
      </c>
      <c r="BN254" s="43">
        <v>305</v>
      </c>
      <c r="BO254" s="43">
        <v>254</v>
      </c>
      <c r="BP254" s="43">
        <v>470</v>
      </c>
      <c r="BQ254" s="43">
        <v>535</v>
      </c>
      <c r="BR254" s="43">
        <v>188</v>
      </c>
      <c r="BS254" s="43">
        <v>562</v>
      </c>
      <c r="BT254" s="43">
        <v>363</v>
      </c>
      <c r="BU254" s="43">
        <v>346</v>
      </c>
      <c r="BV254" s="43">
        <v>537</v>
      </c>
      <c r="BW254" s="43">
        <v>384</v>
      </c>
      <c r="BX254" s="43">
        <v>192</v>
      </c>
      <c r="BY254" s="43">
        <v>426</v>
      </c>
      <c r="BZ254" s="43">
        <v>220</v>
      </c>
      <c r="CA254" s="43">
        <v>488</v>
      </c>
      <c r="CB254" s="43">
        <v>346</v>
      </c>
      <c r="CC254" s="43">
        <v>200</v>
      </c>
      <c r="CD254" s="43">
        <v>444</v>
      </c>
      <c r="CE254" s="43">
        <v>231</v>
      </c>
      <c r="CF254" s="43">
        <v>345</v>
      </c>
      <c r="CG254" s="43">
        <v>367</v>
      </c>
      <c r="CH254" s="43">
        <v>169</v>
      </c>
      <c r="CI254" s="43">
        <v>124</v>
      </c>
      <c r="CJ254" s="43">
        <v>440</v>
      </c>
      <c r="CK254" s="43">
        <v>372</v>
      </c>
      <c r="CL254" s="43">
        <v>169</v>
      </c>
      <c r="CM254" s="43">
        <v>445</v>
      </c>
      <c r="CN254" s="43">
        <v>454</v>
      </c>
      <c r="CO254" s="43">
        <v>169</v>
      </c>
      <c r="CP254" s="43">
        <v>368</v>
      </c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43"/>
      <c r="FZ254" s="43"/>
      <c r="GA254" s="53"/>
      <c r="GB254" s="53"/>
      <c r="GC254" s="53"/>
      <c r="GD254" s="53"/>
      <c r="GE254" s="53"/>
      <c r="GF254" s="53"/>
      <c r="GG254" s="53"/>
      <c r="GH254" s="53"/>
      <c r="GI254" s="43">
        <v>467</v>
      </c>
      <c r="GJ254" s="43">
        <v>306</v>
      </c>
      <c r="GK254" s="43"/>
      <c r="GL254" s="43"/>
      <c r="GM254" s="53"/>
      <c r="GN254" s="53"/>
      <c r="GO254" s="43">
        <v>572</v>
      </c>
      <c r="GP254" s="43">
        <v>196</v>
      </c>
      <c r="GQ254" s="43">
        <v>570</v>
      </c>
      <c r="GR254" s="43">
        <v>192</v>
      </c>
    </row>
    <row r="255" spans="1:200">
      <c r="A255" s="7">
        <v>4009</v>
      </c>
      <c r="B255" s="1" t="s">
        <v>383</v>
      </c>
      <c r="C255" s="33">
        <v>948</v>
      </c>
      <c r="D255" s="34">
        <v>813</v>
      </c>
      <c r="E255" s="19">
        <f t="shared" si="3"/>
        <v>0.85759493670886078</v>
      </c>
      <c r="F255" s="62">
        <v>349</v>
      </c>
      <c r="G255" s="43">
        <v>4</v>
      </c>
      <c r="H255" s="43">
        <v>31</v>
      </c>
      <c r="I255" s="43">
        <v>4</v>
      </c>
      <c r="J255" s="55">
        <v>378</v>
      </c>
      <c r="K255" s="6">
        <v>0</v>
      </c>
      <c r="L255" s="6">
        <v>0</v>
      </c>
      <c r="M255" s="43">
        <v>0</v>
      </c>
      <c r="N255" s="25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1</v>
      </c>
      <c r="U255" s="43">
        <v>0</v>
      </c>
      <c r="V255" s="43">
        <v>0</v>
      </c>
      <c r="W255" s="43">
        <v>7</v>
      </c>
      <c r="X255" s="43">
        <v>0</v>
      </c>
      <c r="Y255" s="43">
        <v>0</v>
      </c>
      <c r="Z255" s="43">
        <v>0</v>
      </c>
      <c r="AA255" s="44">
        <v>0</v>
      </c>
      <c r="AB255" s="44">
        <v>0</v>
      </c>
      <c r="AC255" s="44">
        <v>4</v>
      </c>
      <c r="AD255" s="44">
        <v>3</v>
      </c>
      <c r="AE255" s="44">
        <v>582</v>
      </c>
      <c r="AF255" s="44">
        <v>3</v>
      </c>
      <c r="AG255" s="44">
        <v>0</v>
      </c>
      <c r="AH255" s="44">
        <v>204</v>
      </c>
      <c r="AI255" s="44">
        <v>525</v>
      </c>
      <c r="AJ255" s="44">
        <v>0</v>
      </c>
      <c r="AK255" s="44">
        <v>0</v>
      </c>
      <c r="AL255" s="44">
        <v>262</v>
      </c>
      <c r="AM255" s="48"/>
      <c r="AN255" s="48"/>
      <c r="AO255" s="48"/>
      <c r="AP255" s="44">
        <v>254</v>
      </c>
      <c r="AQ255" s="44">
        <v>481</v>
      </c>
      <c r="AR255" s="50"/>
      <c r="AS255" s="50"/>
      <c r="AT255" s="43">
        <v>516</v>
      </c>
      <c r="AU255" s="43">
        <v>247</v>
      </c>
      <c r="AV255" s="50"/>
      <c r="AW255" s="50"/>
      <c r="AX255" s="50"/>
      <c r="AY255" s="50"/>
      <c r="AZ255" s="50"/>
      <c r="BA255" s="50"/>
      <c r="BB255" s="50"/>
      <c r="BC255" s="50"/>
      <c r="BD255" s="50"/>
      <c r="BE255" s="43">
        <v>425</v>
      </c>
      <c r="BF255" s="43">
        <v>346</v>
      </c>
      <c r="BG255" s="43">
        <v>488</v>
      </c>
      <c r="BH255" s="43">
        <v>280</v>
      </c>
      <c r="BI255" s="43">
        <v>544</v>
      </c>
      <c r="BJ255" s="43">
        <v>217</v>
      </c>
      <c r="BK255" s="43">
        <v>294</v>
      </c>
      <c r="BL255" s="43">
        <v>452</v>
      </c>
      <c r="BM255" s="43">
        <v>399</v>
      </c>
      <c r="BN255" s="43">
        <v>340</v>
      </c>
      <c r="BO255" s="43">
        <v>269</v>
      </c>
      <c r="BP255" s="43">
        <v>477</v>
      </c>
      <c r="BQ255" s="43">
        <v>548</v>
      </c>
      <c r="BR255" s="43">
        <v>200</v>
      </c>
      <c r="BS255" s="43">
        <v>563</v>
      </c>
      <c r="BT255" s="43">
        <v>359</v>
      </c>
      <c r="BU255" s="43">
        <v>369</v>
      </c>
      <c r="BV255" s="43">
        <v>532</v>
      </c>
      <c r="BW255" s="43">
        <v>374</v>
      </c>
      <c r="BX255" s="43">
        <v>225</v>
      </c>
      <c r="BY255" s="43">
        <v>431</v>
      </c>
      <c r="BZ255" s="43">
        <v>242</v>
      </c>
      <c r="CA255" s="43">
        <v>491</v>
      </c>
      <c r="CB255" s="43">
        <v>339</v>
      </c>
      <c r="CC255" s="43">
        <v>251</v>
      </c>
      <c r="CD255" s="43">
        <v>444</v>
      </c>
      <c r="CE255" s="43">
        <v>250</v>
      </c>
      <c r="CF255" s="43">
        <v>359</v>
      </c>
      <c r="CG255" s="43">
        <v>374</v>
      </c>
      <c r="CH255" s="43">
        <v>200</v>
      </c>
      <c r="CI255" s="43">
        <v>140</v>
      </c>
      <c r="CJ255" s="43">
        <v>446</v>
      </c>
      <c r="CK255" s="43">
        <v>334</v>
      </c>
      <c r="CL255" s="43">
        <v>227</v>
      </c>
      <c r="CM255" s="43">
        <v>444</v>
      </c>
      <c r="CN255" s="43">
        <v>440</v>
      </c>
      <c r="CO255" s="43">
        <v>194</v>
      </c>
      <c r="CP255" s="43">
        <v>382</v>
      </c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43"/>
      <c r="FZ255" s="43"/>
      <c r="GA255" s="53"/>
      <c r="GB255" s="53"/>
      <c r="GC255" s="53"/>
      <c r="GD255" s="53"/>
      <c r="GE255" s="53"/>
      <c r="GF255" s="53"/>
      <c r="GG255" s="53"/>
      <c r="GH255" s="53"/>
      <c r="GI255" s="43">
        <v>472</v>
      </c>
      <c r="GJ255" s="43">
        <v>301</v>
      </c>
      <c r="GK255" s="43"/>
      <c r="GL255" s="43"/>
      <c r="GM255" s="53"/>
      <c r="GN255" s="53"/>
      <c r="GO255" s="43">
        <v>578</v>
      </c>
      <c r="GP255" s="43">
        <v>203</v>
      </c>
      <c r="GQ255" s="43">
        <v>610</v>
      </c>
      <c r="GR255" s="43">
        <v>171</v>
      </c>
    </row>
    <row r="256" spans="1:200">
      <c r="A256" s="7">
        <v>4111</v>
      </c>
      <c r="B256" s="1" t="s">
        <v>384</v>
      </c>
      <c r="C256" s="33">
        <v>1607</v>
      </c>
      <c r="D256" s="34">
        <v>972</v>
      </c>
      <c r="E256" s="19">
        <f t="shared" si="3"/>
        <v>0.60485376477909147</v>
      </c>
      <c r="F256" s="62">
        <v>709</v>
      </c>
      <c r="G256" s="43">
        <v>1</v>
      </c>
      <c r="H256" s="43">
        <v>21</v>
      </c>
      <c r="I256" s="43">
        <v>10</v>
      </c>
      <c r="J256" s="55">
        <v>214</v>
      </c>
      <c r="K256" s="6">
        <v>0</v>
      </c>
      <c r="L256" s="6">
        <v>0</v>
      </c>
      <c r="M256" s="43">
        <v>0</v>
      </c>
      <c r="N256" s="25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  <c r="V256" s="43">
        <v>0</v>
      </c>
      <c r="W256" s="43">
        <v>0</v>
      </c>
      <c r="X256" s="43">
        <v>0</v>
      </c>
      <c r="Y256" s="43">
        <v>0</v>
      </c>
      <c r="Z256" s="43">
        <v>0</v>
      </c>
      <c r="AA256" s="44">
        <v>0</v>
      </c>
      <c r="AB256" s="44">
        <v>0</v>
      </c>
      <c r="AC256" s="44">
        <v>25</v>
      </c>
      <c r="AD256" s="44">
        <v>13</v>
      </c>
      <c r="AE256" s="44">
        <v>286</v>
      </c>
      <c r="AF256" s="44">
        <v>16</v>
      </c>
      <c r="AG256" s="44">
        <v>0</v>
      </c>
      <c r="AH256" s="44">
        <v>603</v>
      </c>
      <c r="AI256" s="32"/>
      <c r="AJ256" s="32"/>
      <c r="AK256" s="32"/>
      <c r="AL256" s="32"/>
      <c r="AM256" s="44">
        <v>18</v>
      </c>
      <c r="AN256" s="44">
        <v>645</v>
      </c>
      <c r="AO256" s="44">
        <v>249</v>
      </c>
      <c r="AP256" s="44"/>
      <c r="AQ256" s="44"/>
      <c r="AR256" s="51"/>
      <c r="AS256" s="51"/>
      <c r="AT256" s="51"/>
      <c r="AU256" s="51"/>
      <c r="AV256" s="51"/>
      <c r="AW256" s="50"/>
      <c r="AX256" s="50"/>
      <c r="AY256" s="50"/>
      <c r="AZ256" s="50"/>
      <c r="BA256" s="43">
        <v>699</v>
      </c>
      <c r="BB256" s="43">
        <v>225</v>
      </c>
      <c r="BC256" s="50"/>
      <c r="BD256" s="50"/>
      <c r="BE256" s="43">
        <v>191</v>
      </c>
      <c r="BF256" s="43">
        <v>731</v>
      </c>
      <c r="BG256" s="43">
        <v>256</v>
      </c>
      <c r="BH256" s="43">
        <v>659</v>
      </c>
      <c r="BI256" s="43">
        <v>303</v>
      </c>
      <c r="BJ256" s="43">
        <v>622</v>
      </c>
      <c r="BK256" s="43">
        <v>656</v>
      </c>
      <c r="BL256" s="43">
        <v>262</v>
      </c>
      <c r="BM256" s="43">
        <v>171</v>
      </c>
      <c r="BN256" s="43">
        <v>750</v>
      </c>
      <c r="BO256" s="43">
        <v>663</v>
      </c>
      <c r="BP256" s="43">
        <v>248</v>
      </c>
      <c r="BQ256" s="43">
        <v>277</v>
      </c>
      <c r="BR256" s="43">
        <v>641</v>
      </c>
      <c r="BS256" s="43">
        <v>452</v>
      </c>
      <c r="BT256" s="43">
        <v>182</v>
      </c>
      <c r="BU256" s="43">
        <v>732</v>
      </c>
      <c r="BV256" s="43">
        <v>555</v>
      </c>
      <c r="BW256" s="43">
        <v>349</v>
      </c>
      <c r="BX256" s="43">
        <v>403</v>
      </c>
      <c r="BY256" s="43">
        <v>385</v>
      </c>
      <c r="BZ256" s="43">
        <v>436</v>
      </c>
      <c r="CA256" s="43">
        <v>513</v>
      </c>
      <c r="CB256" s="43">
        <v>238</v>
      </c>
      <c r="CC256" s="43">
        <v>522</v>
      </c>
      <c r="CD256" s="43">
        <v>557</v>
      </c>
      <c r="CE256" s="43">
        <v>487</v>
      </c>
      <c r="CF256" s="43">
        <v>275</v>
      </c>
      <c r="CG256" s="43">
        <v>305</v>
      </c>
      <c r="CH256" s="43">
        <v>393</v>
      </c>
      <c r="CI256" s="43">
        <v>325</v>
      </c>
      <c r="CJ256" s="43">
        <v>418</v>
      </c>
      <c r="CK256" s="43">
        <v>395</v>
      </c>
      <c r="CL256" s="43">
        <v>367</v>
      </c>
      <c r="CM256" s="43">
        <v>483</v>
      </c>
      <c r="CN256" s="43">
        <v>550</v>
      </c>
      <c r="CO256" s="43">
        <v>382</v>
      </c>
      <c r="CP256" s="43">
        <v>380</v>
      </c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43"/>
      <c r="FZ256" s="43"/>
      <c r="GA256" s="53"/>
      <c r="GB256" s="53"/>
      <c r="GC256" s="53"/>
      <c r="GD256" s="53"/>
      <c r="GE256" s="53"/>
      <c r="GF256" s="53"/>
      <c r="GG256" s="53"/>
      <c r="GH256" s="53"/>
      <c r="GI256" s="43"/>
      <c r="GJ256" s="43"/>
      <c r="GK256" s="43"/>
      <c r="GL256" s="43"/>
      <c r="GM256" s="53"/>
      <c r="GN256" s="53"/>
      <c r="GO256" s="43">
        <v>599</v>
      </c>
      <c r="GP256" s="43">
        <v>306</v>
      </c>
      <c r="GQ256" s="43">
        <v>673</v>
      </c>
      <c r="GR256" s="43">
        <v>243</v>
      </c>
    </row>
    <row r="257" spans="1:200">
      <c r="A257" s="7">
        <v>4121</v>
      </c>
      <c r="B257" s="1" t="s">
        <v>385</v>
      </c>
      <c r="C257" s="33">
        <v>961</v>
      </c>
      <c r="D257" s="34">
        <v>705</v>
      </c>
      <c r="E257" s="19">
        <f t="shared" si="3"/>
        <v>0.73361082206035377</v>
      </c>
      <c r="F257" s="62">
        <v>360</v>
      </c>
      <c r="G257" s="43">
        <v>1</v>
      </c>
      <c r="H257" s="43">
        <v>19</v>
      </c>
      <c r="I257" s="43">
        <v>8</v>
      </c>
      <c r="J257" s="55">
        <v>304</v>
      </c>
      <c r="K257" s="6">
        <v>0</v>
      </c>
      <c r="L257" s="6">
        <v>0</v>
      </c>
      <c r="M257" s="43">
        <v>2</v>
      </c>
      <c r="N257" s="25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  <c r="V257" s="43">
        <v>0</v>
      </c>
      <c r="W257" s="43">
        <v>1</v>
      </c>
      <c r="X257" s="43">
        <v>0</v>
      </c>
      <c r="Y257" s="43">
        <v>0</v>
      </c>
      <c r="Z257" s="43">
        <v>0</v>
      </c>
      <c r="AA257" s="44">
        <v>0</v>
      </c>
      <c r="AB257" s="44">
        <v>0</v>
      </c>
      <c r="AC257" s="44">
        <v>5</v>
      </c>
      <c r="AD257" s="44">
        <v>12</v>
      </c>
      <c r="AE257" s="44">
        <v>329</v>
      </c>
      <c r="AF257" s="44">
        <v>10</v>
      </c>
      <c r="AG257" s="44">
        <v>0</v>
      </c>
      <c r="AH257" s="44">
        <v>328</v>
      </c>
      <c r="AI257" s="32"/>
      <c r="AJ257" s="32"/>
      <c r="AK257" s="32"/>
      <c r="AL257" s="32"/>
      <c r="AM257" s="44">
        <v>10</v>
      </c>
      <c r="AN257" s="44">
        <v>324</v>
      </c>
      <c r="AO257" s="44">
        <v>320</v>
      </c>
      <c r="AP257" s="44"/>
      <c r="AQ257" s="44"/>
      <c r="AR257" s="51"/>
      <c r="AS257" s="51"/>
      <c r="AT257" s="51"/>
      <c r="AU257" s="51"/>
      <c r="AV257" s="51"/>
      <c r="AW257" s="50"/>
      <c r="AX257" s="50"/>
      <c r="AY257" s="50"/>
      <c r="AZ257" s="50"/>
      <c r="BA257" s="43">
        <v>348</v>
      </c>
      <c r="BB257" s="43">
        <v>303</v>
      </c>
      <c r="BC257" s="50"/>
      <c r="BD257" s="50"/>
      <c r="BE257" s="43">
        <v>235</v>
      </c>
      <c r="BF257" s="43">
        <v>420</v>
      </c>
      <c r="BG257" s="43">
        <v>314</v>
      </c>
      <c r="BH257" s="43">
        <v>353</v>
      </c>
      <c r="BI257" s="43">
        <v>332</v>
      </c>
      <c r="BJ257" s="43">
        <v>320</v>
      </c>
      <c r="BK257" s="43">
        <v>367</v>
      </c>
      <c r="BL257" s="43">
        <v>289</v>
      </c>
      <c r="BM257" s="43">
        <v>213</v>
      </c>
      <c r="BN257" s="43">
        <v>446</v>
      </c>
      <c r="BO257" s="43">
        <v>352</v>
      </c>
      <c r="BP257" s="43">
        <v>299</v>
      </c>
      <c r="BQ257" s="43">
        <v>319</v>
      </c>
      <c r="BR257" s="43">
        <v>332</v>
      </c>
      <c r="BS257" s="43">
        <v>397</v>
      </c>
      <c r="BT257" s="43">
        <v>229</v>
      </c>
      <c r="BU257" s="43">
        <v>417</v>
      </c>
      <c r="BV257" s="43">
        <v>438</v>
      </c>
      <c r="BW257" s="43">
        <v>289</v>
      </c>
      <c r="BX257" s="43">
        <v>237</v>
      </c>
      <c r="BY257" s="43">
        <v>332</v>
      </c>
      <c r="BZ257" s="43">
        <v>253</v>
      </c>
      <c r="CA257" s="43">
        <v>384</v>
      </c>
      <c r="CB257" s="43">
        <v>242</v>
      </c>
      <c r="CC257" s="43">
        <v>289</v>
      </c>
      <c r="CD257" s="43">
        <v>392</v>
      </c>
      <c r="CE257" s="43">
        <v>267</v>
      </c>
      <c r="CF257" s="43">
        <v>283</v>
      </c>
      <c r="CG257" s="43">
        <v>266</v>
      </c>
      <c r="CH257" s="43">
        <v>235</v>
      </c>
      <c r="CI257" s="43">
        <v>190</v>
      </c>
      <c r="CJ257" s="43">
        <v>346</v>
      </c>
      <c r="CK257" s="43">
        <v>284</v>
      </c>
      <c r="CL257" s="43">
        <v>242</v>
      </c>
      <c r="CM257" s="43">
        <v>372</v>
      </c>
      <c r="CN257" s="43">
        <v>388</v>
      </c>
      <c r="CO257" s="43">
        <v>224</v>
      </c>
      <c r="CP257" s="43">
        <v>320</v>
      </c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43"/>
      <c r="FZ257" s="43"/>
      <c r="GA257" s="53"/>
      <c r="GB257" s="53"/>
      <c r="GC257" s="53"/>
      <c r="GD257" s="53"/>
      <c r="GE257" s="53"/>
      <c r="GF257" s="53"/>
      <c r="GG257" s="53"/>
      <c r="GH257" s="53"/>
      <c r="GI257" s="43"/>
      <c r="GJ257" s="43"/>
      <c r="GK257" s="43"/>
      <c r="GL257" s="43"/>
      <c r="GM257" s="53"/>
      <c r="GN257" s="53"/>
      <c r="GO257" s="43">
        <v>456</v>
      </c>
      <c r="GP257" s="43">
        <v>212</v>
      </c>
      <c r="GQ257" s="43">
        <v>446</v>
      </c>
      <c r="GR257" s="43">
        <v>218</v>
      </c>
    </row>
    <row r="258" spans="1:200">
      <c r="A258" s="7">
        <v>4131</v>
      </c>
      <c r="B258" s="1" t="s">
        <v>386</v>
      </c>
      <c r="C258" s="33">
        <v>970</v>
      </c>
      <c r="D258" s="34">
        <v>659</v>
      </c>
      <c r="E258" s="19">
        <f t="shared" si="3"/>
        <v>0.6793814432989691</v>
      </c>
      <c r="F258" s="62">
        <v>406</v>
      </c>
      <c r="G258" s="43">
        <v>4</v>
      </c>
      <c r="H258" s="43">
        <v>12</v>
      </c>
      <c r="I258" s="43">
        <v>3</v>
      </c>
      <c r="J258" s="55">
        <v>228</v>
      </c>
      <c r="K258" s="6">
        <v>0</v>
      </c>
      <c r="L258" s="6">
        <v>0</v>
      </c>
      <c r="M258" s="43">
        <v>2</v>
      </c>
      <c r="N258" s="25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  <c r="V258" s="43">
        <v>1</v>
      </c>
      <c r="W258" s="43">
        <v>0</v>
      </c>
      <c r="X258" s="43">
        <v>0</v>
      </c>
      <c r="Y258" s="43">
        <v>0</v>
      </c>
      <c r="Z258" s="43">
        <v>0</v>
      </c>
      <c r="AA258" s="44">
        <v>0</v>
      </c>
      <c r="AB258" s="44">
        <v>0</v>
      </c>
      <c r="AC258" s="44">
        <v>10</v>
      </c>
      <c r="AD258" s="44">
        <v>10</v>
      </c>
      <c r="AE258" s="44">
        <v>271</v>
      </c>
      <c r="AF258" s="44">
        <v>3</v>
      </c>
      <c r="AG258" s="44">
        <v>0</v>
      </c>
      <c r="AH258" s="44">
        <v>341</v>
      </c>
      <c r="AI258" s="32"/>
      <c r="AJ258" s="32"/>
      <c r="AK258" s="32"/>
      <c r="AL258" s="32"/>
      <c r="AM258" s="44">
        <v>12</v>
      </c>
      <c r="AN258" s="44">
        <v>348</v>
      </c>
      <c r="AO258" s="44">
        <v>254</v>
      </c>
      <c r="AP258" s="44"/>
      <c r="AQ258" s="44"/>
      <c r="AR258" s="51"/>
      <c r="AS258" s="51"/>
      <c r="AT258" s="51"/>
      <c r="AU258" s="51"/>
      <c r="AV258" s="51"/>
      <c r="AW258" s="50"/>
      <c r="AX258" s="50"/>
      <c r="AY258" s="50"/>
      <c r="AZ258" s="50"/>
      <c r="BA258" s="43">
        <v>380</v>
      </c>
      <c r="BB258" s="43">
        <v>224</v>
      </c>
      <c r="BC258" s="50"/>
      <c r="BD258" s="50"/>
      <c r="BE258" s="43">
        <v>186</v>
      </c>
      <c r="BF258" s="43">
        <v>427</v>
      </c>
      <c r="BG258" s="43">
        <v>252</v>
      </c>
      <c r="BH258" s="43">
        <v>358</v>
      </c>
      <c r="BI258" s="43">
        <v>274</v>
      </c>
      <c r="BJ258" s="43">
        <v>349</v>
      </c>
      <c r="BK258" s="43">
        <v>358</v>
      </c>
      <c r="BL258" s="43">
        <v>252</v>
      </c>
      <c r="BM258" s="43">
        <v>182</v>
      </c>
      <c r="BN258" s="43">
        <v>433</v>
      </c>
      <c r="BO258" s="43">
        <v>376</v>
      </c>
      <c r="BP258" s="43">
        <v>228</v>
      </c>
      <c r="BQ258" s="43">
        <v>263</v>
      </c>
      <c r="BR258" s="43">
        <v>336</v>
      </c>
      <c r="BS258" s="43">
        <v>354</v>
      </c>
      <c r="BT258" s="43">
        <v>183</v>
      </c>
      <c r="BU258" s="43">
        <v>424</v>
      </c>
      <c r="BV258" s="43">
        <v>382</v>
      </c>
      <c r="BW258" s="43">
        <v>254</v>
      </c>
      <c r="BX258" s="43">
        <v>249</v>
      </c>
      <c r="BY258" s="43">
        <v>299</v>
      </c>
      <c r="BZ258" s="43">
        <v>234</v>
      </c>
      <c r="CA258" s="43">
        <v>337</v>
      </c>
      <c r="CB258" s="43">
        <v>212</v>
      </c>
      <c r="CC258" s="43">
        <v>281</v>
      </c>
      <c r="CD258" s="43">
        <v>345</v>
      </c>
      <c r="CE258" s="43">
        <v>280</v>
      </c>
      <c r="CF258" s="43">
        <v>220</v>
      </c>
      <c r="CG258" s="43">
        <v>246</v>
      </c>
      <c r="CH258" s="43">
        <v>221</v>
      </c>
      <c r="CI258" s="43">
        <v>192</v>
      </c>
      <c r="CJ258" s="43">
        <v>304</v>
      </c>
      <c r="CK258" s="43">
        <v>280</v>
      </c>
      <c r="CL258" s="43">
        <v>213</v>
      </c>
      <c r="CM258" s="43">
        <v>338</v>
      </c>
      <c r="CN258" s="43">
        <v>343</v>
      </c>
      <c r="CO258" s="43">
        <v>232</v>
      </c>
      <c r="CP258" s="43">
        <v>274</v>
      </c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43"/>
      <c r="FZ258" s="43"/>
      <c r="GA258" s="53"/>
      <c r="GB258" s="53"/>
      <c r="GC258" s="53"/>
      <c r="GD258" s="53"/>
      <c r="GE258" s="53"/>
      <c r="GF258" s="53"/>
      <c r="GG258" s="53"/>
      <c r="GH258" s="53"/>
      <c r="GI258" s="43"/>
      <c r="GJ258" s="43"/>
      <c r="GK258" s="43"/>
      <c r="GL258" s="43"/>
      <c r="GM258" s="53"/>
      <c r="GN258" s="53"/>
      <c r="GO258" s="43">
        <v>439</v>
      </c>
      <c r="GP258" s="43">
        <v>173</v>
      </c>
      <c r="GQ258" s="43">
        <v>463</v>
      </c>
      <c r="GR258" s="43">
        <v>146</v>
      </c>
    </row>
    <row r="259" spans="1:200">
      <c r="A259" s="7">
        <v>4141</v>
      </c>
      <c r="B259" s="1" t="s">
        <v>387</v>
      </c>
      <c r="C259" s="33">
        <v>901</v>
      </c>
      <c r="D259" s="34">
        <v>608</v>
      </c>
      <c r="E259" s="19">
        <f t="shared" si="3"/>
        <v>0.67480577136514985</v>
      </c>
      <c r="F259" s="62">
        <v>341</v>
      </c>
      <c r="G259" s="43">
        <v>3</v>
      </c>
      <c r="H259" s="43">
        <v>17</v>
      </c>
      <c r="I259" s="43">
        <v>10</v>
      </c>
      <c r="J259" s="55">
        <v>228</v>
      </c>
      <c r="K259" s="6">
        <v>0</v>
      </c>
      <c r="L259" s="6">
        <v>0</v>
      </c>
      <c r="M259" s="43">
        <v>0</v>
      </c>
      <c r="N259" s="25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  <c r="V259" s="43">
        <v>0</v>
      </c>
      <c r="W259" s="43">
        <v>1</v>
      </c>
      <c r="X259" s="43">
        <v>0</v>
      </c>
      <c r="Y259" s="43">
        <v>0</v>
      </c>
      <c r="Z259" s="43">
        <v>0</v>
      </c>
      <c r="AA259" s="44">
        <v>0</v>
      </c>
      <c r="AB259" s="44">
        <v>0</v>
      </c>
      <c r="AC259" s="44">
        <v>13</v>
      </c>
      <c r="AD259" s="44">
        <v>19</v>
      </c>
      <c r="AE259" s="44">
        <v>255</v>
      </c>
      <c r="AF259" s="44">
        <v>5</v>
      </c>
      <c r="AG259" s="44">
        <v>0</v>
      </c>
      <c r="AH259" s="44">
        <v>297</v>
      </c>
      <c r="AI259" s="32"/>
      <c r="AJ259" s="32"/>
      <c r="AK259" s="32"/>
      <c r="AL259" s="32"/>
      <c r="AM259" s="44">
        <v>4</v>
      </c>
      <c r="AN259" s="44">
        <v>311</v>
      </c>
      <c r="AO259" s="44">
        <v>258</v>
      </c>
      <c r="AP259" s="44"/>
      <c r="AQ259" s="44"/>
      <c r="AR259" s="51"/>
      <c r="AS259" s="51"/>
      <c r="AT259" s="51"/>
      <c r="AU259" s="51"/>
      <c r="AV259" s="51"/>
      <c r="AW259" s="50"/>
      <c r="AX259" s="50"/>
      <c r="AY259" s="50"/>
      <c r="AZ259" s="50"/>
      <c r="BA259" s="43">
        <v>338</v>
      </c>
      <c r="BB259" s="43">
        <v>238</v>
      </c>
      <c r="BC259" s="50"/>
      <c r="BD259" s="50"/>
      <c r="BE259" s="43">
        <v>190</v>
      </c>
      <c r="BF259" s="43">
        <v>386</v>
      </c>
      <c r="BG259" s="43">
        <v>248</v>
      </c>
      <c r="BH259" s="43">
        <v>339</v>
      </c>
      <c r="BI259" s="43">
        <v>263</v>
      </c>
      <c r="BJ259" s="43">
        <v>312</v>
      </c>
      <c r="BK259" s="43">
        <v>328</v>
      </c>
      <c r="BL259" s="43">
        <v>248</v>
      </c>
      <c r="BM259" s="43">
        <v>181</v>
      </c>
      <c r="BN259" s="43">
        <v>401</v>
      </c>
      <c r="BO259" s="43">
        <v>317</v>
      </c>
      <c r="BP259" s="43">
        <v>256</v>
      </c>
      <c r="BQ259" s="43">
        <v>260</v>
      </c>
      <c r="BR259" s="43">
        <v>314</v>
      </c>
      <c r="BS259" s="43">
        <v>336</v>
      </c>
      <c r="BT259" s="43">
        <v>179</v>
      </c>
      <c r="BU259" s="43">
        <v>395</v>
      </c>
      <c r="BV259" s="43">
        <v>390</v>
      </c>
      <c r="BW259" s="43">
        <v>250</v>
      </c>
      <c r="BX259" s="43">
        <v>224</v>
      </c>
      <c r="BY259" s="43">
        <v>301</v>
      </c>
      <c r="BZ259" s="43">
        <v>226</v>
      </c>
      <c r="CA259" s="43">
        <v>345</v>
      </c>
      <c r="CB259" s="43">
        <v>187</v>
      </c>
      <c r="CC259" s="43">
        <v>294</v>
      </c>
      <c r="CD259" s="43">
        <v>352</v>
      </c>
      <c r="CE259" s="43">
        <v>253</v>
      </c>
      <c r="CF259" s="43">
        <v>222</v>
      </c>
      <c r="CG259" s="43">
        <v>226</v>
      </c>
      <c r="CH259" s="43">
        <v>217</v>
      </c>
      <c r="CI259" s="43">
        <v>181</v>
      </c>
      <c r="CJ259" s="43">
        <v>288</v>
      </c>
      <c r="CK259" s="43">
        <v>266</v>
      </c>
      <c r="CL259" s="43">
        <v>203</v>
      </c>
      <c r="CM259" s="43">
        <v>336</v>
      </c>
      <c r="CN259" s="43">
        <v>362</v>
      </c>
      <c r="CO259" s="43">
        <v>195</v>
      </c>
      <c r="CP259" s="43">
        <v>287</v>
      </c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43"/>
      <c r="FZ259" s="43"/>
      <c r="GA259" s="53"/>
      <c r="GB259" s="53"/>
      <c r="GC259" s="53"/>
      <c r="GD259" s="53"/>
      <c r="GE259" s="53"/>
      <c r="GF259" s="53"/>
      <c r="GG259" s="53"/>
      <c r="GH259" s="53"/>
      <c r="GI259" s="43"/>
      <c r="GJ259" s="43"/>
      <c r="GK259" s="43"/>
      <c r="GL259" s="43"/>
      <c r="GM259" s="53"/>
      <c r="GN259" s="53"/>
      <c r="GO259" s="43">
        <v>379</v>
      </c>
      <c r="GP259" s="43">
        <v>189</v>
      </c>
      <c r="GQ259" s="43">
        <v>390</v>
      </c>
      <c r="GR259" s="43">
        <v>181</v>
      </c>
    </row>
    <row r="260" spans="1:200">
      <c r="A260" s="8">
        <v>4311</v>
      </c>
      <c r="B260" s="1" t="s">
        <v>388</v>
      </c>
      <c r="C260" s="33">
        <v>579</v>
      </c>
      <c r="D260" s="34">
        <v>400</v>
      </c>
      <c r="E260" s="19">
        <f t="shared" si="3"/>
        <v>0.69084628670120896</v>
      </c>
      <c r="F260" s="62">
        <v>251</v>
      </c>
      <c r="G260" s="43">
        <v>3</v>
      </c>
      <c r="H260" s="43">
        <v>11</v>
      </c>
      <c r="I260" s="43">
        <v>3</v>
      </c>
      <c r="J260" s="55">
        <v>129</v>
      </c>
      <c r="K260" s="6">
        <v>0</v>
      </c>
      <c r="L260" s="6">
        <v>0</v>
      </c>
      <c r="M260" s="43">
        <v>0</v>
      </c>
      <c r="N260" s="25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  <c r="V260" s="43">
        <v>0</v>
      </c>
      <c r="W260" s="43">
        <v>0</v>
      </c>
      <c r="X260" s="43">
        <v>0</v>
      </c>
      <c r="Y260" s="43">
        <v>0</v>
      </c>
      <c r="Z260" s="43">
        <v>0</v>
      </c>
      <c r="AA260" s="44">
        <v>0</v>
      </c>
      <c r="AB260" s="44">
        <v>0</v>
      </c>
      <c r="AC260" s="44">
        <v>6</v>
      </c>
      <c r="AD260" s="44">
        <v>11</v>
      </c>
      <c r="AE260" s="44">
        <v>167</v>
      </c>
      <c r="AF260" s="44">
        <v>2</v>
      </c>
      <c r="AG260" s="44">
        <v>0</v>
      </c>
      <c r="AH260" s="44">
        <v>204</v>
      </c>
      <c r="AI260" s="32"/>
      <c r="AJ260" s="32"/>
      <c r="AK260" s="32"/>
      <c r="AL260" s="32"/>
      <c r="AM260" s="44">
        <v>14</v>
      </c>
      <c r="AN260" s="44">
        <v>218</v>
      </c>
      <c r="AO260" s="44">
        <v>142</v>
      </c>
      <c r="AP260" s="44"/>
      <c r="AQ260" s="44"/>
      <c r="AR260" s="51"/>
      <c r="AS260" s="51"/>
      <c r="AT260" s="51"/>
      <c r="AU260" s="51"/>
      <c r="AV260" s="51"/>
      <c r="AW260" s="50"/>
      <c r="AX260" s="50"/>
      <c r="AY260" s="50"/>
      <c r="AZ260" s="50"/>
      <c r="BA260" s="43">
        <v>240</v>
      </c>
      <c r="BB260" s="43">
        <v>138</v>
      </c>
      <c r="BC260" s="50"/>
      <c r="BD260" s="50"/>
      <c r="BE260" s="43">
        <v>110</v>
      </c>
      <c r="BF260" s="43">
        <v>270</v>
      </c>
      <c r="BG260" s="43">
        <v>139</v>
      </c>
      <c r="BH260" s="43">
        <v>234</v>
      </c>
      <c r="BI260" s="43">
        <v>154</v>
      </c>
      <c r="BJ260" s="43">
        <v>225</v>
      </c>
      <c r="BK260" s="43">
        <v>243</v>
      </c>
      <c r="BL260" s="43">
        <v>137</v>
      </c>
      <c r="BM260" s="43">
        <v>96</v>
      </c>
      <c r="BN260" s="43">
        <v>282</v>
      </c>
      <c r="BO260" s="43">
        <v>238</v>
      </c>
      <c r="BP260" s="43">
        <v>134</v>
      </c>
      <c r="BQ260" s="43">
        <v>151</v>
      </c>
      <c r="BR260" s="43">
        <v>226</v>
      </c>
      <c r="BS260" s="43">
        <v>210</v>
      </c>
      <c r="BT260" s="43">
        <v>106</v>
      </c>
      <c r="BU260" s="43">
        <v>265</v>
      </c>
      <c r="BV260" s="43">
        <v>237</v>
      </c>
      <c r="BW260" s="43">
        <v>157</v>
      </c>
      <c r="BX260" s="43">
        <v>156</v>
      </c>
      <c r="BY260" s="43">
        <v>181</v>
      </c>
      <c r="BZ260" s="43">
        <v>160</v>
      </c>
      <c r="CA260" s="43">
        <v>219</v>
      </c>
      <c r="CB260" s="43">
        <v>127</v>
      </c>
      <c r="CC260" s="43">
        <v>185</v>
      </c>
      <c r="CD260" s="43">
        <v>238</v>
      </c>
      <c r="CE260" s="43">
        <v>186</v>
      </c>
      <c r="CF260" s="43">
        <v>136</v>
      </c>
      <c r="CG260" s="43">
        <v>135</v>
      </c>
      <c r="CH260" s="43">
        <v>166</v>
      </c>
      <c r="CI260" s="43">
        <v>129</v>
      </c>
      <c r="CJ260" s="43">
        <v>182</v>
      </c>
      <c r="CK260" s="43">
        <v>156</v>
      </c>
      <c r="CL260" s="43">
        <v>164</v>
      </c>
      <c r="CM260" s="43">
        <v>217</v>
      </c>
      <c r="CN260" s="43">
        <v>221</v>
      </c>
      <c r="CO260" s="43">
        <v>160</v>
      </c>
      <c r="CP260" s="43">
        <v>157</v>
      </c>
      <c r="CQ260" s="6"/>
      <c r="CR260" s="6"/>
      <c r="CS260" s="6"/>
      <c r="CT260" s="6"/>
      <c r="CU260" s="6"/>
      <c r="CV260" s="6"/>
      <c r="CW260" s="43">
        <v>226</v>
      </c>
      <c r="CX260" s="43">
        <v>151</v>
      </c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43"/>
      <c r="FZ260" s="43"/>
      <c r="GA260" s="53"/>
      <c r="GB260" s="53"/>
      <c r="GC260" s="53"/>
      <c r="GD260" s="53"/>
      <c r="GE260" s="53"/>
      <c r="GF260" s="53"/>
      <c r="GG260" s="53"/>
      <c r="GH260" s="53"/>
      <c r="GI260" s="43"/>
      <c r="GJ260" s="43"/>
      <c r="GK260" s="43"/>
      <c r="GL260" s="43"/>
      <c r="GM260" s="53"/>
      <c r="GN260" s="53"/>
      <c r="GO260" s="43">
        <v>247</v>
      </c>
      <c r="GP260" s="43">
        <v>132</v>
      </c>
      <c r="GQ260" s="43">
        <v>276</v>
      </c>
      <c r="GR260" s="43">
        <v>106</v>
      </c>
    </row>
    <row r="261" spans="1:200">
      <c r="A261" s="8">
        <v>4312</v>
      </c>
      <c r="B261" s="1" t="s">
        <v>389</v>
      </c>
      <c r="C261" s="33">
        <v>1131</v>
      </c>
      <c r="D261" s="34">
        <v>784</v>
      </c>
      <c r="E261" s="19">
        <f t="shared" ref="E261:E324" si="4">SUM(D261/C261)</f>
        <v>0.69319186560565871</v>
      </c>
      <c r="F261" s="62">
        <v>442</v>
      </c>
      <c r="G261" s="43">
        <v>0</v>
      </c>
      <c r="H261" s="43">
        <v>24</v>
      </c>
      <c r="I261" s="43">
        <v>8</v>
      </c>
      <c r="J261" s="55">
        <v>303</v>
      </c>
      <c r="K261" s="6">
        <v>0</v>
      </c>
      <c r="L261" s="6">
        <v>0</v>
      </c>
      <c r="M261" s="43">
        <v>0</v>
      </c>
      <c r="N261" s="25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  <c r="V261" s="43">
        <v>0</v>
      </c>
      <c r="W261" s="43">
        <v>0</v>
      </c>
      <c r="X261" s="43">
        <v>0</v>
      </c>
      <c r="Y261" s="43">
        <v>0</v>
      </c>
      <c r="Z261" s="43">
        <v>0</v>
      </c>
      <c r="AA261" s="44">
        <v>0</v>
      </c>
      <c r="AB261" s="44">
        <v>0</v>
      </c>
      <c r="AC261" s="44">
        <v>8</v>
      </c>
      <c r="AD261" s="44">
        <v>13</v>
      </c>
      <c r="AE261" s="44">
        <v>347</v>
      </c>
      <c r="AF261" s="44">
        <v>11</v>
      </c>
      <c r="AG261" s="44">
        <v>0</v>
      </c>
      <c r="AH261" s="44">
        <v>376</v>
      </c>
      <c r="AI261" s="32"/>
      <c r="AJ261" s="32"/>
      <c r="AK261" s="32"/>
      <c r="AL261" s="32"/>
      <c r="AM261" s="44">
        <v>15</v>
      </c>
      <c r="AN261" s="44">
        <v>393</v>
      </c>
      <c r="AO261" s="44">
        <v>328</v>
      </c>
      <c r="AP261" s="44"/>
      <c r="AQ261" s="44"/>
      <c r="AR261" s="51"/>
      <c r="AS261" s="51"/>
      <c r="AT261" s="51"/>
      <c r="AU261" s="51"/>
      <c r="AV261" s="51"/>
      <c r="AW261" s="50"/>
      <c r="AX261" s="50"/>
      <c r="AY261" s="50"/>
      <c r="AZ261" s="50"/>
      <c r="BA261" s="43">
        <v>429</v>
      </c>
      <c r="BB261" s="43">
        <v>305</v>
      </c>
      <c r="BC261" s="50"/>
      <c r="BD261" s="50"/>
      <c r="BE261" s="43">
        <v>223</v>
      </c>
      <c r="BF261" s="43">
        <v>515</v>
      </c>
      <c r="BG261" s="43">
        <v>310</v>
      </c>
      <c r="BH261" s="43">
        <v>428</v>
      </c>
      <c r="BI261" s="43">
        <v>339</v>
      </c>
      <c r="BJ261" s="43">
        <v>399</v>
      </c>
      <c r="BK261" s="43">
        <v>426</v>
      </c>
      <c r="BL261" s="43">
        <v>308</v>
      </c>
      <c r="BM261" s="43">
        <v>246</v>
      </c>
      <c r="BN261" s="43">
        <v>494</v>
      </c>
      <c r="BO261" s="43">
        <v>413</v>
      </c>
      <c r="BP261" s="43">
        <v>320</v>
      </c>
      <c r="BQ261" s="43">
        <v>329</v>
      </c>
      <c r="BR261" s="43">
        <v>394</v>
      </c>
      <c r="BS261" s="43">
        <v>424</v>
      </c>
      <c r="BT261" s="43">
        <v>222</v>
      </c>
      <c r="BU261" s="43">
        <v>504</v>
      </c>
      <c r="BV261" s="43">
        <v>469</v>
      </c>
      <c r="BW261" s="43">
        <v>301</v>
      </c>
      <c r="BX261" s="43">
        <v>310</v>
      </c>
      <c r="BY261" s="43">
        <v>371</v>
      </c>
      <c r="BZ261" s="43">
        <v>290</v>
      </c>
      <c r="CA261" s="43">
        <v>417</v>
      </c>
      <c r="CB261" s="43">
        <v>244</v>
      </c>
      <c r="CC261" s="43">
        <v>358</v>
      </c>
      <c r="CD261" s="43">
        <v>435</v>
      </c>
      <c r="CE261" s="43">
        <v>326</v>
      </c>
      <c r="CF261" s="43">
        <v>295</v>
      </c>
      <c r="CG261" s="43">
        <v>253</v>
      </c>
      <c r="CH261" s="43">
        <v>321</v>
      </c>
      <c r="CI261" s="43">
        <v>242</v>
      </c>
      <c r="CJ261" s="43">
        <v>362</v>
      </c>
      <c r="CK261" s="43">
        <v>289</v>
      </c>
      <c r="CL261" s="43">
        <v>316</v>
      </c>
      <c r="CM261" s="43">
        <v>398</v>
      </c>
      <c r="CN261" s="43">
        <v>427</v>
      </c>
      <c r="CO261" s="43">
        <v>284</v>
      </c>
      <c r="CP261" s="43">
        <v>319</v>
      </c>
      <c r="CQ261" s="6"/>
      <c r="CR261" s="6"/>
      <c r="CS261" s="6"/>
      <c r="CT261" s="6"/>
      <c r="CU261" s="6"/>
      <c r="CV261" s="6"/>
      <c r="CW261" s="43">
        <v>421</v>
      </c>
      <c r="CX261" s="43">
        <v>322</v>
      </c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43"/>
      <c r="FZ261" s="43"/>
      <c r="GA261" s="53"/>
      <c r="GB261" s="53"/>
      <c r="GC261" s="53"/>
      <c r="GD261" s="53"/>
      <c r="GE261" s="53"/>
      <c r="GF261" s="53"/>
      <c r="GG261" s="53"/>
      <c r="GH261" s="53"/>
      <c r="GI261" s="43"/>
      <c r="GJ261" s="43"/>
      <c r="GK261" s="43"/>
      <c r="GL261" s="43"/>
      <c r="GM261" s="53"/>
      <c r="GN261" s="53"/>
      <c r="GO261" s="43">
        <v>451</v>
      </c>
      <c r="GP261" s="43">
        <v>287</v>
      </c>
      <c r="GQ261" s="43">
        <v>477</v>
      </c>
      <c r="GR261" s="43">
        <v>262</v>
      </c>
    </row>
    <row r="262" spans="1:200">
      <c r="A262" s="8">
        <v>4321</v>
      </c>
      <c r="B262" s="1" t="s">
        <v>390</v>
      </c>
      <c r="C262" s="33">
        <v>1039</v>
      </c>
      <c r="D262" s="34">
        <v>662</v>
      </c>
      <c r="E262" s="19">
        <f t="shared" si="4"/>
        <v>0.63715110683349374</v>
      </c>
      <c r="F262" s="62">
        <v>470</v>
      </c>
      <c r="G262" s="43">
        <v>2</v>
      </c>
      <c r="H262" s="43">
        <v>10</v>
      </c>
      <c r="I262" s="43">
        <v>14</v>
      </c>
      <c r="J262" s="55">
        <v>140</v>
      </c>
      <c r="K262" s="6">
        <v>0</v>
      </c>
      <c r="L262" s="6">
        <v>0</v>
      </c>
      <c r="M262" s="43">
        <v>1</v>
      </c>
      <c r="N262" s="25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  <c r="V262" s="43">
        <v>0</v>
      </c>
      <c r="W262" s="43">
        <v>5</v>
      </c>
      <c r="X262" s="43">
        <v>0</v>
      </c>
      <c r="Y262" s="43">
        <v>0</v>
      </c>
      <c r="Z262" s="43">
        <v>0</v>
      </c>
      <c r="AA262" s="44">
        <v>0</v>
      </c>
      <c r="AB262" s="44">
        <v>0</v>
      </c>
      <c r="AC262" s="44">
        <v>8</v>
      </c>
      <c r="AD262" s="44">
        <v>13</v>
      </c>
      <c r="AE262" s="44">
        <v>177</v>
      </c>
      <c r="AF262" s="44">
        <v>10</v>
      </c>
      <c r="AG262" s="44">
        <v>0</v>
      </c>
      <c r="AH262" s="44">
        <v>429</v>
      </c>
      <c r="AI262" s="32"/>
      <c r="AJ262" s="32"/>
      <c r="AK262" s="32"/>
      <c r="AL262" s="32"/>
      <c r="AM262" s="44">
        <v>11</v>
      </c>
      <c r="AN262" s="44">
        <v>448</v>
      </c>
      <c r="AO262" s="44">
        <v>163</v>
      </c>
      <c r="AP262" s="44"/>
      <c r="AQ262" s="44"/>
      <c r="AR262" s="51"/>
      <c r="AS262" s="51"/>
      <c r="AT262" s="51"/>
      <c r="AU262" s="51"/>
      <c r="AV262" s="51"/>
      <c r="AW262" s="50"/>
      <c r="AX262" s="50"/>
      <c r="AY262" s="50"/>
      <c r="AZ262" s="50"/>
      <c r="BA262" s="43">
        <v>477</v>
      </c>
      <c r="BB262" s="43">
        <v>147</v>
      </c>
      <c r="BC262" s="50"/>
      <c r="BD262" s="50"/>
      <c r="BE262" s="43">
        <v>116</v>
      </c>
      <c r="BF262" s="43">
        <v>508</v>
      </c>
      <c r="BG262" s="43">
        <v>161</v>
      </c>
      <c r="BH262" s="43">
        <v>459</v>
      </c>
      <c r="BI262" s="43">
        <v>192</v>
      </c>
      <c r="BJ262" s="43">
        <v>438</v>
      </c>
      <c r="BK262" s="43">
        <v>437</v>
      </c>
      <c r="BL262" s="43">
        <v>194</v>
      </c>
      <c r="BM262" s="43">
        <v>125</v>
      </c>
      <c r="BN262" s="43">
        <v>500</v>
      </c>
      <c r="BO262" s="43">
        <v>452</v>
      </c>
      <c r="BP262" s="43">
        <v>162</v>
      </c>
      <c r="BQ262" s="43">
        <v>165</v>
      </c>
      <c r="BR262" s="43">
        <v>460</v>
      </c>
      <c r="BS262" s="43">
        <v>317</v>
      </c>
      <c r="BT262" s="43">
        <v>126</v>
      </c>
      <c r="BU262" s="43">
        <v>499</v>
      </c>
      <c r="BV262" s="43">
        <v>390</v>
      </c>
      <c r="BW262" s="43">
        <v>222</v>
      </c>
      <c r="BX262" s="43">
        <v>291</v>
      </c>
      <c r="BY262" s="43">
        <v>231</v>
      </c>
      <c r="BZ262" s="43">
        <v>327</v>
      </c>
      <c r="CA262" s="43">
        <v>357</v>
      </c>
      <c r="CB262" s="43">
        <v>162</v>
      </c>
      <c r="CC262" s="43">
        <v>357</v>
      </c>
      <c r="CD262" s="43">
        <v>405</v>
      </c>
      <c r="CE262" s="43">
        <v>351</v>
      </c>
      <c r="CF262" s="43">
        <v>174</v>
      </c>
      <c r="CG262" s="43">
        <v>216</v>
      </c>
      <c r="CH262" s="43">
        <v>271</v>
      </c>
      <c r="CI262" s="43">
        <v>247</v>
      </c>
      <c r="CJ262" s="43">
        <v>264</v>
      </c>
      <c r="CK262" s="43">
        <v>276</v>
      </c>
      <c r="CL262" s="43">
        <v>254</v>
      </c>
      <c r="CM262" s="43">
        <v>329</v>
      </c>
      <c r="CN262" s="43">
        <v>365</v>
      </c>
      <c r="CO262" s="43">
        <v>284</v>
      </c>
      <c r="CP262" s="43">
        <v>251</v>
      </c>
      <c r="CQ262" s="6"/>
      <c r="CR262" s="6"/>
      <c r="CS262" s="6"/>
      <c r="CT262" s="6"/>
      <c r="CU262" s="6"/>
      <c r="CV262" s="6"/>
      <c r="CW262" s="43">
        <v>365</v>
      </c>
      <c r="CX262" s="43">
        <v>243</v>
      </c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43"/>
      <c r="FZ262" s="43"/>
      <c r="GA262" s="53"/>
      <c r="GB262" s="53"/>
      <c r="GC262" s="53"/>
      <c r="GD262" s="53"/>
      <c r="GE262" s="53"/>
      <c r="GF262" s="53"/>
      <c r="GG262" s="53"/>
      <c r="GH262" s="53"/>
      <c r="GI262" s="43"/>
      <c r="GJ262" s="43"/>
      <c r="GK262" s="43"/>
      <c r="GL262" s="43"/>
      <c r="GM262" s="53"/>
      <c r="GN262" s="53"/>
      <c r="GO262" s="43">
        <v>393</v>
      </c>
      <c r="GP262" s="43">
        <v>215</v>
      </c>
      <c r="GQ262" s="43">
        <v>452</v>
      </c>
      <c r="GR262" s="43">
        <v>157</v>
      </c>
    </row>
    <row r="263" spans="1:200">
      <c r="A263" s="8">
        <v>4331</v>
      </c>
      <c r="B263" s="1" t="s">
        <v>391</v>
      </c>
      <c r="C263" s="33">
        <v>1088</v>
      </c>
      <c r="D263" s="34">
        <v>739</v>
      </c>
      <c r="E263" s="19">
        <f t="shared" si="4"/>
        <v>0.67922794117647056</v>
      </c>
      <c r="F263" s="62">
        <v>490</v>
      </c>
      <c r="G263" s="43">
        <v>1</v>
      </c>
      <c r="H263" s="43">
        <v>20</v>
      </c>
      <c r="I263" s="43">
        <v>9</v>
      </c>
      <c r="J263" s="55">
        <v>208</v>
      </c>
      <c r="K263" s="6">
        <v>0</v>
      </c>
      <c r="L263" s="6">
        <v>0</v>
      </c>
      <c r="M263" s="43">
        <v>1</v>
      </c>
      <c r="N263" s="25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  <c r="V263" s="43">
        <v>0</v>
      </c>
      <c r="W263" s="43">
        <v>0</v>
      </c>
      <c r="X263" s="43">
        <v>0</v>
      </c>
      <c r="Y263" s="43">
        <v>0</v>
      </c>
      <c r="Z263" s="43">
        <v>0</v>
      </c>
      <c r="AA263" s="44">
        <v>0</v>
      </c>
      <c r="AB263" s="44">
        <v>0</v>
      </c>
      <c r="AC263" s="44">
        <v>13</v>
      </c>
      <c r="AD263" s="44">
        <v>13</v>
      </c>
      <c r="AE263" s="44">
        <v>254</v>
      </c>
      <c r="AF263" s="44">
        <v>7</v>
      </c>
      <c r="AG263" s="44">
        <v>0</v>
      </c>
      <c r="AH263" s="44">
        <v>429</v>
      </c>
      <c r="AI263" s="32"/>
      <c r="AJ263" s="32"/>
      <c r="AK263" s="32"/>
      <c r="AL263" s="32"/>
      <c r="AM263" s="44">
        <v>22</v>
      </c>
      <c r="AN263" s="44">
        <v>432</v>
      </c>
      <c r="AO263" s="44">
        <v>234</v>
      </c>
      <c r="AP263" s="44"/>
      <c r="AQ263" s="44"/>
      <c r="AR263" s="51"/>
      <c r="AS263" s="51"/>
      <c r="AT263" s="51"/>
      <c r="AU263" s="51"/>
      <c r="AV263" s="51"/>
      <c r="AW263" s="50"/>
      <c r="AX263" s="50"/>
      <c r="AY263" s="50"/>
      <c r="AZ263" s="50"/>
      <c r="BA263" s="43">
        <v>483</v>
      </c>
      <c r="BB263" s="43">
        <v>213</v>
      </c>
      <c r="BC263" s="50"/>
      <c r="BD263" s="50"/>
      <c r="BE263" s="43">
        <v>164</v>
      </c>
      <c r="BF263" s="43">
        <v>540</v>
      </c>
      <c r="BG263" s="43">
        <v>229</v>
      </c>
      <c r="BH263" s="43">
        <v>480</v>
      </c>
      <c r="BI263" s="43">
        <v>285</v>
      </c>
      <c r="BJ263" s="43">
        <v>423</v>
      </c>
      <c r="BK263" s="43">
        <v>466</v>
      </c>
      <c r="BL263" s="43">
        <v>238</v>
      </c>
      <c r="BM263" s="43">
        <v>180</v>
      </c>
      <c r="BN263" s="43">
        <v>523</v>
      </c>
      <c r="BO263" s="43">
        <v>459</v>
      </c>
      <c r="BP263" s="43">
        <v>230</v>
      </c>
      <c r="BQ263" s="43">
        <v>243</v>
      </c>
      <c r="BR263" s="43">
        <v>449</v>
      </c>
      <c r="BS263" s="43">
        <v>358</v>
      </c>
      <c r="BT263" s="43">
        <v>165</v>
      </c>
      <c r="BU263" s="43">
        <v>536</v>
      </c>
      <c r="BV263" s="43">
        <v>413</v>
      </c>
      <c r="BW263" s="43">
        <v>262</v>
      </c>
      <c r="BX263" s="43">
        <v>323</v>
      </c>
      <c r="BY263" s="43">
        <v>294</v>
      </c>
      <c r="BZ263" s="43">
        <v>331</v>
      </c>
      <c r="CA263" s="43">
        <v>369</v>
      </c>
      <c r="CB263" s="43">
        <v>190</v>
      </c>
      <c r="CC263" s="43">
        <v>385</v>
      </c>
      <c r="CD263" s="43">
        <v>420</v>
      </c>
      <c r="CE263" s="43">
        <v>345</v>
      </c>
      <c r="CF263" s="43">
        <v>233</v>
      </c>
      <c r="CG263" s="43">
        <v>215</v>
      </c>
      <c r="CH263" s="43">
        <v>332</v>
      </c>
      <c r="CI263" s="43">
        <v>285</v>
      </c>
      <c r="CJ263" s="43">
        <v>286</v>
      </c>
      <c r="CK263" s="43">
        <v>269</v>
      </c>
      <c r="CL263" s="43">
        <v>311</v>
      </c>
      <c r="CM263" s="43">
        <v>362</v>
      </c>
      <c r="CN263" s="43">
        <v>384</v>
      </c>
      <c r="CO263" s="43">
        <v>310</v>
      </c>
      <c r="CP263" s="43">
        <v>292</v>
      </c>
      <c r="CQ263" s="6"/>
      <c r="CR263" s="6"/>
      <c r="CS263" s="6"/>
      <c r="CT263" s="6"/>
      <c r="CU263" s="6"/>
      <c r="CV263" s="6"/>
      <c r="CW263" s="43">
        <v>398</v>
      </c>
      <c r="CX263" s="43">
        <v>307</v>
      </c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43"/>
      <c r="FZ263" s="43"/>
      <c r="GA263" s="53"/>
      <c r="GB263" s="53"/>
      <c r="GC263" s="53"/>
      <c r="GD263" s="53"/>
      <c r="GE263" s="53"/>
      <c r="GF263" s="53"/>
      <c r="GG263" s="53"/>
      <c r="GH263" s="53"/>
      <c r="GI263" s="43"/>
      <c r="GJ263" s="43"/>
      <c r="GK263" s="43"/>
      <c r="GL263" s="43"/>
      <c r="GM263" s="53"/>
      <c r="GN263" s="53"/>
      <c r="GO263" s="43">
        <v>463</v>
      </c>
      <c r="GP263" s="43">
        <v>240</v>
      </c>
      <c r="GQ263" s="43">
        <v>479</v>
      </c>
      <c r="GR263" s="43">
        <v>223</v>
      </c>
    </row>
    <row r="264" spans="1:200">
      <c r="A264" s="8">
        <v>4341</v>
      </c>
      <c r="B264" s="1" t="s">
        <v>392</v>
      </c>
      <c r="C264" s="33">
        <v>1090</v>
      </c>
      <c r="D264" s="34">
        <v>782</v>
      </c>
      <c r="E264" s="19">
        <f t="shared" si="4"/>
        <v>0.71743119266055044</v>
      </c>
      <c r="F264" s="62">
        <v>464</v>
      </c>
      <c r="G264" s="43">
        <v>3</v>
      </c>
      <c r="H264" s="43">
        <v>18</v>
      </c>
      <c r="I264" s="43">
        <v>11</v>
      </c>
      <c r="J264" s="55">
        <v>266</v>
      </c>
      <c r="K264" s="6">
        <v>0</v>
      </c>
      <c r="L264" s="6">
        <v>0</v>
      </c>
      <c r="M264" s="43">
        <v>0</v>
      </c>
      <c r="N264" s="25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  <c r="V264" s="43">
        <v>0</v>
      </c>
      <c r="W264" s="43">
        <v>2</v>
      </c>
      <c r="X264" s="43">
        <v>0</v>
      </c>
      <c r="Y264" s="43">
        <v>0</v>
      </c>
      <c r="Z264" s="43">
        <v>0</v>
      </c>
      <c r="AA264" s="44">
        <v>0</v>
      </c>
      <c r="AB264" s="44">
        <v>0</v>
      </c>
      <c r="AC264" s="44">
        <v>11</v>
      </c>
      <c r="AD264" s="44">
        <v>12</v>
      </c>
      <c r="AE264" s="44">
        <v>338</v>
      </c>
      <c r="AF264" s="44">
        <v>6</v>
      </c>
      <c r="AG264" s="44">
        <v>0</v>
      </c>
      <c r="AH264" s="44">
        <v>384</v>
      </c>
      <c r="AI264" s="32"/>
      <c r="AJ264" s="32"/>
      <c r="AK264" s="32"/>
      <c r="AL264" s="32"/>
      <c r="AM264" s="44">
        <v>21</v>
      </c>
      <c r="AN264" s="44">
        <v>395</v>
      </c>
      <c r="AO264" s="44">
        <v>314</v>
      </c>
      <c r="AP264" s="44"/>
      <c r="AQ264" s="44"/>
      <c r="AR264" s="51"/>
      <c r="AS264" s="51"/>
      <c r="AT264" s="51"/>
      <c r="AU264" s="51"/>
      <c r="AV264" s="51"/>
      <c r="AW264" s="50"/>
      <c r="AX264" s="50"/>
      <c r="AY264" s="50"/>
      <c r="AZ264" s="50"/>
      <c r="BA264" s="43">
        <v>454</v>
      </c>
      <c r="BB264" s="43">
        <v>271</v>
      </c>
      <c r="BC264" s="50"/>
      <c r="BD264" s="50"/>
      <c r="BE264" s="43">
        <v>226</v>
      </c>
      <c r="BF264" s="43">
        <v>519</v>
      </c>
      <c r="BG264" s="43">
        <v>321</v>
      </c>
      <c r="BH264" s="43">
        <v>431</v>
      </c>
      <c r="BI264" s="43">
        <v>354</v>
      </c>
      <c r="BJ264" s="43">
        <v>390</v>
      </c>
      <c r="BK264" s="43">
        <v>449</v>
      </c>
      <c r="BL264" s="43">
        <v>288</v>
      </c>
      <c r="BM264" s="43">
        <v>224</v>
      </c>
      <c r="BN264" s="43">
        <v>514</v>
      </c>
      <c r="BO264" s="43">
        <v>436</v>
      </c>
      <c r="BP264" s="43">
        <v>298</v>
      </c>
      <c r="BQ264" s="43">
        <v>325</v>
      </c>
      <c r="BR264" s="43">
        <v>410</v>
      </c>
      <c r="BS264" s="43">
        <v>410</v>
      </c>
      <c r="BT264" s="43">
        <v>213</v>
      </c>
      <c r="BU264" s="43">
        <v>518</v>
      </c>
      <c r="BV264" s="43">
        <v>446</v>
      </c>
      <c r="BW264" s="43">
        <v>282</v>
      </c>
      <c r="BX264" s="43">
        <v>312</v>
      </c>
      <c r="BY264" s="43">
        <v>347</v>
      </c>
      <c r="BZ264" s="43">
        <v>313</v>
      </c>
      <c r="CA264" s="43">
        <v>399</v>
      </c>
      <c r="CB264" s="43">
        <v>236</v>
      </c>
      <c r="CC264" s="43">
        <v>351</v>
      </c>
      <c r="CD264" s="43">
        <v>443</v>
      </c>
      <c r="CE264" s="43">
        <v>343</v>
      </c>
      <c r="CF264" s="43">
        <v>265</v>
      </c>
      <c r="CG264" s="43">
        <v>256</v>
      </c>
      <c r="CH264" s="43">
        <v>307</v>
      </c>
      <c r="CI264" s="43">
        <v>261</v>
      </c>
      <c r="CJ264" s="43">
        <v>335</v>
      </c>
      <c r="CK264" s="43">
        <v>284</v>
      </c>
      <c r="CL264" s="43">
        <v>306</v>
      </c>
      <c r="CM264" s="43">
        <v>379</v>
      </c>
      <c r="CN264" s="43">
        <v>398</v>
      </c>
      <c r="CO264" s="43">
        <v>286</v>
      </c>
      <c r="CP264" s="43">
        <v>305</v>
      </c>
      <c r="CQ264" s="6"/>
      <c r="CR264" s="6"/>
      <c r="CS264" s="6"/>
      <c r="CT264" s="6"/>
      <c r="CU264" s="6"/>
      <c r="CV264" s="6"/>
      <c r="CW264" s="43">
        <v>463</v>
      </c>
      <c r="CX264" s="43">
        <v>272</v>
      </c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43"/>
      <c r="FZ264" s="43"/>
      <c r="GA264" s="53"/>
      <c r="GB264" s="53"/>
      <c r="GC264" s="53"/>
      <c r="GD264" s="53"/>
      <c r="GE264" s="53"/>
      <c r="GF264" s="53"/>
      <c r="GG264" s="53"/>
      <c r="GH264" s="53"/>
      <c r="GI264" s="43"/>
      <c r="GJ264" s="43"/>
      <c r="GK264" s="43"/>
      <c r="GL264" s="43"/>
      <c r="GM264" s="53"/>
      <c r="GN264" s="53"/>
      <c r="GO264" s="43">
        <v>507</v>
      </c>
      <c r="GP264" s="43">
        <v>214</v>
      </c>
      <c r="GQ264" s="43">
        <v>530</v>
      </c>
      <c r="GR264" s="43">
        <v>212</v>
      </c>
    </row>
    <row r="265" spans="1:200">
      <c r="A265" s="8">
        <v>4342</v>
      </c>
      <c r="B265" s="1" t="s">
        <v>393</v>
      </c>
      <c r="C265" s="33">
        <v>552</v>
      </c>
      <c r="D265" s="34">
        <v>390</v>
      </c>
      <c r="E265" s="19">
        <f t="shared" si="4"/>
        <v>0.70652173913043481</v>
      </c>
      <c r="F265" s="62">
        <v>257</v>
      </c>
      <c r="G265" s="43">
        <v>1</v>
      </c>
      <c r="H265" s="43">
        <v>8</v>
      </c>
      <c r="I265" s="43">
        <v>2</v>
      </c>
      <c r="J265" s="55">
        <v>111</v>
      </c>
      <c r="K265" s="6">
        <v>0</v>
      </c>
      <c r="L265" s="6">
        <v>0</v>
      </c>
      <c r="M265" s="43">
        <v>0</v>
      </c>
      <c r="N265" s="25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  <c r="V265" s="43">
        <v>0</v>
      </c>
      <c r="W265" s="43">
        <v>2</v>
      </c>
      <c r="X265" s="43">
        <v>0</v>
      </c>
      <c r="Y265" s="43">
        <v>0</v>
      </c>
      <c r="Z265" s="43">
        <v>0</v>
      </c>
      <c r="AA265" s="44">
        <v>0</v>
      </c>
      <c r="AB265" s="44">
        <v>0</v>
      </c>
      <c r="AC265" s="44">
        <v>6</v>
      </c>
      <c r="AD265" s="44">
        <v>6</v>
      </c>
      <c r="AE265" s="44">
        <v>146</v>
      </c>
      <c r="AF265" s="44">
        <v>3</v>
      </c>
      <c r="AG265" s="44">
        <v>0</v>
      </c>
      <c r="AH265" s="44">
        <v>217</v>
      </c>
      <c r="AI265" s="32"/>
      <c r="AJ265" s="32"/>
      <c r="AK265" s="32"/>
      <c r="AL265" s="32"/>
      <c r="AM265" s="44">
        <v>8</v>
      </c>
      <c r="AN265" s="44">
        <v>232</v>
      </c>
      <c r="AO265" s="44">
        <v>130</v>
      </c>
      <c r="AP265" s="44"/>
      <c r="AQ265" s="44"/>
      <c r="AR265" s="51"/>
      <c r="AS265" s="51"/>
      <c r="AT265" s="51"/>
      <c r="AU265" s="51"/>
      <c r="AV265" s="51"/>
      <c r="AW265" s="50"/>
      <c r="AX265" s="50"/>
      <c r="AY265" s="50"/>
      <c r="AZ265" s="50"/>
      <c r="BA265" s="43">
        <v>249</v>
      </c>
      <c r="BB265" s="43">
        <v>114</v>
      </c>
      <c r="BC265" s="50"/>
      <c r="BD265" s="50"/>
      <c r="BE265" s="43">
        <v>85</v>
      </c>
      <c r="BF265" s="43">
        <v>281</v>
      </c>
      <c r="BG265" s="43">
        <v>120</v>
      </c>
      <c r="BH265" s="43">
        <v>248</v>
      </c>
      <c r="BI265" s="43">
        <v>147</v>
      </c>
      <c r="BJ265" s="43">
        <v>227</v>
      </c>
      <c r="BK265" s="43">
        <v>241</v>
      </c>
      <c r="BL265" s="43">
        <v>129</v>
      </c>
      <c r="BM265" s="43">
        <v>91</v>
      </c>
      <c r="BN265" s="43">
        <v>277</v>
      </c>
      <c r="BO265" s="43">
        <v>241</v>
      </c>
      <c r="BP265" s="43">
        <v>120</v>
      </c>
      <c r="BQ265" s="43">
        <v>137</v>
      </c>
      <c r="BR265" s="43">
        <v>231</v>
      </c>
      <c r="BS265" s="43">
        <v>190</v>
      </c>
      <c r="BT265" s="43">
        <v>84</v>
      </c>
      <c r="BU265" s="43">
        <v>285</v>
      </c>
      <c r="BV265" s="43">
        <v>221</v>
      </c>
      <c r="BW265" s="43">
        <v>145</v>
      </c>
      <c r="BX265" s="43">
        <v>168</v>
      </c>
      <c r="BY265" s="43">
        <v>175</v>
      </c>
      <c r="BZ265" s="43">
        <v>167</v>
      </c>
      <c r="CA265" s="43">
        <v>196</v>
      </c>
      <c r="CB265" s="43">
        <v>109</v>
      </c>
      <c r="CC265" s="43">
        <v>202</v>
      </c>
      <c r="CD265" s="43">
        <v>228</v>
      </c>
      <c r="CE265" s="43">
        <v>187</v>
      </c>
      <c r="CF265" s="43">
        <v>125</v>
      </c>
      <c r="CG265" s="43">
        <v>111</v>
      </c>
      <c r="CH265" s="43">
        <v>179</v>
      </c>
      <c r="CI265" s="43">
        <v>159</v>
      </c>
      <c r="CJ265" s="43">
        <v>147</v>
      </c>
      <c r="CK265" s="43">
        <v>143</v>
      </c>
      <c r="CL265" s="43">
        <v>167</v>
      </c>
      <c r="CM265" s="43">
        <v>196</v>
      </c>
      <c r="CN265" s="43">
        <v>201</v>
      </c>
      <c r="CO265" s="43">
        <v>182</v>
      </c>
      <c r="CP265" s="43">
        <v>131</v>
      </c>
      <c r="CQ265" s="6"/>
      <c r="CR265" s="6"/>
      <c r="CS265" s="6"/>
      <c r="CT265" s="6"/>
      <c r="CU265" s="6"/>
      <c r="CV265" s="6"/>
      <c r="CW265" s="43">
        <v>214</v>
      </c>
      <c r="CX265" s="43">
        <v>158</v>
      </c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43"/>
      <c r="FZ265" s="43"/>
      <c r="GA265" s="53"/>
      <c r="GB265" s="53"/>
      <c r="GC265" s="53"/>
      <c r="GD265" s="53"/>
      <c r="GE265" s="53"/>
      <c r="GF265" s="53"/>
      <c r="GG265" s="53"/>
      <c r="GH265" s="53"/>
      <c r="GI265" s="43"/>
      <c r="GJ265" s="43"/>
      <c r="GK265" s="43"/>
      <c r="GL265" s="43"/>
      <c r="GM265" s="53"/>
      <c r="GN265" s="53"/>
      <c r="GO265" s="43">
        <v>244</v>
      </c>
      <c r="GP265" s="43">
        <v>128</v>
      </c>
      <c r="GQ265" s="43">
        <v>266</v>
      </c>
      <c r="GR265" s="43">
        <v>107</v>
      </c>
    </row>
    <row r="266" spans="1:200">
      <c r="A266" s="8">
        <v>4343</v>
      </c>
      <c r="B266" s="1" t="s">
        <v>394</v>
      </c>
      <c r="C266" s="33">
        <v>823</v>
      </c>
      <c r="D266" s="34">
        <v>576</v>
      </c>
      <c r="E266" s="19">
        <f t="shared" si="4"/>
        <v>0.69987849331713248</v>
      </c>
      <c r="F266" s="62">
        <v>482</v>
      </c>
      <c r="G266" s="43">
        <v>5</v>
      </c>
      <c r="H266" s="43">
        <v>11</v>
      </c>
      <c r="I266" s="43">
        <v>2</v>
      </c>
      <c r="J266" s="55">
        <v>67</v>
      </c>
      <c r="K266" s="6">
        <v>0</v>
      </c>
      <c r="L266" s="6">
        <v>0</v>
      </c>
      <c r="M266" s="43">
        <v>0</v>
      </c>
      <c r="N266" s="25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  <c r="V266" s="43">
        <v>0</v>
      </c>
      <c r="W266" s="43">
        <v>0</v>
      </c>
      <c r="X266" s="43">
        <v>0</v>
      </c>
      <c r="Y266" s="43">
        <v>0</v>
      </c>
      <c r="Z266" s="43">
        <v>0</v>
      </c>
      <c r="AA266" s="44">
        <v>0</v>
      </c>
      <c r="AB266" s="44">
        <v>0</v>
      </c>
      <c r="AC266" s="44">
        <v>4</v>
      </c>
      <c r="AD266" s="44">
        <v>11</v>
      </c>
      <c r="AE266" s="44">
        <v>103</v>
      </c>
      <c r="AF266" s="44">
        <v>8</v>
      </c>
      <c r="AG266" s="44">
        <v>0</v>
      </c>
      <c r="AH266" s="44">
        <v>430</v>
      </c>
      <c r="AI266" s="32"/>
      <c r="AJ266" s="32"/>
      <c r="AK266" s="32"/>
      <c r="AL266" s="32"/>
      <c r="AM266" s="44">
        <v>8</v>
      </c>
      <c r="AN266" s="44">
        <v>439</v>
      </c>
      <c r="AO266" s="44">
        <v>92</v>
      </c>
      <c r="AP266" s="44"/>
      <c r="AQ266" s="44"/>
      <c r="AR266" s="51"/>
      <c r="AS266" s="51"/>
      <c r="AT266" s="51"/>
      <c r="AU266" s="51"/>
      <c r="AV266" s="51"/>
      <c r="AW266" s="50"/>
      <c r="AX266" s="50"/>
      <c r="AY266" s="50"/>
      <c r="AZ266" s="50"/>
      <c r="BA266" s="43">
        <v>470</v>
      </c>
      <c r="BB266" s="43">
        <v>79</v>
      </c>
      <c r="BC266" s="50"/>
      <c r="BD266" s="50"/>
      <c r="BE266" s="43">
        <v>62</v>
      </c>
      <c r="BF266" s="43">
        <v>483</v>
      </c>
      <c r="BG266" s="43">
        <v>89</v>
      </c>
      <c r="BH266" s="43">
        <v>463</v>
      </c>
      <c r="BI266" s="43">
        <v>108</v>
      </c>
      <c r="BJ266" s="43">
        <v>444</v>
      </c>
      <c r="BK266" s="43">
        <v>454</v>
      </c>
      <c r="BL266" s="43">
        <v>96</v>
      </c>
      <c r="BM266" s="43">
        <v>71</v>
      </c>
      <c r="BN266" s="43">
        <v>482</v>
      </c>
      <c r="BO266" s="43">
        <v>450</v>
      </c>
      <c r="BP266" s="43">
        <v>95</v>
      </c>
      <c r="BQ266" s="43">
        <v>97</v>
      </c>
      <c r="BR266" s="43">
        <v>447</v>
      </c>
      <c r="BS266" s="43">
        <v>222</v>
      </c>
      <c r="BT266" s="43">
        <v>71</v>
      </c>
      <c r="BU266" s="43">
        <v>482</v>
      </c>
      <c r="BV266" s="43">
        <v>305</v>
      </c>
      <c r="BW266" s="43">
        <v>198</v>
      </c>
      <c r="BX266" s="43">
        <v>242</v>
      </c>
      <c r="BY266" s="43">
        <v>196</v>
      </c>
      <c r="BZ266" s="43">
        <v>272</v>
      </c>
      <c r="CA266" s="43">
        <v>250</v>
      </c>
      <c r="CB266" s="43">
        <v>104</v>
      </c>
      <c r="CC266" s="43">
        <v>337</v>
      </c>
      <c r="CD266" s="43">
        <v>301</v>
      </c>
      <c r="CE266" s="43">
        <v>306</v>
      </c>
      <c r="CF266" s="43">
        <v>133</v>
      </c>
      <c r="CG266" s="43">
        <v>154</v>
      </c>
      <c r="CH266" s="43">
        <v>250</v>
      </c>
      <c r="CI266" s="43">
        <v>218</v>
      </c>
      <c r="CJ266" s="43">
        <v>217</v>
      </c>
      <c r="CK266" s="43">
        <v>224</v>
      </c>
      <c r="CL266" s="43">
        <v>227</v>
      </c>
      <c r="CM266" s="43">
        <v>241</v>
      </c>
      <c r="CN266" s="43">
        <v>295</v>
      </c>
      <c r="CO266" s="43">
        <v>259</v>
      </c>
      <c r="CP266" s="43">
        <v>196</v>
      </c>
      <c r="CQ266" s="6"/>
      <c r="CR266" s="6"/>
      <c r="CS266" s="6"/>
      <c r="CT266" s="6"/>
      <c r="CU266" s="6"/>
      <c r="CV266" s="6"/>
      <c r="CW266" s="43">
        <v>339</v>
      </c>
      <c r="CX266" s="43">
        <v>204</v>
      </c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43"/>
      <c r="FZ266" s="43"/>
      <c r="GA266" s="53"/>
      <c r="GB266" s="53"/>
      <c r="GC266" s="53"/>
      <c r="GD266" s="53"/>
      <c r="GE266" s="53"/>
      <c r="GF266" s="53"/>
      <c r="GG266" s="53"/>
      <c r="GH266" s="53"/>
      <c r="GI266" s="43"/>
      <c r="GJ266" s="43"/>
      <c r="GK266" s="43"/>
      <c r="GL266" s="43"/>
      <c r="GM266" s="53"/>
      <c r="GN266" s="53"/>
      <c r="GO266" s="43">
        <v>352</v>
      </c>
      <c r="GP266" s="43">
        <v>190</v>
      </c>
      <c r="GQ266" s="43">
        <v>421</v>
      </c>
      <c r="GR266" s="43">
        <v>126</v>
      </c>
    </row>
    <row r="267" spans="1:200">
      <c r="A267" s="7">
        <v>4411</v>
      </c>
      <c r="B267" s="1" t="s">
        <v>395</v>
      </c>
      <c r="C267" s="33">
        <v>1825</v>
      </c>
      <c r="D267" s="34">
        <v>1130</v>
      </c>
      <c r="E267" s="19">
        <f t="shared" si="4"/>
        <v>0.61917808219178083</v>
      </c>
      <c r="F267" s="62">
        <v>601</v>
      </c>
      <c r="G267" s="43">
        <v>3</v>
      </c>
      <c r="H267" s="43">
        <v>34</v>
      </c>
      <c r="I267" s="43">
        <v>18</v>
      </c>
      <c r="J267" s="55">
        <v>445</v>
      </c>
      <c r="K267" s="6">
        <v>0</v>
      </c>
      <c r="L267" s="6">
        <v>0</v>
      </c>
      <c r="M267" s="43">
        <v>3</v>
      </c>
      <c r="N267" s="25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  <c r="V267" s="43">
        <v>2</v>
      </c>
      <c r="W267" s="43">
        <v>5</v>
      </c>
      <c r="X267" s="43">
        <v>0</v>
      </c>
      <c r="Y267" s="43">
        <v>0</v>
      </c>
      <c r="Z267" s="43">
        <v>0</v>
      </c>
      <c r="AA267" s="44">
        <v>0</v>
      </c>
      <c r="AB267" s="44">
        <v>0</v>
      </c>
      <c r="AC267" s="44">
        <v>13</v>
      </c>
      <c r="AD267" s="44">
        <v>23</v>
      </c>
      <c r="AE267" s="44">
        <v>523</v>
      </c>
      <c r="AF267" s="44">
        <v>18</v>
      </c>
      <c r="AG267" s="44">
        <v>0</v>
      </c>
      <c r="AH267" s="44">
        <v>503</v>
      </c>
      <c r="AI267" s="32"/>
      <c r="AJ267" s="32"/>
      <c r="AK267" s="32"/>
      <c r="AL267" s="32"/>
      <c r="AM267" s="44">
        <v>27</v>
      </c>
      <c r="AN267" s="44">
        <v>511</v>
      </c>
      <c r="AO267" s="44">
        <v>510</v>
      </c>
      <c r="AP267" s="44"/>
      <c r="AQ267" s="44"/>
      <c r="AR267" s="51"/>
      <c r="AS267" s="51"/>
      <c r="AT267" s="51"/>
      <c r="AU267" s="51"/>
      <c r="AV267" s="51"/>
      <c r="AW267" s="50"/>
      <c r="AX267" s="50"/>
      <c r="AY267" s="43">
        <v>618</v>
      </c>
      <c r="AZ267" s="43">
        <v>418</v>
      </c>
      <c r="BA267" s="50"/>
      <c r="BB267" s="50"/>
      <c r="BC267" s="50"/>
      <c r="BD267" s="50"/>
      <c r="BE267" s="43">
        <v>406</v>
      </c>
      <c r="BF267" s="43">
        <v>612</v>
      </c>
      <c r="BG267" s="43">
        <v>491</v>
      </c>
      <c r="BH267" s="43">
        <v>543</v>
      </c>
      <c r="BI267" s="43">
        <v>547</v>
      </c>
      <c r="BJ267" s="43">
        <v>478</v>
      </c>
      <c r="BK267" s="43">
        <v>560</v>
      </c>
      <c r="BL267" s="43">
        <v>470</v>
      </c>
      <c r="BM267" s="43">
        <v>360</v>
      </c>
      <c r="BN267" s="43">
        <v>662</v>
      </c>
      <c r="BO267" s="43">
        <v>529</v>
      </c>
      <c r="BP267" s="43">
        <v>462</v>
      </c>
      <c r="BQ267" s="43">
        <v>499</v>
      </c>
      <c r="BR267" s="43">
        <v>500</v>
      </c>
      <c r="BS267" s="43">
        <v>696</v>
      </c>
      <c r="BT267" s="43">
        <v>383</v>
      </c>
      <c r="BU267" s="43">
        <v>616</v>
      </c>
      <c r="BV267" s="43">
        <v>700</v>
      </c>
      <c r="BW267" s="43">
        <v>426</v>
      </c>
      <c r="BX267" s="43">
        <v>397</v>
      </c>
      <c r="BY267" s="43">
        <v>464</v>
      </c>
      <c r="BZ267" s="43">
        <v>409</v>
      </c>
      <c r="CA267" s="43">
        <v>635</v>
      </c>
      <c r="CB267" s="43">
        <v>334</v>
      </c>
      <c r="CC267" s="43">
        <v>468</v>
      </c>
      <c r="CD267" s="43">
        <v>643</v>
      </c>
      <c r="CE267" s="43">
        <v>420</v>
      </c>
      <c r="CF267" s="43">
        <v>381</v>
      </c>
      <c r="CG267" s="43">
        <v>385</v>
      </c>
      <c r="CH267" s="43">
        <v>386</v>
      </c>
      <c r="CI267" s="43">
        <v>239</v>
      </c>
      <c r="CJ267" s="43">
        <v>547</v>
      </c>
      <c r="CK267" s="43">
        <v>409</v>
      </c>
      <c r="CL267" s="43">
        <v>376</v>
      </c>
      <c r="CM267" s="43">
        <v>626</v>
      </c>
      <c r="CN267" s="43">
        <v>632</v>
      </c>
      <c r="CO267" s="43">
        <v>323</v>
      </c>
      <c r="CP267" s="43">
        <v>478</v>
      </c>
      <c r="CQ267" s="6"/>
      <c r="CR267" s="6"/>
      <c r="CS267" s="6"/>
      <c r="CT267" s="6"/>
      <c r="CU267" s="6"/>
      <c r="CV267" s="6"/>
      <c r="CW267" s="6"/>
      <c r="CX267" s="6"/>
      <c r="CY267" s="43">
        <v>485</v>
      </c>
      <c r="CZ267" s="43">
        <v>492</v>
      </c>
      <c r="DA267" s="43">
        <v>602</v>
      </c>
      <c r="DB267" s="43">
        <v>428</v>
      </c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43"/>
      <c r="FZ267" s="43"/>
      <c r="GA267" s="53"/>
      <c r="GB267" s="53"/>
      <c r="GC267" s="53"/>
      <c r="GD267" s="53"/>
      <c r="GE267" s="43">
        <v>659</v>
      </c>
      <c r="GF267" s="43">
        <v>386</v>
      </c>
      <c r="GG267" s="53"/>
      <c r="GH267" s="53"/>
      <c r="GI267" s="43"/>
      <c r="GJ267" s="43"/>
      <c r="GK267" s="43"/>
      <c r="GL267" s="43"/>
      <c r="GM267" s="43"/>
      <c r="GN267" s="53"/>
      <c r="GO267" s="43">
        <v>722</v>
      </c>
      <c r="GP267" s="43">
        <v>325</v>
      </c>
      <c r="GQ267" s="43">
        <v>746</v>
      </c>
      <c r="GR267" s="43">
        <v>298</v>
      </c>
    </row>
    <row r="268" spans="1:200">
      <c r="A268" s="7">
        <v>4412</v>
      </c>
      <c r="B268" s="1" t="s">
        <v>396</v>
      </c>
      <c r="C268" s="33">
        <v>1205</v>
      </c>
      <c r="D268" s="34">
        <v>668</v>
      </c>
      <c r="E268" s="19">
        <f t="shared" si="4"/>
        <v>0.55435684647302907</v>
      </c>
      <c r="F268" s="62">
        <v>327</v>
      </c>
      <c r="G268" s="43">
        <v>4</v>
      </c>
      <c r="H268" s="43">
        <v>16</v>
      </c>
      <c r="I268" s="43">
        <v>9</v>
      </c>
      <c r="J268" s="55">
        <v>295</v>
      </c>
      <c r="K268" s="6">
        <v>0</v>
      </c>
      <c r="L268" s="6">
        <v>0</v>
      </c>
      <c r="M268" s="43">
        <v>0</v>
      </c>
      <c r="N268" s="25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  <c r="V268" s="43">
        <v>1</v>
      </c>
      <c r="W268" s="43">
        <v>6</v>
      </c>
      <c r="X268" s="43">
        <v>0</v>
      </c>
      <c r="Y268" s="43">
        <v>0</v>
      </c>
      <c r="Z268" s="43">
        <v>0</v>
      </c>
      <c r="AA268" s="44">
        <v>0</v>
      </c>
      <c r="AB268" s="44">
        <v>0</v>
      </c>
      <c r="AC268" s="44">
        <v>13</v>
      </c>
      <c r="AD268" s="44">
        <v>20</v>
      </c>
      <c r="AE268" s="44">
        <v>337</v>
      </c>
      <c r="AF268" s="44">
        <v>6</v>
      </c>
      <c r="AG268" s="44">
        <v>0</v>
      </c>
      <c r="AH268" s="44">
        <v>256</v>
      </c>
      <c r="AI268" s="32"/>
      <c r="AJ268" s="32"/>
      <c r="AK268" s="32"/>
      <c r="AL268" s="32"/>
      <c r="AM268" s="44">
        <v>14</v>
      </c>
      <c r="AN268" s="44">
        <v>282</v>
      </c>
      <c r="AO268" s="44">
        <v>323</v>
      </c>
      <c r="AP268" s="44"/>
      <c r="AQ268" s="44"/>
      <c r="AR268" s="51"/>
      <c r="AS268" s="51"/>
      <c r="AT268" s="51"/>
      <c r="AU268" s="51"/>
      <c r="AV268" s="51"/>
      <c r="AW268" s="50"/>
      <c r="AX268" s="50"/>
      <c r="AY268" s="43">
        <v>325</v>
      </c>
      <c r="AZ268" s="43">
        <v>287</v>
      </c>
      <c r="BA268" s="50"/>
      <c r="BB268" s="50"/>
      <c r="BC268" s="50"/>
      <c r="BD268" s="50"/>
      <c r="BE268" s="43">
        <v>230</v>
      </c>
      <c r="BF268" s="43">
        <v>376</v>
      </c>
      <c r="BG268" s="43">
        <v>322</v>
      </c>
      <c r="BH268" s="43">
        <v>296</v>
      </c>
      <c r="BI268" s="43">
        <v>352</v>
      </c>
      <c r="BJ268" s="43">
        <v>265</v>
      </c>
      <c r="BK268" s="43">
        <v>328</v>
      </c>
      <c r="BL268" s="43">
        <v>292</v>
      </c>
      <c r="BM268" s="43">
        <v>230</v>
      </c>
      <c r="BN268" s="43">
        <v>383</v>
      </c>
      <c r="BO268" s="43">
        <v>297</v>
      </c>
      <c r="BP268" s="43">
        <v>299</v>
      </c>
      <c r="BQ268" s="43">
        <v>312</v>
      </c>
      <c r="BR268" s="43">
        <v>283</v>
      </c>
      <c r="BS268" s="43">
        <v>396</v>
      </c>
      <c r="BT268" s="43">
        <v>233</v>
      </c>
      <c r="BU268" s="43">
        <v>361</v>
      </c>
      <c r="BV268" s="43">
        <v>403</v>
      </c>
      <c r="BW268" s="43">
        <v>277</v>
      </c>
      <c r="BX268" s="43">
        <v>212</v>
      </c>
      <c r="BY268" s="43">
        <v>318</v>
      </c>
      <c r="BZ268" s="43">
        <v>217</v>
      </c>
      <c r="CA268" s="43">
        <v>379</v>
      </c>
      <c r="CB268" s="43">
        <v>231</v>
      </c>
      <c r="CC268" s="43">
        <v>231</v>
      </c>
      <c r="CD268" s="43">
        <v>349</v>
      </c>
      <c r="CE268" s="43">
        <v>233</v>
      </c>
      <c r="CF268" s="43">
        <v>252</v>
      </c>
      <c r="CG268" s="43">
        <v>278</v>
      </c>
      <c r="CH268" s="43">
        <v>173</v>
      </c>
      <c r="CI268" s="43">
        <v>158</v>
      </c>
      <c r="CJ268" s="43">
        <v>327</v>
      </c>
      <c r="CK268" s="43">
        <v>290</v>
      </c>
      <c r="CL268" s="43">
        <v>182</v>
      </c>
      <c r="CM268" s="43">
        <v>355</v>
      </c>
      <c r="CN268" s="43">
        <v>356</v>
      </c>
      <c r="CO268" s="43">
        <v>191</v>
      </c>
      <c r="CP268" s="43">
        <v>281</v>
      </c>
      <c r="CQ268" s="6"/>
      <c r="CR268" s="6"/>
      <c r="CS268" s="6"/>
      <c r="CT268" s="6"/>
      <c r="CU268" s="6"/>
      <c r="CV268" s="6"/>
      <c r="CW268" s="6"/>
      <c r="CX268" s="6"/>
      <c r="CY268" s="43">
        <v>300</v>
      </c>
      <c r="CZ268" s="43">
        <v>290</v>
      </c>
      <c r="DA268" s="43">
        <v>350</v>
      </c>
      <c r="DB268" s="43">
        <v>261</v>
      </c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43"/>
      <c r="FZ268" s="43"/>
      <c r="GA268" s="53"/>
      <c r="GB268" s="53"/>
      <c r="GC268" s="53"/>
      <c r="GD268" s="53"/>
      <c r="GE268" s="43">
        <v>371</v>
      </c>
      <c r="GF268" s="43">
        <v>251</v>
      </c>
      <c r="GG268" s="53"/>
      <c r="GH268" s="53"/>
      <c r="GI268" s="43"/>
      <c r="GJ268" s="43"/>
      <c r="GK268" s="43"/>
      <c r="GL268" s="43"/>
      <c r="GM268" s="43"/>
      <c r="GN268" s="53"/>
      <c r="GO268" s="43">
        <v>422</v>
      </c>
      <c r="GP268" s="43">
        <v>208</v>
      </c>
      <c r="GQ268" s="43">
        <v>430</v>
      </c>
      <c r="GR268" s="43">
        <v>191</v>
      </c>
    </row>
    <row r="269" spans="1:200">
      <c r="A269" s="7">
        <v>4421</v>
      </c>
      <c r="B269" s="1" t="s">
        <v>397</v>
      </c>
      <c r="C269" s="33">
        <v>1041</v>
      </c>
      <c r="D269" s="34">
        <v>704</v>
      </c>
      <c r="E269" s="19">
        <f t="shared" si="4"/>
        <v>0.67627281460134481</v>
      </c>
      <c r="F269" s="62">
        <v>312</v>
      </c>
      <c r="G269" s="43">
        <v>0</v>
      </c>
      <c r="H269" s="43">
        <v>33</v>
      </c>
      <c r="I269" s="43">
        <v>8</v>
      </c>
      <c r="J269" s="55">
        <v>331</v>
      </c>
      <c r="K269" s="6">
        <v>0</v>
      </c>
      <c r="L269" s="6">
        <v>0</v>
      </c>
      <c r="M269" s="43">
        <v>0</v>
      </c>
      <c r="N269" s="25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  <c r="V269" s="43">
        <v>1</v>
      </c>
      <c r="W269" s="43">
        <v>6</v>
      </c>
      <c r="X269" s="43">
        <v>0</v>
      </c>
      <c r="Y269" s="43">
        <v>0</v>
      </c>
      <c r="Z269" s="43">
        <v>0</v>
      </c>
      <c r="AA269" s="44">
        <v>0</v>
      </c>
      <c r="AB269" s="44">
        <v>0</v>
      </c>
      <c r="AC269" s="44">
        <v>17</v>
      </c>
      <c r="AD269" s="44">
        <v>15</v>
      </c>
      <c r="AE269" s="44">
        <v>402</v>
      </c>
      <c r="AF269" s="44">
        <v>10</v>
      </c>
      <c r="AG269" s="44">
        <v>0</v>
      </c>
      <c r="AH269" s="44">
        <v>233</v>
      </c>
      <c r="AI269" s="32"/>
      <c r="AJ269" s="32"/>
      <c r="AK269" s="32"/>
      <c r="AL269" s="32"/>
      <c r="AM269" s="44">
        <v>14</v>
      </c>
      <c r="AN269" s="44">
        <v>239</v>
      </c>
      <c r="AO269" s="44">
        <v>401</v>
      </c>
      <c r="AP269" s="44"/>
      <c r="AQ269" s="44"/>
      <c r="AR269" s="51"/>
      <c r="AS269" s="51"/>
      <c r="AT269" s="51"/>
      <c r="AU269" s="51"/>
      <c r="AV269" s="51"/>
      <c r="AW269" s="50"/>
      <c r="AX269" s="50"/>
      <c r="AY269" s="43">
        <v>318</v>
      </c>
      <c r="AZ269" s="43">
        <v>328</v>
      </c>
      <c r="BA269" s="50"/>
      <c r="BB269" s="50"/>
      <c r="BC269" s="50"/>
      <c r="BD269" s="50"/>
      <c r="BE269" s="43">
        <v>309</v>
      </c>
      <c r="BF269" s="43">
        <v>327</v>
      </c>
      <c r="BG269" s="43">
        <v>371</v>
      </c>
      <c r="BH269" s="43">
        <v>278</v>
      </c>
      <c r="BI269" s="43">
        <v>385</v>
      </c>
      <c r="BJ269" s="43">
        <v>258</v>
      </c>
      <c r="BK269" s="43">
        <v>305</v>
      </c>
      <c r="BL269" s="43">
        <v>340</v>
      </c>
      <c r="BM269" s="43">
        <v>299</v>
      </c>
      <c r="BN269" s="43">
        <v>329</v>
      </c>
      <c r="BO269" s="43">
        <v>267</v>
      </c>
      <c r="BP269" s="43">
        <v>349</v>
      </c>
      <c r="BQ269" s="43">
        <v>372</v>
      </c>
      <c r="BR269" s="43">
        <v>248</v>
      </c>
      <c r="BS269" s="43">
        <v>458</v>
      </c>
      <c r="BT269" s="43">
        <v>293</v>
      </c>
      <c r="BU269" s="43">
        <v>327</v>
      </c>
      <c r="BV269" s="43">
        <v>447</v>
      </c>
      <c r="BW269" s="43">
        <v>301</v>
      </c>
      <c r="BX269" s="43">
        <v>218</v>
      </c>
      <c r="BY269" s="43">
        <v>346</v>
      </c>
      <c r="BZ269" s="43">
        <v>215</v>
      </c>
      <c r="CA269" s="43">
        <v>405</v>
      </c>
      <c r="CB269" s="43">
        <v>265</v>
      </c>
      <c r="CC269" s="43">
        <v>235</v>
      </c>
      <c r="CD269" s="43">
        <v>393</v>
      </c>
      <c r="CE269" s="43">
        <v>223</v>
      </c>
      <c r="CF269" s="43">
        <v>287</v>
      </c>
      <c r="CG269" s="43">
        <v>284</v>
      </c>
      <c r="CH269" s="43">
        <v>199</v>
      </c>
      <c r="CI269" s="43">
        <v>117</v>
      </c>
      <c r="CJ269" s="43">
        <v>381</v>
      </c>
      <c r="CK269" s="43">
        <v>277</v>
      </c>
      <c r="CL269" s="43">
        <v>213</v>
      </c>
      <c r="CM269" s="43">
        <v>397</v>
      </c>
      <c r="CN269" s="43">
        <v>401</v>
      </c>
      <c r="CO269" s="43">
        <v>177</v>
      </c>
      <c r="CP269" s="43">
        <v>322</v>
      </c>
      <c r="CQ269" s="6"/>
      <c r="CR269" s="6"/>
      <c r="CS269" s="6"/>
      <c r="CT269" s="6"/>
      <c r="CU269" s="6"/>
      <c r="CV269" s="6"/>
      <c r="CW269" s="6"/>
      <c r="CX269" s="6"/>
      <c r="CY269" s="43">
        <v>355</v>
      </c>
      <c r="CZ269" s="43">
        <v>252</v>
      </c>
      <c r="DA269" s="43">
        <v>402</v>
      </c>
      <c r="DB269" s="43">
        <v>242</v>
      </c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43"/>
      <c r="FZ269" s="43"/>
      <c r="GA269" s="53"/>
      <c r="GB269" s="53"/>
      <c r="GC269" s="53"/>
      <c r="GD269" s="53"/>
      <c r="GE269" s="43">
        <v>384</v>
      </c>
      <c r="GF269" s="43">
        <v>264</v>
      </c>
      <c r="GG269" s="53"/>
      <c r="GH269" s="53"/>
      <c r="GI269" s="43"/>
      <c r="GJ269" s="43"/>
      <c r="GK269" s="43"/>
      <c r="GL269" s="43"/>
      <c r="GM269" s="43"/>
      <c r="GN269" s="53"/>
      <c r="GO269" s="43">
        <v>474</v>
      </c>
      <c r="GP269" s="43">
        <v>189</v>
      </c>
      <c r="GQ269" s="43">
        <v>458</v>
      </c>
      <c r="GR269" s="43">
        <v>204</v>
      </c>
    </row>
    <row r="270" spans="1:200">
      <c r="A270" s="7">
        <v>4422</v>
      </c>
      <c r="B270" s="1" t="s">
        <v>398</v>
      </c>
      <c r="C270" s="33">
        <v>1257</v>
      </c>
      <c r="D270" s="34">
        <v>843</v>
      </c>
      <c r="E270" s="19">
        <f t="shared" si="4"/>
        <v>0.6706443914081146</v>
      </c>
      <c r="F270" s="62">
        <v>435</v>
      </c>
      <c r="G270" s="43">
        <v>0</v>
      </c>
      <c r="H270" s="43">
        <v>38</v>
      </c>
      <c r="I270" s="43">
        <v>14</v>
      </c>
      <c r="J270" s="55">
        <v>335</v>
      </c>
      <c r="K270" s="6">
        <v>0</v>
      </c>
      <c r="L270" s="6">
        <v>0</v>
      </c>
      <c r="M270" s="43">
        <v>1</v>
      </c>
      <c r="N270" s="25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  <c r="V270" s="43">
        <v>0</v>
      </c>
      <c r="W270" s="43">
        <v>4</v>
      </c>
      <c r="X270" s="43">
        <v>0</v>
      </c>
      <c r="Y270" s="43">
        <v>0</v>
      </c>
      <c r="Z270" s="43">
        <v>0</v>
      </c>
      <c r="AA270" s="44">
        <v>0</v>
      </c>
      <c r="AB270" s="44">
        <v>0</v>
      </c>
      <c r="AC270" s="44">
        <v>10</v>
      </c>
      <c r="AD270" s="44">
        <v>28</v>
      </c>
      <c r="AE270" s="44">
        <v>437</v>
      </c>
      <c r="AF270" s="44">
        <v>16</v>
      </c>
      <c r="AG270" s="44">
        <v>0</v>
      </c>
      <c r="AH270" s="44">
        <v>319</v>
      </c>
      <c r="AI270" s="32"/>
      <c r="AJ270" s="32"/>
      <c r="AK270" s="32"/>
      <c r="AL270" s="32"/>
      <c r="AM270" s="44">
        <v>15</v>
      </c>
      <c r="AN270" s="44">
        <v>339</v>
      </c>
      <c r="AO270" s="44">
        <v>419</v>
      </c>
      <c r="AP270" s="44"/>
      <c r="AQ270" s="44"/>
      <c r="AR270" s="51"/>
      <c r="AS270" s="51"/>
      <c r="AT270" s="51"/>
      <c r="AU270" s="51"/>
      <c r="AV270" s="51"/>
      <c r="AW270" s="50"/>
      <c r="AX270" s="50"/>
      <c r="AY270" s="43">
        <v>443</v>
      </c>
      <c r="AZ270" s="43">
        <v>338</v>
      </c>
      <c r="BA270" s="50"/>
      <c r="BB270" s="50"/>
      <c r="BC270" s="50"/>
      <c r="BD270" s="50"/>
      <c r="BE270" s="43">
        <v>320</v>
      </c>
      <c r="BF270" s="43">
        <v>447</v>
      </c>
      <c r="BG270" s="43">
        <v>366</v>
      </c>
      <c r="BH270" s="43">
        <v>406</v>
      </c>
      <c r="BI270" s="43">
        <v>423</v>
      </c>
      <c r="BJ270" s="43">
        <v>334</v>
      </c>
      <c r="BK270" s="43">
        <v>410</v>
      </c>
      <c r="BL270" s="43">
        <v>345</v>
      </c>
      <c r="BM270" s="43">
        <v>304</v>
      </c>
      <c r="BN270" s="43">
        <v>452</v>
      </c>
      <c r="BO270" s="43">
        <v>376</v>
      </c>
      <c r="BP270" s="43">
        <v>360</v>
      </c>
      <c r="BQ270" s="43">
        <v>408</v>
      </c>
      <c r="BR270" s="43">
        <v>346</v>
      </c>
      <c r="BS270" s="43">
        <v>531</v>
      </c>
      <c r="BT270" s="43">
        <v>302</v>
      </c>
      <c r="BU270" s="43">
        <v>442</v>
      </c>
      <c r="BV270" s="43">
        <v>529</v>
      </c>
      <c r="BW270" s="43">
        <v>327</v>
      </c>
      <c r="BX270" s="43">
        <v>274</v>
      </c>
      <c r="BY270" s="43">
        <v>342</v>
      </c>
      <c r="BZ270" s="43">
        <v>304</v>
      </c>
      <c r="CA270" s="43">
        <v>470</v>
      </c>
      <c r="CB270" s="43">
        <v>262</v>
      </c>
      <c r="CC270" s="43">
        <v>325</v>
      </c>
      <c r="CD270" s="43">
        <v>465</v>
      </c>
      <c r="CE270" s="43">
        <v>326</v>
      </c>
      <c r="CF270" s="43">
        <v>274</v>
      </c>
      <c r="CG270" s="43">
        <v>317</v>
      </c>
      <c r="CH270" s="43">
        <v>266</v>
      </c>
      <c r="CI270" s="43">
        <v>200</v>
      </c>
      <c r="CJ270" s="43">
        <v>404</v>
      </c>
      <c r="CK270" s="43">
        <v>330</v>
      </c>
      <c r="CL270" s="43">
        <v>249</v>
      </c>
      <c r="CM270" s="43">
        <v>451</v>
      </c>
      <c r="CN270" s="43">
        <v>462</v>
      </c>
      <c r="CO270" s="43">
        <v>234</v>
      </c>
      <c r="CP270" s="43">
        <v>345</v>
      </c>
      <c r="CQ270" s="6"/>
      <c r="CR270" s="6"/>
      <c r="CS270" s="6"/>
      <c r="CT270" s="6"/>
      <c r="CU270" s="6"/>
      <c r="CV270" s="6"/>
      <c r="CW270" s="6"/>
      <c r="CX270" s="6"/>
      <c r="CY270" s="43">
        <v>379</v>
      </c>
      <c r="CZ270" s="43">
        <v>322</v>
      </c>
      <c r="DA270" s="43">
        <v>478</v>
      </c>
      <c r="DB270" s="43">
        <v>273</v>
      </c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43"/>
      <c r="FZ270" s="43"/>
      <c r="GA270" s="53"/>
      <c r="GB270" s="53"/>
      <c r="GC270" s="53"/>
      <c r="GD270" s="53"/>
      <c r="GE270" s="43">
        <v>490</v>
      </c>
      <c r="GF270" s="43">
        <v>286</v>
      </c>
      <c r="GG270" s="53"/>
      <c r="GH270" s="53"/>
      <c r="GI270" s="43"/>
      <c r="GJ270" s="43"/>
      <c r="GK270" s="43"/>
      <c r="GL270" s="43"/>
      <c r="GM270" s="43"/>
      <c r="GN270" s="53"/>
      <c r="GO270" s="43">
        <v>558</v>
      </c>
      <c r="GP270" s="43">
        <v>232</v>
      </c>
      <c r="GQ270" s="43">
        <v>566</v>
      </c>
      <c r="GR270" s="43">
        <v>218</v>
      </c>
    </row>
    <row r="271" spans="1:200">
      <c r="A271" s="7">
        <v>4423</v>
      </c>
      <c r="B271" s="1" t="s">
        <v>399</v>
      </c>
      <c r="C271" s="33">
        <v>964</v>
      </c>
      <c r="D271" s="34">
        <v>678</v>
      </c>
      <c r="E271" s="19">
        <f t="shared" si="4"/>
        <v>0.70331950207468885</v>
      </c>
      <c r="F271" s="62">
        <v>311</v>
      </c>
      <c r="G271" s="43">
        <v>0</v>
      </c>
      <c r="H271" s="43">
        <v>36</v>
      </c>
      <c r="I271" s="43">
        <v>8</v>
      </c>
      <c r="J271" s="55">
        <v>311</v>
      </c>
      <c r="K271" s="6">
        <v>0</v>
      </c>
      <c r="L271" s="6">
        <v>0</v>
      </c>
      <c r="M271" s="43">
        <v>0</v>
      </c>
      <c r="N271" s="25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  <c r="V271" s="43">
        <v>0</v>
      </c>
      <c r="W271" s="43">
        <v>3</v>
      </c>
      <c r="X271" s="43">
        <v>0</v>
      </c>
      <c r="Y271" s="43">
        <v>0</v>
      </c>
      <c r="Z271" s="43">
        <v>0</v>
      </c>
      <c r="AA271" s="44">
        <v>0</v>
      </c>
      <c r="AB271" s="44">
        <v>0</v>
      </c>
      <c r="AC271" s="44">
        <v>9</v>
      </c>
      <c r="AD271" s="44">
        <v>12</v>
      </c>
      <c r="AE271" s="44">
        <v>394</v>
      </c>
      <c r="AF271" s="44">
        <v>9</v>
      </c>
      <c r="AG271" s="44">
        <v>0</v>
      </c>
      <c r="AH271" s="44">
        <v>232</v>
      </c>
      <c r="AI271" s="32"/>
      <c r="AJ271" s="32"/>
      <c r="AK271" s="32"/>
      <c r="AL271" s="32"/>
      <c r="AM271" s="44">
        <v>10</v>
      </c>
      <c r="AN271" s="44">
        <v>253</v>
      </c>
      <c r="AO271" s="44">
        <v>366</v>
      </c>
      <c r="AP271" s="44"/>
      <c r="AQ271" s="44"/>
      <c r="AR271" s="51"/>
      <c r="AS271" s="51"/>
      <c r="AT271" s="51"/>
      <c r="AU271" s="51"/>
      <c r="AV271" s="51"/>
      <c r="AW271" s="50"/>
      <c r="AX271" s="50"/>
      <c r="AY271" s="43">
        <v>333</v>
      </c>
      <c r="AZ271" s="43">
        <v>302</v>
      </c>
      <c r="BA271" s="50"/>
      <c r="BB271" s="50"/>
      <c r="BC271" s="50"/>
      <c r="BD271" s="50"/>
      <c r="BE271" s="43">
        <v>291</v>
      </c>
      <c r="BF271" s="43">
        <v>325</v>
      </c>
      <c r="BG271" s="43">
        <v>354</v>
      </c>
      <c r="BH271" s="43">
        <v>281</v>
      </c>
      <c r="BI271" s="43">
        <v>384</v>
      </c>
      <c r="BJ271" s="43">
        <v>241</v>
      </c>
      <c r="BK271" s="43">
        <v>301</v>
      </c>
      <c r="BL271" s="43">
        <v>323</v>
      </c>
      <c r="BM271" s="43">
        <v>286</v>
      </c>
      <c r="BN271" s="43">
        <v>326</v>
      </c>
      <c r="BO271" s="43">
        <v>253</v>
      </c>
      <c r="BP271" s="43">
        <v>335</v>
      </c>
      <c r="BQ271" s="43">
        <v>348</v>
      </c>
      <c r="BR271" s="43">
        <v>253</v>
      </c>
      <c r="BS271" s="43">
        <v>407</v>
      </c>
      <c r="BT271" s="43">
        <v>258</v>
      </c>
      <c r="BU271" s="43">
        <v>339</v>
      </c>
      <c r="BV271" s="43">
        <v>418</v>
      </c>
      <c r="BW271" s="43">
        <v>246</v>
      </c>
      <c r="BX271" s="43">
        <v>229</v>
      </c>
      <c r="BY271" s="43">
        <v>289</v>
      </c>
      <c r="BZ271" s="43">
        <v>231</v>
      </c>
      <c r="CA271" s="43">
        <v>370</v>
      </c>
      <c r="CB271" s="43">
        <v>218</v>
      </c>
      <c r="CC271" s="43">
        <v>237</v>
      </c>
      <c r="CD271" s="43">
        <v>352</v>
      </c>
      <c r="CE271" s="43">
        <v>215</v>
      </c>
      <c r="CF271" s="43">
        <v>238</v>
      </c>
      <c r="CG271" s="43">
        <v>251</v>
      </c>
      <c r="CH271" s="43">
        <v>187</v>
      </c>
      <c r="CI271" s="43">
        <v>124</v>
      </c>
      <c r="CJ271" s="43">
        <v>331</v>
      </c>
      <c r="CK271" s="43">
        <v>229</v>
      </c>
      <c r="CL271" s="43">
        <v>222</v>
      </c>
      <c r="CM271" s="43">
        <v>354</v>
      </c>
      <c r="CN271" s="43">
        <v>351</v>
      </c>
      <c r="CO271" s="43">
        <v>182</v>
      </c>
      <c r="CP271" s="43">
        <v>256</v>
      </c>
      <c r="CQ271" s="6"/>
      <c r="CR271" s="6"/>
      <c r="CS271" s="6"/>
      <c r="CT271" s="6"/>
      <c r="CU271" s="6"/>
      <c r="CV271" s="6"/>
      <c r="CW271" s="6"/>
      <c r="CX271" s="6"/>
      <c r="CY271" s="43">
        <v>315</v>
      </c>
      <c r="CZ271" s="43">
        <v>248</v>
      </c>
      <c r="DA271" s="43">
        <v>357</v>
      </c>
      <c r="DB271" s="43">
        <v>264</v>
      </c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43"/>
      <c r="FZ271" s="43"/>
      <c r="GA271" s="53"/>
      <c r="GB271" s="53"/>
      <c r="GC271" s="53"/>
      <c r="GD271" s="53"/>
      <c r="GE271" s="43">
        <v>364</v>
      </c>
      <c r="GF271" s="43">
        <v>266</v>
      </c>
      <c r="GG271" s="53"/>
      <c r="GH271" s="53"/>
      <c r="GI271" s="43"/>
      <c r="GJ271" s="43"/>
      <c r="GK271" s="43"/>
      <c r="GL271" s="43"/>
      <c r="GM271" s="43"/>
      <c r="GN271" s="53"/>
      <c r="GO271" s="43">
        <v>431</v>
      </c>
      <c r="GP271" s="43">
        <v>207</v>
      </c>
      <c r="GQ271" s="43">
        <v>430</v>
      </c>
      <c r="GR271" s="43">
        <v>199</v>
      </c>
    </row>
    <row r="272" spans="1:200">
      <c r="A272" s="7">
        <v>4431</v>
      </c>
      <c r="B272" s="1" t="s">
        <v>400</v>
      </c>
      <c r="C272" s="33">
        <v>905</v>
      </c>
      <c r="D272" s="34">
        <v>572</v>
      </c>
      <c r="E272" s="19">
        <f t="shared" si="4"/>
        <v>0.63204419889502761</v>
      </c>
      <c r="F272" s="62">
        <v>253</v>
      </c>
      <c r="G272" s="43">
        <v>3</v>
      </c>
      <c r="H272" s="43">
        <v>35</v>
      </c>
      <c r="I272" s="43">
        <v>7</v>
      </c>
      <c r="J272" s="55">
        <v>257</v>
      </c>
      <c r="K272" s="6">
        <v>0</v>
      </c>
      <c r="L272" s="6">
        <v>0</v>
      </c>
      <c r="M272" s="43">
        <v>0</v>
      </c>
      <c r="N272" s="25">
        <v>0</v>
      </c>
      <c r="O272" s="43">
        <v>0</v>
      </c>
      <c r="P272" s="43">
        <v>1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  <c r="V272" s="43">
        <v>0</v>
      </c>
      <c r="W272" s="43">
        <v>2</v>
      </c>
      <c r="X272" s="43">
        <v>0</v>
      </c>
      <c r="Y272" s="43">
        <v>0</v>
      </c>
      <c r="Z272" s="43">
        <v>0</v>
      </c>
      <c r="AA272" s="44">
        <v>0</v>
      </c>
      <c r="AB272" s="44">
        <v>0</v>
      </c>
      <c r="AC272" s="44">
        <v>9</v>
      </c>
      <c r="AD272" s="44">
        <v>20</v>
      </c>
      <c r="AE272" s="44">
        <v>310</v>
      </c>
      <c r="AF272" s="44">
        <v>15</v>
      </c>
      <c r="AG272" s="44">
        <v>0</v>
      </c>
      <c r="AH272" s="44">
        <v>195</v>
      </c>
      <c r="AI272" s="32"/>
      <c r="AJ272" s="32"/>
      <c r="AK272" s="32"/>
      <c r="AL272" s="32"/>
      <c r="AM272" s="44">
        <v>9</v>
      </c>
      <c r="AN272" s="44">
        <v>215</v>
      </c>
      <c r="AO272" s="44">
        <v>293</v>
      </c>
      <c r="AP272" s="44"/>
      <c r="AQ272" s="44"/>
      <c r="AR272" s="51"/>
      <c r="AS272" s="51"/>
      <c r="AT272" s="51"/>
      <c r="AU272" s="51"/>
      <c r="AV272" s="51"/>
      <c r="AW272" s="50"/>
      <c r="AX272" s="50"/>
      <c r="AY272" s="43">
        <v>275</v>
      </c>
      <c r="AZ272" s="43">
        <v>249</v>
      </c>
      <c r="BA272" s="50"/>
      <c r="BB272" s="50"/>
      <c r="BC272" s="50"/>
      <c r="BD272" s="50"/>
      <c r="BE272" s="43">
        <v>248</v>
      </c>
      <c r="BF272" s="43">
        <v>268</v>
      </c>
      <c r="BG272" s="43">
        <v>290</v>
      </c>
      <c r="BH272" s="43">
        <v>235</v>
      </c>
      <c r="BI272" s="43">
        <v>314</v>
      </c>
      <c r="BJ272" s="43">
        <v>210</v>
      </c>
      <c r="BK272" s="43">
        <v>263</v>
      </c>
      <c r="BL272" s="43">
        <v>256</v>
      </c>
      <c r="BM272" s="43">
        <v>222</v>
      </c>
      <c r="BN272" s="43">
        <v>288</v>
      </c>
      <c r="BO272" s="43">
        <v>221</v>
      </c>
      <c r="BP272" s="43">
        <v>283</v>
      </c>
      <c r="BQ272" s="43">
        <v>301</v>
      </c>
      <c r="BR272" s="43">
        <v>193</v>
      </c>
      <c r="BS272" s="43">
        <v>350</v>
      </c>
      <c r="BT272" s="43">
        <v>238</v>
      </c>
      <c r="BU272" s="43">
        <v>271</v>
      </c>
      <c r="BV272" s="43">
        <v>309</v>
      </c>
      <c r="BW272" s="43">
        <v>187</v>
      </c>
      <c r="BX272" s="43">
        <v>198</v>
      </c>
      <c r="BY272" s="43">
        <v>233</v>
      </c>
      <c r="BZ272" s="43">
        <v>184</v>
      </c>
      <c r="CA272" s="43">
        <v>287</v>
      </c>
      <c r="CB272" s="43">
        <v>193</v>
      </c>
      <c r="CC272" s="43">
        <v>172</v>
      </c>
      <c r="CD272" s="43">
        <v>272</v>
      </c>
      <c r="CE272" s="43">
        <v>185</v>
      </c>
      <c r="CF272" s="43">
        <v>194</v>
      </c>
      <c r="CG272" s="43">
        <v>208</v>
      </c>
      <c r="CH272" s="43">
        <v>150</v>
      </c>
      <c r="CI272" s="43">
        <v>116</v>
      </c>
      <c r="CJ272" s="43">
        <v>260</v>
      </c>
      <c r="CK272" s="43">
        <v>193</v>
      </c>
      <c r="CL272" s="43">
        <v>165</v>
      </c>
      <c r="CM272" s="43">
        <v>270</v>
      </c>
      <c r="CN272" s="43">
        <v>275</v>
      </c>
      <c r="CO272" s="43">
        <v>149</v>
      </c>
      <c r="CP272" s="43">
        <v>221</v>
      </c>
      <c r="CQ272" s="6"/>
      <c r="CR272" s="6"/>
      <c r="CS272" s="6"/>
      <c r="CT272" s="6"/>
      <c r="CU272" s="6"/>
      <c r="CV272" s="6"/>
      <c r="CW272" s="6"/>
      <c r="CX272" s="6"/>
      <c r="CY272" s="43">
        <v>241</v>
      </c>
      <c r="CZ272" s="43">
        <v>241</v>
      </c>
      <c r="DA272" s="43">
        <v>290</v>
      </c>
      <c r="DB272" s="43">
        <v>236</v>
      </c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43"/>
      <c r="FZ272" s="43"/>
      <c r="GA272" s="53"/>
      <c r="GB272" s="53"/>
      <c r="GC272" s="53"/>
      <c r="GD272" s="53"/>
      <c r="GE272" s="43">
        <v>289</v>
      </c>
      <c r="GF272" s="43">
        <v>224</v>
      </c>
      <c r="GG272" s="53"/>
      <c r="GH272" s="53"/>
      <c r="GI272" s="43"/>
      <c r="GJ272" s="43"/>
      <c r="GK272" s="43"/>
      <c r="GL272" s="43"/>
      <c r="GM272" s="43"/>
      <c r="GN272" s="53"/>
      <c r="GO272" s="43">
        <v>363</v>
      </c>
      <c r="GP272" s="43">
        <v>182</v>
      </c>
      <c r="GQ272" s="43">
        <v>364</v>
      </c>
      <c r="GR272" s="43">
        <v>178</v>
      </c>
    </row>
    <row r="273" spans="1:200">
      <c r="A273" s="7">
        <v>4432</v>
      </c>
      <c r="B273" s="1" t="s">
        <v>401</v>
      </c>
      <c r="C273" s="33">
        <v>814</v>
      </c>
      <c r="D273" s="34">
        <v>559</v>
      </c>
      <c r="E273" s="19">
        <f t="shared" si="4"/>
        <v>0.68673218673218672</v>
      </c>
      <c r="F273" s="62">
        <v>255</v>
      </c>
      <c r="G273" s="43">
        <v>2</v>
      </c>
      <c r="H273" s="43">
        <v>35</v>
      </c>
      <c r="I273" s="43">
        <v>14</v>
      </c>
      <c r="J273" s="55">
        <v>233</v>
      </c>
      <c r="K273" s="6">
        <v>0</v>
      </c>
      <c r="L273" s="6">
        <v>0</v>
      </c>
      <c r="M273" s="43">
        <v>0</v>
      </c>
      <c r="N273" s="25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  <c r="V273" s="43">
        <v>0</v>
      </c>
      <c r="W273" s="43">
        <v>7</v>
      </c>
      <c r="X273" s="43">
        <v>0</v>
      </c>
      <c r="Y273" s="43">
        <v>0</v>
      </c>
      <c r="Z273" s="43">
        <v>0</v>
      </c>
      <c r="AA273" s="44">
        <v>0</v>
      </c>
      <c r="AB273" s="44">
        <v>0</v>
      </c>
      <c r="AC273" s="44">
        <v>11</v>
      </c>
      <c r="AD273" s="44">
        <v>12</v>
      </c>
      <c r="AE273" s="44">
        <v>291</v>
      </c>
      <c r="AF273" s="44">
        <v>7</v>
      </c>
      <c r="AG273" s="44">
        <v>0</v>
      </c>
      <c r="AH273" s="44">
        <v>207</v>
      </c>
      <c r="AI273" s="32"/>
      <c r="AJ273" s="32"/>
      <c r="AK273" s="32"/>
      <c r="AL273" s="32"/>
      <c r="AM273" s="44">
        <v>18</v>
      </c>
      <c r="AN273" s="44">
        <v>207</v>
      </c>
      <c r="AO273" s="44">
        <v>293</v>
      </c>
      <c r="AP273" s="44"/>
      <c r="AQ273" s="44"/>
      <c r="AR273" s="51"/>
      <c r="AS273" s="51"/>
      <c r="AT273" s="51"/>
      <c r="AU273" s="51"/>
      <c r="AV273" s="51"/>
      <c r="AW273" s="50"/>
      <c r="AX273" s="50"/>
      <c r="AY273" s="43">
        <v>274</v>
      </c>
      <c r="AZ273" s="43">
        <v>241</v>
      </c>
      <c r="BA273" s="50"/>
      <c r="BB273" s="50"/>
      <c r="BC273" s="50"/>
      <c r="BD273" s="50"/>
      <c r="BE273" s="43">
        <v>244</v>
      </c>
      <c r="BF273" s="43">
        <v>271</v>
      </c>
      <c r="BG273" s="43">
        <v>271</v>
      </c>
      <c r="BH273" s="43">
        <v>238</v>
      </c>
      <c r="BI273" s="43">
        <v>286</v>
      </c>
      <c r="BJ273" s="43">
        <v>218</v>
      </c>
      <c r="BK273" s="43">
        <v>253</v>
      </c>
      <c r="BL273" s="43">
        <v>259</v>
      </c>
      <c r="BM273" s="43">
        <v>214</v>
      </c>
      <c r="BN273" s="43">
        <v>292</v>
      </c>
      <c r="BO273" s="43">
        <v>219</v>
      </c>
      <c r="BP273" s="43">
        <v>269</v>
      </c>
      <c r="BQ273" s="43">
        <v>290</v>
      </c>
      <c r="BR273" s="43">
        <v>204</v>
      </c>
      <c r="BS273" s="43">
        <v>344</v>
      </c>
      <c r="BT273" s="43">
        <v>206</v>
      </c>
      <c r="BU273" s="43">
        <v>292</v>
      </c>
      <c r="BV273" s="43">
        <v>334</v>
      </c>
      <c r="BW273" s="43">
        <v>231</v>
      </c>
      <c r="BX273" s="43">
        <v>187</v>
      </c>
      <c r="BY273" s="43">
        <v>247</v>
      </c>
      <c r="BZ273" s="43">
        <v>200</v>
      </c>
      <c r="CA273" s="43">
        <v>303</v>
      </c>
      <c r="CB273" s="43">
        <v>196</v>
      </c>
      <c r="CC273" s="43">
        <v>206</v>
      </c>
      <c r="CD273" s="43">
        <v>299</v>
      </c>
      <c r="CE273" s="43">
        <v>202</v>
      </c>
      <c r="CF273" s="43">
        <v>196</v>
      </c>
      <c r="CG273" s="43">
        <v>211</v>
      </c>
      <c r="CH273" s="43">
        <v>181</v>
      </c>
      <c r="CI273" s="43">
        <v>128</v>
      </c>
      <c r="CJ273" s="43">
        <v>269</v>
      </c>
      <c r="CK273" s="43">
        <v>207</v>
      </c>
      <c r="CL273" s="43">
        <v>181</v>
      </c>
      <c r="CM273" s="43">
        <v>286</v>
      </c>
      <c r="CN273" s="43">
        <v>294</v>
      </c>
      <c r="CO273" s="43">
        <v>137</v>
      </c>
      <c r="CP273" s="43">
        <v>261</v>
      </c>
      <c r="CQ273" s="6"/>
      <c r="CR273" s="6"/>
      <c r="CS273" s="6"/>
      <c r="CT273" s="6"/>
      <c r="CU273" s="6"/>
      <c r="CV273" s="6"/>
      <c r="CW273" s="6"/>
      <c r="CX273" s="6"/>
      <c r="CY273" s="43">
        <v>255</v>
      </c>
      <c r="CZ273" s="43">
        <v>219</v>
      </c>
      <c r="DA273" s="43">
        <v>302</v>
      </c>
      <c r="DB273" s="43">
        <v>206</v>
      </c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43"/>
      <c r="FZ273" s="43"/>
      <c r="GA273" s="53"/>
      <c r="GB273" s="53"/>
      <c r="GC273" s="53"/>
      <c r="GD273" s="53"/>
      <c r="GE273" s="43">
        <v>315</v>
      </c>
      <c r="GF273" s="43">
        <v>204</v>
      </c>
      <c r="GG273" s="53"/>
      <c r="GH273" s="53"/>
      <c r="GI273" s="43"/>
      <c r="GJ273" s="43"/>
      <c r="GK273" s="43"/>
      <c r="GL273" s="43"/>
      <c r="GM273" s="43"/>
      <c r="GN273" s="53"/>
      <c r="GO273" s="43">
        <v>371</v>
      </c>
      <c r="GP273" s="43">
        <v>156</v>
      </c>
      <c r="GQ273" s="43">
        <v>357</v>
      </c>
      <c r="GR273" s="43">
        <v>165</v>
      </c>
    </row>
    <row r="274" spans="1:200">
      <c r="A274" s="7">
        <v>4433</v>
      </c>
      <c r="B274" s="1" t="s">
        <v>402</v>
      </c>
      <c r="C274" s="33">
        <v>1496</v>
      </c>
      <c r="D274" s="34">
        <v>1004</v>
      </c>
      <c r="E274" s="19">
        <f t="shared" si="4"/>
        <v>0.67112299465240643</v>
      </c>
      <c r="F274" s="62">
        <v>451</v>
      </c>
      <c r="G274" s="43">
        <v>5</v>
      </c>
      <c r="H274" s="43">
        <v>34</v>
      </c>
      <c r="I274" s="43">
        <v>10</v>
      </c>
      <c r="J274" s="55">
        <v>479</v>
      </c>
      <c r="K274" s="6">
        <v>0</v>
      </c>
      <c r="L274" s="6">
        <v>0</v>
      </c>
      <c r="M274" s="43">
        <v>0</v>
      </c>
      <c r="N274" s="25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  <c r="V274" s="43">
        <v>0</v>
      </c>
      <c r="W274" s="43">
        <v>4</v>
      </c>
      <c r="X274" s="43">
        <v>0</v>
      </c>
      <c r="Y274" s="43">
        <v>0</v>
      </c>
      <c r="Z274" s="43">
        <v>0</v>
      </c>
      <c r="AA274" s="44">
        <v>0</v>
      </c>
      <c r="AB274" s="44">
        <v>0</v>
      </c>
      <c r="AC274" s="44">
        <v>15</v>
      </c>
      <c r="AD274" s="44">
        <v>20</v>
      </c>
      <c r="AE274" s="44">
        <v>544</v>
      </c>
      <c r="AF274" s="44">
        <v>9</v>
      </c>
      <c r="AG274" s="44">
        <v>0</v>
      </c>
      <c r="AH274" s="44">
        <v>372</v>
      </c>
      <c r="AI274" s="32"/>
      <c r="AJ274" s="32"/>
      <c r="AK274" s="32"/>
      <c r="AL274" s="32"/>
      <c r="AM274" s="44">
        <v>13</v>
      </c>
      <c r="AN274" s="44">
        <v>371</v>
      </c>
      <c r="AO274" s="44">
        <v>533</v>
      </c>
      <c r="AP274" s="44"/>
      <c r="AQ274" s="44"/>
      <c r="AR274" s="51"/>
      <c r="AS274" s="51"/>
      <c r="AT274" s="51"/>
      <c r="AU274" s="51"/>
      <c r="AV274" s="51"/>
      <c r="AW274" s="50"/>
      <c r="AX274" s="50"/>
      <c r="AY274" s="43">
        <v>512</v>
      </c>
      <c r="AZ274" s="43">
        <v>407</v>
      </c>
      <c r="BA274" s="50"/>
      <c r="BB274" s="50"/>
      <c r="BC274" s="50"/>
      <c r="BD274" s="50"/>
      <c r="BE274" s="43">
        <v>392</v>
      </c>
      <c r="BF274" s="43">
        <v>524</v>
      </c>
      <c r="BG274" s="43">
        <v>491</v>
      </c>
      <c r="BH274" s="43">
        <v>437</v>
      </c>
      <c r="BI274" s="43">
        <v>561</v>
      </c>
      <c r="BJ274" s="43">
        <v>362</v>
      </c>
      <c r="BK274" s="43">
        <v>491</v>
      </c>
      <c r="BL274" s="43">
        <v>446</v>
      </c>
      <c r="BM274" s="43">
        <v>344</v>
      </c>
      <c r="BN274" s="43">
        <v>567</v>
      </c>
      <c r="BO274" s="43">
        <v>405</v>
      </c>
      <c r="BP274" s="43">
        <v>483</v>
      </c>
      <c r="BQ274" s="43">
        <v>521</v>
      </c>
      <c r="BR274" s="43">
        <v>362</v>
      </c>
      <c r="BS274" s="43">
        <v>602</v>
      </c>
      <c r="BT274" s="43">
        <v>359</v>
      </c>
      <c r="BU274" s="43">
        <v>534</v>
      </c>
      <c r="BV274" s="43">
        <v>581</v>
      </c>
      <c r="BW274" s="43">
        <v>393</v>
      </c>
      <c r="BX274" s="43">
        <v>325</v>
      </c>
      <c r="BY274" s="43">
        <v>473</v>
      </c>
      <c r="BZ274" s="43">
        <v>312</v>
      </c>
      <c r="CA274" s="43">
        <v>528</v>
      </c>
      <c r="CB274" s="43">
        <v>352</v>
      </c>
      <c r="CC274" s="43">
        <v>334</v>
      </c>
      <c r="CD274" s="43">
        <v>524</v>
      </c>
      <c r="CE274" s="43">
        <v>333</v>
      </c>
      <c r="CF274" s="43">
        <v>384</v>
      </c>
      <c r="CG274" s="43">
        <v>395</v>
      </c>
      <c r="CH274" s="43">
        <v>275</v>
      </c>
      <c r="CI274" s="43">
        <v>198</v>
      </c>
      <c r="CJ274" s="43">
        <v>509</v>
      </c>
      <c r="CK274" s="43">
        <v>388</v>
      </c>
      <c r="CL274" s="43">
        <v>290</v>
      </c>
      <c r="CM274" s="43">
        <v>516</v>
      </c>
      <c r="CN274" s="43">
        <v>518</v>
      </c>
      <c r="CO274" s="43">
        <v>259</v>
      </c>
      <c r="CP274" s="43">
        <v>431</v>
      </c>
      <c r="CQ274" s="6"/>
      <c r="CR274" s="6"/>
      <c r="CS274" s="6"/>
      <c r="CT274" s="6"/>
      <c r="CU274" s="6"/>
      <c r="CV274" s="6"/>
      <c r="CW274" s="6"/>
      <c r="CX274" s="6"/>
      <c r="CY274" s="43">
        <v>470</v>
      </c>
      <c r="CZ274" s="43">
        <v>413</v>
      </c>
      <c r="DA274" s="43">
        <v>551</v>
      </c>
      <c r="DB274" s="43">
        <v>386</v>
      </c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43"/>
      <c r="FZ274" s="43"/>
      <c r="GA274" s="53"/>
      <c r="GB274" s="53"/>
      <c r="GC274" s="53"/>
      <c r="GD274" s="53"/>
      <c r="GE274" s="43">
        <v>531</v>
      </c>
      <c r="GF274" s="43">
        <v>409</v>
      </c>
      <c r="GG274" s="53"/>
      <c r="GH274" s="53"/>
      <c r="GI274" s="43"/>
      <c r="GJ274" s="43"/>
      <c r="GK274" s="43"/>
      <c r="GL274" s="43"/>
      <c r="GM274" s="43"/>
      <c r="GN274" s="53"/>
      <c r="GO274" s="43">
        <v>643</v>
      </c>
      <c r="GP274" s="43">
        <v>317</v>
      </c>
      <c r="GQ274" s="43">
        <v>617</v>
      </c>
      <c r="GR274" s="43">
        <v>335</v>
      </c>
    </row>
    <row r="275" spans="1:200">
      <c r="A275" s="7">
        <v>4441</v>
      </c>
      <c r="B275" s="1" t="s">
        <v>403</v>
      </c>
      <c r="C275" s="33">
        <v>943</v>
      </c>
      <c r="D275" s="34">
        <v>567</v>
      </c>
      <c r="E275" s="19">
        <f t="shared" si="4"/>
        <v>0.60127253446447504</v>
      </c>
      <c r="F275" s="62">
        <v>250</v>
      </c>
      <c r="G275" s="43">
        <v>5</v>
      </c>
      <c r="H275" s="43">
        <v>19</v>
      </c>
      <c r="I275" s="43">
        <v>6</v>
      </c>
      <c r="J275" s="55">
        <v>280</v>
      </c>
      <c r="K275" s="6">
        <v>0</v>
      </c>
      <c r="L275" s="6">
        <v>0</v>
      </c>
      <c r="M275" s="43">
        <v>0</v>
      </c>
      <c r="N275" s="25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  <c r="V275" s="43">
        <v>0</v>
      </c>
      <c r="W275" s="43">
        <v>0</v>
      </c>
      <c r="X275" s="43">
        <v>0</v>
      </c>
      <c r="Y275" s="43">
        <v>0</v>
      </c>
      <c r="Z275" s="43">
        <v>0</v>
      </c>
      <c r="AA275" s="44">
        <v>0</v>
      </c>
      <c r="AB275" s="44">
        <v>0</v>
      </c>
      <c r="AC275" s="44">
        <v>7</v>
      </c>
      <c r="AD275" s="44">
        <v>15</v>
      </c>
      <c r="AE275" s="44">
        <v>304</v>
      </c>
      <c r="AF275" s="44">
        <v>13</v>
      </c>
      <c r="AG275" s="44">
        <v>0</v>
      </c>
      <c r="AH275" s="44">
        <v>205</v>
      </c>
      <c r="AI275" s="32"/>
      <c r="AJ275" s="32"/>
      <c r="AK275" s="32"/>
      <c r="AL275" s="32"/>
      <c r="AM275" s="44">
        <v>3</v>
      </c>
      <c r="AN275" s="44">
        <v>230</v>
      </c>
      <c r="AO275" s="44">
        <v>288</v>
      </c>
      <c r="AP275" s="44"/>
      <c r="AQ275" s="44"/>
      <c r="AR275" s="51"/>
      <c r="AS275" s="51"/>
      <c r="AT275" s="51"/>
      <c r="AU275" s="51"/>
      <c r="AV275" s="51"/>
      <c r="AW275" s="50"/>
      <c r="AX275" s="50"/>
      <c r="AY275" s="43">
        <v>275</v>
      </c>
      <c r="AZ275" s="43">
        <v>244</v>
      </c>
      <c r="BA275" s="50"/>
      <c r="BB275" s="50"/>
      <c r="BC275" s="50"/>
      <c r="BD275" s="50"/>
      <c r="BE275" s="43">
        <v>220</v>
      </c>
      <c r="BF275" s="43">
        <v>297</v>
      </c>
      <c r="BG275" s="43">
        <v>288</v>
      </c>
      <c r="BH275" s="43">
        <v>231</v>
      </c>
      <c r="BI275" s="43">
        <v>316</v>
      </c>
      <c r="BJ275" s="43">
        <v>203</v>
      </c>
      <c r="BK275" s="43">
        <v>254</v>
      </c>
      <c r="BL275" s="43">
        <v>263</v>
      </c>
      <c r="BM275" s="43">
        <v>209</v>
      </c>
      <c r="BN275" s="43">
        <v>301</v>
      </c>
      <c r="BO275" s="43">
        <v>230</v>
      </c>
      <c r="BP275" s="43">
        <v>273</v>
      </c>
      <c r="BQ275" s="43">
        <v>294</v>
      </c>
      <c r="BR275" s="43">
        <v>214</v>
      </c>
      <c r="BS275" s="43">
        <v>353</v>
      </c>
      <c r="BT275" s="43">
        <v>215</v>
      </c>
      <c r="BU275" s="43">
        <v>290</v>
      </c>
      <c r="BV275" s="43">
        <v>348</v>
      </c>
      <c r="BW275" s="43">
        <v>206</v>
      </c>
      <c r="BX275" s="43">
        <v>213</v>
      </c>
      <c r="BY275" s="43">
        <v>273</v>
      </c>
      <c r="BZ275" s="43">
        <v>172</v>
      </c>
      <c r="CA275" s="43">
        <v>332</v>
      </c>
      <c r="CB275" s="43">
        <v>201</v>
      </c>
      <c r="CC275" s="43">
        <v>194</v>
      </c>
      <c r="CD275" s="43">
        <v>330</v>
      </c>
      <c r="CE275" s="43">
        <v>185</v>
      </c>
      <c r="CF275" s="43">
        <v>219</v>
      </c>
      <c r="CG275" s="43">
        <v>218</v>
      </c>
      <c r="CH275" s="43">
        <v>167</v>
      </c>
      <c r="CI275" s="43">
        <v>117</v>
      </c>
      <c r="CJ275" s="43">
        <v>282</v>
      </c>
      <c r="CK275" s="43">
        <v>208</v>
      </c>
      <c r="CL275" s="43">
        <v>187</v>
      </c>
      <c r="CM275" s="43">
        <v>306</v>
      </c>
      <c r="CN275" s="43">
        <v>317</v>
      </c>
      <c r="CO275" s="43">
        <v>166</v>
      </c>
      <c r="CP275" s="43">
        <v>231</v>
      </c>
      <c r="CQ275" s="6"/>
      <c r="CR275" s="6"/>
      <c r="CS275" s="6"/>
      <c r="CT275" s="6"/>
      <c r="CU275" s="6"/>
      <c r="CV275" s="6"/>
      <c r="CW275" s="6"/>
      <c r="CX275" s="6"/>
      <c r="CY275" s="43">
        <v>210</v>
      </c>
      <c r="CZ275" s="43">
        <v>275</v>
      </c>
      <c r="DA275" s="43">
        <v>264</v>
      </c>
      <c r="DB275" s="43">
        <v>247</v>
      </c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43"/>
      <c r="FZ275" s="43"/>
      <c r="GA275" s="53"/>
      <c r="GB275" s="53"/>
      <c r="GC275" s="53"/>
      <c r="GD275" s="53"/>
      <c r="GE275" s="43">
        <v>285</v>
      </c>
      <c r="GF275" s="43">
        <v>232</v>
      </c>
      <c r="GG275" s="53"/>
      <c r="GH275" s="53"/>
      <c r="GI275" s="43"/>
      <c r="GJ275" s="43"/>
      <c r="GK275" s="43"/>
      <c r="GL275" s="43"/>
      <c r="GM275" s="43"/>
      <c r="GN275" s="53"/>
      <c r="GO275" s="43">
        <v>331</v>
      </c>
      <c r="GP275" s="43">
        <v>203</v>
      </c>
      <c r="GQ275" s="43">
        <v>325</v>
      </c>
      <c r="GR275" s="43">
        <v>203</v>
      </c>
    </row>
    <row r="276" spans="1:200">
      <c r="A276" s="7">
        <v>4442</v>
      </c>
      <c r="B276" s="1" t="s">
        <v>404</v>
      </c>
      <c r="C276" s="33">
        <v>1142</v>
      </c>
      <c r="D276" s="34">
        <v>708</v>
      </c>
      <c r="E276" s="19">
        <f t="shared" si="4"/>
        <v>0.61996497373029769</v>
      </c>
      <c r="F276" s="62">
        <v>327</v>
      </c>
      <c r="G276" s="43">
        <v>0</v>
      </c>
      <c r="H276" s="43">
        <v>37</v>
      </c>
      <c r="I276" s="43">
        <v>11</v>
      </c>
      <c r="J276" s="55">
        <v>309</v>
      </c>
      <c r="K276" s="6">
        <v>0</v>
      </c>
      <c r="L276" s="6">
        <v>0</v>
      </c>
      <c r="M276" s="43">
        <v>1</v>
      </c>
      <c r="N276" s="25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  <c r="V276" s="43">
        <v>0</v>
      </c>
      <c r="W276" s="43">
        <v>6</v>
      </c>
      <c r="X276" s="43">
        <v>0</v>
      </c>
      <c r="Y276" s="43">
        <v>0</v>
      </c>
      <c r="Z276" s="43">
        <v>0</v>
      </c>
      <c r="AA276" s="44">
        <v>0</v>
      </c>
      <c r="AB276" s="44">
        <v>0</v>
      </c>
      <c r="AC276" s="44">
        <v>14</v>
      </c>
      <c r="AD276" s="44">
        <v>14</v>
      </c>
      <c r="AE276" s="44">
        <v>365</v>
      </c>
      <c r="AF276" s="44">
        <v>16</v>
      </c>
      <c r="AG276" s="44">
        <v>0</v>
      </c>
      <c r="AH276" s="44">
        <v>265</v>
      </c>
      <c r="AI276" s="32"/>
      <c r="AJ276" s="32"/>
      <c r="AK276" s="32"/>
      <c r="AL276" s="32"/>
      <c r="AM276" s="44">
        <v>11</v>
      </c>
      <c r="AN276" s="44">
        <v>288</v>
      </c>
      <c r="AO276" s="44">
        <v>342</v>
      </c>
      <c r="AP276" s="44"/>
      <c r="AQ276" s="44"/>
      <c r="AR276" s="51"/>
      <c r="AS276" s="51"/>
      <c r="AT276" s="51"/>
      <c r="AU276" s="51"/>
      <c r="AV276" s="51"/>
      <c r="AW276" s="50"/>
      <c r="AX276" s="50"/>
      <c r="AY276" s="43">
        <v>338</v>
      </c>
      <c r="AZ276" s="43">
        <v>307</v>
      </c>
      <c r="BA276" s="50"/>
      <c r="BB276" s="50"/>
      <c r="BC276" s="50"/>
      <c r="BD276" s="50"/>
      <c r="BE276" s="43">
        <v>267</v>
      </c>
      <c r="BF276" s="43">
        <v>376</v>
      </c>
      <c r="BG276" s="43">
        <v>335</v>
      </c>
      <c r="BH276" s="43">
        <v>314</v>
      </c>
      <c r="BI276" s="43">
        <v>373</v>
      </c>
      <c r="BJ276" s="43">
        <v>273</v>
      </c>
      <c r="BK276" s="43">
        <v>320</v>
      </c>
      <c r="BL276" s="43">
        <v>321</v>
      </c>
      <c r="BM276" s="43">
        <v>255</v>
      </c>
      <c r="BN276" s="43">
        <v>389</v>
      </c>
      <c r="BO276" s="43">
        <v>316</v>
      </c>
      <c r="BP276" s="43">
        <v>311</v>
      </c>
      <c r="BQ276" s="43">
        <v>344</v>
      </c>
      <c r="BR276" s="43">
        <v>281</v>
      </c>
      <c r="BS276" s="43">
        <v>428</v>
      </c>
      <c r="BT276" s="43">
        <v>251</v>
      </c>
      <c r="BU276" s="43">
        <v>377</v>
      </c>
      <c r="BV276" s="43">
        <v>408</v>
      </c>
      <c r="BW276" s="43">
        <v>243</v>
      </c>
      <c r="BX276" s="43">
        <v>236</v>
      </c>
      <c r="BY276" s="43">
        <v>299</v>
      </c>
      <c r="BZ276" s="43">
        <v>230</v>
      </c>
      <c r="CA276" s="43">
        <v>376</v>
      </c>
      <c r="CB276" s="43">
        <v>217</v>
      </c>
      <c r="CC276" s="43">
        <v>250</v>
      </c>
      <c r="CD276" s="43">
        <v>358</v>
      </c>
      <c r="CE276" s="43">
        <v>233</v>
      </c>
      <c r="CF276" s="43">
        <v>251</v>
      </c>
      <c r="CG276" s="43">
        <v>255</v>
      </c>
      <c r="CH276" s="43">
        <v>199</v>
      </c>
      <c r="CI276" s="43">
        <v>147</v>
      </c>
      <c r="CJ276" s="43">
        <v>327</v>
      </c>
      <c r="CK276" s="43">
        <v>286</v>
      </c>
      <c r="CL276" s="43">
        <v>179</v>
      </c>
      <c r="CM276" s="43">
        <v>354</v>
      </c>
      <c r="CN276" s="43">
        <v>360</v>
      </c>
      <c r="CO276" s="43">
        <v>200</v>
      </c>
      <c r="CP276" s="43">
        <v>272</v>
      </c>
      <c r="CQ276" s="6"/>
      <c r="CR276" s="6"/>
      <c r="CS276" s="6"/>
      <c r="CT276" s="6"/>
      <c r="CU276" s="6"/>
      <c r="CV276" s="6"/>
      <c r="CW276" s="6"/>
      <c r="CX276" s="6"/>
      <c r="CY276" s="43">
        <v>319</v>
      </c>
      <c r="CZ276" s="43">
        <v>287</v>
      </c>
      <c r="DA276" s="43">
        <v>363</v>
      </c>
      <c r="DB276" s="43">
        <v>284</v>
      </c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43"/>
      <c r="FZ276" s="43"/>
      <c r="GA276" s="53"/>
      <c r="GB276" s="53"/>
      <c r="GC276" s="53"/>
      <c r="GD276" s="53"/>
      <c r="GE276" s="43">
        <v>374</v>
      </c>
      <c r="GF276" s="43">
        <v>280</v>
      </c>
      <c r="GG276" s="53"/>
      <c r="GH276" s="53"/>
      <c r="GI276" s="43"/>
      <c r="GJ276" s="43"/>
      <c r="GK276" s="43"/>
      <c r="GL276" s="43"/>
      <c r="GM276" s="43"/>
      <c r="GN276" s="53"/>
      <c r="GO276" s="43">
        <v>426</v>
      </c>
      <c r="GP276" s="43">
        <v>239</v>
      </c>
      <c r="GQ276" s="43">
        <v>439</v>
      </c>
      <c r="GR276" s="43">
        <v>220</v>
      </c>
    </row>
    <row r="277" spans="1:200">
      <c r="A277" s="7">
        <v>4443</v>
      </c>
      <c r="B277" s="1" t="s">
        <v>405</v>
      </c>
      <c r="C277" s="33">
        <v>1041</v>
      </c>
      <c r="D277" s="34">
        <v>737</v>
      </c>
      <c r="E277" s="19">
        <f t="shared" si="4"/>
        <v>0.70797310278578285</v>
      </c>
      <c r="F277" s="62">
        <v>313</v>
      </c>
      <c r="G277" s="43">
        <v>2</v>
      </c>
      <c r="H277" s="43">
        <v>35</v>
      </c>
      <c r="I277" s="43">
        <v>5</v>
      </c>
      <c r="J277" s="55">
        <v>366</v>
      </c>
      <c r="K277" s="6">
        <v>0</v>
      </c>
      <c r="L277" s="6">
        <v>0</v>
      </c>
      <c r="M277" s="43">
        <v>0</v>
      </c>
      <c r="N277" s="25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  <c r="V277" s="43">
        <v>0</v>
      </c>
      <c r="W277" s="43">
        <v>4</v>
      </c>
      <c r="X277" s="43">
        <v>0</v>
      </c>
      <c r="Y277" s="43">
        <v>0</v>
      </c>
      <c r="Z277" s="43">
        <v>0</v>
      </c>
      <c r="AA277" s="44">
        <v>0</v>
      </c>
      <c r="AB277" s="44">
        <v>0</v>
      </c>
      <c r="AC277" s="44">
        <v>11</v>
      </c>
      <c r="AD277" s="44">
        <v>9</v>
      </c>
      <c r="AE277" s="44">
        <v>423</v>
      </c>
      <c r="AF277" s="44">
        <v>10</v>
      </c>
      <c r="AG277" s="44">
        <v>0</v>
      </c>
      <c r="AH277" s="44">
        <v>252</v>
      </c>
      <c r="AI277" s="32"/>
      <c r="AJ277" s="32"/>
      <c r="AK277" s="32"/>
      <c r="AL277" s="32"/>
      <c r="AM277" s="44">
        <v>11</v>
      </c>
      <c r="AN277" s="44">
        <v>257</v>
      </c>
      <c r="AO277" s="44">
        <v>410</v>
      </c>
      <c r="AP277" s="44"/>
      <c r="AQ277" s="44"/>
      <c r="AR277" s="51"/>
      <c r="AS277" s="51"/>
      <c r="AT277" s="51"/>
      <c r="AU277" s="51"/>
      <c r="AV277" s="51"/>
      <c r="AW277" s="50"/>
      <c r="AX277" s="50"/>
      <c r="AY277" s="43">
        <v>363</v>
      </c>
      <c r="AZ277" s="43">
        <v>319</v>
      </c>
      <c r="BA277" s="50"/>
      <c r="BB277" s="50"/>
      <c r="BC277" s="50"/>
      <c r="BD277" s="50"/>
      <c r="BE277" s="43">
        <v>297</v>
      </c>
      <c r="BF277" s="43">
        <v>377</v>
      </c>
      <c r="BG277" s="43">
        <v>386</v>
      </c>
      <c r="BH277" s="43">
        <v>299</v>
      </c>
      <c r="BI277" s="43">
        <v>434</v>
      </c>
      <c r="BJ277" s="43">
        <v>250</v>
      </c>
      <c r="BK277" s="43">
        <v>297</v>
      </c>
      <c r="BL277" s="43">
        <v>376</v>
      </c>
      <c r="BM277" s="43">
        <v>273</v>
      </c>
      <c r="BN277" s="43">
        <v>397</v>
      </c>
      <c r="BO277" s="43">
        <v>278</v>
      </c>
      <c r="BP277" s="43">
        <v>386</v>
      </c>
      <c r="BQ277" s="43">
        <v>408</v>
      </c>
      <c r="BR277" s="43">
        <v>258</v>
      </c>
      <c r="BS277" s="43">
        <v>465</v>
      </c>
      <c r="BT277" s="43">
        <v>265</v>
      </c>
      <c r="BU277" s="43">
        <v>397</v>
      </c>
      <c r="BV277" s="43">
        <v>452</v>
      </c>
      <c r="BW277" s="43">
        <v>303</v>
      </c>
      <c r="BX277" s="43">
        <v>240</v>
      </c>
      <c r="BY277" s="43">
        <v>366</v>
      </c>
      <c r="BZ277" s="43">
        <v>224</v>
      </c>
      <c r="CA277" s="43">
        <v>412</v>
      </c>
      <c r="CB277" s="43">
        <v>274</v>
      </c>
      <c r="CC277" s="43">
        <v>238</v>
      </c>
      <c r="CD277" s="43">
        <v>395</v>
      </c>
      <c r="CE277" s="43">
        <v>230</v>
      </c>
      <c r="CF277" s="43">
        <v>309</v>
      </c>
      <c r="CG277" s="43">
        <v>277</v>
      </c>
      <c r="CH277" s="43">
        <v>213</v>
      </c>
      <c r="CI277" s="43">
        <v>134</v>
      </c>
      <c r="CJ277" s="43">
        <v>396</v>
      </c>
      <c r="CK277" s="43">
        <v>278</v>
      </c>
      <c r="CL277" s="43">
        <v>246</v>
      </c>
      <c r="CM277" s="43">
        <v>371</v>
      </c>
      <c r="CN277" s="43">
        <v>402</v>
      </c>
      <c r="CO277" s="43">
        <v>206</v>
      </c>
      <c r="CP277" s="43">
        <v>310</v>
      </c>
      <c r="CQ277" s="6"/>
      <c r="CR277" s="6"/>
      <c r="CS277" s="6"/>
      <c r="CT277" s="6"/>
      <c r="CU277" s="6"/>
      <c r="CV277" s="6"/>
      <c r="CW277" s="6"/>
      <c r="CX277" s="6"/>
      <c r="CY277" s="43">
        <v>299</v>
      </c>
      <c r="CZ277" s="43">
        <v>344</v>
      </c>
      <c r="DA277" s="43">
        <v>374</v>
      </c>
      <c r="DB277" s="43">
        <v>313</v>
      </c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43"/>
      <c r="FZ277" s="43"/>
      <c r="GA277" s="53"/>
      <c r="GB277" s="53"/>
      <c r="GC277" s="53"/>
      <c r="GD277" s="53"/>
      <c r="GE277" s="43">
        <v>370</v>
      </c>
      <c r="GF277" s="43">
        <v>323</v>
      </c>
      <c r="GG277" s="53"/>
      <c r="GH277" s="53"/>
      <c r="GI277" s="43"/>
      <c r="GJ277" s="43"/>
      <c r="GK277" s="43"/>
      <c r="GL277" s="43"/>
      <c r="GM277" s="43"/>
      <c r="GN277" s="53"/>
      <c r="GO277" s="43">
        <v>441</v>
      </c>
      <c r="GP277" s="43">
        <v>265</v>
      </c>
      <c r="GQ277" s="43">
        <v>443</v>
      </c>
      <c r="GR277" s="43">
        <v>260</v>
      </c>
    </row>
    <row r="278" spans="1:200">
      <c r="A278" s="7">
        <v>4611</v>
      </c>
      <c r="B278" s="1" t="s">
        <v>406</v>
      </c>
      <c r="C278" s="33">
        <v>1342</v>
      </c>
      <c r="D278" s="34">
        <v>916</v>
      </c>
      <c r="E278" s="19">
        <f t="shared" si="4"/>
        <v>0.68256333830104321</v>
      </c>
      <c r="F278" s="62">
        <v>370</v>
      </c>
      <c r="G278" s="43">
        <v>5</v>
      </c>
      <c r="H278" s="43">
        <v>22</v>
      </c>
      <c r="I278" s="43">
        <v>9</v>
      </c>
      <c r="J278" s="55">
        <v>493</v>
      </c>
      <c r="K278" s="6">
        <v>0</v>
      </c>
      <c r="L278" s="6">
        <v>0</v>
      </c>
      <c r="M278" s="43">
        <v>0</v>
      </c>
      <c r="N278" s="25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  <c r="V278" s="43">
        <v>1</v>
      </c>
      <c r="W278" s="43">
        <v>1</v>
      </c>
      <c r="X278" s="43">
        <v>0</v>
      </c>
      <c r="Y278" s="43">
        <v>0</v>
      </c>
      <c r="Z278" s="43">
        <v>0</v>
      </c>
      <c r="AA278" s="44">
        <v>0</v>
      </c>
      <c r="AB278" s="44">
        <v>0</v>
      </c>
      <c r="AC278" s="44">
        <v>12</v>
      </c>
      <c r="AD278" s="44">
        <v>16</v>
      </c>
      <c r="AE278" s="44">
        <v>545</v>
      </c>
      <c r="AF278" s="44">
        <v>13</v>
      </c>
      <c r="AG278" s="44">
        <v>0</v>
      </c>
      <c r="AH278" s="44">
        <v>292</v>
      </c>
      <c r="AI278" s="32"/>
      <c r="AJ278" s="32"/>
      <c r="AK278" s="32"/>
      <c r="AL278" s="32"/>
      <c r="AM278" s="44">
        <v>8</v>
      </c>
      <c r="AN278" s="44">
        <v>310</v>
      </c>
      <c r="AO278" s="44">
        <v>524</v>
      </c>
      <c r="AP278" s="44">
        <v>377</v>
      </c>
      <c r="AQ278" s="44">
        <v>451</v>
      </c>
      <c r="AR278" s="50"/>
      <c r="AS278" s="50"/>
      <c r="AT278" s="43">
        <v>521</v>
      </c>
      <c r="AU278" s="43">
        <v>329</v>
      </c>
      <c r="AV278" s="50"/>
      <c r="AW278" s="50"/>
      <c r="AX278" s="50"/>
      <c r="AY278" s="50"/>
      <c r="AZ278" s="50"/>
      <c r="BA278" s="50"/>
      <c r="BB278" s="50"/>
      <c r="BC278" s="50"/>
      <c r="BD278" s="50"/>
      <c r="BE278" s="43">
        <v>392</v>
      </c>
      <c r="BF278" s="43">
        <v>457</v>
      </c>
      <c r="BG278" s="43">
        <v>507</v>
      </c>
      <c r="BH278" s="43">
        <v>345</v>
      </c>
      <c r="BI278" s="43">
        <v>541</v>
      </c>
      <c r="BJ278" s="43">
        <v>307</v>
      </c>
      <c r="BK278" s="43">
        <v>364</v>
      </c>
      <c r="BL278" s="43">
        <v>488</v>
      </c>
      <c r="BM278" s="43">
        <v>384</v>
      </c>
      <c r="BN278" s="43">
        <v>460</v>
      </c>
      <c r="BO278" s="43">
        <v>352</v>
      </c>
      <c r="BP278" s="43">
        <v>481</v>
      </c>
      <c r="BQ278" s="43">
        <v>537</v>
      </c>
      <c r="BR278" s="43">
        <v>301</v>
      </c>
      <c r="BS278" s="43">
        <v>619</v>
      </c>
      <c r="BT278" s="43">
        <v>382</v>
      </c>
      <c r="BU278" s="43">
        <v>438</v>
      </c>
      <c r="BV278" s="43">
        <v>603</v>
      </c>
      <c r="BW278" s="43">
        <v>413</v>
      </c>
      <c r="BX278" s="43">
        <v>299</v>
      </c>
      <c r="BY278" s="43">
        <v>497</v>
      </c>
      <c r="BZ278" s="43">
        <v>261</v>
      </c>
      <c r="CA278" s="43">
        <v>559</v>
      </c>
      <c r="CB278" s="43">
        <v>389</v>
      </c>
      <c r="CC278" s="43">
        <v>311</v>
      </c>
      <c r="CD278" s="43">
        <v>525</v>
      </c>
      <c r="CE278" s="43">
        <v>313</v>
      </c>
      <c r="CF278" s="43">
        <v>410</v>
      </c>
      <c r="CG278" s="43">
        <v>436</v>
      </c>
      <c r="CH278" s="43">
        <v>235</v>
      </c>
      <c r="CI278" s="43">
        <v>182</v>
      </c>
      <c r="CJ278" s="43">
        <v>519</v>
      </c>
      <c r="CK278" s="43">
        <v>413</v>
      </c>
      <c r="CL278" s="43">
        <v>277</v>
      </c>
      <c r="CM278" s="43">
        <v>530</v>
      </c>
      <c r="CN278" s="43">
        <v>544</v>
      </c>
      <c r="CO278" s="43">
        <v>250</v>
      </c>
      <c r="CP278" s="43">
        <v>456</v>
      </c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43"/>
      <c r="FZ278" s="43"/>
      <c r="GA278" s="53"/>
      <c r="GB278" s="53"/>
      <c r="GC278" s="53"/>
      <c r="GD278" s="53"/>
      <c r="GE278" s="53"/>
      <c r="GF278" s="53"/>
      <c r="GG278" s="53"/>
      <c r="GH278" s="53"/>
      <c r="GI278" s="43"/>
      <c r="GJ278" s="43"/>
      <c r="GK278" s="43"/>
      <c r="GL278" s="43"/>
      <c r="GM278" s="53"/>
      <c r="GN278" s="53"/>
      <c r="GO278" s="43">
        <v>638</v>
      </c>
      <c r="GP278" s="43">
        <v>231</v>
      </c>
      <c r="GQ278" s="43">
        <v>631</v>
      </c>
      <c r="GR278" s="43">
        <v>238</v>
      </c>
    </row>
    <row r="279" spans="1:200">
      <c r="A279" s="7">
        <v>4612</v>
      </c>
      <c r="B279" s="1" t="s">
        <v>407</v>
      </c>
      <c r="C279" s="33">
        <v>601</v>
      </c>
      <c r="D279" s="34">
        <v>353</v>
      </c>
      <c r="E279" s="19">
        <f t="shared" si="4"/>
        <v>0.58735440931780369</v>
      </c>
      <c r="F279" s="62">
        <v>207</v>
      </c>
      <c r="G279" s="43">
        <v>3</v>
      </c>
      <c r="H279" s="43">
        <v>13</v>
      </c>
      <c r="I279" s="43">
        <v>5</v>
      </c>
      <c r="J279" s="55">
        <v>122</v>
      </c>
      <c r="K279" s="6">
        <v>0</v>
      </c>
      <c r="L279" s="6">
        <v>0</v>
      </c>
      <c r="M279" s="43">
        <v>0</v>
      </c>
      <c r="N279" s="25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  <c r="V279" s="43">
        <v>0</v>
      </c>
      <c r="W279" s="43">
        <v>0</v>
      </c>
      <c r="X279" s="43">
        <v>0</v>
      </c>
      <c r="Y279" s="43">
        <v>0</v>
      </c>
      <c r="Z279" s="43">
        <v>0</v>
      </c>
      <c r="AA279" s="44">
        <v>0</v>
      </c>
      <c r="AB279" s="44">
        <v>0</v>
      </c>
      <c r="AC279" s="44">
        <v>4</v>
      </c>
      <c r="AD279" s="44">
        <v>7</v>
      </c>
      <c r="AE279" s="44">
        <v>154</v>
      </c>
      <c r="AF279" s="44">
        <v>10</v>
      </c>
      <c r="AG279" s="44">
        <v>0</v>
      </c>
      <c r="AH279" s="44">
        <v>163</v>
      </c>
      <c r="AI279" s="32"/>
      <c r="AJ279" s="32"/>
      <c r="AK279" s="32"/>
      <c r="AL279" s="32"/>
      <c r="AM279" s="44">
        <v>6</v>
      </c>
      <c r="AN279" s="44">
        <v>185</v>
      </c>
      <c r="AO279" s="44">
        <v>132</v>
      </c>
      <c r="AP279" s="44">
        <v>199</v>
      </c>
      <c r="AQ279" s="44">
        <v>122</v>
      </c>
      <c r="AR279" s="50"/>
      <c r="AS279" s="50"/>
      <c r="AT279" s="43">
        <v>130</v>
      </c>
      <c r="AU279" s="43">
        <v>193</v>
      </c>
      <c r="AV279" s="50"/>
      <c r="AW279" s="50"/>
      <c r="AX279" s="50"/>
      <c r="AY279" s="50"/>
      <c r="AZ279" s="50"/>
      <c r="BA279" s="50"/>
      <c r="BB279" s="50"/>
      <c r="BC279" s="50"/>
      <c r="BD279" s="50"/>
      <c r="BE279" s="43">
        <v>111</v>
      </c>
      <c r="BF279" s="43">
        <v>211</v>
      </c>
      <c r="BG279" s="43">
        <v>134</v>
      </c>
      <c r="BH279" s="43">
        <v>190</v>
      </c>
      <c r="BI279" s="43">
        <v>144</v>
      </c>
      <c r="BJ279" s="43">
        <v>177</v>
      </c>
      <c r="BK279" s="43">
        <v>187</v>
      </c>
      <c r="BL279" s="43">
        <v>131</v>
      </c>
      <c r="BM279" s="43">
        <v>104</v>
      </c>
      <c r="BN279" s="43">
        <v>213</v>
      </c>
      <c r="BO279" s="43">
        <v>187</v>
      </c>
      <c r="BP279" s="43">
        <v>126</v>
      </c>
      <c r="BQ279" s="43">
        <v>132</v>
      </c>
      <c r="BR279" s="43">
        <v>181</v>
      </c>
      <c r="BS279" s="43">
        <v>191</v>
      </c>
      <c r="BT279" s="43">
        <v>102</v>
      </c>
      <c r="BU279" s="43">
        <v>207</v>
      </c>
      <c r="BV279" s="43">
        <v>209</v>
      </c>
      <c r="BW279" s="43">
        <v>132</v>
      </c>
      <c r="BX279" s="43">
        <v>133</v>
      </c>
      <c r="BY279" s="43">
        <v>146</v>
      </c>
      <c r="BZ279" s="43">
        <v>129</v>
      </c>
      <c r="CA279" s="43">
        <v>193</v>
      </c>
      <c r="CB279" s="43">
        <v>114</v>
      </c>
      <c r="CC279" s="43">
        <v>143</v>
      </c>
      <c r="CD279" s="43">
        <v>200</v>
      </c>
      <c r="CE279" s="43">
        <v>145</v>
      </c>
      <c r="CF279" s="43">
        <v>111</v>
      </c>
      <c r="CG279" s="43">
        <v>115</v>
      </c>
      <c r="CH279" s="43">
        <v>135</v>
      </c>
      <c r="CI279" s="43">
        <v>104</v>
      </c>
      <c r="CJ279" s="43">
        <v>150</v>
      </c>
      <c r="CK279" s="43">
        <v>132</v>
      </c>
      <c r="CL279" s="43">
        <v>117</v>
      </c>
      <c r="CM279" s="43">
        <v>187</v>
      </c>
      <c r="CN279" s="43">
        <v>197</v>
      </c>
      <c r="CO279" s="43">
        <v>121</v>
      </c>
      <c r="CP279" s="43">
        <v>134</v>
      </c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43"/>
      <c r="FZ279" s="43"/>
      <c r="GA279" s="53"/>
      <c r="GB279" s="53"/>
      <c r="GC279" s="53"/>
      <c r="GD279" s="53"/>
      <c r="GE279" s="53"/>
      <c r="GF279" s="53"/>
      <c r="GG279" s="53"/>
      <c r="GH279" s="53"/>
      <c r="GI279" s="43"/>
      <c r="GJ279" s="43"/>
      <c r="GK279" s="43"/>
      <c r="GL279" s="43"/>
      <c r="GM279" s="53"/>
      <c r="GN279" s="53"/>
      <c r="GO279" s="43">
        <v>253</v>
      </c>
      <c r="GP279" s="43">
        <v>72</v>
      </c>
      <c r="GQ279" s="43">
        <v>244</v>
      </c>
      <c r="GR279" s="43">
        <v>82</v>
      </c>
    </row>
    <row r="280" spans="1:200">
      <c r="A280" s="7">
        <v>4621</v>
      </c>
      <c r="B280" s="1" t="s">
        <v>408</v>
      </c>
      <c r="C280" s="33">
        <v>972</v>
      </c>
      <c r="D280" s="34">
        <v>611</v>
      </c>
      <c r="E280" s="19">
        <f t="shared" si="4"/>
        <v>0.62860082304526754</v>
      </c>
      <c r="F280" s="62">
        <v>180</v>
      </c>
      <c r="G280" s="43">
        <v>5</v>
      </c>
      <c r="H280" s="43">
        <v>17</v>
      </c>
      <c r="I280" s="43">
        <v>7</v>
      </c>
      <c r="J280" s="55">
        <v>395</v>
      </c>
      <c r="K280" s="6">
        <v>0</v>
      </c>
      <c r="L280" s="6">
        <v>0</v>
      </c>
      <c r="M280" s="43">
        <v>0</v>
      </c>
      <c r="N280" s="25">
        <v>0</v>
      </c>
      <c r="O280" s="43">
        <v>0</v>
      </c>
      <c r="P280" s="43">
        <v>1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  <c r="V280" s="43">
        <v>0</v>
      </c>
      <c r="W280" s="43">
        <v>1</v>
      </c>
      <c r="X280" s="43">
        <v>0</v>
      </c>
      <c r="Y280" s="43">
        <v>0</v>
      </c>
      <c r="Z280" s="43">
        <v>0</v>
      </c>
      <c r="AA280" s="44">
        <v>0</v>
      </c>
      <c r="AB280" s="44">
        <v>0</v>
      </c>
      <c r="AC280" s="44">
        <v>10</v>
      </c>
      <c r="AD280" s="44">
        <v>20</v>
      </c>
      <c r="AE280" s="44">
        <v>401</v>
      </c>
      <c r="AF280" s="44">
        <v>13</v>
      </c>
      <c r="AG280" s="44">
        <v>0</v>
      </c>
      <c r="AH280" s="44">
        <v>148</v>
      </c>
      <c r="AI280" s="32"/>
      <c r="AJ280" s="32"/>
      <c r="AK280" s="32"/>
      <c r="AL280" s="32"/>
      <c r="AM280" s="44">
        <v>7</v>
      </c>
      <c r="AN280" s="44">
        <v>175</v>
      </c>
      <c r="AO280" s="44">
        <v>391</v>
      </c>
      <c r="AP280" s="44">
        <v>213</v>
      </c>
      <c r="AQ280" s="44">
        <v>361</v>
      </c>
      <c r="AR280" s="50"/>
      <c r="AS280" s="50"/>
      <c r="AT280" s="43">
        <v>394</v>
      </c>
      <c r="AU280" s="43">
        <v>179</v>
      </c>
      <c r="AV280" s="50"/>
      <c r="AW280" s="50"/>
      <c r="AX280" s="50"/>
      <c r="AY280" s="50"/>
      <c r="AZ280" s="50"/>
      <c r="BA280" s="50"/>
      <c r="BB280" s="50"/>
      <c r="BC280" s="50"/>
      <c r="BD280" s="50"/>
      <c r="BE280" s="43">
        <v>313</v>
      </c>
      <c r="BF280" s="43">
        <v>269</v>
      </c>
      <c r="BG280" s="43">
        <v>392</v>
      </c>
      <c r="BH280" s="43">
        <v>190</v>
      </c>
      <c r="BI280" s="43">
        <v>397</v>
      </c>
      <c r="BJ280" s="43">
        <v>180</v>
      </c>
      <c r="BK280" s="43">
        <v>212</v>
      </c>
      <c r="BL280" s="43">
        <v>363</v>
      </c>
      <c r="BM280" s="43">
        <v>310</v>
      </c>
      <c r="BN280" s="43">
        <v>267</v>
      </c>
      <c r="BO280" s="43">
        <v>184</v>
      </c>
      <c r="BP280" s="43">
        <v>379</v>
      </c>
      <c r="BQ280" s="43">
        <v>410</v>
      </c>
      <c r="BR280" s="43">
        <v>162</v>
      </c>
      <c r="BS280" s="43">
        <v>432</v>
      </c>
      <c r="BT280" s="43">
        <v>313</v>
      </c>
      <c r="BU280" s="43">
        <v>245</v>
      </c>
      <c r="BV280" s="43">
        <v>411</v>
      </c>
      <c r="BW280" s="43">
        <v>323</v>
      </c>
      <c r="BX280" s="43">
        <v>177</v>
      </c>
      <c r="BY280" s="43">
        <v>366</v>
      </c>
      <c r="BZ280" s="43">
        <v>154</v>
      </c>
      <c r="CA280" s="43">
        <v>388</v>
      </c>
      <c r="CB280" s="43">
        <v>294</v>
      </c>
      <c r="CC280" s="43">
        <v>180</v>
      </c>
      <c r="CD280" s="43">
        <v>344</v>
      </c>
      <c r="CE280" s="43">
        <v>168</v>
      </c>
      <c r="CF280" s="43">
        <v>318</v>
      </c>
      <c r="CG280" s="43">
        <v>335</v>
      </c>
      <c r="CH280" s="43">
        <v>136</v>
      </c>
      <c r="CI280" s="43">
        <v>108</v>
      </c>
      <c r="CJ280" s="43">
        <v>359</v>
      </c>
      <c r="CK280" s="43">
        <v>321</v>
      </c>
      <c r="CL280" s="43">
        <v>158</v>
      </c>
      <c r="CM280" s="43">
        <v>383</v>
      </c>
      <c r="CN280" s="43">
        <v>387</v>
      </c>
      <c r="CO280" s="43">
        <v>171</v>
      </c>
      <c r="CP280" s="43">
        <v>312</v>
      </c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43"/>
      <c r="FZ280" s="43"/>
      <c r="GA280" s="53"/>
      <c r="GB280" s="53"/>
      <c r="GC280" s="53"/>
      <c r="GD280" s="53"/>
      <c r="GE280" s="53"/>
      <c r="GF280" s="53"/>
      <c r="GG280" s="53"/>
      <c r="GH280" s="53"/>
      <c r="GI280" s="43"/>
      <c r="GJ280" s="43"/>
      <c r="GK280" s="43"/>
      <c r="GL280" s="43"/>
      <c r="GM280" s="53"/>
      <c r="GN280" s="53"/>
      <c r="GO280" s="43">
        <v>395</v>
      </c>
      <c r="GP280" s="43">
        <v>182</v>
      </c>
      <c r="GQ280" s="43">
        <v>383</v>
      </c>
      <c r="GR280" s="43">
        <v>192</v>
      </c>
    </row>
    <row r="281" spans="1:200">
      <c r="A281" s="7">
        <v>4622</v>
      </c>
      <c r="B281" s="1" t="s">
        <v>409</v>
      </c>
      <c r="C281" s="33">
        <v>556</v>
      </c>
      <c r="D281" s="34">
        <v>403</v>
      </c>
      <c r="E281" s="19">
        <f t="shared" si="4"/>
        <v>0.72482014388489213</v>
      </c>
      <c r="F281" s="62">
        <v>120</v>
      </c>
      <c r="G281" s="43">
        <v>1</v>
      </c>
      <c r="H281" s="43">
        <v>14</v>
      </c>
      <c r="I281" s="43">
        <v>1</v>
      </c>
      <c r="J281" s="55">
        <v>263</v>
      </c>
      <c r="K281" s="6">
        <v>0</v>
      </c>
      <c r="L281" s="6">
        <v>0</v>
      </c>
      <c r="M281" s="43">
        <v>0</v>
      </c>
      <c r="N281" s="25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  <c r="V281" s="43">
        <v>0</v>
      </c>
      <c r="W281" s="43">
        <v>0</v>
      </c>
      <c r="X281" s="43">
        <v>0</v>
      </c>
      <c r="Y281" s="43">
        <v>0</v>
      </c>
      <c r="Z281" s="43">
        <v>0</v>
      </c>
      <c r="AA281" s="44">
        <v>0</v>
      </c>
      <c r="AB281" s="44">
        <v>0</v>
      </c>
      <c r="AC281" s="44">
        <v>3</v>
      </c>
      <c r="AD281" s="44">
        <v>6</v>
      </c>
      <c r="AE281" s="44">
        <v>269</v>
      </c>
      <c r="AF281" s="44">
        <v>13</v>
      </c>
      <c r="AG281" s="44">
        <v>0</v>
      </c>
      <c r="AH281" s="44">
        <v>99</v>
      </c>
      <c r="AI281" s="32"/>
      <c r="AJ281" s="32"/>
      <c r="AK281" s="32"/>
      <c r="AL281" s="32"/>
      <c r="AM281" s="44">
        <v>8</v>
      </c>
      <c r="AN281" s="44">
        <v>106</v>
      </c>
      <c r="AO281" s="44">
        <v>255</v>
      </c>
      <c r="AP281" s="44">
        <v>143</v>
      </c>
      <c r="AQ281" s="44">
        <v>226</v>
      </c>
      <c r="AR281" s="50"/>
      <c r="AS281" s="50"/>
      <c r="AT281" s="43">
        <v>268</v>
      </c>
      <c r="AU281" s="43">
        <v>110</v>
      </c>
      <c r="AV281" s="50"/>
      <c r="AW281" s="50"/>
      <c r="AX281" s="50"/>
      <c r="AY281" s="50"/>
      <c r="AZ281" s="50"/>
      <c r="BA281" s="50"/>
      <c r="BB281" s="50"/>
      <c r="BC281" s="50"/>
      <c r="BD281" s="50"/>
      <c r="BE281" s="43">
        <v>214</v>
      </c>
      <c r="BF281" s="43">
        <v>172</v>
      </c>
      <c r="BG281" s="43">
        <v>255</v>
      </c>
      <c r="BH281" s="43">
        <v>132</v>
      </c>
      <c r="BI281" s="43">
        <v>271</v>
      </c>
      <c r="BJ281" s="43">
        <v>111</v>
      </c>
      <c r="BK281" s="43">
        <v>138</v>
      </c>
      <c r="BL281" s="43">
        <v>231</v>
      </c>
      <c r="BM281" s="43">
        <v>207</v>
      </c>
      <c r="BN281" s="43">
        <v>169</v>
      </c>
      <c r="BO281" s="43">
        <v>114</v>
      </c>
      <c r="BP281" s="43">
        <v>255</v>
      </c>
      <c r="BQ281" s="43">
        <v>272</v>
      </c>
      <c r="BR281" s="43">
        <v>101</v>
      </c>
      <c r="BS281" s="43">
        <v>282</v>
      </c>
      <c r="BT281" s="43">
        <v>198</v>
      </c>
      <c r="BU281" s="43">
        <v>173</v>
      </c>
      <c r="BV281" s="43">
        <v>264</v>
      </c>
      <c r="BW281" s="43">
        <v>173</v>
      </c>
      <c r="BX281" s="43">
        <v>133</v>
      </c>
      <c r="BY281" s="43">
        <v>228</v>
      </c>
      <c r="BZ281" s="43">
        <v>102</v>
      </c>
      <c r="CA281" s="43">
        <v>243</v>
      </c>
      <c r="CB281" s="43">
        <v>175</v>
      </c>
      <c r="CC281" s="43">
        <v>124</v>
      </c>
      <c r="CD281" s="43">
        <v>228</v>
      </c>
      <c r="CE281" s="43">
        <v>109</v>
      </c>
      <c r="CF281" s="43">
        <v>190</v>
      </c>
      <c r="CG281" s="43">
        <v>177</v>
      </c>
      <c r="CH281" s="43">
        <v>106</v>
      </c>
      <c r="CI281" s="43">
        <v>60</v>
      </c>
      <c r="CJ281" s="43">
        <v>229</v>
      </c>
      <c r="CK281" s="43">
        <v>173</v>
      </c>
      <c r="CL281" s="43">
        <v>122</v>
      </c>
      <c r="CM281" s="43">
        <v>235</v>
      </c>
      <c r="CN281" s="43">
        <v>234</v>
      </c>
      <c r="CO281" s="43">
        <v>112</v>
      </c>
      <c r="CP281" s="43">
        <v>192</v>
      </c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43"/>
      <c r="FZ281" s="43"/>
      <c r="GA281" s="53"/>
      <c r="GB281" s="53"/>
      <c r="GC281" s="53"/>
      <c r="GD281" s="53"/>
      <c r="GE281" s="53"/>
      <c r="GF281" s="53"/>
      <c r="GG281" s="53"/>
      <c r="GH281" s="53"/>
      <c r="GI281" s="43"/>
      <c r="GJ281" s="43"/>
      <c r="GK281" s="43"/>
      <c r="GL281" s="43"/>
      <c r="GM281" s="53"/>
      <c r="GN281" s="53"/>
      <c r="GO281" s="43">
        <v>260</v>
      </c>
      <c r="GP281" s="43">
        <v>124</v>
      </c>
      <c r="GQ281" s="43">
        <v>261</v>
      </c>
      <c r="GR281" s="43">
        <v>122</v>
      </c>
    </row>
    <row r="282" spans="1:200">
      <c r="A282" s="7">
        <v>4631</v>
      </c>
      <c r="B282" s="1" t="s">
        <v>410</v>
      </c>
      <c r="C282" s="33">
        <v>1154</v>
      </c>
      <c r="D282" s="34">
        <v>766</v>
      </c>
      <c r="E282" s="19">
        <f t="shared" si="4"/>
        <v>0.66377816291161174</v>
      </c>
      <c r="F282" s="62">
        <v>260</v>
      </c>
      <c r="G282" s="43">
        <v>3</v>
      </c>
      <c r="H282" s="43">
        <v>32</v>
      </c>
      <c r="I282" s="43">
        <v>10</v>
      </c>
      <c r="J282" s="55">
        <v>438</v>
      </c>
      <c r="K282" s="6">
        <v>0</v>
      </c>
      <c r="L282" s="6">
        <v>0</v>
      </c>
      <c r="M282" s="43">
        <v>2</v>
      </c>
      <c r="N282" s="25">
        <v>0</v>
      </c>
      <c r="O282" s="43">
        <v>0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  <c r="V282" s="43">
        <v>0</v>
      </c>
      <c r="W282" s="43">
        <v>1</v>
      </c>
      <c r="X282" s="43">
        <v>0</v>
      </c>
      <c r="Y282" s="43">
        <v>0</v>
      </c>
      <c r="Z282" s="43">
        <v>0</v>
      </c>
      <c r="AA282" s="44">
        <v>0</v>
      </c>
      <c r="AB282" s="44">
        <v>0</v>
      </c>
      <c r="AC282" s="44">
        <v>14</v>
      </c>
      <c r="AD282" s="44">
        <v>21</v>
      </c>
      <c r="AE282" s="44">
        <v>488</v>
      </c>
      <c r="AF282" s="44">
        <v>19</v>
      </c>
      <c r="AG282" s="44">
        <v>0</v>
      </c>
      <c r="AH282" s="44">
        <v>190</v>
      </c>
      <c r="AI282" s="32"/>
      <c r="AJ282" s="32"/>
      <c r="AK282" s="32"/>
      <c r="AL282" s="32"/>
      <c r="AM282" s="44">
        <v>10</v>
      </c>
      <c r="AN282" s="44">
        <v>224</v>
      </c>
      <c r="AO282" s="44">
        <v>485</v>
      </c>
      <c r="AP282" s="44">
        <v>261</v>
      </c>
      <c r="AQ282" s="44">
        <v>438</v>
      </c>
      <c r="AR282" s="50"/>
      <c r="AS282" s="50"/>
      <c r="AT282" s="43">
        <v>486</v>
      </c>
      <c r="AU282" s="43">
        <v>230</v>
      </c>
      <c r="AV282" s="50"/>
      <c r="AW282" s="50"/>
      <c r="AX282" s="50"/>
      <c r="AY282" s="50"/>
      <c r="AZ282" s="50"/>
      <c r="BA282" s="50"/>
      <c r="BB282" s="50"/>
      <c r="BC282" s="50"/>
      <c r="BD282" s="50"/>
      <c r="BE282" s="43">
        <v>385</v>
      </c>
      <c r="BF282" s="43">
        <v>324</v>
      </c>
      <c r="BG282" s="43">
        <v>474</v>
      </c>
      <c r="BH282" s="43">
        <v>249</v>
      </c>
      <c r="BI282" s="43">
        <v>490</v>
      </c>
      <c r="BJ282" s="43">
        <v>228</v>
      </c>
      <c r="BK282" s="43">
        <v>299</v>
      </c>
      <c r="BL282" s="43">
        <v>420</v>
      </c>
      <c r="BM282" s="43">
        <v>352</v>
      </c>
      <c r="BN282" s="43">
        <v>352</v>
      </c>
      <c r="BO282" s="43">
        <v>252</v>
      </c>
      <c r="BP282" s="43">
        <v>446</v>
      </c>
      <c r="BQ282" s="43">
        <v>491</v>
      </c>
      <c r="BR282" s="43">
        <v>218</v>
      </c>
      <c r="BS282" s="43">
        <v>531</v>
      </c>
      <c r="BT282" s="43">
        <v>341</v>
      </c>
      <c r="BU282" s="43">
        <v>354</v>
      </c>
      <c r="BV282" s="43">
        <v>517</v>
      </c>
      <c r="BW282" s="43">
        <v>340</v>
      </c>
      <c r="BX282" s="43">
        <v>246</v>
      </c>
      <c r="BY282" s="43">
        <v>455</v>
      </c>
      <c r="BZ282" s="43">
        <v>192</v>
      </c>
      <c r="CA282" s="43">
        <v>484</v>
      </c>
      <c r="CB282" s="43">
        <v>349</v>
      </c>
      <c r="CC282" s="43">
        <v>217</v>
      </c>
      <c r="CD282" s="43">
        <v>416</v>
      </c>
      <c r="CE282" s="43">
        <v>221</v>
      </c>
      <c r="CF282" s="43">
        <v>380</v>
      </c>
      <c r="CG282" s="43">
        <v>385</v>
      </c>
      <c r="CH282" s="43">
        <v>174</v>
      </c>
      <c r="CI282" s="43">
        <v>134</v>
      </c>
      <c r="CJ282" s="43">
        <v>448</v>
      </c>
      <c r="CK282" s="43">
        <v>367</v>
      </c>
      <c r="CL282" s="43">
        <v>207</v>
      </c>
      <c r="CM282" s="43">
        <v>469</v>
      </c>
      <c r="CN282" s="43">
        <v>481</v>
      </c>
      <c r="CO282" s="43">
        <v>207</v>
      </c>
      <c r="CP282" s="43">
        <v>385</v>
      </c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43"/>
      <c r="FZ282" s="43"/>
      <c r="GA282" s="53"/>
      <c r="GB282" s="53"/>
      <c r="GC282" s="53"/>
      <c r="GD282" s="53"/>
      <c r="GE282" s="53"/>
      <c r="GF282" s="53"/>
      <c r="GG282" s="53"/>
      <c r="GH282" s="53"/>
      <c r="GI282" s="43"/>
      <c r="GJ282" s="43"/>
      <c r="GK282" s="43"/>
      <c r="GL282" s="43"/>
      <c r="GM282" s="53"/>
      <c r="GN282" s="53"/>
      <c r="GO282" s="43">
        <v>504</v>
      </c>
      <c r="GP282" s="43">
        <v>224</v>
      </c>
      <c r="GQ282" s="43">
        <v>501</v>
      </c>
      <c r="GR282" s="43">
        <v>229</v>
      </c>
    </row>
    <row r="283" spans="1:200">
      <c r="A283" s="7">
        <v>4632</v>
      </c>
      <c r="B283" s="1" t="s">
        <v>411</v>
      </c>
      <c r="C283" s="33">
        <v>786</v>
      </c>
      <c r="D283" s="34">
        <v>572</v>
      </c>
      <c r="E283" s="19">
        <f t="shared" si="4"/>
        <v>0.72773536895674296</v>
      </c>
      <c r="F283" s="62">
        <v>180</v>
      </c>
      <c r="G283" s="43">
        <v>3</v>
      </c>
      <c r="H283" s="43">
        <v>13</v>
      </c>
      <c r="I283" s="43">
        <v>6</v>
      </c>
      <c r="J283" s="55">
        <v>358</v>
      </c>
      <c r="K283" s="6">
        <v>0</v>
      </c>
      <c r="L283" s="6">
        <v>0</v>
      </c>
      <c r="M283" s="43">
        <v>0</v>
      </c>
      <c r="N283" s="25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  <c r="V283" s="43">
        <v>0</v>
      </c>
      <c r="W283" s="43">
        <v>3</v>
      </c>
      <c r="X283" s="43">
        <v>0</v>
      </c>
      <c r="Y283" s="43">
        <v>0</v>
      </c>
      <c r="Z283" s="43">
        <v>0</v>
      </c>
      <c r="AA283" s="44">
        <v>0</v>
      </c>
      <c r="AB283" s="44">
        <v>0</v>
      </c>
      <c r="AC283" s="44">
        <v>11</v>
      </c>
      <c r="AD283" s="44">
        <v>5</v>
      </c>
      <c r="AE283" s="44">
        <v>396</v>
      </c>
      <c r="AF283" s="44">
        <v>6</v>
      </c>
      <c r="AG283" s="44">
        <v>0</v>
      </c>
      <c r="AH283" s="44">
        <v>135</v>
      </c>
      <c r="AI283" s="32"/>
      <c r="AJ283" s="32"/>
      <c r="AK283" s="32"/>
      <c r="AL283" s="32"/>
      <c r="AM283" s="44">
        <v>13</v>
      </c>
      <c r="AN283" s="44">
        <v>136</v>
      </c>
      <c r="AO283" s="44">
        <v>381</v>
      </c>
      <c r="AP283" s="44">
        <v>177</v>
      </c>
      <c r="AQ283" s="44">
        <v>337</v>
      </c>
      <c r="AR283" s="50"/>
      <c r="AS283" s="50"/>
      <c r="AT283" s="43">
        <v>389</v>
      </c>
      <c r="AU283" s="43">
        <v>146</v>
      </c>
      <c r="AV283" s="50"/>
      <c r="AW283" s="50"/>
      <c r="AX283" s="50"/>
      <c r="AY283" s="50"/>
      <c r="AZ283" s="50"/>
      <c r="BA283" s="50"/>
      <c r="BB283" s="50"/>
      <c r="BC283" s="50"/>
      <c r="BD283" s="50"/>
      <c r="BE283" s="43">
        <v>301</v>
      </c>
      <c r="BF283" s="43">
        <v>227</v>
      </c>
      <c r="BG283" s="43">
        <v>358</v>
      </c>
      <c r="BH283" s="43">
        <v>176</v>
      </c>
      <c r="BI283" s="43">
        <v>374</v>
      </c>
      <c r="BJ283" s="43">
        <v>150</v>
      </c>
      <c r="BK283" s="43">
        <v>175</v>
      </c>
      <c r="BL283" s="43">
        <v>360</v>
      </c>
      <c r="BM283" s="43">
        <v>269</v>
      </c>
      <c r="BN283" s="43">
        <v>264</v>
      </c>
      <c r="BO283" s="43">
        <v>164</v>
      </c>
      <c r="BP283" s="43">
        <v>349</v>
      </c>
      <c r="BQ283" s="43">
        <v>393</v>
      </c>
      <c r="BR283" s="43">
        <v>132</v>
      </c>
      <c r="BS283" s="43">
        <v>383</v>
      </c>
      <c r="BT283" s="43">
        <v>251</v>
      </c>
      <c r="BU283" s="43">
        <v>265</v>
      </c>
      <c r="BV283" s="43">
        <v>355</v>
      </c>
      <c r="BW283" s="43">
        <v>262</v>
      </c>
      <c r="BX283" s="43">
        <v>181</v>
      </c>
      <c r="BY283" s="43">
        <v>354</v>
      </c>
      <c r="BZ283" s="43">
        <v>136</v>
      </c>
      <c r="CA283" s="43">
        <v>326</v>
      </c>
      <c r="CB283" s="43">
        <v>261</v>
      </c>
      <c r="CC283" s="43">
        <v>174</v>
      </c>
      <c r="CD283" s="43">
        <v>295</v>
      </c>
      <c r="CE283" s="43">
        <v>135</v>
      </c>
      <c r="CF283" s="43">
        <v>311</v>
      </c>
      <c r="CG283" s="43">
        <v>277</v>
      </c>
      <c r="CH283" s="43">
        <v>141</v>
      </c>
      <c r="CI283" s="43">
        <v>94</v>
      </c>
      <c r="CJ283" s="43">
        <v>340</v>
      </c>
      <c r="CK283" s="43">
        <v>273</v>
      </c>
      <c r="CL283" s="43">
        <v>164</v>
      </c>
      <c r="CM283" s="43">
        <v>332</v>
      </c>
      <c r="CN283" s="43">
        <v>329</v>
      </c>
      <c r="CO283" s="43">
        <v>137</v>
      </c>
      <c r="CP283" s="43">
        <v>309</v>
      </c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43"/>
      <c r="FZ283" s="43"/>
      <c r="GA283" s="53"/>
      <c r="GB283" s="53"/>
      <c r="GC283" s="53"/>
      <c r="GD283" s="53"/>
      <c r="GE283" s="53"/>
      <c r="GF283" s="53"/>
      <c r="GG283" s="53"/>
      <c r="GH283" s="53"/>
      <c r="GI283" s="43"/>
      <c r="GJ283" s="43"/>
      <c r="GK283" s="43"/>
      <c r="GL283" s="43"/>
      <c r="GM283" s="53"/>
      <c r="GN283" s="53"/>
      <c r="GO283" s="43">
        <v>364</v>
      </c>
      <c r="GP283" s="43">
        <v>180</v>
      </c>
      <c r="GQ283" s="43">
        <v>374</v>
      </c>
      <c r="GR283" s="43">
        <v>162</v>
      </c>
    </row>
    <row r="284" spans="1:200">
      <c r="A284" s="7">
        <v>4641</v>
      </c>
      <c r="B284" s="1" t="s">
        <v>412</v>
      </c>
      <c r="C284" s="33">
        <v>803</v>
      </c>
      <c r="D284" s="34">
        <v>630</v>
      </c>
      <c r="E284" s="19">
        <f t="shared" si="4"/>
        <v>0.78455790784557911</v>
      </c>
      <c r="F284" s="62">
        <v>165</v>
      </c>
      <c r="G284" s="43">
        <v>5</v>
      </c>
      <c r="H284" s="43">
        <v>25</v>
      </c>
      <c r="I284" s="43">
        <v>3</v>
      </c>
      <c r="J284" s="55">
        <v>418</v>
      </c>
      <c r="K284" s="6">
        <v>0</v>
      </c>
      <c r="L284" s="6">
        <v>0</v>
      </c>
      <c r="M284" s="43">
        <v>2</v>
      </c>
      <c r="N284" s="25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  <c r="V284" s="43">
        <v>0</v>
      </c>
      <c r="W284" s="43">
        <v>1</v>
      </c>
      <c r="X284" s="43">
        <v>0</v>
      </c>
      <c r="Y284" s="43">
        <v>0</v>
      </c>
      <c r="Z284" s="43">
        <v>0</v>
      </c>
      <c r="AA284" s="44">
        <v>0</v>
      </c>
      <c r="AB284" s="44">
        <v>0</v>
      </c>
      <c r="AC284" s="44">
        <v>7</v>
      </c>
      <c r="AD284" s="44">
        <v>3</v>
      </c>
      <c r="AE284" s="44">
        <v>473</v>
      </c>
      <c r="AF284" s="44">
        <v>5</v>
      </c>
      <c r="AG284" s="44">
        <v>0</v>
      </c>
      <c r="AH284" s="44">
        <v>119</v>
      </c>
      <c r="AI284" s="32"/>
      <c r="AJ284" s="32"/>
      <c r="AK284" s="32"/>
      <c r="AL284" s="32"/>
      <c r="AM284" s="44">
        <v>3</v>
      </c>
      <c r="AN284" s="44">
        <v>129</v>
      </c>
      <c r="AO284" s="44">
        <v>452</v>
      </c>
      <c r="AP284" s="44">
        <v>169</v>
      </c>
      <c r="AQ284" s="44">
        <v>398</v>
      </c>
      <c r="AR284" s="50"/>
      <c r="AS284" s="50"/>
      <c r="AT284" s="43">
        <v>463</v>
      </c>
      <c r="AU284" s="43">
        <v>125</v>
      </c>
      <c r="AV284" s="50"/>
      <c r="AW284" s="50"/>
      <c r="AX284" s="50"/>
      <c r="AY284" s="50"/>
      <c r="AZ284" s="50"/>
      <c r="BA284" s="50"/>
      <c r="BB284" s="50"/>
      <c r="BC284" s="50"/>
      <c r="BD284" s="50"/>
      <c r="BE284" s="43">
        <v>344</v>
      </c>
      <c r="BF284" s="43">
        <v>234</v>
      </c>
      <c r="BG284" s="43">
        <v>435</v>
      </c>
      <c r="BH284" s="43">
        <v>146</v>
      </c>
      <c r="BI284" s="43">
        <v>455</v>
      </c>
      <c r="BJ284" s="43">
        <v>119</v>
      </c>
      <c r="BK284" s="43">
        <v>199</v>
      </c>
      <c r="BL284" s="43">
        <v>377</v>
      </c>
      <c r="BM284" s="43">
        <v>329</v>
      </c>
      <c r="BN284" s="43">
        <v>238</v>
      </c>
      <c r="BO284" s="43">
        <v>149</v>
      </c>
      <c r="BP284" s="43">
        <v>417</v>
      </c>
      <c r="BQ284" s="43">
        <v>447</v>
      </c>
      <c r="BR284" s="43">
        <v>118</v>
      </c>
      <c r="BS284" s="43">
        <v>454</v>
      </c>
      <c r="BT284" s="43">
        <v>300</v>
      </c>
      <c r="BU284" s="43">
        <v>254</v>
      </c>
      <c r="BV284" s="43">
        <v>424</v>
      </c>
      <c r="BW284" s="43">
        <v>304</v>
      </c>
      <c r="BX284" s="43">
        <v>178</v>
      </c>
      <c r="BY284" s="43">
        <v>411</v>
      </c>
      <c r="BZ284" s="43">
        <v>125</v>
      </c>
      <c r="CA284" s="43">
        <v>397</v>
      </c>
      <c r="CB284" s="43">
        <v>300</v>
      </c>
      <c r="CC284" s="43">
        <v>166</v>
      </c>
      <c r="CD284" s="43">
        <v>359</v>
      </c>
      <c r="CE284" s="43">
        <v>161</v>
      </c>
      <c r="CF284" s="43">
        <v>329</v>
      </c>
      <c r="CG284" s="43">
        <v>340</v>
      </c>
      <c r="CH284" s="43">
        <v>112</v>
      </c>
      <c r="CI284" s="43">
        <v>100</v>
      </c>
      <c r="CJ284" s="43">
        <v>378</v>
      </c>
      <c r="CK284" s="43">
        <v>289</v>
      </c>
      <c r="CL284" s="43">
        <v>177</v>
      </c>
      <c r="CM284" s="43">
        <v>382</v>
      </c>
      <c r="CN284" s="43">
        <v>387</v>
      </c>
      <c r="CO284" s="43">
        <v>166</v>
      </c>
      <c r="CP284" s="43">
        <v>286</v>
      </c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43"/>
      <c r="FZ284" s="43"/>
      <c r="GA284" s="53"/>
      <c r="GB284" s="53"/>
      <c r="GC284" s="53"/>
      <c r="GD284" s="53"/>
      <c r="GE284" s="53"/>
      <c r="GF284" s="53"/>
      <c r="GG284" s="53"/>
      <c r="GH284" s="53"/>
      <c r="GI284" s="43"/>
      <c r="GJ284" s="43"/>
      <c r="GK284" s="43"/>
      <c r="GL284" s="43"/>
      <c r="GM284" s="53"/>
      <c r="GN284" s="53"/>
      <c r="GO284" s="43">
        <v>410</v>
      </c>
      <c r="GP284" s="43">
        <v>196</v>
      </c>
      <c r="GQ284" s="43">
        <v>398</v>
      </c>
      <c r="GR284" s="43">
        <v>203</v>
      </c>
    </row>
    <row r="285" spans="1:200">
      <c r="A285" s="7">
        <v>4642</v>
      </c>
      <c r="B285" s="1" t="s">
        <v>413</v>
      </c>
      <c r="C285" s="33">
        <v>1085</v>
      </c>
      <c r="D285" s="34">
        <v>876</v>
      </c>
      <c r="E285" s="19">
        <f t="shared" si="4"/>
        <v>0.80737327188940089</v>
      </c>
      <c r="F285" s="62">
        <v>235</v>
      </c>
      <c r="G285" s="43">
        <v>1</v>
      </c>
      <c r="H285" s="43">
        <v>30</v>
      </c>
      <c r="I285" s="43">
        <v>7</v>
      </c>
      <c r="J285" s="55">
        <v>584</v>
      </c>
      <c r="K285" s="6">
        <v>0</v>
      </c>
      <c r="L285" s="6">
        <v>0</v>
      </c>
      <c r="M285" s="43">
        <v>0</v>
      </c>
      <c r="N285" s="25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  <c r="V285" s="43">
        <v>0</v>
      </c>
      <c r="W285" s="43">
        <v>1</v>
      </c>
      <c r="X285" s="43">
        <v>0</v>
      </c>
      <c r="Y285" s="43">
        <v>0</v>
      </c>
      <c r="Z285" s="43">
        <v>0</v>
      </c>
      <c r="AA285" s="44">
        <v>0</v>
      </c>
      <c r="AB285" s="44">
        <v>0</v>
      </c>
      <c r="AC285" s="44">
        <v>8</v>
      </c>
      <c r="AD285" s="44">
        <v>13</v>
      </c>
      <c r="AE285" s="44">
        <v>662</v>
      </c>
      <c r="AF285" s="44">
        <v>4</v>
      </c>
      <c r="AG285" s="44">
        <v>0</v>
      </c>
      <c r="AH285" s="44">
        <v>158</v>
      </c>
      <c r="AI285" s="32"/>
      <c r="AJ285" s="32"/>
      <c r="AK285" s="32"/>
      <c r="AL285" s="32"/>
      <c r="AM285" s="44">
        <v>6</v>
      </c>
      <c r="AN285" s="44">
        <v>180</v>
      </c>
      <c r="AO285" s="44">
        <v>637</v>
      </c>
      <c r="AP285" s="44">
        <v>236</v>
      </c>
      <c r="AQ285" s="44">
        <v>553</v>
      </c>
      <c r="AR285" s="50"/>
      <c r="AS285" s="50"/>
      <c r="AT285" s="43">
        <v>640</v>
      </c>
      <c r="AU285" s="43">
        <v>179</v>
      </c>
      <c r="AV285" s="50"/>
      <c r="AW285" s="50"/>
      <c r="AX285" s="50"/>
      <c r="AY285" s="50"/>
      <c r="AZ285" s="50"/>
      <c r="BA285" s="50"/>
      <c r="BB285" s="50"/>
      <c r="BC285" s="50"/>
      <c r="BD285" s="50"/>
      <c r="BE285" s="43">
        <v>486</v>
      </c>
      <c r="BF285" s="43">
        <v>316</v>
      </c>
      <c r="BG285" s="43">
        <v>606</v>
      </c>
      <c r="BH285" s="43">
        <v>212</v>
      </c>
      <c r="BI285" s="43">
        <v>617</v>
      </c>
      <c r="BJ285" s="43">
        <v>191</v>
      </c>
      <c r="BK285" s="43">
        <v>253</v>
      </c>
      <c r="BL285" s="43">
        <v>551</v>
      </c>
      <c r="BM285" s="43">
        <v>435</v>
      </c>
      <c r="BN285" s="43">
        <v>353</v>
      </c>
      <c r="BO285" s="43">
        <v>195</v>
      </c>
      <c r="BP285" s="43">
        <v>592</v>
      </c>
      <c r="BQ285" s="43">
        <v>642</v>
      </c>
      <c r="BR285" s="43">
        <v>164</v>
      </c>
      <c r="BS285" s="43">
        <v>635</v>
      </c>
      <c r="BT285" s="43">
        <v>442</v>
      </c>
      <c r="BU285" s="43">
        <v>336</v>
      </c>
      <c r="BV285" s="43">
        <v>606</v>
      </c>
      <c r="BW285" s="43">
        <v>419</v>
      </c>
      <c r="BX285" s="43">
        <v>252</v>
      </c>
      <c r="BY285" s="43">
        <v>566</v>
      </c>
      <c r="BZ285" s="43">
        <v>171</v>
      </c>
      <c r="CA285" s="43">
        <v>557</v>
      </c>
      <c r="CB285" s="43">
        <v>444</v>
      </c>
      <c r="CC285" s="43">
        <v>211</v>
      </c>
      <c r="CD285" s="43">
        <v>512</v>
      </c>
      <c r="CE285" s="43">
        <v>206</v>
      </c>
      <c r="CF285" s="43">
        <v>481</v>
      </c>
      <c r="CG285" s="43">
        <v>441</v>
      </c>
      <c r="CH285" s="43">
        <v>195</v>
      </c>
      <c r="CI285" s="43">
        <v>117</v>
      </c>
      <c r="CJ285" s="43">
        <v>544</v>
      </c>
      <c r="CK285" s="43">
        <v>420</v>
      </c>
      <c r="CL285" s="43">
        <v>238</v>
      </c>
      <c r="CM285" s="43">
        <v>534</v>
      </c>
      <c r="CN285" s="43">
        <v>537</v>
      </c>
      <c r="CO285" s="43">
        <v>220</v>
      </c>
      <c r="CP285" s="43">
        <v>441</v>
      </c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43"/>
      <c r="FZ285" s="43"/>
      <c r="GA285" s="53"/>
      <c r="GB285" s="53"/>
      <c r="GC285" s="53"/>
      <c r="GD285" s="53"/>
      <c r="GE285" s="53"/>
      <c r="GF285" s="53"/>
      <c r="GG285" s="53"/>
      <c r="GH285" s="53"/>
      <c r="GI285" s="43"/>
      <c r="GJ285" s="43"/>
      <c r="GK285" s="43"/>
      <c r="GL285" s="43"/>
      <c r="GM285" s="53"/>
      <c r="GN285" s="53"/>
      <c r="GO285" s="43">
        <v>580</v>
      </c>
      <c r="GP285" s="43">
        <v>258</v>
      </c>
      <c r="GQ285" s="43">
        <v>563</v>
      </c>
      <c r="GR285" s="43">
        <v>261</v>
      </c>
    </row>
    <row r="286" spans="1:200">
      <c r="A286" s="7">
        <v>4911</v>
      </c>
      <c r="B286" s="1" t="s">
        <v>414</v>
      </c>
      <c r="C286" s="33">
        <v>1062</v>
      </c>
      <c r="D286" s="34">
        <v>658</v>
      </c>
      <c r="E286" s="19">
        <f t="shared" si="4"/>
        <v>0.61958568738229758</v>
      </c>
      <c r="F286" s="62">
        <v>295</v>
      </c>
      <c r="G286" s="43">
        <v>2</v>
      </c>
      <c r="H286" s="43">
        <v>28</v>
      </c>
      <c r="I286" s="43">
        <v>9</v>
      </c>
      <c r="J286" s="55">
        <v>317</v>
      </c>
      <c r="K286" s="6">
        <v>0</v>
      </c>
      <c r="L286" s="6">
        <v>0</v>
      </c>
      <c r="M286" s="43">
        <v>1</v>
      </c>
      <c r="N286" s="25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  <c r="V286" s="43">
        <v>0</v>
      </c>
      <c r="W286" s="43">
        <v>0</v>
      </c>
      <c r="X286" s="43">
        <v>0</v>
      </c>
      <c r="Y286" s="43">
        <v>0</v>
      </c>
      <c r="Z286" s="43">
        <v>0</v>
      </c>
      <c r="AA286" s="44">
        <v>0</v>
      </c>
      <c r="AB286" s="44">
        <v>0</v>
      </c>
      <c r="AC286" s="44">
        <v>13</v>
      </c>
      <c r="AD286" s="44">
        <v>8</v>
      </c>
      <c r="AE286" s="44">
        <v>359</v>
      </c>
      <c r="AF286" s="44">
        <v>15</v>
      </c>
      <c r="AG286" s="44">
        <v>0</v>
      </c>
      <c r="AH286" s="44">
        <v>242</v>
      </c>
      <c r="AI286" s="44">
        <v>355</v>
      </c>
      <c r="AJ286" s="44">
        <v>0</v>
      </c>
      <c r="AK286" s="44">
        <v>0</v>
      </c>
      <c r="AL286" s="44">
        <v>270</v>
      </c>
      <c r="AM286" s="48"/>
      <c r="AN286" s="48"/>
      <c r="AO286" s="48"/>
      <c r="AP286" s="44">
        <v>277</v>
      </c>
      <c r="AQ286" s="44">
        <v>319</v>
      </c>
      <c r="AR286" s="50"/>
      <c r="AS286" s="50"/>
      <c r="AT286" s="43">
        <v>342</v>
      </c>
      <c r="AU286" s="43">
        <v>267</v>
      </c>
      <c r="AV286" s="50"/>
      <c r="AW286" s="50"/>
      <c r="AX286" s="50"/>
      <c r="AY286" s="50"/>
      <c r="AZ286" s="50"/>
      <c r="BA286" s="50"/>
      <c r="BB286" s="50"/>
      <c r="BC286" s="50"/>
      <c r="BD286" s="50"/>
      <c r="BE286" s="43">
        <v>278</v>
      </c>
      <c r="BF286" s="43">
        <v>331</v>
      </c>
      <c r="BG286" s="43">
        <v>335</v>
      </c>
      <c r="BH286" s="43">
        <v>274</v>
      </c>
      <c r="BI286" s="43">
        <v>360</v>
      </c>
      <c r="BJ286" s="43">
        <v>243</v>
      </c>
      <c r="BK286" s="43">
        <v>286</v>
      </c>
      <c r="BL286" s="43">
        <v>323</v>
      </c>
      <c r="BM286" s="43">
        <v>291</v>
      </c>
      <c r="BN286" s="43">
        <v>312</v>
      </c>
      <c r="BO286" s="43">
        <v>279</v>
      </c>
      <c r="BP286" s="43">
        <v>316</v>
      </c>
      <c r="BQ286" s="43">
        <v>356</v>
      </c>
      <c r="BR286" s="43">
        <v>245</v>
      </c>
      <c r="BS286" s="43">
        <v>429</v>
      </c>
      <c r="BT286" s="43">
        <v>266</v>
      </c>
      <c r="BU286" s="43">
        <v>329</v>
      </c>
      <c r="BV286" s="43">
        <v>404</v>
      </c>
      <c r="BW286" s="43">
        <v>280</v>
      </c>
      <c r="BX286" s="43">
        <v>206</v>
      </c>
      <c r="BY286" s="43">
        <v>300</v>
      </c>
      <c r="BZ286" s="43">
        <v>222</v>
      </c>
      <c r="CA286" s="43">
        <v>374</v>
      </c>
      <c r="CB286" s="43">
        <v>230</v>
      </c>
      <c r="CC286" s="43">
        <v>231</v>
      </c>
      <c r="CD286" s="43">
        <v>379</v>
      </c>
      <c r="CE286" s="43">
        <v>236</v>
      </c>
      <c r="CF286" s="43">
        <v>245</v>
      </c>
      <c r="CG286" s="43">
        <v>265</v>
      </c>
      <c r="CH286" s="43">
        <v>174</v>
      </c>
      <c r="CI286" s="43">
        <v>149</v>
      </c>
      <c r="CJ286" s="43">
        <v>312</v>
      </c>
      <c r="CK286" s="43">
        <v>271</v>
      </c>
      <c r="CL286" s="43">
        <v>193</v>
      </c>
      <c r="CM286" s="43">
        <v>351</v>
      </c>
      <c r="CN286" s="43">
        <v>354</v>
      </c>
      <c r="CO286" s="43">
        <v>206</v>
      </c>
      <c r="CP286" s="43">
        <v>259</v>
      </c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43"/>
      <c r="FZ286" s="43"/>
      <c r="GA286" s="53"/>
      <c r="GB286" s="53"/>
      <c r="GC286" s="53"/>
      <c r="GD286" s="53"/>
      <c r="GE286" s="53"/>
      <c r="GF286" s="53"/>
      <c r="GG286" s="53"/>
      <c r="GH286" s="53"/>
      <c r="GI286" s="43"/>
      <c r="GJ286" s="43"/>
      <c r="GK286" s="43"/>
      <c r="GL286" s="43"/>
      <c r="GM286" s="53"/>
      <c r="GN286" s="53"/>
      <c r="GO286" s="43">
        <v>422</v>
      </c>
      <c r="GP286" s="43">
        <v>192</v>
      </c>
      <c r="GQ286" s="43">
        <v>422</v>
      </c>
      <c r="GR286" s="43">
        <v>188</v>
      </c>
    </row>
    <row r="287" spans="1:200">
      <c r="A287" s="7">
        <v>4912</v>
      </c>
      <c r="B287" s="1" t="s">
        <v>415</v>
      </c>
      <c r="C287" s="33">
        <v>931</v>
      </c>
      <c r="D287" s="34">
        <v>654</v>
      </c>
      <c r="E287" s="19">
        <f t="shared" si="4"/>
        <v>0.70247046186895812</v>
      </c>
      <c r="F287" s="62">
        <v>303</v>
      </c>
      <c r="G287" s="43">
        <v>2</v>
      </c>
      <c r="H287" s="43">
        <v>29</v>
      </c>
      <c r="I287" s="43">
        <v>9</v>
      </c>
      <c r="J287" s="55">
        <v>300</v>
      </c>
      <c r="K287" s="6">
        <v>0</v>
      </c>
      <c r="L287" s="6">
        <v>0</v>
      </c>
      <c r="M287" s="43">
        <v>2</v>
      </c>
      <c r="N287" s="25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  <c r="V287" s="43">
        <v>0</v>
      </c>
      <c r="W287" s="43">
        <v>0</v>
      </c>
      <c r="X287" s="43">
        <v>0</v>
      </c>
      <c r="Y287" s="43">
        <v>0</v>
      </c>
      <c r="Z287" s="43">
        <v>0</v>
      </c>
      <c r="AA287" s="44">
        <v>0</v>
      </c>
      <c r="AB287" s="44">
        <v>0</v>
      </c>
      <c r="AC287" s="44">
        <v>10</v>
      </c>
      <c r="AD287" s="44">
        <v>13</v>
      </c>
      <c r="AE287" s="44">
        <v>344</v>
      </c>
      <c r="AF287" s="44">
        <v>6</v>
      </c>
      <c r="AG287" s="44">
        <v>0</v>
      </c>
      <c r="AH287" s="44">
        <v>255</v>
      </c>
      <c r="AI287" s="44">
        <v>338</v>
      </c>
      <c r="AJ287" s="44">
        <v>0</v>
      </c>
      <c r="AK287" s="44">
        <v>0</v>
      </c>
      <c r="AL287" s="44">
        <v>285</v>
      </c>
      <c r="AM287" s="48"/>
      <c r="AN287" s="48"/>
      <c r="AO287" s="48"/>
      <c r="AP287" s="44">
        <v>287</v>
      </c>
      <c r="AQ287" s="44">
        <v>316</v>
      </c>
      <c r="AR287" s="50"/>
      <c r="AS287" s="50"/>
      <c r="AT287" s="43">
        <v>345</v>
      </c>
      <c r="AU287" s="43">
        <v>268</v>
      </c>
      <c r="AV287" s="50"/>
      <c r="AW287" s="50"/>
      <c r="AX287" s="50"/>
      <c r="AY287" s="50"/>
      <c r="AZ287" s="50"/>
      <c r="BA287" s="50"/>
      <c r="BB287" s="50"/>
      <c r="BC287" s="50"/>
      <c r="BD287" s="50"/>
      <c r="BE287" s="43">
        <v>275</v>
      </c>
      <c r="BF287" s="43">
        <v>328</v>
      </c>
      <c r="BG287" s="43">
        <v>338</v>
      </c>
      <c r="BH287" s="43">
        <v>273</v>
      </c>
      <c r="BI287" s="43">
        <v>359</v>
      </c>
      <c r="BJ287" s="43">
        <v>249</v>
      </c>
      <c r="BK287" s="43">
        <v>292</v>
      </c>
      <c r="BL287" s="43">
        <v>318</v>
      </c>
      <c r="BM287" s="43">
        <v>270</v>
      </c>
      <c r="BN287" s="43">
        <v>331</v>
      </c>
      <c r="BO287" s="43">
        <v>276</v>
      </c>
      <c r="BP287" s="43">
        <v>319</v>
      </c>
      <c r="BQ287" s="43">
        <v>330</v>
      </c>
      <c r="BR287" s="43">
        <v>266</v>
      </c>
      <c r="BS287" s="43">
        <v>436</v>
      </c>
      <c r="BT287" s="43">
        <v>256</v>
      </c>
      <c r="BU287" s="43">
        <v>345</v>
      </c>
      <c r="BV287" s="43">
        <v>431</v>
      </c>
      <c r="BW287" s="43">
        <v>263</v>
      </c>
      <c r="BX287" s="43">
        <v>238</v>
      </c>
      <c r="BY287" s="43">
        <v>321</v>
      </c>
      <c r="BZ287" s="43">
        <v>217</v>
      </c>
      <c r="CA287" s="43">
        <v>382</v>
      </c>
      <c r="CB287" s="43">
        <v>235</v>
      </c>
      <c r="CC287" s="43">
        <v>243</v>
      </c>
      <c r="CD287" s="43">
        <v>380</v>
      </c>
      <c r="CE287" s="43">
        <v>233</v>
      </c>
      <c r="CF287" s="43">
        <v>255</v>
      </c>
      <c r="CG287" s="43">
        <v>259</v>
      </c>
      <c r="CH287" s="43">
        <v>202</v>
      </c>
      <c r="CI287" s="43">
        <v>153</v>
      </c>
      <c r="CJ287" s="43">
        <v>329</v>
      </c>
      <c r="CK287" s="43">
        <v>253</v>
      </c>
      <c r="CL287" s="43">
        <v>215</v>
      </c>
      <c r="CM287" s="43">
        <v>375</v>
      </c>
      <c r="CN287" s="43">
        <v>386</v>
      </c>
      <c r="CO287" s="43">
        <v>189</v>
      </c>
      <c r="CP287" s="43">
        <v>294</v>
      </c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43"/>
      <c r="FZ287" s="43"/>
      <c r="GA287" s="53"/>
      <c r="GB287" s="53"/>
      <c r="GC287" s="53"/>
      <c r="GD287" s="53"/>
      <c r="GE287" s="53"/>
      <c r="GF287" s="53"/>
      <c r="GG287" s="53"/>
      <c r="GH287" s="53"/>
      <c r="GI287" s="43"/>
      <c r="GJ287" s="43"/>
      <c r="GK287" s="43"/>
      <c r="GL287" s="43"/>
      <c r="GM287" s="53"/>
      <c r="GN287" s="53"/>
      <c r="GO287" s="43">
        <v>472</v>
      </c>
      <c r="GP287" s="43">
        <v>146</v>
      </c>
      <c r="GQ287" s="43">
        <v>456</v>
      </c>
      <c r="GR287" s="43">
        <v>157</v>
      </c>
    </row>
    <row r="288" spans="1:200">
      <c r="A288" s="7">
        <v>4921</v>
      </c>
      <c r="B288" s="1" t="s">
        <v>416</v>
      </c>
      <c r="C288" s="33">
        <v>1082</v>
      </c>
      <c r="D288" s="34">
        <v>852</v>
      </c>
      <c r="E288" s="19">
        <f t="shared" si="4"/>
        <v>0.78743068391866911</v>
      </c>
      <c r="F288" s="62">
        <v>348</v>
      </c>
      <c r="G288" s="43">
        <v>3</v>
      </c>
      <c r="H288" s="43">
        <v>34</v>
      </c>
      <c r="I288" s="43">
        <v>4</v>
      </c>
      <c r="J288" s="55">
        <v>439</v>
      </c>
      <c r="K288" s="6">
        <v>0</v>
      </c>
      <c r="L288" s="6">
        <v>0</v>
      </c>
      <c r="M288" s="43">
        <v>0</v>
      </c>
      <c r="N288" s="25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  <c r="V288" s="43">
        <v>0</v>
      </c>
      <c r="W288" s="43">
        <v>3</v>
      </c>
      <c r="X288" s="43">
        <v>0</v>
      </c>
      <c r="Y288" s="43">
        <v>0</v>
      </c>
      <c r="Z288" s="43">
        <v>0</v>
      </c>
      <c r="AA288" s="44">
        <v>0</v>
      </c>
      <c r="AB288" s="44">
        <v>0</v>
      </c>
      <c r="AC288" s="44">
        <v>9</v>
      </c>
      <c r="AD288" s="44">
        <v>5</v>
      </c>
      <c r="AE288" s="44">
        <v>543</v>
      </c>
      <c r="AF288" s="44">
        <v>8</v>
      </c>
      <c r="AG288" s="44">
        <v>0</v>
      </c>
      <c r="AH288" s="44">
        <v>273</v>
      </c>
      <c r="AI288" s="44">
        <v>508</v>
      </c>
      <c r="AJ288" s="44">
        <v>2</v>
      </c>
      <c r="AK288" s="44">
        <v>0</v>
      </c>
      <c r="AL288" s="44">
        <v>312</v>
      </c>
      <c r="AM288" s="48"/>
      <c r="AN288" s="48"/>
      <c r="AO288" s="48"/>
      <c r="AP288" s="44">
        <v>301</v>
      </c>
      <c r="AQ288" s="44">
        <v>480</v>
      </c>
      <c r="AR288" s="50"/>
      <c r="AS288" s="50"/>
      <c r="AT288" s="43">
        <v>526</v>
      </c>
      <c r="AU288" s="43">
        <v>278</v>
      </c>
      <c r="AV288" s="50"/>
      <c r="AW288" s="50"/>
      <c r="AX288" s="50"/>
      <c r="AY288" s="50"/>
      <c r="AZ288" s="50"/>
      <c r="BA288" s="50"/>
      <c r="BB288" s="50"/>
      <c r="BC288" s="50"/>
      <c r="BD288" s="50"/>
      <c r="BE288" s="43">
        <v>426</v>
      </c>
      <c r="BF288" s="43">
        <v>378</v>
      </c>
      <c r="BG288" s="43">
        <v>504</v>
      </c>
      <c r="BH288" s="43">
        <v>314</v>
      </c>
      <c r="BI288" s="43">
        <v>529</v>
      </c>
      <c r="BJ288" s="43">
        <v>261</v>
      </c>
      <c r="BK288" s="43">
        <v>342</v>
      </c>
      <c r="BL288" s="43">
        <v>454</v>
      </c>
      <c r="BM288" s="43">
        <v>403</v>
      </c>
      <c r="BN288" s="43">
        <v>382</v>
      </c>
      <c r="BO288" s="43">
        <v>325</v>
      </c>
      <c r="BP288" s="43">
        <v>458</v>
      </c>
      <c r="BQ288" s="43">
        <v>531</v>
      </c>
      <c r="BR288" s="43">
        <v>258</v>
      </c>
      <c r="BS288" s="43">
        <v>546</v>
      </c>
      <c r="BT288" s="43">
        <v>374</v>
      </c>
      <c r="BU288" s="43">
        <v>400</v>
      </c>
      <c r="BV288" s="43">
        <v>552</v>
      </c>
      <c r="BW288" s="43">
        <v>422</v>
      </c>
      <c r="BX288" s="43">
        <v>238</v>
      </c>
      <c r="BY288" s="43">
        <v>446</v>
      </c>
      <c r="BZ288" s="43">
        <v>270</v>
      </c>
      <c r="CA288" s="43">
        <v>505</v>
      </c>
      <c r="CB288" s="43">
        <v>362</v>
      </c>
      <c r="CC288" s="43">
        <v>275</v>
      </c>
      <c r="CD288" s="43">
        <v>454</v>
      </c>
      <c r="CE288" s="43">
        <v>302</v>
      </c>
      <c r="CF288" s="43">
        <v>379</v>
      </c>
      <c r="CG288" s="43">
        <v>396</v>
      </c>
      <c r="CH288" s="43">
        <v>218</v>
      </c>
      <c r="CI288" s="43">
        <v>166</v>
      </c>
      <c r="CJ288" s="43">
        <v>466</v>
      </c>
      <c r="CK288" s="43">
        <v>403</v>
      </c>
      <c r="CL288" s="43">
        <v>239</v>
      </c>
      <c r="CM288" s="43">
        <v>473</v>
      </c>
      <c r="CN288" s="43">
        <v>478</v>
      </c>
      <c r="CO288" s="43">
        <v>231</v>
      </c>
      <c r="CP288" s="43">
        <v>411</v>
      </c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43"/>
      <c r="FZ288" s="43"/>
      <c r="GA288" s="53"/>
      <c r="GB288" s="53"/>
      <c r="GC288" s="53"/>
      <c r="GD288" s="53"/>
      <c r="GE288" s="53"/>
      <c r="GF288" s="53"/>
      <c r="GG288" s="53"/>
      <c r="GH288" s="53"/>
      <c r="GI288" s="43"/>
      <c r="GJ288" s="43"/>
      <c r="GK288" s="43"/>
      <c r="GL288" s="43"/>
      <c r="GM288" s="53"/>
      <c r="GN288" s="53"/>
      <c r="GO288" s="43">
        <v>619</v>
      </c>
      <c r="GP288" s="43">
        <v>208</v>
      </c>
      <c r="GQ288" s="43">
        <v>583</v>
      </c>
      <c r="GR288" s="43">
        <v>231</v>
      </c>
    </row>
    <row r="289" spans="1:200">
      <c r="A289" s="7">
        <v>4931</v>
      </c>
      <c r="B289" s="1" t="s">
        <v>417</v>
      </c>
      <c r="C289" s="33">
        <v>1425</v>
      </c>
      <c r="D289" s="34">
        <v>1071</v>
      </c>
      <c r="E289" s="19">
        <f t="shared" si="4"/>
        <v>0.75157894736842101</v>
      </c>
      <c r="F289" s="62">
        <v>429</v>
      </c>
      <c r="G289" s="43">
        <v>4</v>
      </c>
      <c r="H289" s="43">
        <v>45</v>
      </c>
      <c r="I289" s="43">
        <v>12</v>
      </c>
      <c r="J289" s="55">
        <v>556</v>
      </c>
      <c r="K289" s="6">
        <v>0</v>
      </c>
      <c r="L289" s="6">
        <v>0</v>
      </c>
      <c r="M289" s="43">
        <v>0</v>
      </c>
      <c r="N289" s="25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  <c r="V289" s="43">
        <v>0</v>
      </c>
      <c r="W289" s="43">
        <v>2</v>
      </c>
      <c r="X289" s="43">
        <v>0</v>
      </c>
      <c r="Y289" s="43">
        <v>0</v>
      </c>
      <c r="Z289" s="43">
        <v>0</v>
      </c>
      <c r="AA289" s="44">
        <v>0</v>
      </c>
      <c r="AB289" s="44">
        <v>0</v>
      </c>
      <c r="AC289" s="44">
        <v>24</v>
      </c>
      <c r="AD289" s="44">
        <v>21</v>
      </c>
      <c r="AE289" s="44">
        <v>661</v>
      </c>
      <c r="AF289" s="44">
        <v>11</v>
      </c>
      <c r="AG289" s="44">
        <v>0</v>
      </c>
      <c r="AH289" s="44">
        <v>319</v>
      </c>
      <c r="AI289" s="44">
        <v>642</v>
      </c>
      <c r="AJ289" s="44">
        <v>0</v>
      </c>
      <c r="AK289" s="44">
        <v>0</v>
      </c>
      <c r="AL289" s="44">
        <v>385</v>
      </c>
      <c r="AM289" s="48"/>
      <c r="AN289" s="48"/>
      <c r="AO289" s="48"/>
      <c r="AP289" s="44">
        <v>389</v>
      </c>
      <c r="AQ289" s="44">
        <v>603</v>
      </c>
      <c r="AR289" s="50"/>
      <c r="AS289" s="50"/>
      <c r="AT289" s="43">
        <v>655</v>
      </c>
      <c r="AU289" s="43">
        <v>350</v>
      </c>
      <c r="AV289" s="50"/>
      <c r="AW289" s="50"/>
      <c r="AX289" s="50"/>
      <c r="AY289" s="50"/>
      <c r="AZ289" s="50"/>
      <c r="BA289" s="50"/>
      <c r="BB289" s="50"/>
      <c r="BC289" s="50"/>
      <c r="BD289" s="50"/>
      <c r="BE289" s="43">
        <v>532</v>
      </c>
      <c r="BF289" s="43">
        <v>468</v>
      </c>
      <c r="BG289" s="43">
        <v>630</v>
      </c>
      <c r="BH289" s="43">
        <v>382</v>
      </c>
      <c r="BI289" s="43">
        <v>676</v>
      </c>
      <c r="BJ289" s="43">
        <v>322</v>
      </c>
      <c r="BK289" s="43">
        <v>422</v>
      </c>
      <c r="BL289" s="43">
        <v>581</v>
      </c>
      <c r="BM289" s="43">
        <v>511</v>
      </c>
      <c r="BN289" s="43">
        <v>485</v>
      </c>
      <c r="BO289" s="43">
        <v>377</v>
      </c>
      <c r="BP289" s="43">
        <v>600</v>
      </c>
      <c r="BQ289" s="43">
        <v>662</v>
      </c>
      <c r="BR289" s="43">
        <v>321</v>
      </c>
      <c r="BS289" s="43">
        <v>706</v>
      </c>
      <c r="BT289" s="43">
        <v>467</v>
      </c>
      <c r="BU289" s="43">
        <v>521</v>
      </c>
      <c r="BV289" s="43">
        <v>698</v>
      </c>
      <c r="BW289" s="43">
        <v>503</v>
      </c>
      <c r="BX289" s="43">
        <v>327</v>
      </c>
      <c r="BY289" s="43">
        <v>582</v>
      </c>
      <c r="BZ289" s="43">
        <v>330</v>
      </c>
      <c r="CA289" s="43">
        <v>651</v>
      </c>
      <c r="CB289" s="43">
        <v>443</v>
      </c>
      <c r="CC289" s="43">
        <v>377</v>
      </c>
      <c r="CD289" s="43">
        <v>618</v>
      </c>
      <c r="CE289" s="43">
        <v>337</v>
      </c>
      <c r="CF289" s="43">
        <v>512</v>
      </c>
      <c r="CG289" s="43">
        <v>489</v>
      </c>
      <c r="CH289" s="43">
        <v>306</v>
      </c>
      <c r="CI289" s="43">
        <v>188</v>
      </c>
      <c r="CJ289" s="43">
        <v>629</v>
      </c>
      <c r="CK289" s="43">
        <v>507</v>
      </c>
      <c r="CL289" s="43">
        <v>306</v>
      </c>
      <c r="CM289" s="43">
        <v>616</v>
      </c>
      <c r="CN289" s="43">
        <v>629</v>
      </c>
      <c r="CO289" s="43">
        <v>292</v>
      </c>
      <c r="CP289" s="43">
        <v>517</v>
      </c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43"/>
      <c r="FZ289" s="43"/>
      <c r="GA289" s="53"/>
      <c r="GB289" s="53"/>
      <c r="GC289" s="53"/>
      <c r="GD289" s="53"/>
      <c r="GE289" s="53"/>
      <c r="GF289" s="53"/>
      <c r="GG289" s="53"/>
      <c r="GH289" s="53"/>
      <c r="GI289" s="43"/>
      <c r="GJ289" s="43"/>
      <c r="GK289" s="43"/>
      <c r="GL289" s="43"/>
      <c r="GM289" s="53"/>
      <c r="GN289" s="53"/>
      <c r="GO289" s="43">
        <v>814</v>
      </c>
      <c r="GP289" s="43">
        <v>210</v>
      </c>
      <c r="GQ289" s="43">
        <v>740</v>
      </c>
      <c r="GR289" s="43">
        <v>278</v>
      </c>
    </row>
    <row r="290" spans="1:200">
      <c r="A290" s="7">
        <v>4932</v>
      </c>
      <c r="B290" s="1" t="s">
        <v>418</v>
      </c>
      <c r="C290" s="33">
        <v>1195</v>
      </c>
      <c r="D290" s="34">
        <v>904</v>
      </c>
      <c r="E290" s="19">
        <f t="shared" si="4"/>
        <v>0.75648535564853558</v>
      </c>
      <c r="F290" s="62">
        <v>319</v>
      </c>
      <c r="G290" s="43">
        <v>2</v>
      </c>
      <c r="H290" s="43">
        <v>31</v>
      </c>
      <c r="I290" s="43">
        <v>6</v>
      </c>
      <c r="J290" s="55">
        <v>525</v>
      </c>
      <c r="K290" s="6">
        <v>0</v>
      </c>
      <c r="L290" s="6">
        <v>0</v>
      </c>
      <c r="M290" s="43">
        <v>2</v>
      </c>
      <c r="N290" s="25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  <c r="V290" s="43">
        <v>0</v>
      </c>
      <c r="W290" s="43">
        <v>5</v>
      </c>
      <c r="X290" s="43">
        <v>0</v>
      </c>
      <c r="Y290" s="43">
        <v>0</v>
      </c>
      <c r="Z290" s="43">
        <v>0</v>
      </c>
      <c r="AA290" s="44">
        <v>0</v>
      </c>
      <c r="AB290" s="44">
        <v>0</v>
      </c>
      <c r="AC290" s="44">
        <v>16</v>
      </c>
      <c r="AD290" s="44">
        <v>11</v>
      </c>
      <c r="AE290" s="44">
        <v>601</v>
      </c>
      <c r="AF290" s="44">
        <v>8</v>
      </c>
      <c r="AG290" s="44">
        <v>0</v>
      </c>
      <c r="AH290" s="44">
        <v>238</v>
      </c>
      <c r="AI290" s="44">
        <v>581</v>
      </c>
      <c r="AJ290" s="44">
        <v>0</v>
      </c>
      <c r="AK290" s="44">
        <v>0</v>
      </c>
      <c r="AL290" s="44">
        <v>286</v>
      </c>
      <c r="AM290" s="48"/>
      <c r="AN290" s="48"/>
      <c r="AO290" s="48"/>
      <c r="AP290" s="44">
        <v>293</v>
      </c>
      <c r="AQ290" s="44">
        <v>547</v>
      </c>
      <c r="AR290" s="50"/>
      <c r="AS290" s="50"/>
      <c r="AT290" s="43">
        <v>590</v>
      </c>
      <c r="AU290" s="43">
        <v>269</v>
      </c>
      <c r="AV290" s="50"/>
      <c r="AW290" s="50"/>
      <c r="AX290" s="50"/>
      <c r="AY290" s="50"/>
      <c r="AZ290" s="50"/>
      <c r="BA290" s="50"/>
      <c r="BB290" s="50"/>
      <c r="BC290" s="50"/>
      <c r="BD290" s="50"/>
      <c r="BE290" s="43">
        <v>479</v>
      </c>
      <c r="BF290" s="43">
        <v>373</v>
      </c>
      <c r="BG290" s="43">
        <v>573</v>
      </c>
      <c r="BH290" s="43">
        <v>280</v>
      </c>
      <c r="BI290" s="43">
        <v>602</v>
      </c>
      <c r="BJ290" s="43">
        <v>244</v>
      </c>
      <c r="BK290" s="43">
        <v>330</v>
      </c>
      <c r="BL290" s="43">
        <v>525</v>
      </c>
      <c r="BM290" s="43">
        <v>435</v>
      </c>
      <c r="BN290" s="43">
        <v>401</v>
      </c>
      <c r="BO290" s="43">
        <v>281</v>
      </c>
      <c r="BP290" s="43">
        <v>552</v>
      </c>
      <c r="BQ290" s="43">
        <v>584</v>
      </c>
      <c r="BR290" s="43">
        <v>248</v>
      </c>
      <c r="BS290" s="43">
        <v>624</v>
      </c>
      <c r="BT290" s="43">
        <v>409</v>
      </c>
      <c r="BU290" s="43">
        <v>414</v>
      </c>
      <c r="BV290" s="43">
        <v>574</v>
      </c>
      <c r="BW290" s="43">
        <v>444</v>
      </c>
      <c r="BX290" s="43">
        <v>250</v>
      </c>
      <c r="BY290" s="43">
        <v>519</v>
      </c>
      <c r="BZ290" s="43">
        <v>232</v>
      </c>
      <c r="CA290" s="43">
        <v>526</v>
      </c>
      <c r="CB290" s="43">
        <v>419</v>
      </c>
      <c r="CC290" s="43">
        <v>244</v>
      </c>
      <c r="CD290" s="43">
        <v>490</v>
      </c>
      <c r="CE290" s="43">
        <v>259</v>
      </c>
      <c r="CF290" s="43">
        <v>421</v>
      </c>
      <c r="CG290" s="43">
        <v>433</v>
      </c>
      <c r="CH290" s="43">
        <v>220</v>
      </c>
      <c r="CI290" s="43">
        <v>168</v>
      </c>
      <c r="CJ290" s="43">
        <v>512</v>
      </c>
      <c r="CK290" s="43">
        <v>433</v>
      </c>
      <c r="CL290" s="43">
        <v>245</v>
      </c>
      <c r="CM290" s="43">
        <v>520</v>
      </c>
      <c r="CN290" s="43">
        <v>529</v>
      </c>
      <c r="CO290" s="43">
        <v>245</v>
      </c>
      <c r="CP290" s="43">
        <v>425</v>
      </c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43"/>
      <c r="FZ290" s="43"/>
      <c r="GA290" s="53"/>
      <c r="GB290" s="53"/>
      <c r="GC290" s="53"/>
      <c r="GD290" s="53"/>
      <c r="GE290" s="53"/>
      <c r="GF290" s="53"/>
      <c r="GG290" s="53"/>
      <c r="GH290" s="53"/>
      <c r="GI290" s="43"/>
      <c r="GJ290" s="43"/>
      <c r="GK290" s="43"/>
      <c r="GL290" s="43"/>
      <c r="GM290" s="53"/>
      <c r="GN290" s="53"/>
      <c r="GO290" s="43">
        <v>626</v>
      </c>
      <c r="GP290" s="43">
        <v>239</v>
      </c>
      <c r="GQ290" s="43">
        <v>586</v>
      </c>
      <c r="GR290" s="43">
        <v>272</v>
      </c>
    </row>
    <row r="291" spans="1:200">
      <c r="A291" s="7">
        <v>4941</v>
      </c>
      <c r="B291" s="1" t="s">
        <v>419</v>
      </c>
      <c r="C291" s="33">
        <v>994</v>
      </c>
      <c r="D291" s="34">
        <v>827</v>
      </c>
      <c r="E291" s="19">
        <f t="shared" si="4"/>
        <v>0.83199195171026152</v>
      </c>
      <c r="F291" s="62">
        <v>312</v>
      </c>
      <c r="G291" s="43">
        <v>2</v>
      </c>
      <c r="H291" s="43">
        <v>31</v>
      </c>
      <c r="I291" s="43">
        <v>7</v>
      </c>
      <c r="J291" s="55">
        <v>460</v>
      </c>
      <c r="K291" s="6">
        <v>0</v>
      </c>
      <c r="L291" s="6">
        <v>0</v>
      </c>
      <c r="M291" s="43">
        <v>0</v>
      </c>
      <c r="N291" s="25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  <c r="V291" s="43">
        <v>0</v>
      </c>
      <c r="W291" s="43">
        <v>1</v>
      </c>
      <c r="X291" s="43">
        <v>0</v>
      </c>
      <c r="Y291" s="43">
        <v>0</v>
      </c>
      <c r="Z291" s="43">
        <v>0</v>
      </c>
      <c r="AA291" s="44">
        <v>0</v>
      </c>
      <c r="AB291" s="44">
        <v>0</v>
      </c>
      <c r="AC291" s="44">
        <v>7</v>
      </c>
      <c r="AD291" s="44">
        <v>9</v>
      </c>
      <c r="AE291" s="44">
        <v>582</v>
      </c>
      <c r="AF291" s="44">
        <v>5</v>
      </c>
      <c r="AG291" s="44">
        <v>0</v>
      </c>
      <c r="AH291" s="44">
        <v>201</v>
      </c>
      <c r="AI291" s="44">
        <v>538</v>
      </c>
      <c r="AJ291" s="44">
        <v>1</v>
      </c>
      <c r="AK291" s="44">
        <v>0</v>
      </c>
      <c r="AL291" s="44">
        <v>252</v>
      </c>
      <c r="AM291" s="48"/>
      <c r="AN291" s="48"/>
      <c r="AO291" s="48"/>
      <c r="AP291" s="44">
        <v>249</v>
      </c>
      <c r="AQ291" s="44">
        <v>499</v>
      </c>
      <c r="AR291" s="50"/>
      <c r="AS291" s="50"/>
      <c r="AT291" s="43">
        <v>571</v>
      </c>
      <c r="AU291" s="43">
        <v>203</v>
      </c>
      <c r="AV291" s="50"/>
      <c r="AW291" s="50"/>
      <c r="AX291" s="50"/>
      <c r="AY291" s="50"/>
      <c r="AZ291" s="50"/>
      <c r="BA291" s="50"/>
      <c r="BB291" s="50"/>
      <c r="BC291" s="50"/>
      <c r="BD291" s="50"/>
      <c r="BE291" s="43">
        <v>426</v>
      </c>
      <c r="BF291" s="43">
        <v>339</v>
      </c>
      <c r="BG291" s="43">
        <v>514</v>
      </c>
      <c r="BH291" s="43">
        <v>249</v>
      </c>
      <c r="BI291" s="43">
        <v>572</v>
      </c>
      <c r="BJ291" s="43">
        <v>199</v>
      </c>
      <c r="BK291" s="43">
        <v>284</v>
      </c>
      <c r="BL291" s="43">
        <v>467</v>
      </c>
      <c r="BM291" s="43">
        <v>416</v>
      </c>
      <c r="BN291" s="43">
        <v>333</v>
      </c>
      <c r="BO291" s="43">
        <v>246</v>
      </c>
      <c r="BP291" s="43">
        <v>500</v>
      </c>
      <c r="BQ291" s="43">
        <v>579</v>
      </c>
      <c r="BR291" s="43">
        <v>181</v>
      </c>
      <c r="BS291" s="43">
        <v>567</v>
      </c>
      <c r="BT291" s="43">
        <v>363</v>
      </c>
      <c r="BU291" s="43">
        <v>375</v>
      </c>
      <c r="BV291" s="43">
        <v>542</v>
      </c>
      <c r="BW291" s="43">
        <v>392</v>
      </c>
      <c r="BX291" s="43">
        <v>233</v>
      </c>
      <c r="BY291" s="43">
        <v>463</v>
      </c>
      <c r="BZ291" s="43">
        <v>217</v>
      </c>
      <c r="CA291" s="43">
        <v>495</v>
      </c>
      <c r="CB291" s="43">
        <v>384</v>
      </c>
      <c r="CC291" s="43">
        <v>223</v>
      </c>
      <c r="CD291" s="43">
        <v>467</v>
      </c>
      <c r="CE291" s="43">
        <v>234</v>
      </c>
      <c r="CF291" s="43">
        <v>412</v>
      </c>
      <c r="CG291" s="43">
        <v>397</v>
      </c>
      <c r="CH291" s="43">
        <v>209</v>
      </c>
      <c r="CI291" s="43">
        <v>128</v>
      </c>
      <c r="CJ291" s="43">
        <v>485</v>
      </c>
      <c r="CK291" s="43">
        <v>387</v>
      </c>
      <c r="CL291" s="43">
        <v>218</v>
      </c>
      <c r="CM291" s="43">
        <v>479</v>
      </c>
      <c r="CN291" s="43">
        <v>512</v>
      </c>
      <c r="CO291" s="43">
        <v>174</v>
      </c>
      <c r="CP291" s="43">
        <v>430</v>
      </c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43"/>
      <c r="FZ291" s="43"/>
      <c r="GA291" s="53"/>
      <c r="GB291" s="53"/>
      <c r="GC291" s="53"/>
      <c r="GD291" s="53"/>
      <c r="GE291" s="53"/>
      <c r="GF291" s="53"/>
      <c r="GG291" s="53"/>
      <c r="GH291" s="53"/>
      <c r="GI291" s="43"/>
      <c r="GJ291" s="43"/>
      <c r="GK291" s="43"/>
      <c r="GL291" s="43"/>
      <c r="GM291" s="53"/>
      <c r="GN291" s="53"/>
      <c r="GO291" s="43">
        <v>613</v>
      </c>
      <c r="GP291" s="43">
        <v>184</v>
      </c>
      <c r="GQ291" s="43">
        <v>588</v>
      </c>
      <c r="GR291" s="43">
        <v>198</v>
      </c>
    </row>
    <row r="292" spans="1:200">
      <c r="A292" s="7">
        <v>4942</v>
      </c>
      <c r="B292" s="1" t="s">
        <v>420</v>
      </c>
      <c r="C292" s="33">
        <v>1054</v>
      </c>
      <c r="D292" s="34">
        <v>846</v>
      </c>
      <c r="E292" s="19">
        <f t="shared" si="4"/>
        <v>0.80265654648956353</v>
      </c>
      <c r="F292" s="62">
        <v>293</v>
      </c>
      <c r="G292" s="43">
        <v>3</v>
      </c>
      <c r="H292" s="43">
        <v>34</v>
      </c>
      <c r="I292" s="43">
        <v>8</v>
      </c>
      <c r="J292" s="55">
        <v>491</v>
      </c>
      <c r="K292" s="6">
        <v>0</v>
      </c>
      <c r="L292" s="6">
        <v>0</v>
      </c>
      <c r="M292" s="43">
        <v>0</v>
      </c>
      <c r="N292" s="25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  <c r="V292" s="43">
        <v>0</v>
      </c>
      <c r="W292" s="43">
        <v>4</v>
      </c>
      <c r="X292" s="43">
        <v>0</v>
      </c>
      <c r="Y292" s="43">
        <v>0</v>
      </c>
      <c r="Z292" s="43">
        <v>0</v>
      </c>
      <c r="AA292" s="44">
        <v>0</v>
      </c>
      <c r="AB292" s="44">
        <v>0</v>
      </c>
      <c r="AC292" s="44">
        <v>8</v>
      </c>
      <c r="AD292" s="44">
        <v>12</v>
      </c>
      <c r="AE292" s="44">
        <v>566</v>
      </c>
      <c r="AF292" s="44">
        <v>13</v>
      </c>
      <c r="AG292" s="44">
        <v>0</v>
      </c>
      <c r="AH292" s="44">
        <v>210</v>
      </c>
      <c r="AI292" s="44">
        <v>548</v>
      </c>
      <c r="AJ292" s="44">
        <v>1</v>
      </c>
      <c r="AK292" s="44">
        <v>0</v>
      </c>
      <c r="AL292" s="44">
        <v>254</v>
      </c>
      <c r="AM292" s="48"/>
      <c r="AN292" s="48"/>
      <c r="AO292" s="48"/>
      <c r="AP292" s="44">
        <v>261</v>
      </c>
      <c r="AQ292" s="44">
        <v>495</v>
      </c>
      <c r="AR292" s="50"/>
      <c r="AS292" s="50"/>
      <c r="AT292" s="43">
        <v>570</v>
      </c>
      <c r="AU292" s="43">
        <v>218</v>
      </c>
      <c r="AV292" s="50"/>
      <c r="AW292" s="50"/>
      <c r="AX292" s="50"/>
      <c r="AY292" s="50"/>
      <c r="AZ292" s="50"/>
      <c r="BA292" s="50"/>
      <c r="BB292" s="50"/>
      <c r="BC292" s="50"/>
      <c r="BD292" s="50"/>
      <c r="BE292" s="43">
        <v>419</v>
      </c>
      <c r="BF292" s="43">
        <v>355</v>
      </c>
      <c r="BG292" s="43">
        <v>534</v>
      </c>
      <c r="BH292" s="43">
        <v>257</v>
      </c>
      <c r="BI292" s="43">
        <v>582</v>
      </c>
      <c r="BJ292" s="43">
        <v>202</v>
      </c>
      <c r="BK292" s="43">
        <v>312</v>
      </c>
      <c r="BL292" s="43">
        <v>460</v>
      </c>
      <c r="BM292" s="43">
        <v>412</v>
      </c>
      <c r="BN292" s="43">
        <v>363</v>
      </c>
      <c r="BO292" s="43">
        <v>270</v>
      </c>
      <c r="BP292" s="43">
        <v>490</v>
      </c>
      <c r="BQ292" s="43">
        <v>538</v>
      </c>
      <c r="BR292" s="43">
        <v>222</v>
      </c>
      <c r="BS292" s="43">
        <v>576</v>
      </c>
      <c r="BT292" s="43">
        <v>392</v>
      </c>
      <c r="BU292" s="43">
        <v>366</v>
      </c>
      <c r="BV292" s="43">
        <v>531</v>
      </c>
      <c r="BW292" s="43">
        <v>363</v>
      </c>
      <c r="BX292" s="43">
        <v>269</v>
      </c>
      <c r="BY292" s="43">
        <v>475</v>
      </c>
      <c r="BZ292" s="43">
        <v>214</v>
      </c>
      <c r="CA292" s="43">
        <v>499</v>
      </c>
      <c r="CB292" s="43">
        <v>377</v>
      </c>
      <c r="CC292" s="43">
        <v>233</v>
      </c>
      <c r="CD292" s="43">
        <v>458</v>
      </c>
      <c r="CE292" s="43">
        <v>247</v>
      </c>
      <c r="CF292" s="43">
        <v>379</v>
      </c>
      <c r="CG292" s="43">
        <v>384</v>
      </c>
      <c r="CH292" s="43">
        <v>213</v>
      </c>
      <c r="CI292" s="43">
        <v>154</v>
      </c>
      <c r="CJ292" s="43">
        <v>460</v>
      </c>
      <c r="CK292" s="43">
        <v>367</v>
      </c>
      <c r="CL292" s="43">
        <v>249</v>
      </c>
      <c r="CM292" s="43">
        <v>478</v>
      </c>
      <c r="CN292" s="43">
        <v>492</v>
      </c>
      <c r="CO292" s="43">
        <v>228</v>
      </c>
      <c r="CP292" s="43">
        <v>386</v>
      </c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43"/>
      <c r="FZ292" s="43"/>
      <c r="GA292" s="53"/>
      <c r="GB292" s="53"/>
      <c r="GC292" s="53"/>
      <c r="GD292" s="53"/>
      <c r="GE292" s="53"/>
      <c r="GF292" s="53"/>
      <c r="GG292" s="53"/>
      <c r="GH292" s="53"/>
      <c r="GI292" s="43"/>
      <c r="GJ292" s="43"/>
      <c r="GK292" s="43"/>
      <c r="GL292" s="43"/>
      <c r="GM292" s="53"/>
      <c r="GN292" s="53"/>
      <c r="GO292" s="43">
        <v>581</v>
      </c>
      <c r="GP292" s="43">
        <v>230</v>
      </c>
      <c r="GQ292" s="43">
        <v>548</v>
      </c>
      <c r="GR292" s="43">
        <v>256</v>
      </c>
    </row>
    <row r="293" spans="1:200">
      <c r="A293" s="7">
        <v>5201</v>
      </c>
      <c r="B293" s="1" t="s">
        <v>421</v>
      </c>
      <c r="C293" s="33">
        <v>722</v>
      </c>
      <c r="D293" s="34">
        <v>585</v>
      </c>
      <c r="E293" s="19">
        <f t="shared" si="4"/>
        <v>0.81024930747922441</v>
      </c>
      <c r="F293" s="62">
        <v>382</v>
      </c>
      <c r="G293" s="43">
        <v>3</v>
      </c>
      <c r="H293" s="43">
        <v>11</v>
      </c>
      <c r="I293" s="43">
        <v>3</v>
      </c>
      <c r="J293" s="55">
        <v>175</v>
      </c>
      <c r="K293" s="6">
        <v>0</v>
      </c>
      <c r="L293" s="6">
        <v>0</v>
      </c>
      <c r="M293" s="43">
        <v>1</v>
      </c>
      <c r="N293" s="25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  <c r="V293" s="43">
        <v>0</v>
      </c>
      <c r="W293" s="43">
        <v>1</v>
      </c>
      <c r="X293" s="43">
        <v>0</v>
      </c>
      <c r="Y293" s="43">
        <v>0</v>
      </c>
      <c r="Z293" s="43">
        <v>0</v>
      </c>
      <c r="AA293" s="44">
        <v>0</v>
      </c>
      <c r="AB293" s="44">
        <v>0</v>
      </c>
      <c r="AC293" s="44">
        <v>11</v>
      </c>
      <c r="AD293" s="44">
        <v>7</v>
      </c>
      <c r="AE293" s="44">
        <v>218</v>
      </c>
      <c r="AF293" s="44">
        <v>5</v>
      </c>
      <c r="AG293" s="44">
        <v>0</v>
      </c>
      <c r="AH293" s="44">
        <v>329</v>
      </c>
      <c r="AI293" s="44">
        <v>216</v>
      </c>
      <c r="AJ293" s="44">
        <v>1</v>
      </c>
      <c r="AK293" s="44">
        <v>0</v>
      </c>
      <c r="AL293" s="44">
        <v>351</v>
      </c>
      <c r="AM293" s="48"/>
      <c r="AN293" s="48"/>
      <c r="AO293" s="48"/>
      <c r="AP293" s="44">
        <v>357</v>
      </c>
      <c r="AQ293" s="44">
        <v>188</v>
      </c>
      <c r="AR293" s="50"/>
      <c r="AS293" s="50"/>
      <c r="AT293" s="43">
        <v>206</v>
      </c>
      <c r="AU293" s="43">
        <v>347</v>
      </c>
      <c r="AV293" s="50"/>
      <c r="AW293" s="50"/>
      <c r="AX293" s="50"/>
      <c r="AY293" s="50"/>
      <c r="AZ293" s="50"/>
      <c r="BA293" s="50"/>
      <c r="BB293" s="50"/>
      <c r="BC293" s="50"/>
      <c r="BD293" s="50"/>
      <c r="BE293" s="43">
        <v>159</v>
      </c>
      <c r="BF293" s="43">
        <v>395</v>
      </c>
      <c r="BG293" s="43">
        <v>201</v>
      </c>
      <c r="BH293" s="43">
        <v>360</v>
      </c>
      <c r="BI293" s="43">
        <v>220</v>
      </c>
      <c r="BJ293" s="43">
        <v>331</v>
      </c>
      <c r="BK293" s="43">
        <v>357</v>
      </c>
      <c r="BL293" s="43">
        <v>204</v>
      </c>
      <c r="BM293" s="43">
        <v>149</v>
      </c>
      <c r="BN293" s="43">
        <v>399</v>
      </c>
      <c r="BO293" s="43">
        <v>354</v>
      </c>
      <c r="BP293" s="43">
        <v>199</v>
      </c>
      <c r="BQ293" s="43">
        <v>211</v>
      </c>
      <c r="BR293" s="43">
        <v>341</v>
      </c>
      <c r="BS293" s="43">
        <v>285</v>
      </c>
      <c r="BT293" s="43">
        <v>155</v>
      </c>
      <c r="BU293" s="43">
        <v>401</v>
      </c>
      <c r="BV293" s="43">
        <v>310</v>
      </c>
      <c r="BW293" s="43">
        <v>198</v>
      </c>
      <c r="BX293" s="43">
        <v>297</v>
      </c>
      <c r="BY293" s="43">
        <v>220</v>
      </c>
      <c r="BZ293" s="43">
        <v>310</v>
      </c>
      <c r="CA293" s="43">
        <v>299</v>
      </c>
      <c r="CB293" s="43">
        <v>160</v>
      </c>
      <c r="CC293" s="43">
        <v>327</v>
      </c>
      <c r="CD293" s="43">
        <v>336</v>
      </c>
      <c r="CE293" s="43">
        <v>314</v>
      </c>
      <c r="CF293" s="43">
        <v>176</v>
      </c>
      <c r="CG293" s="43">
        <v>166</v>
      </c>
      <c r="CH293" s="43">
        <v>300</v>
      </c>
      <c r="CI293" s="43">
        <v>252</v>
      </c>
      <c r="CJ293" s="43">
        <v>223</v>
      </c>
      <c r="CK293" s="43">
        <v>191</v>
      </c>
      <c r="CL293" s="43">
        <v>287</v>
      </c>
      <c r="CM293" s="43">
        <v>271</v>
      </c>
      <c r="CN293" s="43">
        <v>278</v>
      </c>
      <c r="CO293" s="43">
        <v>298</v>
      </c>
      <c r="CP293" s="43">
        <v>188</v>
      </c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43">
        <v>313</v>
      </c>
      <c r="DD293" s="43">
        <v>145</v>
      </c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43"/>
      <c r="FZ293" s="43"/>
      <c r="GA293" s="53"/>
      <c r="GB293" s="53"/>
      <c r="GC293" s="53"/>
      <c r="GD293" s="53"/>
      <c r="GE293" s="53"/>
      <c r="GF293" s="53"/>
      <c r="GG293" s="53"/>
      <c r="GH293" s="53"/>
      <c r="GI293" s="43"/>
      <c r="GJ293" s="43"/>
      <c r="GK293" s="43"/>
      <c r="GL293" s="43"/>
      <c r="GM293" s="53"/>
      <c r="GN293" s="53"/>
      <c r="GO293" s="43">
        <v>372</v>
      </c>
      <c r="GP293" s="43">
        <v>172</v>
      </c>
      <c r="GQ293" s="43">
        <v>394</v>
      </c>
      <c r="GR293" s="43">
        <v>146</v>
      </c>
    </row>
    <row r="294" spans="1:200">
      <c r="A294" s="7">
        <v>5202</v>
      </c>
      <c r="B294" s="1" t="s">
        <v>422</v>
      </c>
      <c r="C294" s="33">
        <v>922</v>
      </c>
      <c r="D294" s="34">
        <v>731</v>
      </c>
      <c r="E294" s="19">
        <f t="shared" si="4"/>
        <v>0.79284164859002171</v>
      </c>
      <c r="F294" s="62">
        <v>432</v>
      </c>
      <c r="G294" s="43">
        <v>3</v>
      </c>
      <c r="H294" s="43">
        <v>16</v>
      </c>
      <c r="I294" s="43">
        <v>4</v>
      </c>
      <c r="J294" s="55">
        <v>259</v>
      </c>
      <c r="K294" s="6">
        <v>0</v>
      </c>
      <c r="L294" s="6">
        <v>0</v>
      </c>
      <c r="M294" s="43">
        <v>1</v>
      </c>
      <c r="N294" s="25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  <c r="V294" s="43">
        <v>0</v>
      </c>
      <c r="W294" s="43">
        <v>2</v>
      </c>
      <c r="X294" s="43">
        <v>0</v>
      </c>
      <c r="Y294" s="43">
        <v>0</v>
      </c>
      <c r="Z294" s="43">
        <v>0</v>
      </c>
      <c r="AA294" s="44">
        <v>0</v>
      </c>
      <c r="AB294" s="44">
        <v>0</v>
      </c>
      <c r="AC294" s="44">
        <v>11</v>
      </c>
      <c r="AD294" s="44">
        <v>11</v>
      </c>
      <c r="AE294" s="44">
        <v>344</v>
      </c>
      <c r="AF294" s="44">
        <v>4</v>
      </c>
      <c r="AG294" s="44">
        <v>0</v>
      </c>
      <c r="AH294" s="44">
        <v>334</v>
      </c>
      <c r="AI294" s="44">
        <v>331</v>
      </c>
      <c r="AJ294" s="44">
        <v>0</v>
      </c>
      <c r="AK294" s="44">
        <v>0</v>
      </c>
      <c r="AL294" s="44">
        <v>369</v>
      </c>
      <c r="AM294" s="48"/>
      <c r="AN294" s="48"/>
      <c r="AO294" s="48"/>
      <c r="AP294" s="44">
        <v>394</v>
      </c>
      <c r="AQ294" s="44">
        <v>275</v>
      </c>
      <c r="AR294" s="50"/>
      <c r="AS294" s="50"/>
      <c r="AT294" s="43">
        <v>318</v>
      </c>
      <c r="AU294" s="43">
        <v>377</v>
      </c>
      <c r="AV294" s="50"/>
      <c r="AW294" s="50"/>
      <c r="AX294" s="50"/>
      <c r="AY294" s="50"/>
      <c r="AZ294" s="50"/>
      <c r="BA294" s="50"/>
      <c r="BB294" s="50"/>
      <c r="BC294" s="50"/>
      <c r="BD294" s="50"/>
      <c r="BE294" s="43">
        <v>226</v>
      </c>
      <c r="BF294" s="43">
        <v>459</v>
      </c>
      <c r="BG294" s="43">
        <v>303</v>
      </c>
      <c r="BH294" s="43">
        <v>384</v>
      </c>
      <c r="BI294" s="43">
        <v>316</v>
      </c>
      <c r="BJ294" s="43">
        <v>371</v>
      </c>
      <c r="BK294" s="43">
        <v>415</v>
      </c>
      <c r="BL294" s="43">
        <v>270</v>
      </c>
      <c r="BM294" s="43">
        <v>241</v>
      </c>
      <c r="BN294" s="43">
        <v>443</v>
      </c>
      <c r="BO294" s="43">
        <v>404</v>
      </c>
      <c r="BP294" s="43">
        <v>269</v>
      </c>
      <c r="BQ294" s="43">
        <v>323</v>
      </c>
      <c r="BR294" s="43">
        <v>358</v>
      </c>
      <c r="BS294" s="43">
        <v>401</v>
      </c>
      <c r="BT294" s="43">
        <v>228</v>
      </c>
      <c r="BU294" s="43">
        <v>447</v>
      </c>
      <c r="BV294" s="43">
        <v>437</v>
      </c>
      <c r="BW294" s="43">
        <v>290</v>
      </c>
      <c r="BX294" s="43">
        <v>271</v>
      </c>
      <c r="BY294" s="43">
        <v>312</v>
      </c>
      <c r="BZ294" s="43">
        <v>301</v>
      </c>
      <c r="CA294" s="43">
        <v>397</v>
      </c>
      <c r="CB294" s="43">
        <v>210</v>
      </c>
      <c r="CC294" s="43">
        <v>331</v>
      </c>
      <c r="CD294" s="43">
        <v>435</v>
      </c>
      <c r="CE294" s="43">
        <v>330</v>
      </c>
      <c r="CF294" s="43">
        <v>244</v>
      </c>
      <c r="CG294" s="43">
        <v>263</v>
      </c>
      <c r="CH294" s="43">
        <v>282</v>
      </c>
      <c r="CI294" s="43">
        <v>225</v>
      </c>
      <c r="CJ294" s="43">
        <v>338</v>
      </c>
      <c r="CK294" s="43">
        <v>281</v>
      </c>
      <c r="CL294" s="43">
        <v>286</v>
      </c>
      <c r="CM294" s="43">
        <v>383</v>
      </c>
      <c r="CN294" s="43">
        <v>398</v>
      </c>
      <c r="CO294" s="43">
        <v>278</v>
      </c>
      <c r="CP294" s="43">
        <v>284</v>
      </c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43">
        <v>397</v>
      </c>
      <c r="DD294" s="43">
        <v>166</v>
      </c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43"/>
      <c r="FZ294" s="43"/>
      <c r="GA294" s="53"/>
      <c r="GB294" s="53"/>
      <c r="GC294" s="53"/>
      <c r="GD294" s="53"/>
      <c r="GE294" s="53"/>
      <c r="GF294" s="53"/>
      <c r="GG294" s="53"/>
      <c r="GH294" s="53"/>
      <c r="GI294" s="43"/>
      <c r="GJ294" s="43"/>
      <c r="GK294" s="43"/>
      <c r="GL294" s="43"/>
      <c r="GM294" s="53"/>
      <c r="GN294" s="53"/>
      <c r="GO294" s="43">
        <v>504</v>
      </c>
      <c r="GP294" s="43">
        <v>185</v>
      </c>
      <c r="GQ294" s="43">
        <v>524</v>
      </c>
      <c r="GR294" s="43">
        <v>168</v>
      </c>
    </row>
    <row r="295" spans="1:200">
      <c r="A295" s="7">
        <v>5203</v>
      </c>
      <c r="B295" s="1" t="s">
        <v>423</v>
      </c>
      <c r="C295" s="33">
        <v>1039</v>
      </c>
      <c r="D295" s="34">
        <v>747</v>
      </c>
      <c r="E295" s="19">
        <f t="shared" si="4"/>
        <v>0.71896053897978829</v>
      </c>
      <c r="F295" s="62">
        <v>388</v>
      </c>
      <c r="G295" s="43">
        <v>3</v>
      </c>
      <c r="H295" s="43">
        <v>16</v>
      </c>
      <c r="I295" s="43">
        <v>10</v>
      </c>
      <c r="J295" s="55">
        <v>312</v>
      </c>
      <c r="K295" s="6">
        <v>0</v>
      </c>
      <c r="L295" s="6">
        <v>0</v>
      </c>
      <c r="M295" s="43">
        <v>0</v>
      </c>
      <c r="N295" s="25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  <c r="V295" s="43">
        <v>0</v>
      </c>
      <c r="W295" s="43">
        <v>1</v>
      </c>
      <c r="X295" s="43">
        <v>0</v>
      </c>
      <c r="Y295" s="43">
        <v>0</v>
      </c>
      <c r="Z295" s="43">
        <v>0</v>
      </c>
      <c r="AA295" s="44">
        <v>0</v>
      </c>
      <c r="AB295" s="44">
        <v>0</v>
      </c>
      <c r="AC295" s="44">
        <v>5</v>
      </c>
      <c r="AD295" s="44">
        <v>9</v>
      </c>
      <c r="AE295" s="44">
        <v>396</v>
      </c>
      <c r="AF295" s="44">
        <v>6</v>
      </c>
      <c r="AG295" s="44">
        <v>0</v>
      </c>
      <c r="AH295" s="44">
        <v>298</v>
      </c>
      <c r="AI295" s="44">
        <v>369</v>
      </c>
      <c r="AJ295" s="44">
        <v>0</v>
      </c>
      <c r="AK295" s="44">
        <v>0</v>
      </c>
      <c r="AL295" s="44">
        <v>334</v>
      </c>
      <c r="AM295" s="48"/>
      <c r="AN295" s="48"/>
      <c r="AO295" s="48"/>
      <c r="AP295" s="44">
        <v>347</v>
      </c>
      <c r="AQ295" s="44">
        <v>315</v>
      </c>
      <c r="AR295" s="50"/>
      <c r="AS295" s="50"/>
      <c r="AT295" s="43">
        <v>365</v>
      </c>
      <c r="AU295" s="43">
        <v>315</v>
      </c>
      <c r="AV295" s="50"/>
      <c r="AW295" s="50"/>
      <c r="AX295" s="50"/>
      <c r="AY295" s="50"/>
      <c r="AZ295" s="50"/>
      <c r="BA295" s="50"/>
      <c r="BB295" s="50"/>
      <c r="BC295" s="50"/>
      <c r="BD295" s="50"/>
      <c r="BE295" s="43">
        <v>271</v>
      </c>
      <c r="BF295" s="43">
        <v>423</v>
      </c>
      <c r="BG295" s="43">
        <v>355</v>
      </c>
      <c r="BH295" s="43">
        <v>326</v>
      </c>
      <c r="BI295" s="43">
        <v>394</v>
      </c>
      <c r="BJ295" s="43">
        <v>299</v>
      </c>
      <c r="BK295" s="43">
        <v>362</v>
      </c>
      <c r="BL295" s="43">
        <v>320</v>
      </c>
      <c r="BM295" s="43">
        <v>290</v>
      </c>
      <c r="BN295" s="43">
        <v>392</v>
      </c>
      <c r="BO295" s="43">
        <v>320</v>
      </c>
      <c r="BP295" s="43">
        <v>360</v>
      </c>
      <c r="BQ295" s="43">
        <v>378</v>
      </c>
      <c r="BR295" s="43">
        <v>302</v>
      </c>
      <c r="BS295" s="43">
        <v>455</v>
      </c>
      <c r="BT295" s="43">
        <v>268</v>
      </c>
      <c r="BU295" s="43">
        <v>400</v>
      </c>
      <c r="BV295" s="43">
        <v>491</v>
      </c>
      <c r="BW295" s="43">
        <v>311</v>
      </c>
      <c r="BX295" s="43">
        <v>235</v>
      </c>
      <c r="BY295" s="43">
        <v>354</v>
      </c>
      <c r="BZ295" s="43">
        <v>259</v>
      </c>
      <c r="CA295" s="43">
        <v>437</v>
      </c>
      <c r="CB295" s="43">
        <v>238</v>
      </c>
      <c r="CC295" s="43">
        <v>296</v>
      </c>
      <c r="CD295" s="43">
        <v>448</v>
      </c>
      <c r="CE295" s="43">
        <v>268</v>
      </c>
      <c r="CF295" s="43">
        <v>305</v>
      </c>
      <c r="CG295" s="43">
        <v>316</v>
      </c>
      <c r="CH295" s="43">
        <v>208</v>
      </c>
      <c r="CI295" s="43">
        <v>170</v>
      </c>
      <c r="CJ295" s="43">
        <v>366</v>
      </c>
      <c r="CK295" s="43">
        <v>267</v>
      </c>
      <c r="CL295" s="43">
        <v>258</v>
      </c>
      <c r="CM295" s="43">
        <v>417</v>
      </c>
      <c r="CN295" s="43">
        <v>422</v>
      </c>
      <c r="CO295" s="43">
        <v>239</v>
      </c>
      <c r="CP295" s="43">
        <v>312</v>
      </c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43">
        <v>393</v>
      </c>
      <c r="DD295" s="43">
        <v>133</v>
      </c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43"/>
      <c r="FZ295" s="43"/>
      <c r="GA295" s="53"/>
      <c r="GB295" s="53"/>
      <c r="GC295" s="53"/>
      <c r="GD295" s="53"/>
      <c r="GE295" s="53"/>
      <c r="GF295" s="53"/>
      <c r="GG295" s="53"/>
      <c r="GH295" s="53"/>
      <c r="GI295" s="43"/>
      <c r="GJ295" s="43"/>
      <c r="GK295" s="43"/>
      <c r="GL295" s="43"/>
      <c r="GM295" s="53"/>
      <c r="GN295" s="53"/>
      <c r="GO295" s="43">
        <v>525</v>
      </c>
      <c r="GP295" s="43">
        <v>157</v>
      </c>
      <c r="GQ295" s="43">
        <v>539</v>
      </c>
      <c r="GR295" s="43">
        <v>148</v>
      </c>
    </row>
    <row r="296" spans="1:200">
      <c r="A296" s="7">
        <v>5204</v>
      </c>
      <c r="B296" s="1" t="s">
        <v>424</v>
      </c>
      <c r="C296" s="33">
        <v>818</v>
      </c>
      <c r="D296" s="34">
        <v>618</v>
      </c>
      <c r="E296" s="19">
        <f t="shared" si="4"/>
        <v>0.75550122249388751</v>
      </c>
      <c r="F296" s="62">
        <v>267</v>
      </c>
      <c r="G296" s="43">
        <v>1</v>
      </c>
      <c r="H296" s="43">
        <v>21</v>
      </c>
      <c r="I296" s="43">
        <v>6</v>
      </c>
      <c r="J296" s="55">
        <v>311</v>
      </c>
      <c r="K296" s="6">
        <v>0</v>
      </c>
      <c r="L296" s="6">
        <v>0</v>
      </c>
      <c r="M296" s="43">
        <v>0</v>
      </c>
      <c r="N296" s="25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  <c r="V296" s="43">
        <v>0</v>
      </c>
      <c r="W296" s="43">
        <v>1</v>
      </c>
      <c r="X296" s="43">
        <v>0</v>
      </c>
      <c r="Y296" s="43">
        <v>0</v>
      </c>
      <c r="Z296" s="43">
        <v>0</v>
      </c>
      <c r="AA296" s="44">
        <v>0</v>
      </c>
      <c r="AB296" s="44">
        <v>0</v>
      </c>
      <c r="AC296" s="44">
        <v>4</v>
      </c>
      <c r="AD296" s="44">
        <v>11</v>
      </c>
      <c r="AE296" s="44">
        <v>349</v>
      </c>
      <c r="AF296" s="44">
        <v>13</v>
      </c>
      <c r="AG296" s="44">
        <v>0</v>
      </c>
      <c r="AH296" s="44">
        <v>220</v>
      </c>
      <c r="AI296" s="44">
        <v>337</v>
      </c>
      <c r="AJ296" s="44">
        <v>0</v>
      </c>
      <c r="AK296" s="44">
        <v>0</v>
      </c>
      <c r="AL296" s="44">
        <v>256</v>
      </c>
      <c r="AM296" s="48"/>
      <c r="AN296" s="48"/>
      <c r="AO296" s="48"/>
      <c r="AP296" s="44">
        <v>268</v>
      </c>
      <c r="AQ296" s="44">
        <v>302</v>
      </c>
      <c r="AR296" s="50"/>
      <c r="AS296" s="50"/>
      <c r="AT296" s="43">
        <v>336</v>
      </c>
      <c r="AU296" s="43">
        <v>243</v>
      </c>
      <c r="AV296" s="50"/>
      <c r="AW296" s="50"/>
      <c r="AX296" s="50"/>
      <c r="AY296" s="50"/>
      <c r="AZ296" s="50"/>
      <c r="BA296" s="50"/>
      <c r="BB296" s="50"/>
      <c r="BC296" s="50"/>
      <c r="BD296" s="50"/>
      <c r="BE296" s="43">
        <v>270</v>
      </c>
      <c r="BF296" s="43">
        <v>309</v>
      </c>
      <c r="BG296" s="43">
        <v>325</v>
      </c>
      <c r="BH296" s="43">
        <v>260</v>
      </c>
      <c r="BI296" s="43">
        <v>340</v>
      </c>
      <c r="BJ296" s="43">
        <v>241</v>
      </c>
      <c r="BK296" s="43">
        <v>272</v>
      </c>
      <c r="BL296" s="43">
        <v>305</v>
      </c>
      <c r="BM296" s="43">
        <v>267</v>
      </c>
      <c r="BN296" s="43">
        <v>309</v>
      </c>
      <c r="BO296" s="43">
        <v>274</v>
      </c>
      <c r="BP296" s="43">
        <v>292</v>
      </c>
      <c r="BQ296" s="43">
        <v>339</v>
      </c>
      <c r="BR296" s="43">
        <v>230</v>
      </c>
      <c r="BS296" s="43">
        <v>390</v>
      </c>
      <c r="BT296" s="43">
        <v>262</v>
      </c>
      <c r="BU296" s="43">
        <v>297</v>
      </c>
      <c r="BV296" s="43">
        <v>379</v>
      </c>
      <c r="BW296" s="43">
        <v>260</v>
      </c>
      <c r="BX296" s="43">
        <v>221</v>
      </c>
      <c r="BY296" s="43">
        <v>313</v>
      </c>
      <c r="BZ296" s="43">
        <v>204</v>
      </c>
      <c r="CA296" s="43">
        <v>353</v>
      </c>
      <c r="CB296" s="43">
        <v>229</v>
      </c>
      <c r="CC296" s="43">
        <v>227</v>
      </c>
      <c r="CD296" s="43">
        <v>348</v>
      </c>
      <c r="CE296" s="43">
        <v>228</v>
      </c>
      <c r="CF296" s="43">
        <v>235</v>
      </c>
      <c r="CG296" s="43">
        <v>275</v>
      </c>
      <c r="CH296" s="43">
        <v>168</v>
      </c>
      <c r="CI296" s="43">
        <v>156</v>
      </c>
      <c r="CJ296" s="43">
        <v>307</v>
      </c>
      <c r="CK296" s="43">
        <v>270</v>
      </c>
      <c r="CL296" s="43">
        <v>187</v>
      </c>
      <c r="CM296" s="43">
        <v>342</v>
      </c>
      <c r="CN296" s="43">
        <v>344</v>
      </c>
      <c r="CO296" s="43">
        <v>191</v>
      </c>
      <c r="CP296" s="43">
        <v>269</v>
      </c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43">
        <v>306</v>
      </c>
      <c r="DD296" s="43">
        <v>182</v>
      </c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43"/>
      <c r="FZ296" s="43"/>
      <c r="GA296" s="53"/>
      <c r="GB296" s="53"/>
      <c r="GC296" s="53"/>
      <c r="GD296" s="53"/>
      <c r="GE296" s="53"/>
      <c r="GF296" s="53"/>
      <c r="GG296" s="53"/>
      <c r="GH296" s="53"/>
      <c r="GI296" s="43"/>
      <c r="GJ296" s="43"/>
      <c r="GK296" s="43"/>
      <c r="GL296" s="43"/>
      <c r="GM296" s="53"/>
      <c r="GN296" s="53"/>
      <c r="GO296" s="43">
        <v>404</v>
      </c>
      <c r="GP296" s="43">
        <v>182</v>
      </c>
      <c r="GQ296" s="43">
        <v>404</v>
      </c>
      <c r="GR296" s="43">
        <v>170</v>
      </c>
    </row>
    <row r="297" spans="1:200">
      <c r="A297" s="7">
        <v>5205</v>
      </c>
      <c r="B297" s="1" t="s">
        <v>425</v>
      </c>
      <c r="C297" s="33">
        <v>988</v>
      </c>
      <c r="D297" s="34">
        <v>657</v>
      </c>
      <c r="E297" s="19">
        <f t="shared" si="4"/>
        <v>0.66497975708502022</v>
      </c>
      <c r="F297" s="62">
        <v>319</v>
      </c>
      <c r="G297" s="43">
        <v>5</v>
      </c>
      <c r="H297" s="43">
        <v>18</v>
      </c>
      <c r="I297" s="43">
        <v>3</v>
      </c>
      <c r="J297" s="55">
        <v>302</v>
      </c>
      <c r="K297" s="6">
        <v>0</v>
      </c>
      <c r="L297" s="6">
        <v>0</v>
      </c>
      <c r="M297" s="43">
        <v>1</v>
      </c>
      <c r="N297" s="25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3">
        <v>0</v>
      </c>
      <c r="U297" s="43">
        <v>0</v>
      </c>
      <c r="V297" s="43">
        <v>0</v>
      </c>
      <c r="W297" s="43">
        <v>1</v>
      </c>
      <c r="X297" s="43">
        <v>0</v>
      </c>
      <c r="Y297" s="43">
        <v>0</v>
      </c>
      <c r="Z297" s="43">
        <v>0</v>
      </c>
      <c r="AA297" s="44">
        <v>0</v>
      </c>
      <c r="AB297" s="44">
        <v>0</v>
      </c>
      <c r="AC297" s="44">
        <v>5</v>
      </c>
      <c r="AD297" s="44">
        <v>8</v>
      </c>
      <c r="AE297" s="44">
        <v>332</v>
      </c>
      <c r="AF297" s="44">
        <v>12</v>
      </c>
      <c r="AG297" s="44">
        <v>0</v>
      </c>
      <c r="AH297" s="44">
        <v>284</v>
      </c>
      <c r="AI297" s="44">
        <v>351</v>
      </c>
      <c r="AJ297" s="44">
        <v>0</v>
      </c>
      <c r="AK297" s="44">
        <v>0</v>
      </c>
      <c r="AL297" s="44">
        <v>289</v>
      </c>
      <c r="AM297" s="48"/>
      <c r="AN297" s="48"/>
      <c r="AO297" s="48"/>
      <c r="AP297" s="44">
        <v>326</v>
      </c>
      <c r="AQ297" s="44">
        <v>285</v>
      </c>
      <c r="AR297" s="50"/>
      <c r="AS297" s="50"/>
      <c r="AT297" s="43">
        <v>328</v>
      </c>
      <c r="AU297" s="43">
        <v>292</v>
      </c>
      <c r="AV297" s="50"/>
      <c r="AW297" s="50"/>
      <c r="AX297" s="50"/>
      <c r="AY297" s="50"/>
      <c r="AZ297" s="50"/>
      <c r="BA297" s="50"/>
      <c r="BB297" s="50"/>
      <c r="BC297" s="50"/>
      <c r="BD297" s="50"/>
      <c r="BE297" s="43">
        <v>261</v>
      </c>
      <c r="BF297" s="43">
        <v>356</v>
      </c>
      <c r="BG297" s="43">
        <v>328</v>
      </c>
      <c r="BH297" s="43">
        <v>297</v>
      </c>
      <c r="BI297" s="43">
        <v>348</v>
      </c>
      <c r="BJ297" s="43">
        <v>275</v>
      </c>
      <c r="BK297" s="43">
        <v>302</v>
      </c>
      <c r="BL297" s="43">
        <v>321</v>
      </c>
      <c r="BM297" s="43">
        <v>261</v>
      </c>
      <c r="BN297" s="43">
        <v>361</v>
      </c>
      <c r="BO297" s="43">
        <v>310</v>
      </c>
      <c r="BP297" s="43">
        <v>307</v>
      </c>
      <c r="BQ297" s="43">
        <v>327</v>
      </c>
      <c r="BR297" s="43">
        <v>290</v>
      </c>
      <c r="BS297" s="43">
        <v>408</v>
      </c>
      <c r="BT297" s="43">
        <v>259</v>
      </c>
      <c r="BU297" s="43">
        <v>349</v>
      </c>
      <c r="BV297" s="43">
        <v>417</v>
      </c>
      <c r="BW297" s="43">
        <v>284</v>
      </c>
      <c r="BX297" s="43">
        <v>232</v>
      </c>
      <c r="BY297" s="43">
        <v>338</v>
      </c>
      <c r="BZ297" s="43">
        <v>218</v>
      </c>
      <c r="CA297" s="43">
        <v>396</v>
      </c>
      <c r="CB297" s="43">
        <v>236</v>
      </c>
      <c r="CC297" s="43">
        <v>264</v>
      </c>
      <c r="CD297" s="43">
        <v>380</v>
      </c>
      <c r="CE297" s="43">
        <v>240</v>
      </c>
      <c r="CF297" s="43">
        <v>273</v>
      </c>
      <c r="CG297" s="43">
        <v>272</v>
      </c>
      <c r="CH297" s="43">
        <v>213</v>
      </c>
      <c r="CI297" s="43">
        <v>132</v>
      </c>
      <c r="CJ297" s="43">
        <v>372</v>
      </c>
      <c r="CK297" s="43">
        <v>272</v>
      </c>
      <c r="CL297" s="43">
        <v>228</v>
      </c>
      <c r="CM297" s="43">
        <v>384</v>
      </c>
      <c r="CN297" s="43">
        <v>395</v>
      </c>
      <c r="CO297" s="43">
        <v>196</v>
      </c>
      <c r="CP297" s="43">
        <v>301</v>
      </c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43">
        <v>320</v>
      </c>
      <c r="DD297" s="43">
        <v>205</v>
      </c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43"/>
      <c r="FZ297" s="43"/>
      <c r="GA297" s="53"/>
      <c r="GB297" s="53"/>
      <c r="GC297" s="53"/>
      <c r="GD297" s="53"/>
      <c r="GE297" s="53"/>
      <c r="GF297" s="53"/>
      <c r="GG297" s="53"/>
      <c r="GH297" s="53"/>
      <c r="GI297" s="43"/>
      <c r="GJ297" s="43"/>
      <c r="GK297" s="43"/>
      <c r="GL297" s="43"/>
      <c r="GM297" s="53"/>
      <c r="GN297" s="53"/>
      <c r="GO297" s="43">
        <v>392</v>
      </c>
      <c r="GP297" s="43">
        <v>228</v>
      </c>
      <c r="GQ297" s="43">
        <v>398</v>
      </c>
      <c r="GR297" s="43">
        <v>215</v>
      </c>
    </row>
    <row r="298" spans="1:200">
      <c r="A298" s="7">
        <v>5206</v>
      </c>
      <c r="B298" s="1" t="s">
        <v>426</v>
      </c>
      <c r="C298" s="33">
        <v>746</v>
      </c>
      <c r="D298" s="34">
        <v>559</v>
      </c>
      <c r="E298" s="19">
        <f t="shared" si="4"/>
        <v>0.74932975871313678</v>
      </c>
      <c r="F298" s="62">
        <v>268</v>
      </c>
      <c r="G298" s="43">
        <v>3</v>
      </c>
      <c r="H298" s="43">
        <v>15</v>
      </c>
      <c r="I298" s="43">
        <v>3</v>
      </c>
      <c r="J298" s="55">
        <v>264</v>
      </c>
      <c r="K298" s="6">
        <v>0</v>
      </c>
      <c r="L298" s="6">
        <v>0</v>
      </c>
      <c r="M298" s="43">
        <v>0</v>
      </c>
      <c r="N298" s="25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  <c r="V298" s="43">
        <v>0</v>
      </c>
      <c r="W298" s="43">
        <v>1</v>
      </c>
      <c r="X298" s="43">
        <v>0</v>
      </c>
      <c r="Y298" s="43">
        <v>0</v>
      </c>
      <c r="Z298" s="43">
        <v>0</v>
      </c>
      <c r="AA298" s="44">
        <v>0</v>
      </c>
      <c r="AB298" s="44">
        <v>0</v>
      </c>
      <c r="AC298" s="44">
        <v>8</v>
      </c>
      <c r="AD298" s="44">
        <v>8</v>
      </c>
      <c r="AE298" s="44">
        <v>279</v>
      </c>
      <c r="AF298" s="44">
        <v>6</v>
      </c>
      <c r="AG298" s="44">
        <v>0</v>
      </c>
      <c r="AH298" s="44">
        <v>234</v>
      </c>
      <c r="AI298" s="44">
        <v>280</v>
      </c>
      <c r="AJ298" s="44">
        <v>0</v>
      </c>
      <c r="AK298" s="44">
        <v>0</v>
      </c>
      <c r="AL298" s="44">
        <v>252</v>
      </c>
      <c r="AM298" s="48"/>
      <c r="AN298" s="48"/>
      <c r="AO298" s="48"/>
      <c r="AP298" s="44">
        <v>256</v>
      </c>
      <c r="AQ298" s="44">
        <v>248</v>
      </c>
      <c r="AR298" s="50"/>
      <c r="AS298" s="50"/>
      <c r="AT298" s="43">
        <v>276</v>
      </c>
      <c r="AU298" s="43">
        <v>239</v>
      </c>
      <c r="AV298" s="50"/>
      <c r="AW298" s="50"/>
      <c r="AX298" s="50"/>
      <c r="AY298" s="50"/>
      <c r="AZ298" s="50"/>
      <c r="BA298" s="50"/>
      <c r="BB298" s="50"/>
      <c r="BC298" s="50"/>
      <c r="BD298" s="50"/>
      <c r="BE298" s="43">
        <v>227</v>
      </c>
      <c r="BF298" s="43">
        <v>292</v>
      </c>
      <c r="BG298" s="43">
        <v>272</v>
      </c>
      <c r="BH298" s="43">
        <v>242</v>
      </c>
      <c r="BI298" s="43">
        <v>274</v>
      </c>
      <c r="BJ298" s="43">
        <v>232</v>
      </c>
      <c r="BK298" s="43">
        <v>277</v>
      </c>
      <c r="BL298" s="43">
        <v>239</v>
      </c>
      <c r="BM298" s="43">
        <v>218</v>
      </c>
      <c r="BN298" s="43">
        <v>292</v>
      </c>
      <c r="BO298" s="43">
        <v>256</v>
      </c>
      <c r="BP298" s="43">
        <v>248</v>
      </c>
      <c r="BQ298" s="43">
        <v>288</v>
      </c>
      <c r="BR298" s="43">
        <v>217</v>
      </c>
      <c r="BS298" s="43">
        <v>318</v>
      </c>
      <c r="BT298" s="43">
        <v>202</v>
      </c>
      <c r="BU298" s="43">
        <v>295</v>
      </c>
      <c r="BV298" s="43">
        <v>319</v>
      </c>
      <c r="BW298" s="43">
        <v>213</v>
      </c>
      <c r="BX298" s="43">
        <v>192</v>
      </c>
      <c r="BY298" s="43">
        <v>255</v>
      </c>
      <c r="BZ298" s="43">
        <v>197</v>
      </c>
      <c r="CA298" s="43">
        <v>302</v>
      </c>
      <c r="CB298" s="43">
        <v>195</v>
      </c>
      <c r="CC298" s="43">
        <v>211</v>
      </c>
      <c r="CD298" s="43">
        <v>314</v>
      </c>
      <c r="CE298" s="43">
        <v>209</v>
      </c>
      <c r="CF298" s="43">
        <v>207</v>
      </c>
      <c r="CG298" s="43">
        <v>205</v>
      </c>
      <c r="CH298" s="43">
        <v>178</v>
      </c>
      <c r="CI298" s="43">
        <v>155</v>
      </c>
      <c r="CJ298" s="43">
        <v>247</v>
      </c>
      <c r="CK298" s="43">
        <v>237</v>
      </c>
      <c r="CL298" s="43">
        <v>173</v>
      </c>
      <c r="CM298" s="43">
        <v>284</v>
      </c>
      <c r="CN298" s="43">
        <v>285</v>
      </c>
      <c r="CO298" s="43">
        <v>184</v>
      </c>
      <c r="CP298" s="43">
        <v>211</v>
      </c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43">
        <v>249</v>
      </c>
      <c r="DD298" s="43">
        <v>167</v>
      </c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43"/>
      <c r="FZ298" s="43"/>
      <c r="GA298" s="53"/>
      <c r="GB298" s="53"/>
      <c r="GC298" s="53"/>
      <c r="GD298" s="53"/>
      <c r="GE298" s="53"/>
      <c r="GF298" s="53"/>
      <c r="GG298" s="53"/>
      <c r="GH298" s="53"/>
      <c r="GI298" s="43"/>
      <c r="GJ298" s="43"/>
      <c r="GK298" s="43"/>
      <c r="GL298" s="43"/>
      <c r="GM298" s="53"/>
      <c r="GN298" s="53"/>
      <c r="GO298" s="43">
        <v>354</v>
      </c>
      <c r="GP298" s="43">
        <v>161</v>
      </c>
      <c r="GQ298" s="43">
        <v>339</v>
      </c>
      <c r="GR298" s="43">
        <v>175</v>
      </c>
    </row>
    <row r="299" spans="1:200">
      <c r="A299" s="7">
        <v>5207</v>
      </c>
      <c r="B299" s="1" t="s">
        <v>427</v>
      </c>
      <c r="C299" s="33">
        <v>636</v>
      </c>
      <c r="D299" s="34">
        <v>477</v>
      </c>
      <c r="E299" s="19">
        <f t="shared" si="4"/>
        <v>0.75</v>
      </c>
      <c r="F299" s="62">
        <v>322</v>
      </c>
      <c r="G299" s="43">
        <v>2</v>
      </c>
      <c r="H299" s="43">
        <v>17</v>
      </c>
      <c r="I299" s="43">
        <v>2</v>
      </c>
      <c r="J299" s="55">
        <v>124</v>
      </c>
      <c r="K299" s="6">
        <v>0</v>
      </c>
      <c r="L299" s="6">
        <v>0</v>
      </c>
      <c r="M299" s="43">
        <v>0</v>
      </c>
      <c r="N299" s="25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  <c r="V299" s="43">
        <v>0</v>
      </c>
      <c r="W299" s="43">
        <v>1</v>
      </c>
      <c r="X299" s="43">
        <v>0</v>
      </c>
      <c r="Y299" s="43">
        <v>0</v>
      </c>
      <c r="Z299" s="43">
        <v>0</v>
      </c>
      <c r="AA299" s="44">
        <v>0</v>
      </c>
      <c r="AB299" s="44">
        <v>0</v>
      </c>
      <c r="AC299" s="44">
        <v>8</v>
      </c>
      <c r="AD299" s="44">
        <v>6</v>
      </c>
      <c r="AE299" s="44">
        <v>164</v>
      </c>
      <c r="AF299" s="44">
        <v>8</v>
      </c>
      <c r="AG299" s="44">
        <v>0</v>
      </c>
      <c r="AH299" s="44">
        <v>276</v>
      </c>
      <c r="AI299" s="44">
        <v>167</v>
      </c>
      <c r="AJ299" s="44">
        <v>0</v>
      </c>
      <c r="AK299" s="44">
        <v>0</v>
      </c>
      <c r="AL299" s="44">
        <v>287</v>
      </c>
      <c r="AM299" s="48"/>
      <c r="AN299" s="48"/>
      <c r="AO299" s="48"/>
      <c r="AP299" s="44">
        <v>304</v>
      </c>
      <c r="AQ299" s="44">
        <v>140</v>
      </c>
      <c r="AR299" s="50"/>
      <c r="AS299" s="50"/>
      <c r="AT299" s="43">
        <v>165</v>
      </c>
      <c r="AU299" s="43">
        <v>280</v>
      </c>
      <c r="AV299" s="50"/>
      <c r="AW299" s="50"/>
      <c r="AX299" s="50"/>
      <c r="AY299" s="50"/>
      <c r="AZ299" s="50"/>
      <c r="BA299" s="50"/>
      <c r="BB299" s="50"/>
      <c r="BC299" s="50"/>
      <c r="BD299" s="50"/>
      <c r="BE299" s="43">
        <v>116</v>
      </c>
      <c r="BF299" s="43">
        <v>331</v>
      </c>
      <c r="BG299" s="43">
        <v>145</v>
      </c>
      <c r="BH299" s="43">
        <v>303</v>
      </c>
      <c r="BI299" s="43">
        <v>185</v>
      </c>
      <c r="BJ299" s="43">
        <v>268</v>
      </c>
      <c r="BK299" s="43">
        <v>296</v>
      </c>
      <c r="BL299" s="43">
        <v>147</v>
      </c>
      <c r="BM299" s="43">
        <v>118</v>
      </c>
      <c r="BN299" s="43">
        <v>333</v>
      </c>
      <c r="BO299" s="43">
        <v>298</v>
      </c>
      <c r="BP299" s="43">
        <v>144</v>
      </c>
      <c r="BQ299" s="43">
        <v>166</v>
      </c>
      <c r="BR299" s="43">
        <v>281</v>
      </c>
      <c r="BS299" s="43">
        <v>260</v>
      </c>
      <c r="BT299" s="43">
        <v>117</v>
      </c>
      <c r="BU299" s="43">
        <v>329</v>
      </c>
      <c r="BV299" s="43">
        <v>289</v>
      </c>
      <c r="BW299" s="43">
        <v>146</v>
      </c>
      <c r="BX299" s="43">
        <v>230</v>
      </c>
      <c r="BY299" s="43">
        <v>176</v>
      </c>
      <c r="BZ299" s="43">
        <v>230</v>
      </c>
      <c r="CA299" s="43">
        <v>261</v>
      </c>
      <c r="CB299" s="43">
        <v>115</v>
      </c>
      <c r="CC299" s="43">
        <v>256</v>
      </c>
      <c r="CD299" s="43">
        <v>291</v>
      </c>
      <c r="CE299" s="43">
        <v>236</v>
      </c>
      <c r="CF299" s="43">
        <v>139</v>
      </c>
      <c r="CG299" s="43">
        <v>138</v>
      </c>
      <c r="CH299" s="43">
        <v>227</v>
      </c>
      <c r="CI299" s="43">
        <v>203</v>
      </c>
      <c r="CJ299" s="43">
        <v>175</v>
      </c>
      <c r="CK299" s="43">
        <v>161</v>
      </c>
      <c r="CL299" s="43">
        <v>223</v>
      </c>
      <c r="CM299" s="43">
        <v>244</v>
      </c>
      <c r="CN299" s="43">
        <v>254</v>
      </c>
      <c r="CO299" s="43">
        <v>226</v>
      </c>
      <c r="CP299" s="43">
        <v>154</v>
      </c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43">
        <v>250</v>
      </c>
      <c r="DD299" s="43">
        <v>120</v>
      </c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43"/>
      <c r="FZ299" s="43"/>
      <c r="GA299" s="53"/>
      <c r="GB299" s="53"/>
      <c r="GC299" s="53"/>
      <c r="GD299" s="53"/>
      <c r="GE299" s="53"/>
      <c r="GF299" s="53"/>
      <c r="GG299" s="53"/>
      <c r="GH299" s="53"/>
      <c r="GI299" s="43"/>
      <c r="GJ299" s="43"/>
      <c r="GK299" s="43"/>
      <c r="GL299" s="43"/>
      <c r="GM299" s="53"/>
      <c r="GN299" s="53"/>
      <c r="GO299" s="43">
        <v>330</v>
      </c>
      <c r="GP299" s="43">
        <v>123</v>
      </c>
      <c r="GQ299" s="43">
        <v>334</v>
      </c>
      <c r="GR299" s="43">
        <v>114</v>
      </c>
    </row>
    <row r="300" spans="1:200">
      <c r="A300" s="7">
        <v>5208</v>
      </c>
      <c r="B300" s="1" t="s">
        <v>428</v>
      </c>
      <c r="C300" s="33">
        <v>886</v>
      </c>
      <c r="D300" s="34">
        <v>721</v>
      </c>
      <c r="E300" s="19">
        <f t="shared" si="4"/>
        <v>0.81376975169300225</v>
      </c>
      <c r="F300" s="62">
        <v>520</v>
      </c>
      <c r="G300" s="43">
        <v>5</v>
      </c>
      <c r="H300" s="43">
        <v>17</v>
      </c>
      <c r="I300" s="43">
        <v>1</v>
      </c>
      <c r="J300" s="55">
        <v>166</v>
      </c>
      <c r="K300" s="6">
        <v>0</v>
      </c>
      <c r="L300" s="6">
        <v>0</v>
      </c>
      <c r="M300" s="43">
        <v>0</v>
      </c>
      <c r="N300" s="25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  <c r="V300" s="43">
        <v>0</v>
      </c>
      <c r="W300" s="43">
        <v>0</v>
      </c>
      <c r="X300" s="43">
        <v>0</v>
      </c>
      <c r="Y300" s="43">
        <v>0</v>
      </c>
      <c r="Z300" s="43">
        <v>0</v>
      </c>
      <c r="AA300" s="44">
        <v>0</v>
      </c>
      <c r="AB300" s="44">
        <v>0</v>
      </c>
      <c r="AC300" s="44">
        <v>8</v>
      </c>
      <c r="AD300" s="44">
        <v>5</v>
      </c>
      <c r="AE300" s="44">
        <v>234</v>
      </c>
      <c r="AF300" s="44">
        <v>7</v>
      </c>
      <c r="AG300" s="44">
        <v>0</v>
      </c>
      <c r="AH300" s="44">
        <v>452</v>
      </c>
      <c r="AI300" s="44">
        <v>219</v>
      </c>
      <c r="AJ300" s="44">
        <v>0</v>
      </c>
      <c r="AK300" s="44">
        <v>0</v>
      </c>
      <c r="AL300" s="44">
        <v>487</v>
      </c>
      <c r="AM300" s="48"/>
      <c r="AN300" s="48"/>
      <c r="AO300" s="48"/>
      <c r="AP300" s="44">
        <v>504</v>
      </c>
      <c r="AQ300" s="44">
        <v>187</v>
      </c>
      <c r="AR300" s="50"/>
      <c r="AS300" s="50"/>
      <c r="AT300" s="43">
        <v>214</v>
      </c>
      <c r="AU300" s="43">
        <v>482</v>
      </c>
      <c r="AV300" s="50"/>
      <c r="AW300" s="50"/>
      <c r="AX300" s="50"/>
      <c r="AY300" s="50"/>
      <c r="AZ300" s="50"/>
      <c r="BA300" s="50"/>
      <c r="BB300" s="50"/>
      <c r="BC300" s="50"/>
      <c r="BD300" s="50"/>
      <c r="BE300" s="43">
        <v>153</v>
      </c>
      <c r="BF300" s="43">
        <v>542</v>
      </c>
      <c r="BG300" s="43">
        <v>202</v>
      </c>
      <c r="BH300" s="43">
        <v>502</v>
      </c>
      <c r="BI300" s="43">
        <v>233</v>
      </c>
      <c r="BJ300" s="43">
        <v>454</v>
      </c>
      <c r="BK300" s="43">
        <v>502</v>
      </c>
      <c r="BL300" s="43">
        <v>192</v>
      </c>
      <c r="BM300" s="43">
        <v>170</v>
      </c>
      <c r="BN300" s="43">
        <v>524</v>
      </c>
      <c r="BO300" s="43">
        <v>509</v>
      </c>
      <c r="BP300" s="43">
        <v>183</v>
      </c>
      <c r="BQ300" s="43">
        <v>234</v>
      </c>
      <c r="BR300" s="43">
        <v>456</v>
      </c>
      <c r="BS300" s="43">
        <v>343</v>
      </c>
      <c r="BT300" s="43">
        <v>152</v>
      </c>
      <c r="BU300" s="43">
        <v>542</v>
      </c>
      <c r="BV300" s="43">
        <v>394</v>
      </c>
      <c r="BW300" s="43">
        <v>226</v>
      </c>
      <c r="BX300" s="43">
        <v>370</v>
      </c>
      <c r="BY300" s="43">
        <v>246</v>
      </c>
      <c r="BZ300" s="43">
        <v>401</v>
      </c>
      <c r="CA300" s="43">
        <v>358</v>
      </c>
      <c r="CB300" s="43">
        <v>169</v>
      </c>
      <c r="CC300" s="43">
        <v>437</v>
      </c>
      <c r="CD300" s="43">
        <v>446</v>
      </c>
      <c r="CE300" s="43">
        <v>427</v>
      </c>
      <c r="CF300" s="43">
        <v>178</v>
      </c>
      <c r="CG300" s="43">
        <v>199</v>
      </c>
      <c r="CH300" s="43">
        <v>383</v>
      </c>
      <c r="CI300" s="43">
        <v>357</v>
      </c>
      <c r="CJ300" s="43">
        <v>246</v>
      </c>
      <c r="CK300" s="43">
        <v>234</v>
      </c>
      <c r="CL300" s="43">
        <v>367</v>
      </c>
      <c r="CM300" s="43">
        <v>344</v>
      </c>
      <c r="CN300" s="43">
        <v>356</v>
      </c>
      <c r="CO300" s="43">
        <v>379</v>
      </c>
      <c r="CP300" s="43">
        <v>223</v>
      </c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43">
        <v>392</v>
      </c>
      <c r="DD300" s="43">
        <v>191</v>
      </c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43"/>
      <c r="FZ300" s="43"/>
      <c r="GA300" s="53"/>
      <c r="GB300" s="53"/>
      <c r="GC300" s="53"/>
      <c r="GD300" s="53"/>
      <c r="GE300" s="53"/>
      <c r="GF300" s="53"/>
      <c r="GG300" s="53"/>
      <c r="GH300" s="53"/>
      <c r="GI300" s="43"/>
      <c r="GJ300" s="43"/>
      <c r="GK300" s="43"/>
      <c r="GL300" s="43"/>
      <c r="GM300" s="53"/>
      <c r="GN300" s="53"/>
      <c r="GO300" s="43">
        <v>491</v>
      </c>
      <c r="GP300" s="43">
        <v>207</v>
      </c>
      <c r="GQ300" s="43">
        <v>528</v>
      </c>
      <c r="GR300" s="43">
        <v>170</v>
      </c>
    </row>
    <row r="301" spans="1:200">
      <c r="A301" s="7">
        <v>5301</v>
      </c>
      <c r="B301" s="1" t="s">
        <v>429</v>
      </c>
      <c r="C301" s="33">
        <v>1441</v>
      </c>
      <c r="D301" s="34">
        <v>1242</v>
      </c>
      <c r="E301" s="19">
        <f t="shared" si="4"/>
        <v>0.86190145732130463</v>
      </c>
      <c r="F301" s="62">
        <v>697</v>
      </c>
      <c r="G301" s="43">
        <v>2</v>
      </c>
      <c r="H301" s="43">
        <v>55</v>
      </c>
      <c r="I301" s="43">
        <v>6</v>
      </c>
      <c r="J301" s="55">
        <v>448</v>
      </c>
      <c r="K301" s="6">
        <v>0</v>
      </c>
      <c r="L301" s="6">
        <v>0</v>
      </c>
      <c r="M301" s="43">
        <v>0</v>
      </c>
      <c r="N301" s="25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  <c r="V301" s="43">
        <v>1</v>
      </c>
      <c r="W301" s="43">
        <v>4</v>
      </c>
      <c r="X301" s="43">
        <v>0</v>
      </c>
      <c r="Y301" s="43">
        <v>0</v>
      </c>
      <c r="Z301" s="43">
        <v>0</v>
      </c>
      <c r="AA301" s="44">
        <v>0</v>
      </c>
      <c r="AB301" s="44">
        <v>0</v>
      </c>
      <c r="AC301" s="44">
        <v>10</v>
      </c>
      <c r="AD301" s="44">
        <v>10</v>
      </c>
      <c r="AE301" s="44">
        <v>636</v>
      </c>
      <c r="AF301" s="44">
        <v>9</v>
      </c>
      <c r="AG301" s="44">
        <v>0</v>
      </c>
      <c r="AH301" s="44">
        <v>545</v>
      </c>
      <c r="AI301" s="32"/>
      <c r="AJ301" s="32"/>
      <c r="AK301" s="32"/>
      <c r="AL301" s="32"/>
      <c r="AM301" s="44">
        <v>105</v>
      </c>
      <c r="AN301" s="44">
        <v>457</v>
      </c>
      <c r="AO301" s="44">
        <v>601</v>
      </c>
      <c r="AP301" s="44"/>
      <c r="AQ301" s="44"/>
      <c r="AR301" s="51"/>
      <c r="AS301" s="51"/>
      <c r="AT301" s="51"/>
      <c r="AU301" s="51"/>
      <c r="AV301" s="51"/>
      <c r="AW301" s="50"/>
      <c r="AX301" s="50"/>
      <c r="AY301" s="50"/>
      <c r="AZ301" s="50"/>
      <c r="BA301" s="50"/>
      <c r="BB301" s="50"/>
      <c r="BC301" s="43">
        <v>564</v>
      </c>
      <c r="BD301" s="43">
        <v>607</v>
      </c>
      <c r="BE301" s="43">
        <v>485</v>
      </c>
      <c r="BF301" s="43">
        <v>690</v>
      </c>
      <c r="BG301" s="43">
        <v>528</v>
      </c>
      <c r="BH301" s="43">
        <v>651</v>
      </c>
      <c r="BI301" s="43">
        <v>616</v>
      </c>
      <c r="BJ301" s="43">
        <v>557</v>
      </c>
      <c r="BK301" s="43">
        <v>657</v>
      </c>
      <c r="BL301" s="43">
        <v>514</v>
      </c>
      <c r="BM301" s="43">
        <v>483</v>
      </c>
      <c r="BN301" s="43">
        <v>676</v>
      </c>
      <c r="BO301" s="43">
        <v>603</v>
      </c>
      <c r="BP301" s="43">
        <v>545</v>
      </c>
      <c r="BQ301" s="43">
        <v>619</v>
      </c>
      <c r="BR301" s="43">
        <v>518</v>
      </c>
      <c r="BS301" s="43">
        <v>705</v>
      </c>
      <c r="BT301" s="43">
        <v>401</v>
      </c>
      <c r="BU301" s="43">
        <v>739</v>
      </c>
      <c r="BV301" s="43">
        <v>709</v>
      </c>
      <c r="BW301" s="43">
        <v>469</v>
      </c>
      <c r="BX301" s="43">
        <v>469</v>
      </c>
      <c r="BY301" s="43">
        <v>497</v>
      </c>
      <c r="BZ301" s="43">
        <v>536</v>
      </c>
      <c r="CA301" s="43">
        <v>618</v>
      </c>
      <c r="CB301" s="43">
        <v>399</v>
      </c>
      <c r="CC301" s="43">
        <v>542</v>
      </c>
      <c r="CD301" s="43">
        <v>682</v>
      </c>
      <c r="CE301" s="43">
        <v>526</v>
      </c>
      <c r="CF301" s="43">
        <v>434</v>
      </c>
      <c r="CG301" s="43">
        <v>396</v>
      </c>
      <c r="CH301" s="43">
        <v>502</v>
      </c>
      <c r="CI301" s="43">
        <v>372</v>
      </c>
      <c r="CJ301" s="43">
        <v>558</v>
      </c>
      <c r="CK301" s="43">
        <v>464</v>
      </c>
      <c r="CL301" s="43">
        <v>435</v>
      </c>
      <c r="CM301" s="43">
        <v>585</v>
      </c>
      <c r="CN301" s="43">
        <v>594</v>
      </c>
      <c r="CO301" s="43">
        <v>429</v>
      </c>
      <c r="CP301" s="43">
        <v>510</v>
      </c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43">
        <v>732</v>
      </c>
      <c r="DF301" s="43">
        <v>229</v>
      </c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43"/>
      <c r="FZ301" s="43"/>
      <c r="GA301" s="53"/>
      <c r="GB301" s="53"/>
      <c r="GC301" s="53"/>
      <c r="GD301" s="53"/>
      <c r="GE301" s="53"/>
      <c r="GF301" s="53"/>
      <c r="GG301" s="53"/>
      <c r="GH301" s="53"/>
      <c r="GI301" s="43"/>
      <c r="GJ301" s="43"/>
      <c r="GK301" s="43">
        <v>31</v>
      </c>
      <c r="GL301" s="43">
        <v>51</v>
      </c>
      <c r="GM301" s="53"/>
      <c r="GN301" s="53"/>
      <c r="GO301" s="43">
        <v>955</v>
      </c>
      <c r="GP301" s="43">
        <v>232</v>
      </c>
      <c r="GQ301" s="43">
        <v>951</v>
      </c>
      <c r="GR301" s="43">
        <v>228</v>
      </c>
    </row>
    <row r="302" spans="1:200">
      <c r="A302" s="7">
        <v>5302</v>
      </c>
      <c r="B302" s="1" t="s">
        <v>430</v>
      </c>
      <c r="C302" s="33">
        <v>1381</v>
      </c>
      <c r="D302" s="34">
        <v>1103</v>
      </c>
      <c r="E302" s="19">
        <f t="shared" si="4"/>
        <v>0.79869659666908033</v>
      </c>
      <c r="F302" s="62">
        <v>662</v>
      </c>
      <c r="G302" s="43">
        <v>3</v>
      </c>
      <c r="H302" s="43">
        <v>62</v>
      </c>
      <c r="I302" s="43">
        <v>7</v>
      </c>
      <c r="J302" s="55">
        <v>345</v>
      </c>
      <c r="K302" s="6">
        <v>0</v>
      </c>
      <c r="L302" s="6">
        <v>0</v>
      </c>
      <c r="M302" s="43">
        <v>0</v>
      </c>
      <c r="N302" s="25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  <c r="V302" s="43">
        <v>0</v>
      </c>
      <c r="W302" s="43">
        <v>2</v>
      </c>
      <c r="X302" s="43">
        <v>0</v>
      </c>
      <c r="Y302" s="43">
        <v>0</v>
      </c>
      <c r="Z302" s="43">
        <v>0</v>
      </c>
      <c r="AA302" s="44">
        <v>0</v>
      </c>
      <c r="AB302" s="44">
        <v>0</v>
      </c>
      <c r="AC302" s="44">
        <v>7</v>
      </c>
      <c r="AD302" s="44">
        <v>20</v>
      </c>
      <c r="AE302" s="44">
        <v>610</v>
      </c>
      <c r="AF302" s="44">
        <v>3</v>
      </c>
      <c r="AG302" s="44">
        <v>0</v>
      </c>
      <c r="AH302" s="44">
        <v>435</v>
      </c>
      <c r="AI302" s="32"/>
      <c r="AJ302" s="32"/>
      <c r="AK302" s="32"/>
      <c r="AL302" s="32"/>
      <c r="AM302" s="44">
        <v>87</v>
      </c>
      <c r="AN302" s="44">
        <v>392</v>
      </c>
      <c r="AO302" s="44">
        <v>563</v>
      </c>
      <c r="AP302" s="44"/>
      <c r="AQ302" s="44"/>
      <c r="AR302" s="51"/>
      <c r="AS302" s="51"/>
      <c r="AT302" s="51"/>
      <c r="AU302" s="51"/>
      <c r="AV302" s="51"/>
      <c r="AW302" s="50"/>
      <c r="AX302" s="50"/>
      <c r="AY302" s="50"/>
      <c r="AZ302" s="50"/>
      <c r="BA302" s="50"/>
      <c r="BB302" s="50"/>
      <c r="BC302" s="43">
        <v>509</v>
      </c>
      <c r="BD302" s="43">
        <v>539</v>
      </c>
      <c r="BE302" s="43">
        <v>457</v>
      </c>
      <c r="BF302" s="43">
        <v>589</v>
      </c>
      <c r="BG302" s="43">
        <v>510</v>
      </c>
      <c r="BH302" s="43">
        <v>541</v>
      </c>
      <c r="BI302" s="43">
        <v>616</v>
      </c>
      <c r="BJ302" s="43">
        <v>425</v>
      </c>
      <c r="BK302" s="43">
        <v>561</v>
      </c>
      <c r="BL302" s="43">
        <v>475</v>
      </c>
      <c r="BM302" s="43">
        <v>425</v>
      </c>
      <c r="BN302" s="43">
        <v>578</v>
      </c>
      <c r="BO302" s="43">
        <v>522</v>
      </c>
      <c r="BP302" s="43">
        <v>485</v>
      </c>
      <c r="BQ302" s="43">
        <v>588</v>
      </c>
      <c r="BR302" s="43">
        <v>415</v>
      </c>
      <c r="BS302" s="43">
        <v>663</v>
      </c>
      <c r="BT302" s="43">
        <v>386</v>
      </c>
      <c r="BU302" s="43">
        <v>622</v>
      </c>
      <c r="BV302" s="43">
        <v>657</v>
      </c>
      <c r="BW302" s="43">
        <v>468</v>
      </c>
      <c r="BX302" s="43">
        <v>353</v>
      </c>
      <c r="BY302" s="43">
        <v>451</v>
      </c>
      <c r="BZ302" s="43">
        <v>448</v>
      </c>
      <c r="CA302" s="43">
        <v>575</v>
      </c>
      <c r="CB302" s="43">
        <v>360</v>
      </c>
      <c r="CC302" s="43">
        <v>450</v>
      </c>
      <c r="CD302" s="43">
        <v>594</v>
      </c>
      <c r="CE302" s="43">
        <v>448</v>
      </c>
      <c r="CF302" s="43">
        <v>382</v>
      </c>
      <c r="CG302" s="43">
        <v>397</v>
      </c>
      <c r="CH302" s="43">
        <v>406</v>
      </c>
      <c r="CI302" s="43">
        <v>292</v>
      </c>
      <c r="CJ302" s="43">
        <v>518</v>
      </c>
      <c r="CK302" s="43">
        <v>451</v>
      </c>
      <c r="CL302" s="43">
        <v>347</v>
      </c>
      <c r="CM302" s="43">
        <v>520</v>
      </c>
      <c r="CN302" s="43">
        <v>553</v>
      </c>
      <c r="CO302" s="43">
        <v>342</v>
      </c>
      <c r="CP302" s="43">
        <v>462</v>
      </c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43">
        <v>679</v>
      </c>
      <c r="DF302" s="43">
        <v>189</v>
      </c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43"/>
      <c r="FZ302" s="43"/>
      <c r="GA302" s="53"/>
      <c r="GB302" s="53"/>
      <c r="GC302" s="53"/>
      <c r="GD302" s="53"/>
      <c r="GE302" s="53"/>
      <c r="GF302" s="53"/>
      <c r="GG302" s="53"/>
      <c r="GH302" s="53"/>
      <c r="GI302" s="43"/>
      <c r="GJ302" s="43"/>
      <c r="GK302" s="43"/>
      <c r="GL302" s="43"/>
      <c r="GM302" s="53"/>
      <c r="GN302" s="53"/>
      <c r="GO302" s="43">
        <v>850</v>
      </c>
      <c r="GP302" s="43">
        <v>210</v>
      </c>
      <c r="GQ302" s="43">
        <v>848</v>
      </c>
      <c r="GR302" s="43">
        <v>205</v>
      </c>
    </row>
    <row r="303" spans="1:200">
      <c r="A303" s="7">
        <v>5303</v>
      </c>
      <c r="B303" s="1" t="s">
        <v>431</v>
      </c>
      <c r="C303" s="33">
        <v>1177</v>
      </c>
      <c r="D303" s="34">
        <v>950</v>
      </c>
      <c r="E303" s="19">
        <f t="shared" si="4"/>
        <v>0.80713678844519965</v>
      </c>
      <c r="F303" s="62">
        <v>598</v>
      </c>
      <c r="G303" s="43">
        <v>1</v>
      </c>
      <c r="H303" s="43">
        <v>39</v>
      </c>
      <c r="I303" s="43">
        <v>8</v>
      </c>
      <c r="J303" s="55">
        <v>280</v>
      </c>
      <c r="K303" s="6">
        <v>0</v>
      </c>
      <c r="L303" s="6">
        <v>0</v>
      </c>
      <c r="M303" s="43">
        <v>0</v>
      </c>
      <c r="N303" s="25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  <c r="V303" s="43">
        <v>0</v>
      </c>
      <c r="W303" s="43">
        <v>4</v>
      </c>
      <c r="X303" s="43">
        <v>0</v>
      </c>
      <c r="Y303" s="43">
        <v>0</v>
      </c>
      <c r="Z303" s="43">
        <v>0</v>
      </c>
      <c r="AA303" s="44">
        <v>0</v>
      </c>
      <c r="AB303" s="44">
        <v>0</v>
      </c>
      <c r="AC303" s="44">
        <v>9</v>
      </c>
      <c r="AD303" s="44">
        <v>6</v>
      </c>
      <c r="AE303" s="44">
        <v>473</v>
      </c>
      <c r="AF303" s="44">
        <v>3</v>
      </c>
      <c r="AG303" s="44">
        <v>0</v>
      </c>
      <c r="AH303" s="44">
        <v>437</v>
      </c>
      <c r="AI303" s="32"/>
      <c r="AJ303" s="32"/>
      <c r="AK303" s="32"/>
      <c r="AL303" s="32"/>
      <c r="AM303" s="44">
        <v>79</v>
      </c>
      <c r="AN303" s="44">
        <v>375</v>
      </c>
      <c r="AO303" s="44">
        <v>440</v>
      </c>
      <c r="AP303" s="44"/>
      <c r="AQ303" s="44"/>
      <c r="AR303" s="51"/>
      <c r="AS303" s="51"/>
      <c r="AT303" s="51"/>
      <c r="AU303" s="51"/>
      <c r="AV303" s="51"/>
      <c r="AW303" s="50"/>
      <c r="AX303" s="50"/>
      <c r="AY303" s="50"/>
      <c r="AZ303" s="50"/>
      <c r="BA303" s="50"/>
      <c r="BB303" s="50"/>
      <c r="BC303" s="43">
        <v>409</v>
      </c>
      <c r="BD303" s="43">
        <v>485</v>
      </c>
      <c r="BE303" s="43">
        <v>338</v>
      </c>
      <c r="BF303" s="43">
        <v>552</v>
      </c>
      <c r="BG303" s="43">
        <v>387</v>
      </c>
      <c r="BH303" s="43">
        <v>506</v>
      </c>
      <c r="BI303" s="43">
        <v>468</v>
      </c>
      <c r="BJ303" s="43">
        <v>418</v>
      </c>
      <c r="BK303" s="43">
        <v>521</v>
      </c>
      <c r="BL303" s="43">
        <v>359</v>
      </c>
      <c r="BM303" s="43">
        <v>327</v>
      </c>
      <c r="BN303" s="43">
        <v>543</v>
      </c>
      <c r="BO303" s="43">
        <v>481</v>
      </c>
      <c r="BP303" s="43">
        <v>384</v>
      </c>
      <c r="BQ303" s="43">
        <v>449</v>
      </c>
      <c r="BR303" s="43">
        <v>421</v>
      </c>
      <c r="BS303" s="43">
        <v>537</v>
      </c>
      <c r="BT303" s="43">
        <v>310</v>
      </c>
      <c r="BU303" s="43">
        <v>551</v>
      </c>
      <c r="BV303" s="43">
        <v>552</v>
      </c>
      <c r="BW303" s="43">
        <v>334</v>
      </c>
      <c r="BX303" s="43">
        <v>381</v>
      </c>
      <c r="BY303" s="43">
        <v>348</v>
      </c>
      <c r="BZ303" s="43">
        <v>428</v>
      </c>
      <c r="CA303" s="43">
        <v>495</v>
      </c>
      <c r="CB303" s="43">
        <v>266</v>
      </c>
      <c r="CC303" s="43">
        <v>433</v>
      </c>
      <c r="CD303" s="43">
        <v>531</v>
      </c>
      <c r="CE303" s="43">
        <v>398</v>
      </c>
      <c r="CF303" s="43">
        <v>325</v>
      </c>
      <c r="CG303" s="43">
        <v>289</v>
      </c>
      <c r="CH303" s="43">
        <v>399</v>
      </c>
      <c r="CI303" s="43">
        <v>279</v>
      </c>
      <c r="CJ303" s="43">
        <v>427</v>
      </c>
      <c r="CK303" s="43">
        <v>322</v>
      </c>
      <c r="CL303" s="43">
        <v>361</v>
      </c>
      <c r="CM303" s="43">
        <v>456</v>
      </c>
      <c r="CN303" s="43">
        <v>473</v>
      </c>
      <c r="CO303" s="43">
        <v>332</v>
      </c>
      <c r="CP303" s="43">
        <v>369</v>
      </c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43">
        <v>551</v>
      </c>
      <c r="DF303" s="43">
        <v>188</v>
      </c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43"/>
      <c r="FZ303" s="43"/>
      <c r="GA303" s="53"/>
      <c r="GB303" s="53"/>
      <c r="GC303" s="53"/>
      <c r="GD303" s="53"/>
      <c r="GE303" s="53"/>
      <c r="GF303" s="53"/>
      <c r="GG303" s="53"/>
      <c r="GH303" s="53"/>
      <c r="GI303" s="43"/>
      <c r="GJ303" s="43"/>
      <c r="GK303" s="43"/>
      <c r="GL303" s="43"/>
      <c r="GM303" s="53"/>
      <c r="GN303" s="53"/>
      <c r="GO303" s="43">
        <v>735</v>
      </c>
      <c r="GP303" s="43">
        <v>168</v>
      </c>
      <c r="GQ303" s="43">
        <v>721</v>
      </c>
      <c r="GR303" s="43">
        <v>179</v>
      </c>
    </row>
    <row r="304" spans="1:200">
      <c r="A304" s="7">
        <v>5304</v>
      </c>
      <c r="B304" s="1" t="s">
        <v>432</v>
      </c>
      <c r="C304" s="33">
        <v>1276</v>
      </c>
      <c r="D304" s="34">
        <v>1028</v>
      </c>
      <c r="E304" s="19">
        <f t="shared" si="4"/>
        <v>0.80564263322884011</v>
      </c>
      <c r="F304" s="62">
        <v>679</v>
      </c>
      <c r="G304" s="43">
        <v>2</v>
      </c>
      <c r="H304" s="43">
        <v>41</v>
      </c>
      <c r="I304" s="43">
        <v>19</v>
      </c>
      <c r="J304" s="55">
        <v>273</v>
      </c>
      <c r="K304" s="6">
        <v>0</v>
      </c>
      <c r="L304" s="6">
        <v>0</v>
      </c>
      <c r="M304" s="43">
        <v>0</v>
      </c>
      <c r="N304" s="25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  <c r="V304" s="43">
        <v>0</v>
      </c>
      <c r="W304" s="43">
        <v>3</v>
      </c>
      <c r="X304" s="43">
        <v>0</v>
      </c>
      <c r="Y304" s="43">
        <v>0</v>
      </c>
      <c r="Z304" s="43">
        <v>0</v>
      </c>
      <c r="AA304" s="44">
        <v>0</v>
      </c>
      <c r="AB304" s="44">
        <v>0</v>
      </c>
      <c r="AC304" s="44">
        <v>5</v>
      </c>
      <c r="AD304" s="44">
        <v>22</v>
      </c>
      <c r="AE304" s="44">
        <v>421</v>
      </c>
      <c r="AF304" s="44">
        <v>8</v>
      </c>
      <c r="AG304" s="44">
        <v>1</v>
      </c>
      <c r="AH304" s="44">
        <v>550</v>
      </c>
      <c r="AI304" s="32"/>
      <c r="AJ304" s="32"/>
      <c r="AK304" s="32"/>
      <c r="AL304" s="32"/>
      <c r="AM304" s="44">
        <v>65</v>
      </c>
      <c r="AN304" s="44">
        <v>526</v>
      </c>
      <c r="AO304" s="44">
        <v>388</v>
      </c>
      <c r="AP304" s="44"/>
      <c r="AQ304" s="44"/>
      <c r="AR304" s="51"/>
      <c r="AS304" s="51"/>
      <c r="AT304" s="51"/>
      <c r="AU304" s="51"/>
      <c r="AV304" s="51"/>
      <c r="AW304" s="50"/>
      <c r="AX304" s="50"/>
      <c r="AY304" s="50"/>
      <c r="AZ304" s="50"/>
      <c r="BA304" s="50"/>
      <c r="BB304" s="50"/>
      <c r="BC304" s="43">
        <v>336</v>
      </c>
      <c r="BD304" s="43">
        <v>651</v>
      </c>
      <c r="BE304" s="43">
        <v>307</v>
      </c>
      <c r="BF304" s="43">
        <v>670</v>
      </c>
      <c r="BG304" s="43">
        <v>363</v>
      </c>
      <c r="BH304" s="43">
        <v>621</v>
      </c>
      <c r="BI304" s="43">
        <v>438</v>
      </c>
      <c r="BJ304" s="43">
        <v>535</v>
      </c>
      <c r="BK304" s="43">
        <v>643</v>
      </c>
      <c r="BL304" s="43">
        <v>333</v>
      </c>
      <c r="BM304" s="43">
        <v>292</v>
      </c>
      <c r="BN304" s="43">
        <v>668</v>
      </c>
      <c r="BO304" s="43">
        <v>625</v>
      </c>
      <c r="BP304" s="43">
        <v>322</v>
      </c>
      <c r="BQ304" s="43">
        <v>405</v>
      </c>
      <c r="BR304" s="43">
        <v>544</v>
      </c>
      <c r="BS304" s="43">
        <v>561</v>
      </c>
      <c r="BT304" s="43">
        <v>268</v>
      </c>
      <c r="BU304" s="43">
        <v>695</v>
      </c>
      <c r="BV304" s="43">
        <v>613</v>
      </c>
      <c r="BW304" s="43">
        <v>350</v>
      </c>
      <c r="BX304" s="43">
        <v>436</v>
      </c>
      <c r="BY304" s="43">
        <v>371</v>
      </c>
      <c r="BZ304" s="43">
        <v>478</v>
      </c>
      <c r="CA304" s="43">
        <v>556</v>
      </c>
      <c r="CB304" s="43">
        <v>284</v>
      </c>
      <c r="CC304" s="43">
        <v>516</v>
      </c>
      <c r="CD304" s="43">
        <v>617</v>
      </c>
      <c r="CE304" s="43">
        <v>491</v>
      </c>
      <c r="CF304" s="43">
        <v>305</v>
      </c>
      <c r="CG304" s="43">
        <v>335</v>
      </c>
      <c r="CH304" s="43">
        <v>427</v>
      </c>
      <c r="CI304" s="43">
        <v>371</v>
      </c>
      <c r="CJ304" s="43">
        <v>414</v>
      </c>
      <c r="CK304" s="43">
        <v>365</v>
      </c>
      <c r="CL304" s="43">
        <v>414</v>
      </c>
      <c r="CM304" s="43">
        <v>514</v>
      </c>
      <c r="CN304" s="43">
        <v>535</v>
      </c>
      <c r="CO304" s="43">
        <v>437</v>
      </c>
      <c r="CP304" s="43">
        <v>371</v>
      </c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43">
        <v>566</v>
      </c>
      <c r="DF304" s="43">
        <v>268</v>
      </c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43"/>
      <c r="FZ304" s="43"/>
      <c r="GA304" s="53"/>
      <c r="GB304" s="53"/>
      <c r="GC304" s="53"/>
      <c r="GD304" s="53"/>
      <c r="GE304" s="53"/>
      <c r="GF304" s="53"/>
      <c r="GG304" s="53"/>
      <c r="GH304" s="53"/>
      <c r="GI304" s="43"/>
      <c r="GJ304" s="43"/>
      <c r="GK304" s="43"/>
      <c r="GL304" s="43"/>
      <c r="GM304" s="53"/>
      <c r="GN304" s="53"/>
      <c r="GO304" s="43">
        <v>803</v>
      </c>
      <c r="GP304" s="43">
        <v>186</v>
      </c>
      <c r="GQ304" s="43">
        <v>767</v>
      </c>
      <c r="GR304" s="43">
        <v>215</v>
      </c>
    </row>
    <row r="305" spans="1:200">
      <c r="A305" s="7">
        <v>5305</v>
      </c>
      <c r="B305" s="1" t="s">
        <v>433</v>
      </c>
      <c r="C305" s="33">
        <v>1402</v>
      </c>
      <c r="D305" s="34">
        <v>1215</v>
      </c>
      <c r="E305" s="19">
        <f t="shared" si="4"/>
        <v>0.86661911554921545</v>
      </c>
      <c r="F305" s="62">
        <v>679</v>
      </c>
      <c r="G305" s="43">
        <v>1</v>
      </c>
      <c r="H305" s="43">
        <v>72</v>
      </c>
      <c r="I305" s="43">
        <v>11</v>
      </c>
      <c r="J305" s="55">
        <v>427</v>
      </c>
      <c r="K305" s="6">
        <v>0</v>
      </c>
      <c r="L305" s="6">
        <v>0</v>
      </c>
      <c r="M305" s="43">
        <v>1</v>
      </c>
      <c r="N305" s="25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  <c r="V305" s="43">
        <v>0</v>
      </c>
      <c r="W305" s="43">
        <v>2</v>
      </c>
      <c r="X305" s="43">
        <v>0</v>
      </c>
      <c r="Y305" s="43">
        <v>0</v>
      </c>
      <c r="Z305" s="43">
        <v>0</v>
      </c>
      <c r="AA305" s="44">
        <v>0</v>
      </c>
      <c r="AB305" s="44">
        <v>0</v>
      </c>
      <c r="AC305" s="44">
        <v>8</v>
      </c>
      <c r="AD305" s="44">
        <v>14</v>
      </c>
      <c r="AE305" s="44">
        <v>670</v>
      </c>
      <c r="AF305" s="44">
        <v>5</v>
      </c>
      <c r="AG305" s="44">
        <v>0</v>
      </c>
      <c r="AH305" s="44">
        <v>496</v>
      </c>
      <c r="AI305" s="32"/>
      <c r="AJ305" s="32"/>
      <c r="AK305" s="32"/>
      <c r="AL305" s="32"/>
      <c r="AM305" s="44">
        <v>87</v>
      </c>
      <c r="AN305" s="44">
        <v>435</v>
      </c>
      <c r="AO305" s="44">
        <v>629</v>
      </c>
      <c r="AP305" s="44"/>
      <c r="AQ305" s="44"/>
      <c r="AR305" s="51"/>
      <c r="AS305" s="51"/>
      <c r="AT305" s="51"/>
      <c r="AU305" s="51"/>
      <c r="AV305" s="51"/>
      <c r="AW305" s="50"/>
      <c r="AX305" s="50"/>
      <c r="AY305" s="50"/>
      <c r="AZ305" s="50"/>
      <c r="BA305" s="50"/>
      <c r="BB305" s="50"/>
      <c r="BC305" s="43">
        <v>579</v>
      </c>
      <c r="BD305" s="43">
        <v>584</v>
      </c>
      <c r="BE305" s="43">
        <v>507</v>
      </c>
      <c r="BF305" s="43">
        <v>661</v>
      </c>
      <c r="BG305" s="43">
        <v>560</v>
      </c>
      <c r="BH305" s="43">
        <v>598</v>
      </c>
      <c r="BI305" s="43">
        <v>659</v>
      </c>
      <c r="BJ305" s="43">
        <v>488</v>
      </c>
      <c r="BK305" s="43">
        <v>607</v>
      </c>
      <c r="BL305" s="43">
        <v>535</v>
      </c>
      <c r="BM305" s="43">
        <v>473</v>
      </c>
      <c r="BN305" s="43">
        <v>662</v>
      </c>
      <c r="BO305" s="43">
        <v>561</v>
      </c>
      <c r="BP305" s="43">
        <v>558</v>
      </c>
      <c r="BQ305" s="43">
        <v>667</v>
      </c>
      <c r="BR305" s="43">
        <v>452</v>
      </c>
      <c r="BS305" s="43">
        <v>721</v>
      </c>
      <c r="BT305" s="43">
        <v>414</v>
      </c>
      <c r="BU305" s="43">
        <v>699</v>
      </c>
      <c r="BV305" s="43">
        <v>708</v>
      </c>
      <c r="BW305" s="43">
        <v>486</v>
      </c>
      <c r="BX305" s="43">
        <v>420</v>
      </c>
      <c r="BY305" s="43">
        <v>524</v>
      </c>
      <c r="BZ305" s="43">
        <v>481</v>
      </c>
      <c r="CA305" s="43">
        <v>644</v>
      </c>
      <c r="CB305" s="43">
        <v>416</v>
      </c>
      <c r="CC305" s="43">
        <v>497</v>
      </c>
      <c r="CD305" s="43">
        <v>658</v>
      </c>
      <c r="CE305" s="43">
        <v>489</v>
      </c>
      <c r="CF305" s="43">
        <v>450</v>
      </c>
      <c r="CG305" s="43">
        <v>429</v>
      </c>
      <c r="CH305" s="43">
        <v>462</v>
      </c>
      <c r="CI305" s="43">
        <v>327</v>
      </c>
      <c r="CJ305" s="43">
        <v>567</v>
      </c>
      <c r="CK305" s="43">
        <v>457</v>
      </c>
      <c r="CL305" s="43">
        <v>436</v>
      </c>
      <c r="CM305" s="43">
        <v>601</v>
      </c>
      <c r="CN305" s="43">
        <v>611</v>
      </c>
      <c r="CO305" s="43">
        <v>400</v>
      </c>
      <c r="CP305" s="43">
        <v>511</v>
      </c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43">
        <v>712</v>
      </c>
      <c r="DF305" s="43">
        <v>222</v>
      </c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43"/>
      <c r="FZ305" s="43"/>
      <c r="GA305" s="53"/>
      <c r="GB305" s="53"/>
      <c r="GC305" s="53"/>
      <c r="GD305" s="53"/>
      <c r="GE305" s="53"/>
      <c r="GF305" s="53"/>
      <c r="GG305" s="53"/>
      <c r="GH305" s="53"/>
      <c r="GI305" s="43"/>
      <c r="GJ305" s="43"/>
      <c r="GK305" s="43"/>
      <c r="GL305" s="43"/>
      <c r="GM305" s="53"/>
      <c r="GN305" s="53"/>
      <c r="GO305" s="43">
        <v>986</v>
      </c>
      <c r="GP305" s="43">
        <v>194</v>
      </c>
      <c r="GQ305" s="43">
        <v>955</v>
      </c>
      <c r="GR305" s="43">
        <v>222</v>
      </c>
    </row>
    <row r="306" spans="1:200">
      <c r="A306" s="7">
        <v>5501</v>
      </c>
      <c r="B306" s="1" t="s">
        <v>434</v>
      </c>
      <c r="C306" s="33">
        <v>750</v>
      </c>
      <c r="D306" s="34">
        <v>621</v>
      </c>
      <c r="E306" s="19">
        <f t="shared" si="4"/>
        <v>0.82799999999999996</v>
      </c>
      <c r="F306" s="62">
        <v>372</v>
      </c>
      <c r="G306" s="43">
        <v>2</v>
      </c>
      <c r="H306" s="43">
        <v>20</v>
      </c>
      <c r="I306" s="43">
        <v>2</v>
      </c>
      <c r="J306" s="55">
        <v>206</v>
      </c>
      <c r="K306" s="6">
        <v>0</v>
      </c>
      <c r="L306" s="6">
        <v>0</v>
      </c>
      <c r="M306" s="43">
        <v>0</v>
      </c>
      <c r="N306" s="25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  <c r="V306" s="43">
        <v>0</v>
      </c>
      <c r="W306" s="43">
        <v>5</v>
      </c>
      <c r="X306" s="43">
        <v>0</v>
      </c>
      <c r="Y306" s="43">
        <v>0</v>
      </c>
      <c r="Z306" s="43">
        <v>0</v>
      </c>
      <c r="AA306" s="44">
        <v>0</v>
      </c>
      <c r="AB306" s="44">
        <v>0</v>
      </c>
      <c r="AC306" s="44">
        <v>2</v>
      </c>
      <c r="AD306" s="44">
        <v>6</v>
      </c>
      <c r="AE306" s="44">
        <v>336</v>
      </c>
      <c r="AF306" s="44">
        <v>2</v>
      </c>
      <c r="AG306" s="44">
        <v>0</v>
      </c>
      <c r="AH306" s="44">
        <v>261</v>
      </c>
      <c r="AI306" s="32"/>
      <c r="AJ306" s="32"/>
      <c r="AK306" s="32"/>
      <c r="AL306" s="32"/>
      <c r="AM306" s="44">
        <v>35</v>
      </c>
      <c r="AN306" s="44">
        <v>249</v>
      </c>
      <c r="AO306" s="44">
        <v>295</v>
      </c>
      <c r="AP306" s="44"/>
      <c r="AQ306" s="44"/>
      <c r="AR306" s="51"/>
      <c r="AS306" s="51"/>
      <c r="AT306" s="51"/>
      <c r="AU306" s="51"/>
      <c r="AV306" s="51"/>
      <c r="AW306" s="50"/>
      <c r="AX306" s="50"/>
      <c r="AY306" s="43">
        <v>320</v>
      </c>
      <c r="AZ306" s="43">
        <v>251</v>
      </c>
      <c r="BA306" s="50"/>
      <c r="BB306" s="50"/>
      <c r="BC306" s="50"/>
      <c r="BD306" s="50"/>
      <c r="BE306" s="43">
        <v>207</v>
      </c>
      <c r="BF306" s="43">
        <v>367</v>
      </c>
      <c r="BG306" s="43">
        <v>253</v>
      </c>
      <c r="BH306" s="43">
        <v>323</v>
      </c>
      <c r="BI306" s="43">
        <v>299</v>
      </c>
      <c r="BJ306" s="43">
        <v>276</v>
      </c>
      <c r="BK306" s="43">
        <v>317</v>
      </c>
      <c r="BL306" s="43">
        <v>256</v>
      </c>
      <c r="BM306" s="43">
        <v>207</v>
      </c>
      <c r="BN306" s="43">
        <v>352</v>
      </c>
      <c r="BO306" s="43">
        <v>295</v>
      </c>
      <c r="BP306" s="43">
        <v>264</v>
      </c>
      <c r="BQ306" s="43">
        <v>313</v>
      </c>
      <c r="BR306" s="43">
        <v>251</v>
      </c>
      <c r="BS306" s="43">
        <v>332</v>
      </c>
      <c r="BT306" s="43">
        <v>173</v>
      </c>
      <c r="BU306" s="43">
        <v>393</v>
      </c>
      <c r="BV306" s="43">
        <v>336</v>
      </c>
      <c r="BW306" s="43">
        <v>247</v>
      </c>
      <c r="BX306" s="43">
        <v>202</v>
      </c>
      <c r="BY306" s="43">
        <v>223</v>
      </c>
      <c r="BZ306" s="43">
        <v>270</v>
      </c>
      <c r="CA306" s="43">
        <v>315</v>
      </c>
      <c r="CB306" s="43">
        <v>183</v>
      </c>
      <c r="CC306" s="43">
        <v>250</v>
      </c>
      <c r="CD306" s="43">
        <v>330</v>
      </c>
      <c r="CE306" s="43">
        <v>263</v>
      </c>
      <c r="CF306" s="43">
        <v>202</v>
      </c>
      <c r="CG306" s="43">
        <v>233</v>
      </c>
      <c r="CH306" s="43">
        <v>212</v>
      </c>
      <c r="CI306" s="43">
        <v>175</v>
      </c>
      <c r="CJ306" s="43">
        <v>286</v>
      </c>
      <c r="CK306" s="43">
        <v>222</v>
      </c>
      <c r="CL306" s="43">
        <v>214</v>
      </c>
      <c r="CM306" s="43">
        <v>279</v>
      </c>
      <c r="CN306" s="43">
        <v>285</v>
      </c>
      <c r="CO306" s="43">
        <v>212</v>
      </c>
      <c r="CP306" s="43">
        <v>234</v>
      </c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43">
        <v>299</v>
      </c>
      <c r="FZ306" s="43">
        <v>286</v>
      </c>
      <c r="GA306" s="53"/>
      <c r="GB306" s="53"/>
      <c r="GC306" s="53"/>
      <c r="GD306" s="53"/>
      <c r="GE306" s="53"/>
      <c r="GF306" s="53"/>
      <c r="GG306" s="53"/>
      <c r="GH306" s="53"/>
      <c r="GI306" s="43"/>
      <c r="GJ306" s="43"/>
      <c r="GK306" s="43"/>
      <c r="GL306" s="43"/>
      <c r="GM306" s="53"/>
      <c r="GN306" s="53"/>
      <c r="GO306" s="43">
        <v>421</v>
      </c>
      <c r="GP306" s="43">
        <v>170</v>
      </c>
      <c r="GQ306" s="43">
        <v>455</v>
      </c>
      <c r="GR306" s="43">
        <v>138</v>
      </c>
    </row>
    <row r="307" spans="1:200">
      <c r="A307" s="7">
        <v>5502</v>
      </c>
      <c r="B307" s="1" t="s">
        <v>435</v>
      </c>
      <c r="C307" s="33">
        <v>796</v>
      </c>
      <c r="D307" s="34">
        <v>639</v>
      </c>
      <c r="E307" s="19">
        <f t="shared" si="4"/>
        <v>0.80276381909547734</v>
      </c>
      <c r="F307" s="62">
        <v>352</v>
      </c>
      <c r="G307" s="43">
        <v>0</v>
      </c>
      <c r="H307" s="43">
        <v>17</v>
      </c>
      <c r="I307" s="43">
        <v>5</v>
      </c>
      <c r="J307" s="55">
        <v>242</v>
      </c>
      <c r="K307" s="6">
        <v>0</v>
      </c>
      <c r="L307" s="6">
        <v>0</v>
      </c>
      <c r="M307" s="43">
        <v>0</v>
      </c>
      <c r="N307" s="25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  <c r="V307" s="43">
        <v>0</v>
      </c>
      <c r="W307" s="43">
        <v>4</v>
      </c>
      <c r="X307" s="43">
        <v>0</v>
      </c>
      <c r="Y307" s="43">
        <v>0</v>
      </c>
      <c r="Z307" s="43">
        <v>0</v>
      </c>
      <c r="AA307" s="44">
        <v>0</v>
      </c>
      <c r="AB307" s="44">
        <v>0</v>
      </c>
      <c r="AC307" s="44">
        <v>2</v>
      </c>
      <c r="AD307" s="44">
        <v>8</v>
      </c>
      <c r="AE307" s="44">
        <v>384</v>
      </c>
      <c r="AF307" s="44">
        <v>1</v>
      </c>
      <c r="AG307" s="44">
        <v>0</v>
      </c>
      <c r="AH307" s="44">
        <v>226</v>
      </c>
      <c r="AI307" s="32"/>
      <c r="AJ307" s="32"/>
      <c r="AK307" s="32"/>
      <c r="AL307" s="32"/>
      <c r="AM307" s="44">
        <v>32</v>
      </c>
      <c r="AN307" s="44">
        <v>215</v>
      </c>
      <c r="AO307" s="44">
        <v>358</v>
      </c>
      <c r="AP307" s="44"/>
      <c r="AQ307" s="44"/>
      <c r="AR307" s="51"/>
      <c r="AS307" s="51"/>
      <c r="AT307" s="51"/>
      <c r="AU307" s="51"/>
      <c r="AV307" s="51"/>
      <c r="AW307" s="50"/>
      <c r="AX307" s="50"/>
      <c r="AY307" s="43">
        <v>282</v>
      </c>
      <c r="AZ307" s="43">
        <v>310</v>
      </c>
      <c r="BA307" s="50"/>
      <c r="BB307" s="50"/>
      <c r="BC307" s="50"/>
      <c r="BD307" s="50"/>
      <c r="BE307" s="43">
        <v>251</v>
      </c>
      <c r="BF307" s="43">
        <v>343</v>
      </c>
      <c r="BG307" s="43">
        <v>308</v>
      </c>
      <c r="BH307" s="43">
        <v>294</v>
      </c>
      <c r="BI307" s="43">
        <v>368</v>
      </c>
      <c r="BJ307" s="43">
        <v>231</v>
      </c>
      <c r="BK307" s="43">
        <v>291</v>
      </c>
      <c r="BL307" s="43">
        <v>300</v>
      </c>
      <c r="BM307" s="43">
        <v>258</v>
      </c>
      <c r="BN307" s="43">
        <v>322</v>
      </c>
      <c r="BO307" s="43">
        <v>233</v>
      </c>
      <c r="BP307" s="43">
        <v>344</v>
      </c>
      <c r="BQ307" s="43">
        <v>380</v>
      </c>
      <c r="BR307" s="43">
        <v>206</v>
      </c>
      <c r="BS307" s="43">
        <v>373</v>
      </c>
      <c r="BT307" s="43">
        <v>211</v>
      </c>
      <c r="BU307" s="43">
        <v>371</v>
      </c>
      <c r="BV307" s="43">
        <v>357</v>
      </c>
      <c r="BW307" s="43">
        <v>303</v>
      </c>
      <c r="BX307" s="43">
        <v>185</v>
      </c>
      <c r="BY307" s="43">
        <v>288</v>
      </c>
      <c r="BZ307" s="43">
        <v>219</v>
      </c>
      <c r="CA307" s="43">
        <v>326</v>
      </c>
      <c r="CB307" s="43">
        <v>222</v>
      </c>
      <c r="CC307" s="43">
        <v>230</v>
      </c>
      <c r="CD307" s="43">
        <v>353</v>
      </c>
      <c r="CE307" s="43">
        <v>220</v>
      </c>
      <c r="CF307" s="43">
        <v>250</v>
      </c>
      <c r="CG307" s="43">
        <v>259</v>
      </c>
      <c r="CH307" s="43">
        <v>180</v>
      </c>
      <c r="CI307" s="43">
        <v>149</v>
      </c>
      <c r="CJ307" s="43">
        <v>301</v>
      </c>
      <c r="CK307" s="43">
        <v>207</v>
      </c>
      <c r="CL307" s="43">
        <v>225</v>
      </c>
      <c r="CM307" s="43">
        <v>311</v>
      </c>
      <c r="CN307" s="43">
        <v>319</v>
      </c>
      <c r="CO307" s="43">
        <v>186</v>
      </c>
      <c r="CP307" s="43">
        <v>260</v>
      </c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43">
        <v>291</v>
      </c>
      <c r="FZ307" s="43">
        <v>316</v>
      </c>
      <c r="GA307" s="53"/>
      <c r="GB307" s="53"/>
      <c r="GC307" s="53"/>
      <c r="GD307" s="53"/>
      <c r="GE307" s="53"/>
      <c r="GF307" s="53"/>
      <c r="GG307" s="53"/>
      <c r="GH307" s="53"/>
      <c r="GI307" s="43"/>
      <c r="GJ307" s="43"/>
      <c r="GK307" s="43"/>
      <c r="GL307" s="43"/>
      <c r="GM307" s="53"/>
      <c r="GN307" s="53"/>
      <c r="GO307" s="43">
        <v>426</v>
      </c>
      <c r="GP307" s="43">
        <v>180</v>
      </c>
      <c r="GQ307" s="43">
        <v>423</v>
      </c>
      <c r="GR307" s="43">
        <v>181</v>
      </c>
    </row>
    <row r="308" spans="1:200">
      <c r="A308" s="7">
        <v>5503</v>
      </c>
      <c r="B308" s="1" t="s">
        <v>436</v>
      </c>
      <c r="C308" s="33">
        <v>646</v>
      </c>
      <c r="D308" s="34">
        <v>559</v>
      </c>
      <c r="E308" s="19">
        <f t="shared" si="4"/>
        <v>0.8653250773993808</v>
      </c>
      <c r="F308" s="62">
        <v>316</v>
      </c>
      <c r="G308" s="43">
        <v>2</v>
      </c>
      <c r="H308" s="43">
        <v>25</v>
      </c>
      <c r="I308" s="43">
        <v>0</v>
      </c>
      <c r="J308" s="55">
        <v>206</v>
      </c>
      <c r="K308" s="6">
        <v>0</v>
      </c>
      <c r="L308" s="6">
        <v>0</v>
      </c>
      <c r="M308" s="43">
        <v>0</v>
      </c>
      <c r="N308" s="25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  <c r="V308" s="43">
        <v>0</v>
      </c>
      <c r="W308" s="43">
        <v>2</v>
      </c>
      <c r="X308" s="43">
        <v>0</v>
      </c>
      <c r="Y308" s="43">
        <v>0</v>
      </c>
      <c r="Z308" s="43">
        <v>0</v>
      </c>
      <c r="AA308" s="44">
        <v>0</v>
      </c>
      <c r="AB308" s="44">
        <v>0</v>
      </c>
      <c r="AC308" s="44">
        <v>7</v>
      </c>
      <c r="AD308" s="44">
        <v>2</v>
      </c>
      <c r="AE308" s="44">
        <v>291</v>
      </c>
      <c r="AF308" s="44">
        <v>2</v>
      </c>
      <c r="AG308" s="44">
        <v>0</v>
      </c>
      <c r="AH308" s="44">
        <v>247</v>
      </c>
      <c r="AI308" s="32"/>
      <c r="AJ308" s="32"/>
      <c r="AK308" s="32"/>
      <c r="AL308" s="32"/>
      <c r="AM308" s="44">
        <v>30</v>
      </c>
      <c r="AN308" s="44">
        <v>219</v>
      </c>
      <c r="AO308" s="44">
        <v>280</v>
      </c>
      <c r="AP308" s="44"/>
      <c r="AQ308" s="44"/>
      <c r="AR308" s="51"/>
      <c r="AS308" s="51"/>
      <c r="AT308" s="51"/>
      <c r="AU308" s="51"/>
      <c r="AV308" s="51"/>
      <c r="AW308" s="50"/>
      <c r="AX308" s="50"/>
      <c r="AY308" s="43">
        <v>284</v>
      </c>
      <c r="AZ308" s="43">
        <v>250</v>
      </c>
      <c r="BA308" s="50"/>
      <c r="BB308" s="50"/>
      <c r="BC308" s="50"/>
      <c r="BD308" s="50"/>
      <c r="BE308" s="43">
        <v>208</v>
      </c>
      <c r="BF308" s="43">
        <v>331</v>
      </c>
      <c r="BG308" s="43">
        <v>257</v>
      </c>
      <c r="BH308" s="43">
        <v>282</v>
      </c>
      <c r="BI308" s="43">
        <v>285</v>
      </c>
      <c r="BJ308" s="43">
        <v>244</v>
      </c>
      <c r="BK308" s="43">
        <v>311</v>
      </c>
      <c r="BL308" s="43">
        <v>226</v>
      </c>
      <c r="BM308" s="43">
        <v>197</v>
      </c>
      <c r="BN308" s="43">
        <v>331</v>
      </c>
      <c r="BO308" s="43">
        <v>274</v>
      </c>
      <c r="BP308" s="43">
        <v>253</v>
      </c>
      <c r="BQ308" s="43">
        <v>303</v>
      </c>
      <c r="BR308" s="43">
        <v>227</v>
      </c>
      <c r="BS308" s="43">
        <v>317</v>
      </c>
      <c r="BT308" s="43">
        <v>177</v>
      </c>
      <c r="BU308" s="43">
        <v>359</v>
      </c>
      <c r="BV308" s="43">
        <v>317</v>
      </c>
      <c r="BW308" s="43">
        <v>233</v>
      </c>
      <c r="BX308" s="43">
        <v>213</v>
      </c>
      <c r="BY308" s="43">
        <v>229</v>
      </c>
      <c r="BZ308" s="43">
        <v>242</v>
      </c>
      <c r="CA308" s="43">
        <v>288</v>
      </c>
      <c r="CB308" s="43">
        <v>185</v>
      </c>
      <c r="CC308" s="43">
        <v>235</v>
      </c>
      <c r="CD308" s="43">
        <v>324</v>
      </c>
      <c r="CE308" s="43">
        <v>238</v>
      </c>
      <c r="CF308" s="43">
        <v>214</v>
      </c>
      <c r="CG308" s="43">
        <v>216</v>
      </c>
      <c r="CH308" s="43">
        <v>206</v>
      </c>
      <c r="CI308" s="43">
        <v>157</v>
      </c>
      <c r="CJ308" s="43">
        <v>277</v>
      </c>
      <c r="CK308" s="43">
        <v>222</v>
      </c>
      <c r="CL308" s="43">
        <v>210</v>
      </c>
      <c r="CM308" s="43">
        <v>270</v>
      </c>
      <c r="CN308" s="43">
        <v>279</v>
      </c>
      <c r="CO308" s="43">
        <v>183</v>
      </c>
      <c r="CP308" s="43">
        <v>245</v>
      </c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43">
        <v>240</v>
      </c>
      <c r="FZ308" s="43">
        <v>301</v>
      </c>
      <c r="GA308" s="53"/>
      <c r="GB308" s="53"/>
      <c r="GC308" s="53"/>
      <c r="GD308" s="53"/>
      <c r="GE308" s="53"/>
      <c r="GF308" s="53"/>
      <c r="GG308" s="53"/>
      <c r="GH308" s="53"/>
      <c r="GI308" s="43"/>
      <c r="GJ308" s="43"/>
      <c r="GK308" s="43"/>
      <c r="GL308" s="43"/>
      <c r="GM308" s="53"/>
      <c r="GN308" s="53"/>
      <c r="GO308" s="43">
        <v>366</v>
      </c>
      <c r="GP308" s="43">
        <v>177</v>
      </c>
      <c r="GQ308" s="43">
        <v>368</v>
      </c>
      <c r="GR308" s="43">
        <v>174</v>
      </c>
    </row>
    <row r="309" spans="1:200">
      <c r="A309" s="7">
        <v>5504</v>
      </c>
      <c r="B309" s="1" t="s">
        <v>437</v>
      </c>
      <c r="C309" s="33">
        <v>869</v>
      </c>
      <c r="D309" s="34">
        <v>737</v>
      </c>
      <c r="E309" s="19">
        <f t="shared" si="4"/>
        <v>0.84810126582278478</v>
      </c>
      <c r="F309" s="62">
        <v>430</v>
      </c>
      <c r="G309" s="43">
        <v>1</v>
      </c>
      <c r="H309" s="43">
        <v>26</v>
      </c>
      <c r="I309" s="43">
        <v>4</v>
      </c>
      <c r="J309" s="55">
        <v>253</v>
      </c>
      <c r="K309" s="6">
        <v>0</v>
      </c>
      <c r="L309" s="6">
        <v>0</v>
      </c>
      <c r="M309" s="43">
        <v>1</v>
      </c>
      <c r="N309" s="25">
        <v>0</v>
      </c>
      <c r="O309" s="43">
        <v>0</v>
      </c>
      <c r="P309" s="43">
        <v>0</v>
      </c>
      <c r="Q309" s="43">
        <v>0</v>
      </c>
      <c r="R309" s="43">
        <v>0</v>
      </c>
      <c r="S309" s="43">
        <v>0</v>
      </c>
      <c r="T309" s="43">
        <v>0</v>
      </c>
      <c r="U309" s="43">
        <v>0</v>
      </c>
      <c r="V309" s="43">
        <v>0</v>
      </c>
      <c r="W309" s="43">
        <v>1</v>
      </c>
      <c r="X309" s="43">
        <v>0</v>
      </c>
      <c r="Y309" s="43">
        <v>0</v>
      </c>
      <c r="Z309" s="43">
        <v>0</v>
      </c>
      <c r="AA309" s="44">
        <v>0</v>
      </c>
      <c r="AB309" s="44">
        <v>0</v>
      </c>
      <c r="AC309" s="44">
        <v>3</v>
      </c>
      <c r="AD309" s="44">
        <v>7</v>
      </c>
      <c r="AE309" s="44">
        <v>417</v>
      </c>
      <c r="AF309" s="44">
        <v>3</v>
      </c>
      <c r="AG309" s="44">
        <v>0</v>
      </c>
      <c r="AH309" s="44">
        <v>281</v>
      </c>
      <c r="AI309" s="32"/>
      <c r="AJ309" s="32"/>
      <c r="AK309" s="32"/>
      <c r="AL309" s="32"/>
      <c r="AM309" s="44">
        <v>25</v>
      </c>
      <c r="AN309" s="44">
        <v>280</v>
      </c>
      <c r="AO309" s="44">
        <v>385</v>
      </c>
      <c r="AP309" s="44"/>
      <c r="AQ309" s="44"/>
      <c r="AR309" s="51"/>
      <c r="AS309" s="51"/>
      <c r="AT309" s="51"/>
      <c r="AU309" s="51"/>
      <c r="AV309" s="51"/>
      <c r="AW309" s="50"/>
      <c r="AX309" s="50"/>
      <c r="AY309" s="43">
        <v>348</v>
      </c>
      <c r="AZ309" s="43">
        <v>319</v>
      </c>
      <c r="BA309" s="50"/>
      <c r="BB309" s="50"/>
      <c r="BC309" s="50"/>
      <c r="BD309" s="50"/>
      <c r="BE309" s="43">
        <v>265</v>
      </c>
      <c r="BF309" s="43">
        <v>420</v>
      </c>
      <c r="BG309" s="43">
        <v>330</v>
      </c>
      <c r="BH309" s="43">
        <v>362</v>
      </c>
      <c r="BI309" s="43">
        <v>374</v>
      </c>
      <c r="BJ309" s="43">
        <v>314</v>
      </c>
      <c r="BK309" s="43">
        <v>386</v>
      </c>
      <c r="BL309" s="43">
        <v>294</v>
      </c>
      <c r="BM309" s="43">
        <v>233</v>
      </c>
      <c r="BN309" s="43">
        <v>434</v>
      </c>
      <c r="BO309" s="43">
        <v>326</v>
      </c>
      <c r="BP309" s="43">
        <v>329</v>
      </c>
      <c r="BQ309" s="43">
        <v>383</v>
      </c>
      <c r="BR309" s="43">
        <v>281</v>
      </c>
      <c r="BS309" s="43">
        <v>404</v>
      </c>
      <c r="BT309" s="43">
        <v>197</v>
      </c>
      <c r="BU309" s="43">
        <v>461</v>
      </c>
      <c r="BV309" s="43">
        <v>422</v>
      </c>
      <c r="BW309" s="43">
        <v>308</v>
      </c>
      <c r="BX309" s="43">
        <v>241</v>
      </c>
      <c r="BY309" s="43">
        <v>302</v>
      </c>
      <c r="BZ309" s="43">
        <v>289</v>
      </c>
      <c r="CA309" s="43">
        <v>368</v>
      </c>
      <c r="CB309" s="43">
        <v>237</v>
      </c>
      <c r="CC309" s="43">
        <v>288</v>
      </c>
      <c r="CD309" s="43">
        <v>395</v>
      </c>
      <c r="CE309" s="43">
        <v>289</v>
      </c>
      <c r="CF309" s="43">
        <v>256</v>
      </c>
      <c r="CG309" s="43">
        <v>271</v>
      </c>
      <c r="CH309" s="43">
        <v>232</v>
      </c>
      <c r="CI309" s="43">
        <v>167</v>
      </c>
      <c r="CJ309" s="43">
        <v>347</v>
      </c>
      <c r="CK309" s="43">
        <v>260</v>
      </c>
      <c r="CL309" s="43">
        <v>253</v>
      </c>
      <c r="CM309" s="43">
        <v>336</v>
      </c>
      <c r="CN309" s="43">
        <v>351</v>
      </c>
      <c r="CO309" s="43">
        <v>211</v>
      </c>
      <c r="CP309" s="43">
        <v>293</v>
      </c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43">
        <v>320</v>
      </c>
      <c r="FZ309" s="43">
        <v>389</v>
      </c>
      <c r="GA309" s="53"/>
      <c r="GB309" s="53"/>
      <c r="GC309" s="53"/>
      <c r="GD309" s="53"/>
      <c r="GE309" s="53"/>
      <c r="GF309" s="53"/>
      <c r="GG309" s="53"/>
      <c r="GH309" s="53"/>
      <c r="GI309" s="43"/>
      <c r="GJ309" s="43"/>
      <c r="GK309" s="43"/>
      <c r="GL309" s="43"/>
      <c r="GM309" s="53"/>
      <c r="GN309" s="53"/>
      <c r="GO309" s="43">
        <v>487</v>
      </c>
      <c r="GP309" s="43">
        <v>225</v>
      </c>
      <c r="GQ309" s="43">
        <v>497</v>
      </c>
      <c r="GR309" s="43">
        <v>211</v>
      </c>
    </row>
    <row r="310" spans="1:200">
      <c r="A310" s="7">
        <v>5601</v>
      </c>
      <c r="B310" s="1" t="s">
        <v>438</v>
      </c>
      <c r="C310" s="33">
        <v>1063</v>
      </c>
      <c r="D310" s="34">
        <v>870</v>
      </c>
      <c r="E310" s="19">
        <f t="shared" si="4"/>
        <v>0.81843838193791152</v>
      </c>
      <c r="F310" s="62">
        <v>330</v>
      </c>
      <c r="G310" s="43">
        <v>2</v>
      </c>
      <c r="H310" s="43">
        <v>40</v>
      </c>
      <c r="I310" s="43">
        <v>9</v>
      </c>
      <c r="J310" s="55">
        <v>470</v>
      </c>
      <c r="K310" s="6">
        <v>0</v>
      </c>
      <c r="L310" s="6">
        <v>0</v>
      </c>
      <c r="M310" s="43">
        <v>1</v>
      </c>
      <c r="N310" s="25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  <c r="V310" s="43">
        <v>0</v>
      </c>
      <c r="W310" s="43">
        <v>4</v>
      </c>
      <c r="X310" s="43">
        <v>0</v>
      </c>
      <c r="Y310" s="43">
        <v>0</v>
      </c>
      <c r="Z310" s="43">
        <v>0</v>
      </c>
      <c r="AA310" s="44">
        <v>0</v>
      </c>
      <c r="AB310" s="44">
        <v>0</v>
      </c>
      <c r="AC310" s="44">
        <v>10</v>
      </c>
      <c r="AD310" s="44">
        <v>9</v>
      </c>
      <c r="AE310" s="44">
        <v>616</v>
      </c>
      <c r="AF310" s="44">
        <v>4</v>
      </c>
      <c r="AG310" s="44">
        <v>0</v>
      </c>
      <c r="AH310" s="44">
        <v>210</v>
      </c>
      <c r="AI310" s="32"/>
      <c r="AJ310" s="32"/>
      <c r="AK310" s="32"/>
      <c r="AL310" s="32"/>
      <c r="AM310" s="44">
        <v>29</v>
      </c>
      <c r="AN310" s="44">
        <v>212</v>
      </c>
      <c r="AO310" s="44">
        <v>590</v>
      </c>
      <c r="AP310" s="44"/>
      <c r="AQ310" s="44"/>
      <c r="AR310" s="43">
        <v>558</v>
      </c>
      <c r="AS310" s="43">
        <v>259</v>
      </c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43">
        <v>503</v>
      </c>
      <c r="BF310" s="43">
        <v>318</v>
      </c>
      <c r="BG310" s="43">
        <v>528</v>
      </c>
      <c r="BH310" s="43">
        <v>286</v>
      </c>
      <c r="BI310" s="43">
        <v>563</v>
      </c>
      <c r="BJ310" s="43">
        <v>251</v>
      </c>
      <c r="BK310" s="43">
        <v>319</v>
      </c>
      <c r="BL310" s="43">
        <v>471</v>
      </c>
      <c r="BM310" s="43">
        <v>416</v>
      </c>
      <c r="BN310" s="43">
        <v>369</v>
      </c>
      <c r="BO310" s="43">
        <v>270</v>
      </c>
      <c r="BP310" s="43">
        <v>503</v>
      </c>
      <c r="BQ310" s="43">
        <v>552</v>
      </c>
      <c r="BR310" s="43">
        <v>223</v>
      </c>
      <c r="BS310" s="43">
        <v>599</v>
      </c>
      <c r="BT310" s="43">
        <v>409</v>
      </c>
      <c r="BU310" s="43">
        <v>355</v>
      </c>
      <c r="BV310" s="43">
        <v>571</v>
      </c>
      <c r="BW310" s="43">
        <v>411</v>
      </c>
      <c r="BX310" s="43">
        <v>240</v>
      </c>
      <c r="BY310" s="43">
        <v>481</v>
      </c>
      <c r="BZ310" s="43">
        <v>231</v>
      </c>
      <c r="CA310" s="43">
        <v>525</v>
      </c>
      <c r="CB310" s="43">
        <v>441</v>
      </c>
      <c r="CC310" s="43">
        <v>229</v>
      </c>
      <c r="CD310" s="43">
        <v>460</v>
      </c>
      <c r="CE310" s="43">
        <v>246</v>
      </c>
      <c r="CF310" s="43">
        <v>410</v>
      </c>
      <c r="CG310" s="43">
        <v>437</v>
      </c>
      <c r="CH310" s="43">
        <v>196</v>
      </c>
      <c r="CI310" s="43">
        <v>139</v>
      </c>
      <c r="CJ310" s="43">
        <v>507</v>
      </c>
      <c r="CK310" s="43">
        <v>422</v>
      </c>
      <c r="CL310" s="43">
        <v>209</v>
      </c>
      <c r="CM310" s="43">
        <v>503</v>
      </c>
      <c r="CN310" s="43">
        <v>501</v>
      </c>
      <c r="CO310" s="43">
        <v>180</v>
      </c>
      <c r="CP310" s="43">
        <v>452</v>
      </c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43">
        <v>563</v>
      </c>
      <c r="EX310" s="43">
        <v>271</v>
      </c>
      <c r="EY310" s="43">
        <v>457</v>
      </c>
      <c r="EZ310" s="43">
        <v>288</v>
      </c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43"/>
      <c r="FZ310" s="43"/>
      <c r="GA310" s="53"/>
      <c r="GB310" s="53"/>
      <c r="GC310" s="53"/>
      <c r="GD310" s="53"/>
      <c r="GE310" s="53"/>
      <c r="GF310" s="53"/>
      <c r="GG310" s="53"/>
      <c r="GH310" s="53"/>
      <c r="GI310" s="43"/>
      <c r="GJ310" s="43"/>
      <c r="GK310" s="43"/>
      <c r="GL310" s="43"/>
      <c r="GM310" s="43">
        <v>499</v>
      </c>
      <c r="GN310" s="43">
        <v>337</v>
      </c>
      <c r="GO310" s="43">
        <v>541</v>
      </c>
      <c r="GP310" s="43">
        <v>293</v>
      </c>
      <c r="GQ310" s="43">
        <v>614</v>
      </c>
      <c r="GR310" s="43">
        <v>225</v>
      </c>
    </row>
    <row r="311" spans="1:200">
      <c r="A311" s="7">
        <v>5602</v>
      </c>
      <c r="B311" s="1" t="s">
        <v>439</v>
      </c>
      <c r="C311" s="33">
        <v>1049</v>
      </c>
      <c r="D311" s="34">
        <v>862</v>
      </c>
      <c r="E311" s="19">
        <f t="shared" si="4"/>
        <v>0.82173498570066728</v>
      </c>
      <c r="F311" s="62">
        <v>284</v>
      </c>
      <c r="G311" s="43">
        <v>5</v>
      </c>
      <c r="H311" s="43">
        <v>32</v>
      </c>
      <c r="I311" s="43">
        <v>10</v>
      </c>
      <c r="J311" s="55">
        <v>501</v>
      </c>
      <c r="K311" s="6">
        <v>0</v>
      </c>
      <c r="L311" s="6">
        <v>0</v>
      </c>
      <c r="M311" s="43">
        <v>0</v>
      </c>
      <c r="N311" s="25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  <c r="V311" s="43">
        <v>0</v>
      </c>
      <c r="W311" s="43">
        <v>1</v>
      </c>
      <c r="X311" s="43">
        <v>0</v>
      </c>
      <c r="Y311" s="43">
        <v>0</v>
      </c>
      <c r="Z311" s="43">
        <v>0</v>
      </c>
      <c r="AA311" s="44">
        <v>0</v>
      </c>
      <c r="AB311" s="44">
        <v>0</v>
      </c>
      <c r="AC311" s="44">
        <v>8</v>
      </c>
      <c r="AD311" s="44">
        <v>10</v>
      </c>
      <c r="AE311" s="44">
        <v>626</v>
      </c>
      <c r="AF311" s="44">
        <v>7</v>
      </c>
      <c r="AG311" s="44">
        <v>0</v>
      </c>
      <c r="AH311" s="44">
        <v>178</v>
      </c>
      <c r="AI311" s="32"/>
      <c r="AJ311" s="32"/>
      <c r="AK311" s="32"/>
      <c r="AL311" s="32"/>
      <c r="AM311" s="44">
        <v>11</v>
      </c>
      <c r="AN311" s="44">
        <v>180</v>
      </c>
      <c r="AO311" s="44">
        <v>618</v>
      </c>
      <c r="AP311" s="44"/>
      <c r="AQ311" s="44"/>
      <c r="AR311" s="43">
        <v>570</v>
      </c>
      <c r="AS311" s="43">
        <v>214</v>
      </c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43">
        <v>508</v>
      </c>
      <c r="BF311" s="43">
        <v>297</v>
      </c>
      <c r="BG311" s="43">
        <v>550</v>
      </c>
      <c r="BH311" s="43">
        <v>239</v>
      </c>
      <c r="BI311" s="43">
        <v>594</v>
      </c>
      <c r="BJ311" s="43">
        <v>193</v>
      </c>
      <c r="BK311" s="43">
        <v>274</v>
      </c>
      <c r="BL311" s="43">
        <v>515</v>
      </c>
      <c r="BM311" s="43">
        <v>445</v>
      </c>
      <c r="BN311" s="43">
        <v>342</v>
      </c>
      <c r="BO311" s="43">
        <v>220</v>
      </c>
      <c r="BP311" s="43">
        <v>559</v>
      </c>
      <c r="BQ311" s="43">
        <v>580</v>
      </c>
      <c r="BR311" s="43">
        <v>195</v>
      </c>
      <c r="BS311" s="43">
        <v>611</v>
      </c>
      <c r="BT311" s="43">
        <v>426</v>
      </c>
      <c r="BU311" s="43">
        <v>346</v>
      </c>
      <c r="BV311" s="43">
        <v>587</v>
      </c>
      <c r="BW311" s="43">
        <v>431</v>
      </c>
      <c r="BX311" s="43">
        <v>223</v>
      </c>
      <c r="BY311" s="43">
        <v>509</v>
      </c>
      <c r="BZ311" s="43">
        <v>182</v>
      </c>
      <c r="CA311" s="43">
        <v>557</v>
      </c>
      <c r="CB311" s="43">
        <v>477</v>
      </c>
      <c r="CC311" s="43">
        <v>185</v>
      </c>
      <c r="CD311" s="43">
        <v>489</v>
      </c>
      <c r="CE311" s="43">
        <v>202</v>
      </c>
      <c r="CF311" s="43">
        <v>465</v>
      </c>
      <c r="CG311" s="43">
        <v>493</v>
      </c>
      <c r="CH311" s="43">
        <v>158</v>
      </c>
      <c r="CI311" s="43">
        <v>121</v>
      </c>
      <c r="CJ311" s="43">
        <v>522</v>
      </c>
      <c r="CK311" s="43">
        <v>422</v>
      </c>
      <c r="CL311" s="43">
        <v>221</v>
      </c>
      <c r="CM311" s="43">
        <v>531</v>
      </c>
      <c r="CN311" s="43">
        <v>530</v>
      </c>
      <c r="CO311" s="43">
        <v>171</v>
      </c>
      <c r="CP311" s="43">
        <v>471</v>
      </c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43">
        <v>572</v>
      </c>
      <c r="EX311" s="43">
        <v>226</v>
      </c>
      <c r="EY311" s="43">
        <v>472</v>
      </c>
      <c r="EZ311" s="43">
        <v>250</v>
      </c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43"/>
      <c r="FZ311" s="43"/>
      <c r="GA311" s="53"/>
      <c r="GB311" s="53"/>
      <c r="GC311" s="53"/>
      <c r="GD311" s="53"/>
      <c r="GE311" s="53"/>
      <c r="GF311" s="53"/>
      <c r="GG311" s="53"/>
      <c r="GH311" s="53"/>
      <c r="GI311" s="43"/>
      <c r="GJ311" s="43"/>
      <c r="GK311" s="43"/>
      <c r="GL311" s="43"/>
      <c r="GM311" s="43">
        <v>504</v>
      </c>
      <c r="GN311" s="43">
        <v>301</v>
      </c>
      <c r="GO311" s="43">
        <v>540</v>
      </c>
      <c r="GP311" s="43">
        <v>265</v>
      </c>
      <c r="GQ311" s="43">
        <v>608</v>
      </c>
      <c r="GR311" s="43">
        <v>208</v>
      </c>
    </row>
    <row r="312" spans="1:200">
      <c r="A312" s="7">
        <v>5603</v>
      </c>
      <c r="B312" s="1" t="s">
        <v>440</v>
      </c>
      <c r="C312" s="33">
        <v>1357</v>
      </c>
      <c r="D312" s="34">
        <v>1117</v>
      </c>
      <c r="E312" s="19">
        <f t="shared" si="4"/>
        <v>0.82313927781871776</v>
      </c>
      <c r="F312" s="62">
        <v>482</v>
      </c>
      <c r="G312" s="43">
        <v>4</v>
      </c>
      <c r="H312" s="43">
        <v>43</v>
      </c>
      <c r="I312" s="43">
        <v>3</v>
      </c>
      <c r="J312" s="55">
        <v>545</v>
      </c>
      <c r="K312" s="6">
        <v>0</v>
      </c>
      <c r="L312" s="6">
        <v>0</v>
      </c>
      <c r="M312" s="43">
        <v>0</v>
      </c>
      <c r="N312" s="25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  <c r="V312" s="43">
        <v>0</v>
      </c>
      <c r="W312" s="43">
        <v>7</v>
      </c>
      <c r="X312" s="43">
        <v>0</v>
      </c>
      <c r="Y312" s="43">
        <v>0</v>
      </c>
      <c r="Z312" s="43">
        <v>0</v>
      </c>
      <c r="AA312" s="44">
        <v>0</v>
      </c>
      <c r="AB312" s="44">
        <v>0</v>
      </c>
      <c r="AC312" s="44">
        <v>3</v>
      </c>
      <c r="AD312" s="44">
        <v>8</v>
      </c>
      <c r="AE312" s="44">
        <v>733</v>
      </c>
      <c r="AF312" s="44">
        <v>6</v>
      </c>
      <c r="AG312" s="44">
        <v>0</v>
      </c>
      <c r="AH312" s="44">
        <v>327</v>
      </c>
      <c r="AI312" s="32"/>
      <c r="AJ312" s="32"/>
      <c r="AK312" s="32"/>
      <c r="AL312" s="32"/>
      <c r="AM312" s="44">
        <v>50</v>
      </c>
      <c r="AN312" s="44">
        <v>265</v>
      </c>
      <c r="AO312" s="44">
        <v>749</v>
      </c>
      <c r="AP312" s="44"/>
      <c r="AQ312" s="44"/>
      <c r="AR312" s="43">
        <v>678</v>
      </c>
      <c r="AS312" s="43">
        <v>363</v>
      </c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43">
        <v>624</v>
      </c>
      <c r="BF312" s="43">
        <v>441</v>
      </c>
      <c r="BG312" s="43">
        <v>665</v>
      </c>
      <c r="BH312" s="43">
        <v>392</v>
      </c>
      <c r="BI312" s="43">
        <v>696</v>
      </c>
      <c r="BJ312" s="43">
        <v>333</v>
      </c>
      <c r="BK312" s="43">
        <v>455</v>
      </c>
      <c r="BL312" s="43">
        <v>586</v>
      </c>
      <c r="BM312" s="43">
        <v>531</v>
      </c>
      <c r="BN312" s="43">
        <v>482</v>
      </c>
      <c r="BO312" s="43">
        <v>353</v>
      </c>
      <c r="BP312" s="43">
        <v>651</v>
      </c>
      <c r="BQ312" s="43">
        <v>709</v>
      </c>
      <c r="BR312" s="43">
        <v>303</v>
      </c>
      <c r="BS312" s="43">
        <v>736</v>
      </c>
      <c r="BT312" s="43">
        <v>505</v>
      </c>
      <c r="BU312" s="43">
        <v>513</v>
      </c>
      <c r="BV312" s="43">
        <v>714</v>
      </c>
      <c r="BW312" s="43">
        <v>549</v>
      </c>
      <c r="BX312" s="43">
        <v>291</v>
      </c>
      <c r="BY312" s="43">
        <v>591</v>
      </c>
      <c r="BZ312" s="43">
        <v>320</v>
      </c>
      <c r="CA312" s="43">
        <v>656</v>
      </c>
      <c r="CB312" s="43">
        <v>565</v>
      </c>
      <c r="CC312" s="43">
        <v>317</v>
      </c>
      <c r="CD312" s="43">
        <v>571</v>
      </c>
      <c r="CE312" s="43">
        <v>345</v>
      </c>
      <c r="CF312" s="43">
        <v>513</v>
      </c>
      <c r="CG312" s="43">
        <v>555</v>
      </c>
      <c r="CH312" s="43">
        <v>274</v>
      </c>
      <c r="CI312" s="43">
        <v>198</v>
      </c>
      <c r="CJ312" s="43">
        <v>651</v>
      </c>
      <c r="CK312" s="43">
        <v>554</v>
      </c>
      <c r="CL312" s="43">
        <v>272</v>
      </c>
      <c r="CM312" s="43">
        <v>605</v>
      </c>
      <c r="CN312" s="43">
        <v>618</v>
      </c>
      <c r="CO312" s="43">
        <v>257</v>
      </c>
      <c r="CP312" s="43">
        <v>568</v>
      </c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43">
        <v>722</v>
      </c>
      <c r="EX312" s="43">
        <v>348</v>
      </c>
      <c r="EY312" s="43">
        <v>629</v>
      </c>
      <c r="EZ312" s="43">
        <v>334</v>
      </c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43"/>
      <c r="FZ312" s="43"/>
      <c r="GA312" s="53"/>
      <c r="GB312" s="53"/>
      <c r="GC312" s="53"/>
      <c r="GD312" s="53"/>
      <c r="GE312" s="53"/>
      <c r="GF312" s="53"/>
      <c r="GG312" s="53"/>
      <c r="GH312" s="53"/>
      <c r="GI312" s="43"/>
      <c r="GJ312" s="43"/>
      <c r="GK312" s="43"/>
      <c r="GL312" s="43"/>
      <c r="GM312" s="43">
        <v>700</v>
      </c>
      <c r="GN312" s="43">
        <v>383</v>
      </c>
      <c r="GO312" s="43">
        <v>754</v>
      </c>
      <c r="GP312" s="43">
        <v>329</v>
      </c>
      <c r="GQ312" s="43">
        <v>798</v>
      </c>
      <c r="GR312" s="43">
        <v>289</v>
      </c>
    </row>
    <row r="313" spans="1:200">
      <c r="A313" s="7">
        <v>5604</v>
      </c>
      <c r="B313" s="1" t="s">
        <v>441</v>
      </c>
      <c r="C313" s="33">
        <v>1216</v>
      </c>
      <c r="D313" s="34">
        <v>1031</v>
      </c>
      <c r="E313" s="19">
        <f t="shared" si="4"/>
        <v>0.84786184210526316</v>
      </c>
      <c r="F313" s="62">
        <v>311</v>
      </c>
      <c r="G313" s="43">
        <v>0</v>
      </c>
      <c r="H313" s="43">
        <v>43</v>
      </c>
      <c r="I313" s="43">
        <v>1</v>
      </c>
      <c r="J313" s="55">
        <v>635</v>
      </c>
      <c r="K313" s="6">
        <v>0</v>
      </c>
      <c r="L313" s="6">
        <v>0</v>
      </c>
      <c r="M313" s="43">
        <v>0</v>
      </c>
      <c r="N313" s="25">
        <v>0</v>
      </c>
      <c r="O313" s="43">
        <v>1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  <c r="V313" s="43">
        <v>0</v>
      </c>
      <c r="W313" s="43">
        <v>18</v>
      </c>
      <c r="X313" s="43">
        <v>0</v>
      </c>
      <c r="Y313" s="43">
        <v>0</v>
      </c>
      <c r="Z313" s="43">
        <v>0</v>
      </c>
      <c r="AA313" s="44">
        <v>0</v>
      </c>
      <c r="AB313" s="44">
        <v>0</v>
      </c>
      <c r="AC313" s="44">
        <v>6</v>
      </c>
      <c r="AD313" s="44">
        <v>7</v>
      </c>
      <c r="AE313" s="44">
        <v>770</v>
      </c>
      <c r="AF313" s="44">
        <v>4</v>
      </c>
      <c r="AG313" s="44">
        <v>0</v>
      </c>
      <c r="AH313" s="44">
        <v>223</v>
      </c>
      <c r="AI313" s="32"/>
      <c r="AJ313" s="32"/>
      <c r="AK313" s="32"/>
      <c r="AL313" s="32"/>
      <c r="AM313" s="44">
        <v>35</v>
      </c>
      <c r="AN313" s="44">
        <v>173</v>
      </c>
      <c r="AO313" s="44">
        <v>774</v>
      </c>
      <c r="AP313" s="44"/>
      <c r="AQ313" s="44"/>
      <c r="AR313" s="43">
        <v>723</v>
      </c>
      <c r="AS313" s="43">
        <v>237</v>
      </c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43">
        <v>688</v>
      </c>
      <c r="BF313" s="43">
        <v>292</v>
      </c>
      <c r="BG313" s="43">
        <v>710</v>
      </c>
      <c r="BH313" s="43">
        <v>258</v>
      </c>
      <c r="BI313" s="43">
        <v>729</v>
      </c>
      <c r="BJ313" s="43">
        <v>241</v>
      </c>
      <c r="BK313" s="43">
        <v>309</v>
      </c>
      <c r="BL313" s="43">
        <v>649</v>
      </c>
      <c r="BM313" s="43">
        <v>586</v>
      </c>
      <c r="BN313" s="43">
        <v>365</v>
      </c>
      <c r="BO313" s="43">
        <v>257</v>
      </c>
      <c r="BP313" s="43">
        <v>664</v>
      </c>
      <c r="BQ313" s="43">
        <v>742</v>
      </c>
      <c r="BR313" s="43">
        <v>205</v>
      </c>
      <c r="BS313" s="43">
        <v>716</v>
      </c>
      <c r="BT313" s="43">
        <v>547</v>
      </c>
      <c r="BU313" s="43">
        <v>377</v>
      </c>
      <c r="BV313" s="43">
        <v>682</v>
      </c>
      <c r="BW313" s="43">
        <v>551</v>
      </c>
      <c r="BX313" s="43">
        <v>239</v>
      </c>
      <c r="BY313" s="43">
        <v>588</v>
      </c>
      <c r="BZ313" s="43">
        <v>262</v>
      </c>
      <c r="CA313" s="43">
        <v>604</v>
      </c>
      <c r="CB313" s="43">
        <v>602</v>
      </c>
      <c r="CC313" s="43">
        <v>224</v>
      </c>
      <c r="CD313" s="43">
        <v>515</v>
      </c>
      <c r="CE313" s="43">
        <v>254</v>
      </c>
      <c r="CF313" s="43">
        <v>529</v>
      </c>
      <c r="CG313" s="43">
        <v>547</v>
      </c>
      <c r="CH313" s="43">
        <v>203</v>
      </c>
      <c r="CI313" s="43">
        <v>162</v>
      </c>
      <c r="CJ313" s="43">
        <v>602</v>
      </c>
      <c r="CK313" s="43">
        <v>489</v>
      </c>
      <c r="CL313" s="43">
        <v>257</v>
      </c>
      <c r="CM313" s="43">
        <v>574</v>
      </c>
      <c r="CN313" s="43">
        <v>573</v>
      </c>
      <c r="CO313" s="43">
        <v>206</v>
      </c>
      <c r="CP313" s="43">
        <v>550</v>
      </c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43">
        <v>618</v>
      </c>
      <c r="EX313" s="43">
        <v>368</v>
      </c>
      <c r="EY313" s="43">
        <v>583</v>
      </c>
      <c r="EZ313" s="43">
        <v>326</v>
      </c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43"/>
      <c r="FZ313" s="43"/>
      <c r="GA313" s="53"/>
      <c r="GB313" s="53"/>
      <c r="GC313" s="53"/>
      <c r="GD313" s="53"/>
      <c r="GE313" s="53"/>
      <c r="GF313" s="53"/>
      <c r="GG313" s="53"/>
      <c r="GH313" s="53"/>
      <c r="GI313" s="43"/>
      <c r="GJ313" s="43"/>
      <c r="GK313" s="43"/>
      <c r="GL313" s="43"/>
      <c r="GM313" s="43">
        <v>592</v>
      </c>
      <c r="GN313" s="43">
        <v>407</v>
      </c>
      <c r="GO313" s="43">
        <v>632</v>
      </c>
      <c r="GP313" s="43">
        <v>357</v>
      </c>
      <c r="GQ313" s="43">
        <v>684</v>
      </c>
      <c r="GR313" s="43">
        <v>315</v>
      </c>
    </row>
    <row r="314" spans="1:200">
      <c r="A314" s="7">
        <v>5605</v>
      </c>
      <c r="B314" s="1" t="s">
        <v>442</v>
      </c>
      <c r="C314" s="33">
        <v>1204</v>
      </c>
      <c r="D314" s="34">
        <v>977</v>
      </c>
      <c r="E314" s="19">
        <f t="shared" si="4"/>
        <v>0.81146179401993357</v>
      </c>
      <c r="F314" s="62">
        <v>302</v>
      </c>
      <c r="G314" s="43">
        <v>0</v>
      </c>
      <c r="H314" s="43">
        <v>29</v>
      </c>
      <c r="I314" s="43">
        <v>12</v>
      </c>
      <c r="J314" s="55">
        <v>604</v>
      </c>
      <c r="K314" s="6">
        <v>0</v>
      </c>
      <c r="L314" s="6">
        <v>0</v>
      </c>
      <c r="M314" s="43">
        <v>0</v>
      </c>
      <c r="N314" s="25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1</v>
      </c>
      <c r="U314" s="43">
        <v>0</v>
      </c>
      <c r="V314" s="43">
        <v>0</v>
      </c>
      <c r="W314" s="43">
        <v>2</v>
      </c>
      <c r="X314" s="43">
        <v>0</v>
      </c>
      <c r="Y314" s="43">
        <v>0</v>
      </c>
      <c r="Z314" s="43">
        <v>0</v>
      </c>
      <c r="AA314" s="44">
        <v>0</v>
      </c>
      <c r="AB314" s="44">
        <v>0</v>
      </c>
      <c r="AC314" s="44">
        <v>11</v>
      </c>
      <c r="AD314" s="44">
        <v>24</v>
      </c>
      <c r="AE314" s="44">
        <v>686</v>
      </c>
      <c r="AF314" s="44">
        <v>8</v>
      </c>
      <c r="AG314" s="44">
        <v>0</v>
      </c>
      <c r="AH314" s="44">
        <v>209</v>
      </c>
      <c r="AI314" s="32"/>
      <c r="AJ314" s="32"/>
      <c r="AK314" s="32"/>
      <c r="AL314" s="32"/>
      <c r="AM314" s="44">
        <v>26</v>
      </c>
      <c r="AN314" s="44">
        <v>201</v>
      </c>
      <c r="AO314" s="44">
        <v>710</v>
      </c>
      <c r="AP314" s="44"/>
      <c r="AQ314" s="44"/>
      <c r="AR314" s="43">
        <v>639</v>
      </c>
      <c r="AS314" s="43">
        <v>262</v>
      </c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43">
        <v>616</v>
      </c>
      <c r="BF314" s="43">
        <v>316</v>
      </c>
      <c r="BG314" s="43">
        <v>651</v>
      </c>
      <c r="BH314" s="43">
        <v>271</v>
      </c>
      <c r="BI314" s="43">
        <v>678</v>
      </c>
      <c r="BJ314" s="43">
        <v>237</v>
      </c>
      <c r="BK314" s="43">
        <v>312</v>
      </c>
      <c r="BL314" s="43">
        <v>600</v>
      </c>
      <c r="BM314" s="43">
        <v>484</v>
      </c>
      <c r="BN314" s="43">
        <v>422</v>
      </c>
      <c r="BO314" s="43">
        <v>264</v>
      </c>
      <c r="BP314" s="43">
        <v>629</v>
      </c>
      <c r="BQ314" s="43">
        <v>687</v>
      </c>
      <c r="BR314" s="43">
        <v>219</v>
      </c>
      <c r="BS314" s="43">
        <v>679</v>
      </c>
      <c r="BT314" s="43">
        <v>469</v>
      </c>
      <c r="BU314" s="43">
        <v>420</v>
      </c>
      <c r="BV314" s="43">
        <v>650</v>
      </c>
      <c r="BW314" s="43">
        <v>510</v>
      </c>
      <c r="BX314" s="43">
        <v>222</v>
      </c>
      <c r="BY314" s="43">
        <v>583</v>
      </c>
      <c r="BZ314" s="43">
        <v>230</v>
      </c>
      <c r="CA314" s="43">
        <v>581</v>
      </c>
      <c r="CB314" s="43">
        <v>579</v>
      </c>
      <c r="CC314" s="43">
        <v>206</v>
      </c>
      <c r="CD314" s="43">
        <v>539</v>
      </c>
      <c r="CE314" s="43">
        <v>264</v>
      </c>
      <c r="CF314" s="43">
        <v>498</v>
      </c>
      <c r="CG314" s="43">
        <v>537</v>
      </c>
      <c r="CH314" s="43">
        <v>202</v>
      </c>
      <c r="CI314" s="43">
        <v>160</v>
      </c>
      <c r="CJ314" s="43">
        <v>575</v>
      </c>
      <c r="CK314" s="43">
        <v>498</v>
      </c>
      <c r="CL314" s="43">
        <v>212</v>
      </c>
      <c r="CM314" s="43">
        <v>547</v>
      </c>
      <c r="CN314" s="43">
        <v>559</v>
      </c>
      <c r="CO314" s="43">
        <v>187</v>
      </c>
      <c r="CP314" s="43">
        <v>537</v>
      </c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43">
        <v>552</v>
      </c>
      <c r="EX314" s="43">
        <v>368</v>
      </c>
      <c r="EY314" s="43">
        <v>497</v>
      </c>
      <c r="EZ314" s="43">
        <v>337</v>
      </c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43"/>
      <c r="FZ314" s="43"/>
      <c r="GA314" s="53"/>
      <c r="GB314" s="53"/>
      <c r="GC314" s="53"/>
      <c r="GD314" s="53"/>
      <c r="GE314" s="53"/>
      <c r="GF314" s="53"/>
      <c r="GG314" s="53"/>
      <c r="GH314" s="53"/>
      <c r="GI314" s="43"/>
      <c r="GJ314" s="43"/>
      <c r="GK314" s="43"/>
      <c r="GL314" s="43"/>
      <c r="GM314" s="43">
        <v>509</v>
      </c>
      <c r="GN314" s="43">
        <v>421</v>
      </c>
      <c r="GO314" s="43">
        <v>576</v>
      </c>
      <c r="GP314" s="43">
        <v>347</v>
      </c>
      <c r="GQ314" s="43">
        <v>631</v>
      </c>
      <c r="GR314" s="43">
        <v>310</v>
      </c>
    </row>
    <row r="315" spans="1:200">
      <c r="A315" s="7">
        <v>5606</v>
      </c>
      <c r="B315" s="1" t="s">
        <v>443</v>
      </c>
      <c r="C315" s="33">
        <v>1208</v>
      </c>
      <c r="D315" s="34">
        <v>1026</v>
      </c>
      <c r="E315" s="19">
        <f t="shared" si="4"/>
        <v>0.84933774834437081</v>
      </c>
      <c r="F315" s="62">
        <v>363</v>
      </c>
      <c r="G315" s="43">
        <v>3</v>
      </c>
      <c r="H315" s="43">
        <v>38</v>
      </c>
      <c r="I315" s="43">
        <v>5</v>
      </c>
      <c r="J315" s="55">
        <v>587</v>
      </c>
      <c r="K315" s="6">
        <v>0</v>
      </c>
      <c r="L315" s="6">
        <v>0</v>
      </c>
      <c r="M315" s="43">
        <v>0</v>
      </c>
      <c r="N315" s="25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  <c r="V315" s="43">
        <v>0</v>
      </c>
      <c r="W315" s="43">
        <v>2</v>
      </c>
      <c r="X315" s="43">
        <v>0</v>
      </c>
      <c r="Y315" s="43">
        <v>0</v>
      </c>
      <c r="Z315" s="43">
        <v>0</v>
      </c>
      <c r="AA315" s="44">
        <v>0</v>
      </c>
      <c r="AB315" s="44">
        <v>0</v>
      </c>
      <c r="AC315" s="44">
        <v>2</v>
      </c>
      <c r="AD315" s="44">
        <v>10</v>
      </c>
      <c r="AE315" s="44">
        <v>762</v>
      </c>
      <c r="AF315" s="44">
        <v>4</v>
      </c>
      <c r="AG315" s="44">
        <v>0</v>
      </c>
      <c r="AH315" s="44">
        <v>217</v>
      </c>
      <c r="AI315" s="32"/>
      <c r="AJ315" s="32"/>
      <c r="AK315" s="32"/>
      <c r="AL315" s="32"/>
      <c r="AM315" s="44">
        <v>26</v>
      </c>
      <c r="AN315" s="44">
        <v>197</v>
      </c>
      <c r="AO315" s="44">
        <v>747</v>
      </c>
      <c r="AP315" s="44"/>
      <c r="AQ315" s="44"/>
      <c r="AR315" s="43">
        <v>686</v>
      </c>
      <c r="AS315" s="43">
        <v>260</v>
      </c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43">
        <v>633</v>
      </c>
      <c r="BF315" s="43">
        <v>331</v>
      </c>
      <c r="BG315" s="43">
        <v>673</v>
      </c>
      <c r="BH315" s="43">
        <v>290</v>
      </c>
      <c r="BI315" s="43">
        <v>722</v>
      </c>
      <c r="BJ315" s="43">
        <v>230</v>
      </c>
      <c r="BK315" s="43">
        <v>330</v>
      </c>
      <c r="BL315" s="43">
        <v>622</v>
      </c>
      <c r="BM315" s="43">
        <v>558</v>
      </c>
      <c r="BN315" s="43">
        <v>385</v>
      </c>
      <c r="BO315" s="43">
        <v>266</v>
      </c>
      <c r="BP315" s="43">
        <v>641</v>
      </c>
      <c r="BQ315" s="43">
        <v>728</v>
      </c>
      <c r="BR315" s="43">
        <v>203</v>
      </c>
      <c r="BS315" s="43">
        <v>710</v>
      </c>
      <c r="BT315" s="43">
        <v>494</v>
      </c>
      <c r="BU315" s="43">
        <v>440</v>
      </c>
      <c r="BV315" s="43">
        <v>674</v>
      </c>
      <c r="BW315" s="43">
        <v>508</v>
      </c>
      <c r="BX315" s="43">
        <v>255</v>
      </c>
      <c r="BY315" s="43">
        <v>572</v>
      </c>
      <c r="BZ315" s="43">
        <v>259</v>
      </c>
      <c r="CA315" s="43">
        <v>596</v>
      </c>
      <c r="CB315" s="43">
        <v>570</v>
      </c>
      <c r="CC315" s="43">
        <v>221</v>
      </c>
      <c r="CD315" s="43">
        <v>526</v>
      </c>
      <c r="CE315" s="43">
        <v>280</v>
      </c>
      <c r="CF315" s="43">
        <v>492</v>
      </c>
      <c r="CG315" s="43">
        <v>554</v>
      </c>
      <c r="CH315" s="43">
        <v>209</v>
      </c>
      <c r="CI315" s="43">
        <v>133</v>
      </c>
      <c r="CJ315" s="43">
        <v>620</v>
      </c>
      <c r="CK315" s="43">
        <v>489</v>
      </c>
      <c r="CL315" s="43">
        <v>238</v>
      </c>
      <c r="CM315" s="43">
        <v>564</v>
      </c>
      <c r="CN315" s="43">
        <v>569</v>
      </c>
      <c r="CO315" s="43">
        <v>182</v>
      </c>
      <c r="CP315" s="43">
        <v>550</v>
      </c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43">
        <v>612</v>
      </c>
      <c r="EX315" s="43">
        <v>358</v>
      </c>
      <c r="EY315" s="43">
        <v>541</v>
      </c>
      <c r="EZ315" s="43">
        <v>341</v>
      </c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43"/>
      <c r="FZ315" s="43"/>
      <c r="GA315" s="53"/>
      <c r="GB315" s="53"/>
      <c r="GC315" s="53"/>
      <c r="GD315" s="53"/>
      <c r="GE315" s="53"/>
      <c r="GF315" s="53"/>
      <c r="GG315" s="53"/>
      <c r="GH315" s="53"/>
      <c r="GI315" s="43"/>
      <c r="GJ315" s="43"/>
      <c r="GK315" s="43"/>
      <c r="GL315" s="43"/>
      <c r="GM315" s="43">
        <v>580</v>
      </c>
      <c r="GN315" s="43">
        <v>400</v>
      </c>
      <c r="GO315" s="43">
        <v>650</v>
      </c>
      <c r="GP315" s="43">
        <v>332</v>
      </c>
      <c r="GQ315" s="43">
        <v>697</v>
      </c>
      <c r="GR315" s="43">
        <v>286</v>
      </c>
    </row>
    <row r="316" spans="1:200">
      <c r="A316" s="7">
        <v>5607</v>
      </c>
      <c r="B316" s="1" t="s">
        <v>444</v>
      </c>
      <c r="C316" s="33">
        <v>1321</v>
      </c>
      <c r="D316" s="34">
        <v>1004</v>
      </c>
      <c r="E316" s="19">
        <f t="shared" si="4"/>
        <v>0.76003028009084028</v>
      </c>
      <c r="F316" s="62">
        <v>345</v>
      </c>
      <c r="G316" s="43">
        <v>3</v>
      </c>
      <c r="H316" s="43">
        <v>51</v>
      </c>
      <c r="I316" s="43">
        <v>16</v>
      </c>
      <c r="J316" s="55">
        <v>560</v>
      </c>
      <c r="K316" s="6">
        <v>0</v>
      </c>
      <c r="L316" s="6">
        <v>0</v>
      </c>
      <c r="M316" s="43">
        <v>0</v>
      </c>
      <c r="N316" s="25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  <c r="V316" s="43">
        <v>0</v>
      </c>
      <c r="W316" s="43">
        <v>9</v>
      </c>
      <c r="X316" s="43">
        <v>0</v>
      </c>
      <c r="Y316" s="43">
        <v>0</v>
      </c>
      <c r="Z316" s="43">
        <v>0</v>
      </c>
      <c r="AA316" s="44">
        <v>0</v>
      </c>
      <c r="AB316" s="44">
        <v>0</v>
      </c>
      <c r="AC316" s="44">
        <v>8</v>
      </c>
      <c r="AD316" s="44">
        <v>14</v>
      </c>
      <c r="AE316" s="44">
        <v>669</v>
      </c>
      <c r="AF316" s="44">
        <v>19</v>
      </c>
      <c r="AG316" s="44">
        <v>0</v>
      </c>
      <c r="AH316" s="44">
        <v>266</v>
      </c>
      <c r="AI316" s="32"/>
      <c r="AJ316" s="32"/>
      <c r="AK316" s="32"/>
      <c r="AL316" s="32"/>
      <c r="AM316" s="44">
        <v>34</v>
      </c>
      <c r="AN316" s="44">
        <v>239</v>
      </c>
      <c r="AO316" s="44">
        <v>681</v>
      </c>
      <c r="AP316" s="44"/>
      <c r="AQ316" s="44"/>
      <c r="AR316" s="43">
        <v>624</v>
      </c>
      <c r="AS316" s="43">
        <v>320</v>
      </c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43">
        <v>585</v>
      </c>
      <c r="BF316" s="43">
        <v>370</v>
      </c>
      <c r="BG316" s="43">
        <v>638</v>
      </c>
      <c r="BH316" s="43">
        <v>317</v>
      </c>
      <c r="BI316" s="43">
        <v>660</v>
      </c>
      <c r="BJ316" s="43">
        <v>292</v>
      </c>
      <c r="BK316" s="43">
        <v>392</v>
      </c>
      <c r="BL316" s="43">
        <v>534</v>
      </c>
      <c r="BM316" s="43">
        <v>475</v>
      </c>
      <c r="BN316" s="43">
        <v>477</v>
      </c>
      <c r="BO316" s="43">
        <v>312</v>
      </c>
      <c r="BP316" s="43">
        <v>601</v>
      </c>
      <c r="BQ316" s="43">
        <v>656</v>
      </c>
      <c r="BR316" s="43">
        <v>260</v>
      </c>
      <c r="BS316" s="43">
        <v>708</v>
      </c>
      <c r="BT316" s="43">
        <v>453</v>
      </c>
      <c r="BU316" s="43">
        <v>461</v>
      </c>
      <c r="BV316" s="43">
        <v>669</v>
      </c>
      <c r="BW316" s="43">
        <v>493</v>
      </c>
      <c r="BX316" s="43">
        <v>265</v>
      </c>
      <c r="BY316" s="43">
        <v>572</v>
      </c>
      <c r="BZ316" s="43">
        <v>270</v>
      </c>
      <c r="CA316" s="43">
        <v>609</v>
      </c>
      <c r="CB316" s="43">
        <v>525</v>
      </c>
      <c r="CC316" s="43">
        <v>261</v>
      </c>
      <c r="CD316" s="43">
        <v>537</v>
      </c>
      <c r="CE316" s="43">
        <v>299</v>
      </c>
      <c r="CF316" s="43">
        <v>458</v>
      </c>
      <c r="CG316" s="43">
        <v>532</v>
      </c>
      <c r="CH316" s="43">
        <v>204</v>
      </c>
      <c r="CI316" s="43">
        <v>161</v>
      </c>
      <c r="CJ316" s="43">
        <v>586</v>
      </c>
      <c r="CK316" s="43">
        <v>487</v>
      </c>
      <c r="CL316" s="43">
        <v>239</v>
      </c>
      <c r="CM316" s="43">
        <v>588</v>
      </c>
      <c r="CN316" s="43">
        <v>590</v>
      </c>
      <c r="CO316" s="43">
        <v>228</v>
      </c>
      <c r="CP316" s="43">
        <v>521</v>
      </c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43">
        <v>618</v>
      </c>
      <c r="EX316" s="43">
        <v>344</v>
      </c>
      <c r="EY316" s="43">
        <v>483</v>
      </c>
      <c r="EZ316" s="43">
        <v>391</v>
      </c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43"/>
      <c r="FZ316" s="43"/>
      <c r="GA316" s="53"/>
      <c r="GB316" s="53"/>
      <c r="GC316" s="53"/>
      <c r="GD316" s="53"/>
      <c r="GE316" s="53"/>
      <c r="GF316" s="53"/>
      <c r="GG316" s="53"/>
      <c r="GH316" s="53"/>
      <c r="GI316" s="43"/>
      <c r="GJ316" s="43"/>
      <c r="GK316" s="43"/>
      <c r="GL316" s="43"/>
      <c r="GM316" s="43">
        <v>591</v>
      </c>
      <c r="GN316" s="43">
        <v>381</v>
      </c>
      <c r="GO316" s="43">
        <v>623</v>
      </c>
      <c r="GP316" s="43">
        <v>344</v>
      </c>
      <c r="GQ316" s="43">
        <v>670</v>
      </c>
      <c r="GR316" s="43">
        <v>300</v>
      </c>
    </row>
    <row r="317" spans="1:200">
      <c r="A317" s="7">
        <v>5608</v>
      </c>
      <c r="B317" s="1" t="s">
        <v>445</v>
      </c>
      <c r="C317" s="33">
        <v>1189</v>
      </c>
      <c r="D317" s="34">
        <v>985</v>
      </c>
      <c r="E317" s="19">
        <f t="shared" si="4"/>
        <v>0.82842724978973925</v>
      </c>
      <c r="F317" s="62">
        <v>375</v>
      </c>
      <c r="G317" s="43">
        <v>4</v>
      </c>
      <c r="H317" s="43">
        <v>45</v>
      </c>
      <c r="I317" s="43">
        <v>5</v>
      </c>
      <c r="J317" s="55">
        <v>523</v>
      </c>
      <c r="K317" s="6">
        <v>0</v>
      </c>
      <c r="L317" s="6">
        <v>0</v>
      </c>
      <c r="M317" s="43">
        <v>0</v>
      </c>
      <c r="N317" s="25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  <c r="V317" s="43">
        <v>0</v>
      </c>
      <c r="W317" s="43">
        <v>4</v>
      </c>
      <c r="X317" s="43">
        <v>0</v>
      </c>
      <c r="Y317" s="43">
        <v>0</v>
      </c>
      <c r="Z317" s="43">
        <v>0</v>
      </c>
      <c r="AA317" s="44">
        <v>0</v>
      </c>
      <c r="AB317" s="44">
        <v>0</v>
      </c>
      <c r="AC317" s="44">
        <v>6</v>
      </c>
      <c r="AD317" s="44">
        <v>11</v>
      </c>
      <c r="AE317" s="44">
        <v>671</v>
      </c>
      <c r="AF317" s="44">
        <v>8</v>
      </c>
      <c r="AG317" s="44">
        <v>0</v>
      </c>
      <c r="AH317" s="44">
        <v>261</v>
      </c>
      <c r="AI317" s="32"/>
      <c r="AJ317" s="32"/>
      <c r="AK317" s="32"/>
      <c r="AL317" s="32"/>
      <c r="AM317" s="44">
        <v>22</v>
      </c>
      <c r="AN317" s="44">
        <v>247</v>
      </c>
      <c r="AO317" s="44">
        <v>665</v>
      </c>
      <c r="AP317" s="44"/>
      <c r="AQ317" s="44"/>
      <c r="AR317" s="43">
        <v>628</v>
      </c>
      <c r="AS317" s="43">
        <v>296</v>
      </c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43">
        <v>578</v>
      </c>
      <c r="BF317" s="43">
        <v>358</v>
      </c>
      <c r="BG317" s="43">
        <v>594</v>
      </c>
      <c r="BH317" s="43">
        <v>329</v>
      </c>
      <c r="BI317" s="43">
        <v>634</v>
      </c>
      <c r="BJ317" s="43">
        <v>282</v>
      </c>
      <c r="BK317" s="43">
        <v>350</v>
      </c>
      <c r="BL317" s="43">
        <v>558</v>
      </c>
      <c r="BM317" s="43">
        <v>460</v>
      </c>
      <c r="BN317" s="43">
        <v>439</v>
      </c>
      <c r="BO317" s="43">
        <v>287</v>
      </c>
      <c r="BP317" s="43">
        <v>591</v>
      </c>
      <c r="BQ317" s="43">
        <v>638</v>
      </c>
      <c r="BR317" s="43">
        <v>246</v>
      </c>
      <c r="BS317" s="43">
        <v>669</v>
      </c>
      <c r="BT317" s="43">
        <v>462</v>
      </c>
      <c r="BU317" s="43">
        <v>417</v>
      </c>
      <c r="BV317" s="43">
        <v>650</v>
      </c>
      <c r="BW317" s="43">
        <v>467</v>
      </c>
      <c r="BX317" s="43">
        <v>275</v>
      </c>
      <c r="BY317" s="43">
        <v>530</v>
      </c>
      <c r="BZ317" s="43">
        <v>269</v>
      </c>
      <c r="CA317" s="43">
        <v>562</v>
      </c>
      <c r="CB317" s="43">
        <v>525</v>
      </c>
      <c r="CC317" s="43">
        <v>238</v>
      </c>
      <c r="CD317" s="43">
        <v>521</v>
      </c>
      <c r="CE317" s="43">
        <v>279</v>
      </c>
      <c r="CF317" s="43">
        <v>468</v>
      </c>
      <c r="CG317" s="43">
        <v>481</v>
      </c>
      <c r="CH317" s="43">
        <v>221</v>
      </c>
      <c r="CI317" s="43">
        <v>150</v>
      </c>
      <c r="CJ317" s="43">
        <v>577</v>
      </c>
      <c r="CK317" s="43">
        <v>465</v>
      </c>
      <c r="CL317" s="43">
        <v>244</v>
      </c>
      <c r="CM317" s="43">
        <v>539</v>
      </c>
      <c r="CN317" s="43">
        <v>537</v>
      </c>
      <c r="CO317" s="43">
        <v>200</v>
      </c>
      <c r="CP317" s="43">
        <v>507</v>
      </c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43">
        <v>612</v>
      </c>
      <c r="EX317" s="43">
        <v>336</v>
      </c>
      <c r="EY317" s="43">
        <v>505</v>
      </c>
      <c r="EZ317" s="43">
        <v>352</v>
      </c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43"/>
      <c r="FZ317" s="43"/>
      <c r="GA317" s="53"/>
      <c r="GB317" s="53"/>
      <c r="GC317" s="53"/>
      <c r="GD317" s="53"/>
      <c r="GE317" s="53"/>
      <c r="GF317" s="53"/>
      <c r="GG317" s="53"/>
      <c r="GH317" s="53"/>
      <c r="GI317" s="43"/>
      <c r="GJ317" s="43"/>
      <c r="GK317" s="43"/>
      <c r="GL317" s="43"/>
      <c r="GM317" s="43">
        <v>571</v>
      </c>
      <c r="GN317" s="43">
        <v>383</v>
      </c>
      <c r="GO317" s="43">
        <v>610</v>
      </c>
      <c r="GP317" s="43">
        <v>335</v>
      </c>
      <c r="GQ317" s="43">
        <v>674</v>
      </c>
      <c r="GR317" s="43">
        <v>280</v>
      </c>
    </row>
    <row r="318" spans="1:200">
      <c r="A318" s="7">
        <v>5609</v>
      </c>
      <c r="B318" s="1" t="s">
        <v>446</v>
      </c>
      <c r="C318" s="33">
        <v>1361</v>
      </c>
      <c r="D318" s="34">
        <v>1156</v>
      </c>
      <c r="E318" s="19">
        <f t="shared" si="4"/>
        <v>0.84937545922116087</v>
      </c>
      <c r="F318" s="62">
        <v>463</v>
      </c>
      <c r="G318" s="43">
        <v>2</v>
      </c>
      <c r="H318" s="43">
        <v>49</v>
      </c>
      <c r="I318" s="43">
        <v>4</v>
      </c>
      <c r="J318" s="55">
        <v>600</v>
      </c>
      <c r="K318" s="6">
        <v>0</v>
      </c>
      <c r="L318" s="6">
        <v>0</v>
      </c>
      <c r="M318" s="43">
        <v>0</v>
      </c>
      <c r="N318" s="25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  <c r="V318" s="43">
        <v>0</v>
      </c>
      <c r="W318" s="43">
        <v>4</v>
      </c>
      <c r="X318" s="43">
        <v>0</v>
      </c>
      <c r="Y318" s="43">
        <v>0</v>
      </c>
      <c r="Z318" s="43">
        <v>0</v>
      </c>
      <c r="AA318" s="44">
        <v>0</v>
      </c>
      <c r="AB318" s="44">
        <v>0</v>
      </c>
      <c r="AC318" s="44">
        <v>5</v>
      </c>
      <c r="AD318" s="44">
        <v>6</v>
      </c>
      <c r="AE318" s="44">
        <v>837</v>
      </c>
      <c r="AF318" s="44">
        <v>4</v>
      </c>
      <c r="AG318" s="44">
        <v>0</v>
      </c>
      <c r="AH318" s="44">
        <v>271</v>
      </c>
      <c r="AI318" s="32"/>
      <c r="AJ318" s="32"/>
      <c r="AK318" s="32"/>
      <c r="AL318" s="32"/>
      <c r="AM318" s="44">
        <v>30</v>
      </c>
      <c r="AN318" s="44">
        <v>254</v>
      </c>
      <c r="AO318" s="44">
        <v>825</v>
      </c>
      <c r="AP318" s="44"/>
      <c r="AQ318" s="44"/>
      <c r="AR318" s="43">
        <v>753</v>
      </c>
      <c r="AS318" s="43">
        <v>326</v>
      </c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43">
        <v>697</v>
      </c>
      <c r="BF318" s="43">
        <v>403</v>
      </c>
      <c r="BG318" s="43">
        <v>727</v>
      </c>
      <c r="BH318" s="43">
        <v>367</v>
      </c>
      <c r="BI318" s="43">
        <v>752</v>
      </c>
      <c r="BJ318" s="43">
        <v>351</v>
      </c>
      <c r="BK318" s="43">
        <v>419</v>
      </c>
      <c r="BL318" s="43">
        <v>657</v>
      </c>
      <c r="BM318" s="43">
        <v>621</v>
      </c>
      <c r="BN318" s="43">
        <v>455</v>
      </c>
      <c r="BO318" s="43">
        <v>336</v>
      </c>
      <c r="BP318" s="43">
        <v>718</v>
      </c>
      <c r="BQ318" s="43">
        <v>816</v>
      </c>
      <c r="BR318" s="43">
        <v>236</v>
      </c>
      <c r="BS318" s="43">
        <v>808</v>
      </c>
      <c r="BT318" s="43">
        <v>535</v>
      </c>
      <c r="BU318" s="43">
        <v>522</v>
      </c>
      <c r="BV318" s="43">
        <v>789</v>
      </c>
      <c r="BW318" s="43">
        <v>648</v>
      </c>
      <c r="BX318" s="43">
        <v>244</v>
      </c>
      <c r="BY318" s="43">
        <v>680</v>
      </c>
      <c r="BZ318" s="43">
        <v>300</v>
      </c>
      <c r="CA318" s="43">
        <v>726</v>
      </c>
      <c r="CB318" s="43">
        <v>675</v>
      </c>
      <c r="CC318" s="43">
        <v>260</v>
      </c>
      <c r="CD318" s="43">
        <v>622</v>
      </c>
      <c r="CE318" s="43">
        <v>341</v>
      </c>
      <c r="CF318" s="43">
        <v>547</v>
      </c>
      <c r="CG318" s="43">
        <v>647</v>
      </c>
      <c r="CH318" s="43">
        <v>235</v>
      </c>
      <c r="CI318" s="43">
        <v>179</v>
      </c>
      <c r="CJ318" s="43">
        <v>705</v>
      </c>
      <c r="CK318" s="43">
        <v>618</v>
      </c>
      <c r="CL318" s="43">
        <v>233</v>
      </c>
      <c r="CM318" s="43">
        <v>673</v>
      </c>
      <c r="CN318" s="43">
        <v>670</v>
      </c>
      <c r="CO318" s="43">
        <v>224</v>
      </c>
      <c r="CP318" s="43">
        <v>646</v>
      </c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43">
        <v>712</v>
      </c>
      <c r="EX318" s="43">
        <v>399</v>
      </c>
      <c r="EY318" s="43">
        <v>648</v>
      </c>
      <c r="EZ318" s="43">
        <v>370</v>
      </c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43"/>
      <c r="FZ318" s="43"/>
      <c r="GA318" s="53"/>
      <c r="GB318" s="53"/>
      <c r="GC318" s="53"/>
      <c r="GD318" s="53"/>
      <c r="GE318" s="53"/>
      <c r="GF318" s="53"/>
      <c r="GG318" s="53"/>
      <c r="GH318" s="53"/>
      <c r="GI318" s="43"/>
      <c r="GJ318" s="43"/>
      <c r="GK318" s="43"/>
      <c r="GL318" s="43"/>
      <c r="GM318" s="43">
        <v>654</v>
      </c>
      <c r="GN318" s="43">
        <v>466</v>
      </c>
      <c r="GO318" s="43">
        <v>763</v>
      </c>
      <c r="GP318" s="43">
        <v>356</v>
      </c>
      <c r="GQ318" s="43">
        <v>820</v>
      </c>
      <c r="GR318" s="43">
        <v>300</v>
      </c>
    </row>
    <row r="319" spans="1:200">
      <c r="A319" s="7">
        <v>5610</v>
      </c>
      <c r="B319" s="1" t="s">
        <v>447</v>
      </c>
      <c r="C319" s="33">
        <v>1358</v>
      </c>
      <c r="D319" s="34">
        <v>1177</v>
      </c>
      <c r="E319" s="19">
        <f t="shared" si="4"/>
        <v>0.86671575846833582</v>
      </c>
      <c r="F319" s="62">
        <v>374</v>
      </c>
      <c r="G319" s="43">
        <v>2</v>
      </c>
      <c r="H319" s="43">
        <v>62</v>
      </c>
      <c r="I319" s="43">
        <v>6</v>
      </c>
      <c r="J319" s="55">
        <v>697</v>
      </c>
      <c r="K319" s="6">
        <v>0</v>
      </c>
      <c r="L319" s="6">
        <v>0</v>
      </c>
      <c r="M319" s="43">
        <v>1</v>
      </c>
      <c r="N319" s="25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  <c r="V319" s="43">
        <v>0</v>
      </c>
      <c r="W319" s="43">
        <v>7</v>
      </c>
      <c r="X319" s="43">
        <v>0</v>
      </c>
      <c r="Y319" s="43">
        <v>0</v>
      </c>
      <c r="Z319" s="43">
        <v>0</v>
      </c>
      <c r="AA319" s="44">
        <v>0</v>
      </c>
      <c r="AB319" s="44">
        <v>0</v>
      </c>
      <c r="AC319" s="44">
        <v>15</v>
      </c>
      <c r="AD319" s="44">
        <v>11</v>
      </c>
      <c r="AE319" s="44">
        <v>877</v>
      </c>
      <c r="AF319" s="44">
        <v>7</v>
      </c>
      <c r="AG319" s="44">
        <v>0</v>
      </c>
      <c r="AH319" s="44">
        <v>235</v>
      </c>
      <c r="AI319" s="32"/>
      <c r="AJ319" s="32"/>
      <c r="AK319" s="32"/>
      <c r="AL319" s="32"/>
      <c r="AM319" s="44">
        <v>31</v>
      </c>
      <c r="AN319" s="44">
        <v>214</v>
      </c>
      <c r="AO319" s="44">
        <v>880</v>
      </c>
      <c r="AP319" s="44"/>
      <c r="AQ319" s="44"/>
      <c r="AR319" s="43">
        <v>832</v>
      </c>
      <c r="AS319" s="43">
        <v>281</v>
      </c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43">
        <v>760</v>
      </c>
      <c r="BF319" s="43">
        <v>351</v>
      </c>
      <c r="BG319" s="43">
        <v>794</v>
      </c>
      <c r="BH319" s="43">
        <v>313</v>
      </c>
      <c r="BI319" s="43">
        <v>851</v>
      </c>
      <c r="BJ319" s="43">
        <v>253</v>
      </c>
      <c r="BK319" s="43">
        <v>370</v>
      </c>
      <c r="BL319" s="43">
        <v>721</v>
      </c>
      <c r="BM319" s="43">
        <v>629</v>
      </c>
      <c r="BN319" s="43">
        <v>459</v>
      </c>
      <c r="BO319" s="43">
        <v>280</v>
      </c>
      <c r="BP319" s="43">
        <v>794</v>
      </c>
      <c r="BQ319" s="43">
        <v>857</v>
      </c>
      <c r="BR319" s="43">
        <v>221</v>
      </c>
      <c r="BS319" s="43">
        <v>826</v>
      </c>
      <c r="BT319" s="43">
        <v>601</v>
      </c>
      <c r="BU319" s="43">
        <v>467</v>
      </c>
      <c r="BV319" s="43">
        <v>807</v>
      </c>
      <c r="BW319" s="43">
        <v>672</v>
      </c>
      <c r="BX319" s="43">
        <v>246</v>
      </c>
      <c r="BY319" s="43">
        <v>724</v>
      </c>
      <c r="BZ319" s="43">
        <v>265</v>
      </c>
      <c r="CA319" s="43">
        <v>732</v>
      </c>
      <c r="CB319" s="43">
        <v>743</v>
      </c>
      <c r="CC319" s="43">
        <v>229</v>
      </c>
      <c r="CD319" s="43">
        <v>596</v>
      </c>
      <c r="CE319" s="43">
        <v>260</v>
      </c>
      <c r="CF319" s="43">
        <v>668</v>
      </c>
      <c r="CG319" s="43">
        <v>695</v>
      </c>
      <c r="CH319" s="43">
        <v>219</v>
      </c>
      <c r="CI319" s="43">
        <v>154</v>
      </c>
      <c r="CJ319" s="43">
        <v>765</v>
      </c>
      <c r="CK319" s="43">
        <v>639</v>
      </c>
      <c r="CL319" s="43">
        <v>267</v>
      </c>
      <c r="CM319" s="43">
        <v>705</v>
      </c>
      <c r="CN319" s="43">
        <v>716</v>
      </c>
      <c r="CO319" s="43">
        <v>199</v>
      </c>
      <c r="CP319" s="43">
        <v>689</v>
      </c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43">
        <v>706</v>
      </c>
      <c r="EX319" s="43">
        <v>422</v>
      </c>
      <c r="EY319" s="43">
        <v>649</v>
      </c>
      <c r="EZ319" s="43">
        <v>381</v>
      </c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43"/>
      <c r="FZ319" s="43"/>
      <c r="GA319" s="53"/>
      <c r="GB319" s="53"/>
      <c r="GC319" s="53"/>
      <c r="GD319" s="53"/>
      <c r="GE319" s="53"/>
      <c r="GF319" s="53"/>
      <c r="GG319" s="53"/>
      <c r="GH319" s="53"/>
      <c r="GI319" s="43"/>
      <c r="GJ319" s="43"/>
      <c r="GK319" s="43"/>
      <c r="GL319" s="43"/>
      <c r="GM319" s="43">
        <v>680</v>
      </c>
      <c r="GN319" s="43">
        <v>460</v>
      </c>
      <c r="GO319" s="43">
        <v>697</v>
      </c>
      <c r="GP319" s="43">
        <v>438</v>
      </c>
      <c r="GQ319" s="43">
        <v>788</v>
      </c>
      <c r="GR319" s="43">
        <v>352</v>
      </c>
    </row>
    <row r="320" spans="1:200">
      <c r="A320" s="7">
        <v>5611</v>
      </c>
      <c r="B320" s="1" t="s">
        <v>448</v>
      </c>
      <c r="C320" s="33">
        <v>1337</v>
      </c>
      <c r="D320" s="34">
        <v>1046</v>
      </c>
      <c r="E320" s="19">
        <f t="shared" si="4"/>
        <v>0.78234854151084521</v>
      </c>
      <c r="F320" s="62">
        <v>420</v>
      </c>
      <c r="G320" s="43">
        <v>3</v>
      </c>
      <c r="H320" s="43">
        <v>38</v>
      </c>
      <c r="I320" s="43">
        <v>5</v>
      </c>
      <c r="J320" s="55">
        <v>550</v>
      </c>
      <c r="K320" s="6">
        <v>0</v>
      </c>
      <c r="L320" s="6">
        <v>0</v>
      </c>
      <c r="M320" s="43">
        <v>0</v>
      </c>
      <c r="N320" s="25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  <c r="V320" s="43">
        <v>1</v>
      </c>
      <c r="W320" s="43">
        <v>5</v>
      </c>
      <c r="X320" s="43">
        <v>0</v>
      </c>
      <c r="Y320" s="43">
        <v>0</v>
      </c>
      <c r="Z320" s="43">
        <v>0</v>
      </c>
      <c r="AA320" s="44">
        <v>0</v>
      </c>
      <c r="AB320" s="44">
        <v>0</v>
      </c>
      <c r="AC320" s="44">
        <v>9</v>
      </c>
      <c r="AD320" s="44">
        <v>16</v>
      </c>
      <c r="AE320" s="44">
        <v>682</v>
      </c>
      <c r="AF320" s="44">
        <v>13</v>
      </c>
      <c r="AG320" s="44">
        <v>0</v>
      </c>
      <c r="AH320" s="44">
        <v>296</v>
      </c>
      <c r="AI320" s="32"/>
      <c r="AJ320" s="32"/>
      <c r="AK320" s="32"/>
      <c r="AL320" s="32"/>
      <c r="AM320" s="44">
        <v>32</v>
      </c>
      <c r="AN320" s="44">
        <v>274</v>
      </c>
      <c r="AO320" s="44">
        <v>687</v>
      </c>
      <c r="AP320" s="44"/>
      <c r="AQ320" s="44"/>
      <c r="AR320" s="43">
        <v>634</v>
      </c>
      <c r="AS320" s="43">
        <v>346</v>
      </c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43">
        <v>593</v>
      </c>
      <c r="BF320" s="43">
        <v>398</v>
      </c>
      <c r="BG320" s="43">
        <v>625</v>
      </c>
      <c r="BH320" s="43">
        <v>358</v>
      </c>
      <c r="BI320" s="43">
        <v>667</v>
      </c>
      <c r="BJ320" s="43">
        <v>313</v>
      </c>
      <c r="BK320" s="43">
        <v>403</v>
      </c>
      <c r="BL320" s="43">
        <v>571</v>
      </c>
      <c r="BM320" s="43">
        <v>498</v>
      </c>
      <c r="BN320" s="43">
        <v>472</v>
      </c>
      <c r="BO320" s="43">
        <v>337</v>
      </c>
      <c r="BP320" s="43">
        <v>610</v>
      </c>
      <c r="BQ320" s="43">
        <v>642</v>
      </c>
      <c r="BR320" s="43">
        <v>314</v>
      </c>
      <c r="BS320" s="43">
        <v>711</v>
      </c>
      <c r="BT320" s="43">
        <v>467</v>
      </c>
      <c r="BU320" s="43">
        <v>481</v>
      </c>
      <c r="BV320" s="43">
        <v>686</v>
      </c>
      <c r="BW320" s="43">
        <v>451</v>
      </c>
      <c r="BX320" s="43">
        <v>303</v>
      </c>
      <c r="BY320" s="43">
        <v>533</v>
      </c>
      <c r="BZ320" s="43">
        <v>288</v>
      </c>
      <c r="CA320" s="43">
        <v>600</v>
      </c>
      <c r="CB320" s="43">
        <v>482</v>
      </c>
      <c r="CC320" s="43">
        <v>298</v>
      </c>
      <c r="CD320" s="43">
        <v>569</v>
      </c>
      <c r="CE320" s="43">
        <v>317</v>
      </c>
      <c r="CF320" s="43">
        <v>446</v>
      </c>
      <c r="CG320" s="43">
        <v>494</v>
      </c>
      <c r="CH320" s="43">
        <v>253</v>
      </c>
      <c r="CI320" s="43">
        <v>180</v>
      </c>
      <c r="CJ320" s="43">
        <v>577</v>
      </c>
      <c r="CK320" s="43">
        <v>438</v>
      </c>
      <c r="CL320" s="43">
        <v>292</v>
      </c>
      <c r="CM320" s="43">
        <v>585</v>
      </c>
      <c r="CN320" s="43">
        <v>589</v>
      </c>
      <c r="CO320" s="43">
        <v>248</v>
      </c>
      <c r="CP320" s="43">
        <v>492</v>
      </c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43">
        <v>679</v>
      </c>
      <c r="EX320" s="43">
        <v>314</v>
      </c>
      <c r="EY320" s="43">
        <v>536</v>
      </c>
      <c r="EZ320" s="43">
        <v>372</v>
      </c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43"/>
      <c r="FZ320" s="43"/>
      <c r="GA320" s="53"/>
      <c r="GB320" s="53"/>
      <c r="GC320" s="53"/>
      <c r="GD320" s="53"/>
      <c r="GE320" s="53"/>
      <c r="GF320" s="53"/>
      <c r="GG320" s="53"/>
      <c r="GH320" s="53"/>
      <c r="GI320" s="43"/>
      <c r="GJ320" s="43"/>
      <c r="GK320" s="43"/>
      <c r="GL320" s="43"/>
      <c r="GM320" s="43">
        <v>628</v>
      </c>
      <c r="GN320" s="43">
        <v>369</v>
      </c>
      <c r="GO320" s="43">
        <v>671</v>
      </c>
      <c r="GP320" s="43">
        <v>320</v>
      </c>
      <c r="GQ320" s="43">
        <v>745</v>
      </c>
      <c r="GR320" s="43">
        <v>268</v>
      </c>
    </row>
    <row r="321" spans="1:200">
      <c r="A321" s="7">
        <v>5612</v>
      </c>
      <c r="B321" s="1" t="s">
        <v>449</v>
      </c>
      <c r="C321" s="33">
        <v>985</v>
      </c>
      <c r="D321" s="34">
        <v>807</v>
      </c>
      <c r="E321" s="19">
        <f t="shared" si="4"/>
        <v>0.81928934010152288</v>
      </c>
      <c r="F321" s="62">
        <v>323</v>
      </c>
      <c r="G321" s="43">
        <v>0</v>
      </c>
      <c r="H321" s="43">
        <v>30</v>
      </c>
      <c r="I321" s="43">
        <v>6</v>
      </c>
      <c r="J321" s="55">
        <v>425</v>
      </c>
      <c r="K321" s="6">
        <v>0</v>
      </c>
      <c r="L321" s="6">
        <v>0</v>
      </c>
      <c r="M321" s="43">
        <v>0</v>
      </c>
      <c r="N321" s="25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  <c r="V321" s="43">
        <v>1</v>
      </c>
      <c r="W321" s="43">
        <v>1</v>
      </c>
      <c r="X321" s="43">
        <v>0</v>
      </c>
      <c r="Y321" s="43">
        <v>0</v>
      </c>
      <c r="Z321" s="43">
        <v>0</v>
      </c>
      <c r="AA321" s="44">
        <v>0</v>
      </c>
      <c r="AB321" s="44">
        <v>0</v>
      </c>
      <c r="AC321" s="44">
        <v>1</v>
      </c>
      <c r="AD321" s="44">
        <v>11</v>
      </c>
      <c r="AE321" s="44">
        <v>575</v>
      </c>
      <c r="AF321" s="44">
        <v>8</v>
      </c>
      <c r="AG321" s="44">
        <v>0</v>
      </c>
      <c r="AH321" s="44">
        <v>184</v>
      </c>
      <c r="AI321" s="32"/>
      <c r="AJ321" s="32"/>
      <c r="AK321" s="32"/>
      <c r="AL321" s="32"/>
      <c r="AM321" s="44">
        <v>18</v>
      </c>
      <c r="AN321" s="44">
        <v>192</v>
      </c>
      <c r="AO321" s="44">
        <v>554</v>
      </c>
      <c r="AP321" s="44"/>
      <c r="AQ321" s="44"/>
      <c r="AR321" s="43">
        <v>510</v>
      </c>
      <c r="AS321" s="43">
        <v>233</v>
      </c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43">
        <v>460</v>
      </c>
      <c r="BF321" s="43">
        <v>298</v>
      </c>
      <c r="BG321" s="43">
        <v>487</v>
      </c>
      <c r="BH321" s="43">
        <v>259</v>
      </c>
      <c r="BI321" s="43">
        <v>527</v>
      </c>
      <c r="BJ321" s="43">
        <v>218</v>
      </c>
      <c r="BK321" s="43">
        <v>301</v>
      </c>
      <c r="BL321" s="43">
        <v>436</v>
      </c>
      <c r="BM321" s="43">
        <v>405</v>
      </c>
      <c r="BN321" s="43">
        <v>332</v>
      </c>
      <c r="BO321" s="43">
        <v>255</v>
      </c>
      <c r="BP321" s="43">
        <v>472</v>
      </c>
      <c r="BQ321" s="43">
        <v>534</v>
      </c>
      <c r="BR321" s="43">
        <v>202</v>
      </c>
      <c r="BS321" s="43">
        <v>550</v>
      </c>
      <c r="BT321" s="43">
        <v>376</v>
      </c>
      <c r="BU321" s="43">
        <v>343</v>
      </c>
      <c r="BV321" s="43">
        <v>536</v>
      </c>
      <c r="BW321" s="43">
        <v>383</v>
      </c>
      <c r="BX321" s="43">
        <v>225</v>
      </c>
      <c r="BY321" s="43">
        <v>451</v>
      </c>
      <c r="BZ321" s="43">
        <v>213</v>
      </c>
      <c r="CA321" s="43">
        <v>490</v>
      </c>
      <c r="CB321" s="43">
        <v>415</v>
      </c>
      <c r="CC321" s="43">
        <v>211</v>
      </c>
      <c r="CD321" s="43">
        <v>426</v>
      </c>
      <c r="CE321" s="43">
        <v>218</v>
      </c>
      <c r="CF321" s="43">
        <v>387</v>
      </c>
      <c r="CG321" s="43">
        <v>410</v>
      </c>
      <c r="CH321" s="43">
        <v>180</v>
      </c>
      <c r="CI321" s="43">
        <v>109</v>
      </c>
      <c r="CJ321" s="43">
        <v>498</v>
      </c>
      <c r="CK321" s="43">
        <v>376</v>
      </c>
      <c r="CL321" s="43">
        <v>214</v>
      </c>
      <c r="CM321" s="43">
        <v>466</v>
      </c>
      <c r="CN321" s="43">
        <v>473</v>
      </c>
      <c r="CO321" s="43">
        <v>159</v>
      </c>
      <c r="CP321" s="43">
        <v>427</v>
      </c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43">
        <v>519</v>
      </c>
      <c r="EX321" s="43">
        <v>255</v>
      </c>
      <c r="EY321" s="43">
        <v>412</v>
      </c>
      <c r="EZ321" s="43">
        <v>282</v>
      </c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43"/>
      <c r="FZ321" s="43"/>
      <c r="GA321" s="53"/>
      <c r="GB321" s="53"/>
      <c r="GC321" s="53"/>
      <c r="GD321" s="53"/>
      <c r="GE321" s="53"/>
      <c r="GF321" s="53"/>
      <c r="GG321" s="53"/>
      <c r="GH321" s="53"/>
      <c r="GI321" s="43"/>
      <c r="GJ321" s="43"/>
      <c r="GK321" s="43"/>
      <c r="GL321" s="43"/>
      <c r="GM321" s="43">
        <v>481</v>
      </c>
      <c r="GN321" s="43">
        <v>296</v>
      </c>
      <c r="GO321" s="43">
        <v>496</v>
      </c>
      <c r="GP321" s="43">
        <v>272</v>
      </c>
      <c r="GQ321" s="43">
        <v>555</v>
      </c>
      <c r="GR321" s="43">
        <v>220</v>
      </c>
    </row>
    <row r="322" spans="1:200">
      <c r="A322" s="7">
        <v>5613</v>
      </c>
      <c r="B322" s="1" t="s">
        <v>450</v>
      </c>
      <c r="C322" s="33">
        <v>743</v>
      </c>
      <c r="D322" s="34">
        <v>617</v>
      </c>
      <c r="E322" s="19">
        <f t="shared" si="4"/>
        <v>0.83041722745625846</v>
      </c>
      <c r="F322" s="62">
        <v>241</v>
      </c>
      <c r="G322" s="43">
        <v>0</v>
      </c>
      <c r="H322" s="43">
        <v>25</v>
      </c>
      <c r="I322" s="43">
        <v>1</v>
      </c>
      <c r="J322" s="55">
        <v>335</v>
      </c>
      <c r="K322" s="6">
        <v>0</v>
      </c>
      <c r="L322" s="6">
        <v>0</v>
      </c>
      <c r="M322" s="43">
        <v>0</v>
      </c>
      <c r="N322" s="25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  <c r="V322" s="43">
        <v>0</v>
      </c>
      <c r="W322" s="43">
        <v>2</v>
      </c>
      <c r="X322" s="43">
        <v>0</v>
      </c>
      <c r="Y322" s="43">
        <v>0</v>
      </c>
      <c r="Z322" s="43">
        <v>0</v>
      </c>
      <c r="AA322" s="44">
        <v>0</v>
      </c>
      <c r="AB322" s="44">
        <v>0</v>
      </c>
      <c r="AC322" s="44">
        <v>5</v>
      </c>
      <c r="AD322" s="44">
        <v>3</v>
      </c>
      <c r="AE322" s="44">
        <v>426</v>
      </c>
      <c r="AF322" s="44">
        <v>5</v>
      </c>
      <c r="AG322" s="44">
        <v>0</v>
      </c>
      <c r="AH322" s="44">
        <v>156</v>
      </c>
      <c r="AI322" s="32"/>
      <c r="AJ322" s="32"/>
      <c r="AK322" s="32"/>
      <c r="AL322" s="32"/>
      <c r="AM322" s="44">
        <v>11</v>
      </c>
      <c r="AN322" s="44">
        <v>132</v>
      </c>
      <c r="AO322" s="44">
        <v>434</v>
      </c>
      <c r="AP322" s="44"/>
      <c r="AQ322" s="44"/>
      <c r="AR322" s="43">
        <v>398</v>
      </c>
      <c r="AS322" s="43">
        <v>170</v>
      </c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43">
        <v>353</v>
      </c>
      <c r="BF322" s="43">
        <v>224</v>
      </c>
      <c r="BG322" s="43">
        <v>377</v>
      </c>
      <c r="BH322" s="43">
        <v>197</v>
      </c>
      <c r="BI322" s="43">
        <v>415</v>
      </c>
      <c r="BJ322" s="43">
        <v>162</v>
      </c>
      <c r="BK322" s="43">
        <v>227</v>
      </c>
      <c r="BL322" s="43">
        <v>341</v>
      </c>
      <c r="BM322" s="43">
        <v>285</v>
      </c>
      <c r="BN322" s="43">
        <v>277</v>
      </c>
      <c r="BO322" s="43">
        <v>167</v>
      </c>
      <c r="BP322" s="43">
        <v>375</v>
      </c>
      <c r="BQ322" s="43">
        <v>402</v>
      </c>
      <c r="BR322" s="43">
        <v>148</v>
      </c>
      <c r="BS322" s="43">
        <v>427</v>
      </c>
      <c r="BT322" s="43">
        <v>274</v>
      </c>
      <c r="BU322" s="43">
        <v>268</v>
      </c>
      <c r="BV322" s="43">
        <v>430</v>
      </c>
      <c r="BW322" s="43">
        <v>317</v>
      </c>
      <c r="BX322" s="43">
        <v>150</v>
      </c>
      <c r="BY322" s="43">
        <v>351</v>
      </c>
      <c r="BZ322" s="43">
        <v>162</v>
      </c>
      <c r="CA322" s="43">
        <v>391</v>
      </c>
      <c r="CB322" s="43">
        <v>346</v>
      </c>
      <c r="CC322" s="43">
        <v>137</v>
      </c>
      <c r="CD322" s="43">
        <v>327</v>
      </c>
      <c r="CE322" s="43">
        <v>175</v>
      </c>
      <c r="CF322" s="43">
        <v>304</v>
      </c>
      <c r="CG322" s="43">
        <v>337</v>
      </c>
      <c r="CH322" s="43">
        <v>127</v>
      </c>
      <c r="CI322" s="43">
        <v>100</v>
      </c>
      <c r="CJ322" s="43">
        <v>379</v>
      </c>
      <c r="CK322" s="43">
        <v>326</v>
      </c>
      <c r="CL322" s="43">
        <v>129</v>
      </c>
      <c r="CM322" s="43">
        <v>374</v>
      </c>
      <c r="CN322" s="43">
        <v>374</v>
      </c>
      <c r="CO322" s="43">
        <v>128</v>
      </c>
      <c r="CP322" s="43">
        <v>326</v>
      </c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43">
        <v>415</v>
      </c>
      <c r="EX322" s="43">
        <v>182</v>
      </c>
      <c r="EY322" s="43">
        <v>303</v>
      </c>
      <c r="EZ322" s="43">
        <v>234</v>
      </c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43"/>
      <c r="FZ322" s="43"/>
      <c r="GA322" s="53"/>
      <c r="GB322" s="53"/>
      <c r="GC322" s="53"/>
      <c r="GD322" s="53"/>
      <c r="GE322" s="53"/>
      <c r="GF322" s="53"/>
      <c r="GG322" s="53"/>
      <c r="GH322" s="53"/>
      <c r="GI322" s="43"/>
      <c r="GJ322" s="43"/>
      <c r="GK322" s="43"/>
      <c r="GL322" s="43"/>
      <c r="GM322" s="43">
        <v>358</v>
      </c>
      <c r="GN322" s="43">
        <v>237</v>
      </c>
      <c r="GO322" s="43">
        <v>379</v>
      </c>
      <c r="GP322" s="43">
        <v>220</v>
      </c>
      <c r="GQ322" s="43">
        <v>415</v>
      </c>
      <c r="GR322" s="43">
        <v>179</v>
      </c>
    </row>
    <row r="323" spans="1:200">
      <c r="A323" s="7">
        <v>5614</v>
      </c>
      <c r="B323" s="1" t="s">
        <v>451</v>
      </c>
      <c r="C323" s="33">
        <v>1189</v>
      </c>
      <c r="D323" s="34">
        <v>985</v>
      </c>
      <c r="E323" s="19">
        <f t="shared" si="4"/>
        <v>0.82842724978973925</v>
      </c>
      <c r="F323" s="62">
        <v>382</v>
      </c>
      <c r="G323" s="43">
        <v>5</v>
      </c>
      <c r="H323" s="43">
        <v>38</v>
      </c>
      <c r="I323" s="43">
        <v>8</v>
      </c>
      <c r="J323" s="55">
        <v>504</v>
      </c>
      <c r="K323" s="6">
        <v>0</v>
      </c>
      <c r="L323" s="6">
        <v>0</v>
      </c>
      <c r="M323" s="43">
        <v>1</v>
      </c>
      <c r="N323" s="25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  <c r="V323" s="43">
        <v>1</v>
      </c>
      <c r="W323" s="43">
        <v>7</v>
      </c>
      <c r="X323" s="43">
        <v>0</v>
      </c>
      <c r="Y323" s="43">
        <v>0</v>
      </c>
      <c r="Z323" s="43">
        <v>0</v>
      </c>
      <c r="AA323" s="44">
        <v>0</v>
      </c>
      <c r="AB323" s="44">
        <v>0</v>
      </c>
      <c r="AC323" s="44">
        <v>7</v>
      </c>
      <c r="AD323" s="44">
        <v>10</v>
      </c>
      <c r="AE323" s="44">
        <v>680</v>
      </c>
      <c r="AF323" s="44">
        <v>6</v>
      </c>
      <c r="AG323" s="44">
        <v>0</v>
      </c>
      <c r="AH323" s="44">
        <v>263</v>
      </c>
      <c r="AI323" s="32"/>
      <c r="AJ323" s="32"/>
      <c r="AK323" s="32"/>
      <c r="AL323" s="32"/>
      <c r="AM323" s="44">
        <v>41</v>
      </c>
      <c r="AN323" s="44">
        <v>230</v>
      </c>
      <c r="AO323" s="44">
        <v>663</v>
      </c>
      <c r="AP323" s="44"/>
      <c r="AQ323" s="44"/>
      <c r="AR323" s="43">
        <v>629</v>
      </c>
      <c r="AS323" s="43">
        <v>296</v>
      </c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43">
        <v>545</v>
      </c>
      <c r="BF323" s="43">
        <v>393</v>
      </c>
      <c r="BG323" s="43">
        <v>588</v>
      </c>
      <c r="BH323" s="43">
        <v>343</v>
      </c>
      <c r="BI323" s="43">
        <v>639</v>
      </c>
      <c r="BJ323" s="43">
        <v>283</v>
      </c>
      <c r="BK323" s="43">
        <v>400</v>
      </c>
      <c r="BL323" s="43">
        <v>524</v>
      </c>
      <c r="BM323" s="43">
        <v>403</v>
      </c>
      <c r="BN323" s="43">
        <v>521</v>
      </c>
      <c r="BO323" s="43">
        <v>317</v>
      </c>
      <c r="BP323" s="43">
        <v>574</v>
      </c>
      <c r="BQ323" s="43">
        <v>644</v>
      </c>
      <c r="BR323" s="43">
        <v>262</v>
      </c>
      <c r="BS323" s="43">
        <v>657</v>
      </c>
      <c r="BT323" s="43">
        <v>432</v>
      </c>
      <c r="BU323" s="43">
        <v>460</v>
      </c>
      <c r="BV323" s="43">
        <v>634</v>
      </c>
      <c r="BW323" s="43">
        <v>438</v>
      </c>
      <c r="BX323" s="43">
        <v>313</v>
      </c>
      <c r="BY323" s="43">
        <v>517</v>
      </c>
      <c r="BZ323" s="43">
        <v>280</v>
      </c>
      <c r="CA323" s="43">
        <v>579</v>
      </c>
      <c r="CB323" s="43">
        <v>484</v>
      </c>
      <c r="CC323" s="43">
        <v>285</v>
      </c>
      <c r="CD323" s="43">
        <v>557</v>
      </c>
      <c r="CE323" s="43">
        <v>291</v>
      </c>
      <c r="CF323" s="43">
        <v>461</v>
      </c>
      <c r="CG323" s="43">
        <v>462</v>
      </c>
      <c r="CH323" s="43">
        <v>264</v>
      </c>
      <c r="CI323" s="43">
        <v>167</v>
      </c>
      <c r="CJ323" s="43">
        <v>570</v>
      </c>
      <c r="CK323" s="43">
        <v>434</v>
      </c>
      <c r="CL323" s="43">
        <v>282</v>
      </c>
      <c r="CM323" s="43">
        <v>557</v>
      </c>
      <c r="CN323" s="43">
        <v>563</v>
      </c>
      <c r="CO323" s="43">
        <v>250</v>
      </c>
      <c r="CP323" s="43">
        <v>464</v>
      </c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43">
        <v>676</v>
      </c>
      <c r="EX323" s="43">
        <v>277</v>
      </c>
      <c r="EY323" s="43">
        <v>518</v>
      </c>
      <c r="EZ323" s="43">
        <v>350</v>
      </c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43"/>
      <c r="FZ323" s="43"/>
      <c r="GA323" s="53"/>
      <c r="GB323" s="53"/>
      <c r="GC323" s="53"/>
      <c r="GD323" s="53"/>
      <c r="GE323" s="53"/>
      <c r="GF323" s="53"/>
      <c r="GG323" s="53"/>
      <c r="GH323" s="53"/>
      <c r="GI323" s="43"/>
      <c r="GJ323" s="43"/>
      <c r="GK323" s="43"/>
      <c r="GL323" s="43"/>
      <c r="GM323" s="43">
        <v>612</v>
      </c>
      <c r="GN323" s="43">
        <v>345</v>
      </c>
      <c r="GO323" s="43">
        <v>652</v>
      </c>
      <c r="GP323" s="43">
        <v>296</v>
      </c>
      <c r="GQ323" s="43">
        <v>688</v>
      </c>
      <c r="GR323" s="43">
        <v>267</v>
      </c>
    </row>
    <row r="324" spans="1:200">
      <c r="A324" s="7">
        <v>5615</v>
      </c>
      <c r="B324" s="1" t="s">
        <v>452</v>
      </c>
      <c r="C324" s="33">
        <v>1303</v>
      </c>
      <c r="D324" s="34">
        <v>1044</v>
      </c>
      <c r="E324" s="19">
        <f t="shared" si="4"/>
        <v>0.80122793553338445</v>
      </c>
      <c r="F324" s="62">
        <v>353</v>
      </c>
      <c r="G324" s="43">
        <v>1</v>
      </c>
      <c r="H324" s="43">
        <v>57</v>
      </c>
      <c r="I324" s="43">
        <v>16</v>
      </c>
      <c r="J324" s="55">
        <v>586</v>
      </c>
      <c r="K324" s="6">
        <v>0</v>
      </c>
      <c r="L324" s="6">
        <v>0</v>
      </c>
      <c r="M324" s="43">
        <v>0</v>
      </c>
      <c r="N324" s="25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  <c r="V324" s="43">
        <v>1</v>
      </c>
      <c r="W324" s="43">
        <v>2</v>
      </c>
      <c r="X324" s="43">
        <v>0</v>
      </c>
      <c r="Y324" s="43">
        <v>0</v>
      </c>
      <c r="Z324" s="43">
        <v>0</v>
      </c>
      <c r="AA324" s="44">
        <v>0</v>
      </c>
      <c r="AB324" s="44">
        <v>0</v>
      </c>
      <c r="AC324" s="44">
        <v>24</v>
      </c>
      <c r="AD324" s="44">
        <v>20</v>
      </c>
      <c r="AE324" s="44">
        <v>685</v>
      </c>
      <c r="AF324" s="44">
        <v>5</v>
      </c>
      <c r="AG324" s="44">
        <v>0</v>
      </c>
      <c r="AH324" s="44">
        <v>261</v>
      </c>
      <c r="AI324" s="32"/>
      <c r="AJ324" s="32"/>
      <c r="AK324" s="32"/>
      <c r="AL324" s="32"/>
      <c r="AM324" s="44">
        <v>18</v>
      </c>
      <c r="AN324" s="44">
        <v>248</v>
      </c>
      <c r="AO324" s="44">
        <v>701</v>
      </c>
      <c r="AP324" s="44"/>
      <c r="AQ324" s="44"/>
      <c r="AR324" s="43">
        <v>635</v>
      </c>
      <c r="AS324" s="43">
        <v>311</v>
      </c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43">
        <v>590</v>
      </c>
      <c r="BF324" s="43">
        <v>380</v>
      </c>
      <c r="BG324" s="43">
        <v>644</v>
      </c>
      <c r="BH324" s="43">
        <v>321</v>
      </c>
      <c r="BI324" s="43">
        <v>688</v>
      </c>
      <c r="BJ324" s="43">
        <v>274</v>
      </c>
      <c r="BK324" s="43">
        <v>371</v>
      </c>
      <c r="BL324" s="43">
        <v>569</v>
      </c>
      <c r="BM324" s="43">
        <v>502</v>
      </c>
      <c r="BN324" s="43">
        <v>451</v>
      </c>
      <c r="BO324" s="43">
        <v>309</v>
      </c>
      <c r="BP324" s="43">
        <v>610</v>
      </c>
      <c r="BQ324" s="43">
        <v>650</v>
      </c>
      <c r="BR324" s="43">
        <v>270</v>
      </c>
      <c r="BS324" s="43">
        <v>700</v>
      </c>
      <c r="BT324" s="43">
        <v>482</v>
      </c>
      <c r="BU324" s="43">
        <v>427</v>
      </c>
      <c r="BV324" s="43">
        <v>660</v>
      </c>
      <c r="BW324" s="43">
        <v>471</v>
      </c>
      <c r="BX324" s="43">
        <v>276</v>
      </c>
      <c r="BY324" s="43">
        <v>574</v>
      </c>
      <c r="BZ324" s="43">
        <v>263</v>
      </c>
      <c r="CA324" s="43">
        <v>607</v>
      </c>
      <c r="CB324" s="43">
        <v>488</v>
      </c>
      <c r="CC324" s="43">
        <v>257</v>
      </c>
      <c r="CD324" s="43">
        <v>564</v>
      </c>
      <c r="CE324" s="43">
        <v>320</v>
      </c>
      <c r="CF324" s="43">
        <v>444</v>
      </c>
      <c r="CG324" s="43">
        <v>487</v>
      </c>
      <c r="CH324" s="43">
        <v>223</v>
      </c>
      <c r="CI324" s="43">
        <v>173</v>
      </c>
      <c r="CJ324" s="43">
        <v>569</v>
      </c>
      <c r="CK324" s="43">
        <v>448</v>
      </c>
      <c r="CL324" s="43">
        <v>275</v>
      </c>
      <c r="CM324" s="43">
        <v>580</v>
      </c>
      <c r="CN324" s="43">
        <v>590</v>
      </c>
      <c r="CO324" s="43">
        <v>241</v>
      </c>
      <c r="CP324" s="43">
        <v>482</v>
      </c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43">
        <v>635</v>
      </c>
      <c r="EX324" s="43">
        <v>359</v>
      </c>
      <c r="EY324" s="43">
        <v>524</v>
      </c>
      <c r="EZ324" s="43">
        <v>384</v>
      </c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43"/>
      <c r="FZ324" s="43"/>
      <c r="GA324" s="53"/>
      <c r="GB324" s="53"/>
      <c r="GC324" s="53"/>
      <c r="GD324" s="53"/>
      <c r="GE324" s="53"/>
      <c r="GF324" s="53"/>
      <c r="GG324" s="53"/>
      <c r="GH324" s="53"/>
      <c r="GI324" s="43"/>
      <c r="GJ324" s="43"/>
      <c r="GK324" s="43"/>
      <c r="GL324" s="43"/>
      <c r="GM324" s="43">
        <v>618</v>
      </c>
      <c r="GN324" s="43">
        <v>392</v>
      </c>
      <c r="GO324" s="43">
        <v>658</v>
      </c>
      <c r="GP324" s="43">
        <v>346</v>
      </c>
      <c r="GQ324" s="43">
        <v>679</v>
      </c>
      <c r="GR324" s="43">
        <v>331</v>
      </c>
    </row>
    <row r="325" spans="1:200">
      <c r="A325" s="7">
        <v>5616</v>
      </c>
      <c r="B325" s="1" t="s">
        <v>453</v>
      </c>
      <c r="C325" s="33">
        <v>503</v>
      </c>
      <c r="D325" s="34">
        <v>431</v>
      </c>
      <c r="E325" s="19">
        <f t="shared" ref="E325:E388" si="5">SUM(D325/C325)</f>
        <v>0.85685884691848901</v>
      </c>
      <c r="F325" s="62">
        <v>149</v>
      </c>
      <c r="G325" s="43">
        <v>1</v>
      </c>
      <c r="H325" s="43">
        <v>30</v>
      </c>
      <c r="I325" s="43">
        <v>3</v>
      </c>
      <c r="J325" s="55">
        <v>228</v>
      </c>
      <c r="K325" s="6">
        <v>0</v>
      </c>
      <c r="L325" s="6">
        <v>0</v>
      </c>
      <c r="M325" s="43">
        <v>0</v>
      </c>
      <c r="N325" s="25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  <c r="V325" s="43">
        <v>0</v>
      </c>
      <c r="W325" s="43">
        <v>6</v>
      </c>
      <c r="X325" s="43">
        <v>0</v>
      </c>
      <c r="Y325" s="43">
        <v>0</v>
      </c>
      <c r="Z325" s="43">
        <v>0</v>
      </c>
      <c r="AA325" s="44">
        <v>0</v>
      </c>
      <c r="AB325" s="44">
        <v>0</v>
      </c>
      <c r="AC325" s="44">
        <v>3</v>
      </c>
      <c r="AD325" s="44">
        <v>6</v>
      </c>
      <c r="AE325" s="44">
        <v>321</v>
      </c>
      <c r="AF325" s="44">
        <v>4</v>
      </c>
      <c r="AG325" s="44">
        <v>0</v>
      </c>
      <c r="AH325" s="44">
        <v>83</v>
      </c>
      <c r="AI325" s="32"/>
      <c r="AJ325" s="32"/>
      <c r="AK325" s="32"/>
      <c r="AL325" s="32"/>
      <c r="AM325" s="44">
        <v>6</v>
      </c>
      <c r="AN325" s="44">
        <v>93</v>
      </c>
      <c r="AO325" s="44">
        <v>313</v>
      </c>
      <c r="AP325" s="44"/>
      <c r="AQ325" s="44"/>
      <c r="AR325" s="43">
        <v>285</v>
      </c>
      <c r="AS325" s="43">
        <v>115</v>
      </c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43">
        <v>264</v>
      </c>
      <c r="BF325" s="43">
        <v>144</v>
      </c>
      <c r="BG325" s="43">
        <v>267</v>
      </c>
      <c r="BH325" s="43">
        <v>133</v>
      </c>
      <c r="BI325" s="43">
        <v>291</v>
      </c>
      <c r="BJ325" s="43">
        <v>114</v>
      </c>
      <c r="BK325" s="43">
        <v>172</v>
      </c>
      <c r="BL325" s="43">
        <v>223</v>
      </c>
      <c r="BM325" s="43">
        <v>207</v>
      </c>
      <c r="BN325" s="43">
        <v>180</v>
      </c>
      <c r="BO325" s="43">
        <v>116</v>
      </c>
      <c r="BP325" s="43">
        <v>267</v>
      </c>
      <c r="BQ325" s="43">
        <v>296</v>
      </c>
      <c r="BR325" s="43">
        <v>91</v>
      </c>
      <c r="BS325" s="43">
        <v>288</v>
      </c>
      <c r="BT325" s="43">
        <v>185</v>
      </c>
      <c r="BU325" s="43">
        <v>205</v>
      </c>
      <c r="BV325" s="43">
        <v>288</v>
      </c>
      <c r="BW325" s="43">
        <v>223</v>
      </c>
      <c r="BX325" s="43">
        <v>108</v>
      </c>
      <c r="BY325" s="43">
        <v>236</v>
      </c>
      <c r="BZ325" s="43">
        <v>109</v>
      </c>
      <c r="CA325" s="43">
        <v>259</v>
      </c>
      <c r="CB325" s="43">
        <v>228</v>
      </c>
      <c r="CC325" s="43">
        <v>93</v>
      </c>
      <c r="CD325" s="43">
        <v>230</v>
      </c>
      <c r="CE325" s="43">
        <v>119</v>
      </c>
      <c r="CF325" s="43">
        <v>213</v>
      </c>
      <c r="CG325" s="43">
        <v>226</v>
      </c>
      <c r="CH325" s="43">
        <v>85</v>
      </c>
      <c r="CI325" s="43">
        <v>58</v>
      </c>
      <c r="CJ325" s="43">
        <v>268</v>
      </c>
      <c r="CK325" s="43">
        <v>213</v>
      </c>
      <c r="CL325" s="43">
        <v>90</v>
      </c>
      <c r="CM325" s="43">
        <v>241</v>
      </c>
      <c r="CN325" s="43">
        <v>249</v>
      </c>
      <c r="CO325" s="43">
        <v>86</v>
      </c>
      <c r="CP325" s="43">
        <v>219</v>
      </c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43">
        <v>285</v>
      </c>
      <c r="EX325" s="43">
        <v>122</v>
      </c>
      <c r="EY325" s="43">
        <v>251</v>
      </c>
      <c r="EZ325" s="43">
        <v>118</v>
      </c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43"/>
      <c r="FZ325" s="43"/>
      <c r="GA325" s="53"/>
      <c r="GB325" s="53"/>
      <c r="GC325" s="53"/>
      <c r="GD325" s="53"/>
      <c r="GE325" s="53"/>
      <c r="GF325" s="53"/>
      <c r="GG325" s="53"/>
      <c r="GH325" s="53"/>
      <c r="GI325" s="43"/>
      <c r="GJ325" s="43"/>
      <c r="GK325" s="43"/>
      <c r="GL325" s="43"/>
      <c r="GM325" s="43">
        <v>278</v>
      </c>
      <c r="GN325" s="43">
        <v>136</v>
      </c>
      <c r="GO325" s="43">
        <v>301</v>
      </c>
      <c r="GP325" s="43">
        <v>109</v>
      </c>
      <c r="GQ325" s="43">
        <v>324</v>
      </c>
      <c r="GR325" s="43">
        <v>93</v>
      </c>
    </row>
    <row r="326" spans="1:200">
      <c r="A326" s="7">
        <v>5617</v>
      </c>
      <c r="B326" s="1" t="s">
        <v>454</v>
      </c>
      <c r="C326" s="33">
        <v>1392</v>
      </c>
      <c r="D326" s="34">
        <v>1191</v>
      </c>
      <c r="E326" s="19">
        <f t="shared" si="5"/>
        <v>0.8556034482758621</v>
      </c>
      <c r="F326" s="62">
        <v>422</v>
      </c>
      <c r="G326" s="43">
        <v>1</v>
      </c>
      <c r="H326" s="43">
        <v>50</v>
      </c>
      <c r="I326" s="43">
        <v>6</v>
      </c>
      <c r="J326" s="55">
        <v>659</v>
      </c>
      <c r="K326" s="6">
        <v>0</v>
      </c>
      <c r="L326" s="6">
        <v>0</v>
      </c>
      <c r="M326" s="43">
        <v>0</v>
      </c>
      <c r="N326" s="25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1</v>
      </c>
      <c r="U326" s="43">
        <v>0</v>
      </c>
      <c r="V326" s="43">
        <v>0</v>
      </c>
      <c r="W326" s="43">
        <v>7</v>
      </c>
      <c r="X326" s="43">
        <v>0</v>
      </c>
      <c r="Y326" s="43">
        <v>0</v>
      </c>
      <c r="Z326" s="43">
        <v>0</v>
      </c>
      <c r="AA326" s="44">
        <v>0</v>
      </c>
      <c r="AB326" s="44">
        <v>0</v>
      </c>
      <c r="AC326" s="44">
        <v>10</v>
      </c>
      <c r="AD326" s="44">
        <v>14</v>
      </c>
      <c r="AE326" s="44">
        <v>832</v>
      </c>
      <c r="AF326" s="44">
        <v>19</v>
      </c>
      <c r="AG326" s="44">
        <v>0</v>
      </c>
      <c r="AH326" s="44">
        <v>272</v>
      </c>
      <c r="AI326" s="32"/>
      <c r="AJ326" s="32"/>
      <c r="AK326" s="32"/>
      <c r="AL326" s="32"/>
      <c r="AM326" s="44">
        <v>21</v>
      </c>
      <c r="AN326" s="44">
        <v>269</v>
      </c>
      <c r="AO326" s="44">
        <v>834</v>
      </c>
      <c r="AP326" s="44"/>
      <c r="AQ326" s="44"/>
      <c r="AR326" s="43">
        <v>760</v>
      </c>
      <c r="AS326" s="43">
        <v>344</v>
      </c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43">
        <v>692</v>
      </c>
      <c r="BF326" s="43">
        <v>420</v>
      </c>
      <c r="BG326" s="43">
        <v>745</v>
      </c>
      <c r="BH326" s="43">
        <v>360</v>
      </c>
      <c r="BI326" s="43">
        <v>800</v>
      </c>
      <c r="BJ326" s="43">
        <v>304</v>
      </c>
      <c r="BK326" s="43">
        <v>433</v>
      </c>
      <c r="BL326" s="43">
        <v>666</v>
      </c>
      <c r="BM326" s="43">
        <v>602</v>
      </c>
      <c r="BN326" s="43">
        <v>489</v>
      </c>
      <c r="BO326" s="43">
        <v>330</v>
      </c>
      <c r="BP326" s="43">
        <v>740</v>
      </c>
      <c r="BQ326" s="43">
        <v>796</v>
      </c>
      <c r="BR326" s="43">
        <v>271</v>
      </c>
      <c r="BS326" s="43">
        <v>809</v>
      </c>
      <c r="BT326" s="43">
        <v>587</v>
      </c>
      <c r="BU326" s="43">
        <v>473</v>
      </c>
      <c r="BV326" s="43">
        <v>769</v>
      </c>
      <c r="BW326" s="43">
        <v>619</v>
      </c>
      <c r="BX326" s="43">
        <v>268</v>
      </c>
      <c r="BY326" s="43">
        <v>645</v>
      </c>
      <c r="BZ326" s="43">
        <v>299</v>
      </c>
      <c r="CA326" s="43">
        <v>695</v>
      </c>
      <c r="CB326" s="43">
        <v>612</v>
      </c>
      <c r="CC326" s="43">
        <v>283</v>
      </c>
      <c r="CD326" s="43">
        <v>629</v>
      </c>
      <c r="CE326" s="43">
        <v>332</v>
      </c>
      <c r="CF326" s="43">
        <v>560</v>
      </c>
      <c r="CG326" s="43">
        <v>628</v>
      </c>
      <c r="CH326" s="43">
        <v>227</v>
      </c>
      <c r="CI326" s="43">
        <v>205</v>
      </c>
      <c r="CJ326" s="43">
        <v>678</v>
      </c>
      <c r="CK326" s="43">
        <v>561</v>
      </c>
      <c r="CL326" s="43">
        <v>286</v>
      </c>
      <c r="CM326" s="43">
        <v>662</v>
      </c>
      <c r="CN326" s="43">
        <v>667</v>
      </c>
      <c r="CO326" s="43">
        <v>267</v>
      </c>
      <c r="CP326" s="43">
        <v>591</v>
      </c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43">
        <v>777</v>
      </c>
      <c r="EX326" s="43">
        <v>368</v>
      </c>
      <c r="EY326" s="43">
        <v>635</v>
      </c>
      <c r="EZ326" s="43">
        <v>402</v>
      </c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43"/>
      <c r="FZ326" s="43"/>
      <c r="GA326" s="53"/>
      <c r="GB326" s="53"/>
      <c r="GC326" s="53"/>
      <c r="GD326" s="53"/>
      <c r="GE326" s="53"/>
      <c r="GF326" s="53"/>
      <c r="GG326" s="53"/>
      <c r="GH326" s="53"/>
      <c r="GI326" s="43"/>
      <c r="GJ326" s="43"/>
      <c r="GK326" s="43"/>
      <c r="GL326" s="43"/>
      <c r="GM326" s="43">
        <v>711</v>
      </c>
      <c r="GN326" s="43">
        <v>437</v>
      </c>
      <c r="GO326" s="43">
        <v>744</v>
      </c>
      <c r="GP326" s="43">
        <v>397</v>
      </c>
      <c r="GQ326" s="43">
        <v>827</v>
      </c>
      <c r="GR326" s="43">
        <v>322</v>
      </c>
    </row>
    <row r="327" spans="1:200">
      <c r="A327" s="7">
        <v>5618</v>
      </c>
      <c r="B327" s="1" t="s">
        <v>455</v>
      </c>
      <c r="C327" s="33">
        <v>1160</v>
      </c>
      <c r="D327" s="34">
        <v>965</v>
      </c>
      <c r="E327" s="19">
        <f t="shared" si="5"/>
        <v>0.8318965517241379</v>
      </c>
      <c r="F327" s="62">
        <v>375</v>
      </c>
      <c r="G327" s="43">
        <v>1</v>
      </c>
      <c r="H327" s="43">
        <v>41</v>
      </c>
      <c r="I327" s="43">
        <v>11</v>
      </c>
      <c r="J327" s="55">
        <v>493</v>
      </c>
      <c r="K327" s="6">
        <v>0</v>
      </c>
      <c r="L327" s="6">
        <v>0</v>
      </c>
      <c r="M327" s="43">
        <v>0</v>
      </c>
      <c r="N327" s="25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  <c r="V327" s="43">
        <v>1</v>
      </c>
      <c r="W327" s="43">
        <v>10</v>
      </c>
      <c r="X327" s="43">
        <v>0</v>
      </c>
      <c r="Y327" s="43">
        <v>0</v>
      </c>
      <c r="Z327" s="43">
        <v>0</v>
      </c>
      <c r="AA327" s="44">
        <v>0</v>
      </c>
      <c r="AB327" s="44">
        <v>0</v>
      </c>
      <c r="AC327" s="44">
        <v>4</v>
      </c>
      <c r="AD327" s="44">
        <v>8</v>
      </c>
      <c r="AE327" s="44">
        <v>663</v>
      </c>
      <c r="AF327" s="44">
        <v>12</v>
      </c>
      <c r="AG327" s="44">
        <v>0</v>
      </c>
      <c r="AH327" s="44">
        <v>251</v>
      </c>
      <c r="AI327" s="32"/>
      <c r="AJ327" s="32"/>
      <c r="AK327" s="32"/>
      <c r="AL327" s="32"/>
      <c r="AM327" s="44">
        <v>25</v>
      </c>
      <c r="AN327" s="44">
        <v>237</v>
      </c>
      <c r="AO327" s="44">
        <v>649</v>
      </c>
      <c r="AP327" s="44"/>
      <c r="AQ327" s="44"/>
      <c r="AR327" s="43">
        <v>624</v>
      </c>
      <c r="AS327" s="43">
        <v>274</v>
      </c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43">
        <v>549</v>
      </c>
      <c r="BF327" s="43">
        <v>353</v>
      </c>
      <c r="BG327" s="43">
        <v>585</v>
      </c>
      <c r="BH327" s="43">
        <v>305</v>
      </c>
      <c r="BI327" s="43">
        <v>622</v>
      </c>
      <c r="BJ327" s="43">
        <v>267</v>
      </c>
      <c r="BK327" s="43">
        <v>350</v>
      </c>
      <c r="BL327" s="43">
        <v>531</v>
      </c>
      <c r="BM327" s="43">
        <v>462</v>
      </c>
      <c r="BN327" s="43">
        <v>410</v>
      </c>
      <c r="BO327" s="43">
        <v>273</v>
      </c>
      <c r="BP327" s="43">
        <v>575</v>
      </c>
      <c r="BQ327" s="43">
        <v>637</v>
      </c>
      <c r="BR327" s="43">
        <v>218</v>
      </c>
      <c r="BS327" s="43">
        <v>642</v>
      </c>
      <c r="BT327" s="43">
        <v>419</v>
      </c>
      <c r="BU327" s="43">
        <v>429</v>
      </c>
      <c r="BV327" s="43">
        <v>612</v>
      </c>
      <c r="BW327" s="43">
        <v>441</v>
      </c>
      <c r="BX327" s="43">
        <v>258</v>
      </c>
      <c r="BY327" s="43">
        <v>511</v>
      </c>
      <c r="BZ327" s="43">
        <v>256</v>
      </c>
      <c r="CA327" s="43">
        <v>530</v>
      </c>
      <c r="CB327" s="43">
        <v>517</v>
      </c>
      <c r="CC327" s="43">
        <v>226</v>
      </c>
      <c r="CD327" s="43">
        <v>496</v>
      </c>
      <c r="CE327" s="43">
        <v>255</v>
      </c>
      <c r="CF327" s="43">
        <v>457</v>
      </c>
      <c r="CG327" s="43">
        <v>464</v>
      </c>
      <c r="CH327" s="43">
        <v>212</v>
      </c>
      <c r="CI327" s="43">
        <v>151</v>
      </c>
      <c r="CJ327" s="43">
        <v>544</v>
      </c>
      <c r="CK327" s="43">
        <v>440</v>
      </c>
      <c r="CL327" s="43">
        <v>223</v>
      </c>
      <c r="CM327" s="43">
        <v>514</v>
      </c>
      <c r="CN327" s="43">
        <v>513</v>
      </c>
      <c r="CO327" s="43">
        <v>198</v>
      </c>
      <c r="CP327" s="43">
        <v>473</v>
      </c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43">
        <v>636</v>
      </c>
      <c r="EX327" s="43">
        <v>277</v>
      </c>
      <c r="EY327" s="43">
        <v>549</v>
      </c>
      <c r="EZ327" s="43">
        <v>269</v>
      </c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43"/>
      <c r="FZ327" s="43"/>
      <c r="GA327" s="53"/>
      <c r="GB327" s="53"/>
      <c r="GC327" s="53"/>
      <c r="GD327" s="53"/>
      <c r="GE327" s="53"/>
      <c r="GF327" s="53"/>
      <c r="GG327" s="53"/>
      <c r="GH327" s="53"/>
      <c r="GI327" s="43"/>
      <c r="GJ327" s="43"/>
      <c r="GK327" s="43"/>
      <c r="GL327" s="43"/>
      <c r="GM327" s="43">
        <v>607</v>
      </c>
      <c r="GN327" s="43">
        <v>320</v>
      </c>
      <c r="GO327" s="43">
        <v>622</v>
      </c>
      <c r="GP327" s="43">
        <v>297</v>
      </c>
      <c r="GQ327" s="43">
        <v>702</v>
      </c>
      <c r="GR327" s="43">
        <v>225</v>
      </c>
    </row>
    <row r="328" spans="1:200">
      <c r="A328" s="7">
        <v>5619</v>
      </c>
      <c r="B328" s="1" t="s">
        <v>456</v>
      </c>
      <c r="C328" s="33">
        <v>695</v>
      </c>
      <c r="D328" s="34">
        <v>576</v>
      </c>
      <c r="E328" s="19">
        <f t="shared" si="5"/>
        <v>0.82877697841726616</v>
      </c>
      <c r="F328" s="62">
        <v>209</v>
      </c>
      <c r="G328" s="43">
        <v>1</v>
      </c>
      <c r="H328" s="43">
        <v>13</v>
      </c>
      <c r="I328" s="43">
        <v>5</v>
      </c>
      <c r="J328" s="55">
        <v>332</v>
      </c>
      <c r="K328" s="6">
        <v>0</v>
      </c>
      <c r="L328" s="6">
        <v>0</v>
      </c>
      <c r="M328" s="43">
        <v>0</v>
      </c>
      <c r="N328" s="25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  <c r="V328" s="43">
        <v>0</v>
      </c>
      <c r="W328" s="43">
        <v>0</v>
      </c>
      <c r="X328" s="43">
        <v>0</v>
      </c>
      <c r="Y328" s="43">
        <v>0</v>
      </c>
      <c r="Z328" s="43">
        <v>0</v>
      </c>
      <c r="AA328" s="44">
        <v>0</v>
      </c>
      <c r="AB328" s="44">
        <v>0</v>
      </c>
      <c r="AC328" s="44">
        <v>4</v>
      </c>
      <c r="AD328" s="44">
        <v>8</v>
      </c>
      <c r="AE328" s="44">
        <v>400</v>
      </c>
      <c r="AF328" s="44">
        <v>2</v>
      </c>
      <c r="AG328" s="44">
        <v>0</v>
      </c>
      <c r="AH328" s="44">
        <v>151</v>
      </c>
      <c r="AI328" s="32"/>
      <c r="AJ328" s="32"/>
      <c r="AK328" s="32"/>
      <c r="AL328" s="32"/>
      <c r="AM328" s="44">
        <v>23</v>
      </c>
      <c r="AN328" s="44">
        <v>127</v>
      </c>
      <c r="AO328" s="44">
        <v>400</v>
      </c>
      <c r="AP328" s="44"/>
      <c r="AQ328" s="44"/>
      <c r="AR328" s="43">
        <v>370</v>
      </c>
      <c r="AS328" s="43">
        <v>163</v>
      </c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43">
        <v>344</v>
      </c>
      <c r="BF328" s="43">
        <v>200</v>
      </c>
      <c r="BG328" s="43">
        <v>363</v>
      </c>
      <c r="BH328" s="43">
        <v>180</v>
      </c>
      <c r="BI328" s="43">
        <v>366</v>
      </c>
      <c r="BJ328" s="43">
        <v>169</v>
      </c>
      <c r="BK328" s="43">
        <v>209</v>
      </c>
      <c r="BL328" s="43">
        <v>322</v>
      </c>
      <c r="BM328" s="43">
        <v>291</v>
      </c>
      <c r="BN328" s="43">
        <v>230</v>
      </c>
      <c r="BO328" s="43">
        <v>175</v>
      </c>
      <c r="BP328" s="43">
        <v>342</v>
      </c>
      <c r="BQ328" s="43">
        <v>384</v>
      </c>
      <c r="BR328" s="43">
        <v>140</v>
      </c>
      <c r="BS328" s="43">
        <v>373</v>
      </c>
      <c r="BT328" s="43">
        <v>278</v>
      </c>
      <c r="BU328" s="43">
        <v>238</v>
      </c>
      <c r="BV328" s="43">
        <v>360</v>
      </c>
      <c r="BW328" s="43">
        <v>292</v>
      </c>
      <c r="BX328" s="43">
        <v>144</v>
      </c>
      <c r="BY328" s="43">
        <v>302</v>
      </c>
      <c r="BZ328" s="43">
        <v>151</v>
      </c>
      <c r="CA328" s="43">
        <v>323</v>
      </c>
      <c r="CB328" s="43">
        <v>301</v>
      </c>
      <c r="CC328" s="43">
        <v>131</v>
      </c>
      <c r="CD328" s="43">
        <v>282</v>
      </c>
      <c r="CE328" s="43">
        <v>173</v>
      </c>
      <c r="CF328" s="43">
        <v>248</v>
      </c>
      <c r="CG328" s="43">
        <v>300</v>
      </c>
      <c r="CH328" s="43">
        <v>129</v>
      </c>
      <c r="CI328" s="43">
        <v>95</v>
      </c>
      <c r="CJ328" s="43">
        <v>329</v>
      </c>
      <c r="CK328" s="43">
        <v>274</v>
      </c>
      <c r="CL328" s="43">
        <v>129</v>
      </c>
      <c r="CM328" s="43">
        <v>300</v>
      </c>
      <c r="CN328" s="43">
        <v>306</v>
      </c>
      <c r="CO328" s="43">
        <v>126</v>
      </c>
      <c r="CP328" s="43">
        <v>282</v>
      </c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43">
        <v>325</v>
      </c>
      <c r="EX328" s="43">
        <v>224</v>
      </c>
      <c r="EY328" s="43">
        <v>303</v>
      </c>
      <c r="EZ328" s="43">
        <v>177</v>
      </c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43"/>
      <c r="FZ328" s="43"/>
      <c r="GA328" s="53"/>
      <c r="GB328" s="53"/>
      <c r="GC328" s="53"/>
      <c r="GD328" s="53"/>
      <c r="GE328" s="53"/>
      <c r="GF328" s="53"/>
      <c r="GG328" s="53"/>
      <c r="GH328" s="53"/>
      <c r="GI328" s="43"/>
      <c r="GJ328" s="43"/>
      <c r="GK328" s="43"/>
      <c r="GL328" s="43"/>
      <c r="GM328" s="43">
        <v>333</v>
      </c>
      <c r="GN328" s="43">
        <v>225</v>
      </c>
      <c r="GO328" s="43">
        <v>360</v>
      </c>
      <c r="GP328" s="43">
        <v>192</v>
      </c>
      <c r="GQ328" s="43">
        <v>382</v>
      </c>
      <c r="GR328" s="43">
        <v>169</v>
      </c>
    </row>
    <row r="329" spans="1:200">
      <c r="A329" s="7">
        <v>5620</v>
      </c>
      <c r="B329" s="1" t="s">
        <v>457</v>
      </c>
      <c r="C329" s="33">
        <v>671</v>
      </c>
      <c r="D329" s="34">
        <v>560</v>
      </c>
      <c r="E329" s="19">
        <f t="shared" si="5"/>
        <v>0.83457526080476896</v>
      </c>
      <c r="F329" s="62">
        <v>208</v>
      </c>
      <c r="G329" s="43">
        <v>2</v>
      </c>
      <c r="H329" s="43">
        <v>10</v>
      </c>
      <c r="I329" s="43">
        <v>3</v>
      </c>
      <c r="J329" s="55">
        <v>323</v>
      </c>
      <c r="K329" s="6">
        <v>0</v>
      </c>
      <c r="L329" s="6">
        <v>0</v>
      </c>
      <c r="M329" s="43">
        <v>0</v>
      </c>
      <c r="N329" s="25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  <c r="V329" s="43">
        <v>0</v>
      </c>
      <c r="W329" s="43">
        <v>4</v>
      </c>
      <c r="X329" s="43">
        <v>0</v>
      </c>
      <c r="Y329" s="43">
        <v>0</v>
      </c>
      <c r="Z329" s="43">
        <v>0</v>
      </c>
      <c r="AA329" s="44">
        <v>0</v>
      </c>
      <c r="AB329" s="44">
        <v>0</v>
      </c>
      <c r="AC329" s="44">
        <v>3</v>
      </c>
      <c r="AD329" s="44">
        <v>5</v>
      </c>
      <c r="AE329" s="44">
        <v>401</v>
      </c>
      <c r="AF329" s="44">
        <v>7</v>
      </c>
      <c r="AG329" s="44">
        <v>0</v>
      </c>
      <c r="AH329" s="44">
        <v>135</v>
      </c>
      <c r="AI329" s="32"/>
      <c r="AJ329" s="32"/>
      <c r="AK329" s="32"/>
      <c r="AL329" s="32"/>
      <c r="AM329" s="44">
        <v>17</v>
      </c>
      <c r="AN329" s="44">
        <v>116</v>
      </c>
      <c r="AO329" s="44">
        <v>405</v>
      </c>
      <c r="AP329" s="44"/>
      <c r="AQ329" s="44"/>
      <c r="AR329" s="43">
        <v>374</v>
      </c>
      <c r="AS329" s="43">
        <v>151</v>
      </c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43">
        <v>353</v>
      </c>
      <c r="BF329" s="43">
        <v>183</v>
      </c>
      <c r="BG329" s="43">
        <v>347</v>
      </c>
      <c r="BH329" s="43">
        <v>183</v>
      </c>
      <c r="BI329" s="43">
        <v>379</v>
      </c>
      <c r="BJ329" s="43">
        <v>153</v>
      </c>
      <c r="BK329" s="43">
        <v>198</v>
      </c>
      <c r="BL329" s="43">
        <v>330</v>
      </c>
      <c r="BM329" s="43">
        <v>277</v>
      </c>
      <c r="BN329" s="43">
        <v>245</v>
      </c>
      <c r="BO329" s="43">
        <v>160</v>
      </c>
      <c r="BP329" s="43">
        <v>352</v>
      </c>
      <c r="BQ329" s="43">
        <v>394</v>
      </c>
      <c r="BR329" s="43">
        <v>128</v>
      </c>
      <c r="BS329" s="43">
        <v>386</v>
      </c>
      <c r="BT329" s="43">
        <v>268</v>
      </c>
      <c r="BU329" s="43">
        <v>248</v>
      </c>
      <c r="BV329" s="43">
        <v>368</v>
      </c>
      <c r="BW329" s="43">
        <v>279</v>
      </c>
      <c r="BX329" s="43">
        <v>155</v>
      </c>
      <c r="BY329" s="43">
        <v>325</v>
      </c>
      <c r="BZ329" s="43">
        <v>151</v>
      </c>
      <c r="CA329" s="43">
        <v>351</v>
      </c>
      <c r="CB329" s="43">
        <v>338</v>
      </c>
      <c r="CC329" s="43">
        <v>134</v>
      </c>
      <c r="CD329" s="43">
        <v>301</v>
      </c>
      <c r="CE329" s="43">
        <v>133</v>
      </c>
      <c r="CF329" s="43">
        <v>318</v>
      </c>
      <c r="CG329" s="43">
        <v>318</v>
      </c>
      <c r="CH329" s="43">
        <v>113</v>
      </c>
      <c r="CI329" s="43">
        <v>83</v>
      </c>
      <c r="CJ329" s="43">
        <v>345</v>
      </c>
      <c r="CK329" s="43">
        <v>302</v>
      </c>
      <c r="CL329" s="43">
        <v>127</v>
      </c>
      <c r="CM329" s="43">
        <v>337</v>
      </c>
      <c r="CN329" s="43">
        <v>339</v>
      </c>
      <c r="CO329" s="43">
        <v>107</v>
      </c>
      <c r="CP329" s="43">
        <v>324</v>
      </c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43">
        <v>367</v>
      </c>
      <c r="EX329" s="43">
        <v>170</v>
      </c>
      <c r="EY329" s="43">
        <v>347</v>
      </c>
      <c r="EZ329" s="43">
        <v>158</v>
      </c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43"/>
      <c r="FZ329" s="43"/>
      <c r="GA329" s="53"/>
      <c r="GB329" s="53"/>
      <c r="GC329" s="53"/>
      <c r="GD329" s="53"/>
      <c r="GE329" s="53"/>
      <c r="GF329" s="53"/>
      <c r="GG329" s="53"/>
      <c r="GH329" s="53"/>
      <c r="GI329" s="43"/>
      <c r="GJ329" s="43"/>
      <c r="GK329" s="43"/>
      <c r="GL329" s="43"/>
      <c r="GM329" s="43">
        <v>337</v>
      </c>
      <c r="GN329" s="43">
        <v>203</v>
      </c>
      <c r="GO329" s="43">
        <v>378</v>
      </c>
      <c r="GP329" s="43">
        <v>163</v>
      </c>
      <c r="GQ329" s="43">
        <v>400</v>
      </c>
      <c r="GR329" s="43">
        <v>140</v>
      </c>
    </row>
    <row r="330" spans="1:200">
      <c r="A330" s="7">
        <v>5621</v>
      </c>
      <c r="B330" s="1" t="s">
        <v>458</v>
      </c>
      <c r="C330" s="33">
        <v>885</v>
      </c>
      <c r="D330" s="34">
        <v>762</v>
      </c>
      <c r="E330" s="19">
        <f t="shared" si="5"/>
        <v>0.86101694915254234</v>
      </c>
      <c r="F330" s="62">
        <v>286</v>
      </c>
      <c r="G330" s="43">
        <v>1</v>
      </c>
      <c r="H330" s="43">
        <v>23</v>
      </c>
      <c r="I330" s="43">
        <v>2</v>
      </c>
      <c r="J330" s="55">
        <v>428</v>
      </c>
      <c r="K330" s="6">
        <v>0</v>
      </c>
      <c r="L330" s="6">
        <v>0</v>
      </c>
      <c r="M330" s="43">
        <v>0</v>
      </c>
      <c r="N330" s="25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  <c r="V330" s="43">
        <v>0</v>
      </c>
      <c r="W330" s="43">
        <v>5</v>
      </c>
      <c r="X330" s="43">
        <v>0</v>
      </c>
      <c r="Y330" s="43">
        <v>0</v>
      </c>
      <c r="Z330" s="43">
        <v>0</v>
      </c>
      <c r="AA330" s="44">
        <v>0</v>
      </c>
      <c r="AB330" s="44">
        <v>0</v>
      </c>
      <c r="AC330" s="44">
        <v>6</v>
      </c>
      <c r="AD330" s="44">
        <v>11</v>
      </c>
      <c r="AE330" s="44">
        <v>535</v>
      </c>
      <c r="AF330" s="44">
        <v>4</v>
      </c>
      <c r="AG330" s="44">
        <v>0</v>
      </c>
      <c r="AH330" s="44">
        <v>187</v>
      </c>
      <c r="AI330" s="32"/>
      <c r="AJ330" s="32"/>
      <c r="AK330" s="32"/>
      <c r="AL330" s="32"/>
      <c r="AM330" s="44">
        <v>31</v>
      </c>
      <c r="AN330" s="44">
        <v>159</v>
      </c>
      <c r="AO330" s="44">
        <v>540</v>
      </c>
      <c r="AP330" s="44"/>
      <c r="AQ330" s="44"/>
      <c r="AR330" s="43">
        <v>506</v>
      </c>
      <c r="AS330" s="43">
        <v>212</v>
      </c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43">
        <v>481</v>
      </c>
      <c r="BF330" s="43">
        <v>248</v>
      </c>
      <c r="BG330" s="43">
        <v>485</v>
      </c>
      <c r="BH330" s="43">
        <v>234</v>
      </c>
      <c r="BI330" s="43">
        <v>512</v>
      </c>
      <c r="BJ330" s="43">
        <v>201</v>
      </c>
      <c r="BK330" s="43">
        <v>286</v>
      </c>
      <c r="BL330" s="43">
        <v>426</v>
      </c>
      <c r="BM330" s="43">
        <v>386</v>
      </c>
      <c r="BN330" s="43">
        <v>322</v>
      </c>
      <c r="BO330" s="43">
        <v>215</v>
      </c>
      <c r="BP330" s="43">
        <v>473</v>
      </c>
      <c r="BQ330" s="43">
        <v>529</v>
      </c>
      <c r="BR330" s="43">
        <v>174</v>
      </c>
      <c r="BS330" s="43">
        <v>530</v>
      </c>
      <c r="BT330" s="43">
        <v>383</v>
      </c>
      <c r="BU330" s="43">
        <v>320</v>
      </c>
      <c r="BV330" s="43">
        <v>520</v>
      </c>
      <c r="BW330" s="43">
        <v>385</v>
      </c>
      <c r="BX330" s="43">
        <v>198</v>
      </c>
      <c r="BY330" s="43">
        <v>419</v>
      </c>
      <c r="BZ330" s="43">
        <v>208</v>
      </c>
      <c r="CA330" s="43">
        <v>466</v>
      </c>
      <c r="CB330" s="43">
        <v>402</v>
      </c>
      <c r="CC330" s="43">
        <v>197</v>
      </c>
      <c r="CD330" s="43">
        <v>431</v>
      </c>
      <c r="CE330" s="43">
        <v>218</v>
      </c>
      <c r="CF330" s="43">
        <v>364</v>
      </c>
      <c r="CG330" s="43">
        <v>397</v>
      </c>
      <c r="CH330" s="43">
        <v>162</v>
      </c>
      <c r="CI330" s="43">
        <v>132</v>
      </c>
      <c r="CJ330" s="43">
        <v>443</v>
      </c>
      <c r="CK330" s="43">
        <v>375</v>
      </c>
      <c r="CL330" s="43">
        <v>186</v>
      </c>
      <c r="CM330" s="43">
        <v>442</v>
      </c>
      <c r="CN330" s="43">
        <v>445</v>
      </c>
      <c r="CO330" s="43">
        <v>175</v>
      </c>
      <c r="CP330" s="43">
        <v>389</v>
      </c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43">
        <v>494</v>
      </c>
      <c r="EX330" s="43">
        <v>244</v>
      </c>
      <c r="EY330" s="43">
        <v>411</v>
      </c>
      <c r="EZ330" s="43">
        <v>251</v>
      </c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43"/>
      <c r="FZ330" s="43"/>
      <c r="GA330" s="53"/>
      <c r="GB330" s="53"/>
      <c r="GC330" s="53"/>
      <c r="GD330" s="53"/>
      <c r="GE330" s="53"/>
      <c r="GF330" s="53"/>
      <c r="GG330" s="53"/>
      <c r="GH330" s="53"/>
      <c r="GI330" s="43"/>
      <c r="GJ330" s="43"/>
      <c r="GK330" s="43"/>
      <c r="GL330" s="43"/>
      <c r="GM330" s="43">
        <v>462</v>
      </c>
      <c r="GN330" s="43">
        <v>280</v>
      </c>
      <c r="GO330" s="43">
        <v>488</v>
      </c>
      <c r="GP330" s="43">
        <v>246</v>
      </c>
      <c r="GQ330" s="43">
        <v>539</v>
      </c>
      <c r="GR330" s="43">
        <v>207</v>
      </c>
    </row>
    <row r="331" spans="1:200">
      <c r="A331" s="7">
        <v>5622</v>
      </c>
      <c r="B331" s="1" t="s">
        <v>459</v>
      </c>
      <c r="C331" s="33">
        <v>626</v>
      </c>
      <c r="D331" s="34">
        <v>523</v>
      </c>
      <c r="E331" s="19">
        <f t="shared" si="5"/>
        <v>0.83546325878594252</v>
      </c>
      <c r="F331" s="62">
        <v>189</v>
      </c>
      <c r="G331" s="43">
        <v>1</v>
      </c>
      <c r="H331" s="43">
        <v>30</v>
      </c>
      <c r="I331" s="43">
        <v>3</v>
      </c>
      <c r="J331" s="55">
        <v>279</v>
      </c>
      <c r="K331" s="6">
        <v>0</v>
      </c>
      <c r="L331" s="6">
        <v>0</v>
      </c>
      <c r="M331" s="43">
        <v>0</v>
      </c>
      <c r="N331" s="25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  <c r="V331" s="43">
        <v>0</v>
      </c>
      <c r="W331" s="43">
        <v>6</v>
      </c>
      <c r="X331" s="43">
        <v>0</v>
      </c>
      <c r="Y331" s="43">
        <v>0</v>
      </c>
      <c r="Z331" s="43">
        <v>0</v>
      </c>
      <c r="AA331" s="44">
        <v>0</v>
      </c>
      <c r="AB331" s="44">
        <v>0</v>
      </c>
      <c r="AC331" s="44">
        <v>7</v>
      </c>
      <c r="AD331" s="44">
        <v>9</v>
      </c>
      <c r="AE331" s="44">
        <v>363</v>
      </c>
      <c r="AF331" s="44">
        <v>8</v>
      </c>
      <c r="AG331" s="44">
        <v>0</v>
      </c>
      <c r="AH331" s="44">
        <v>120</v>
      </c>
      <c r="AI331" s="32"/>
      <c r="AJ331" s="32"/>
      <c r="AK331" s="32"/>
      <c r="AL331" s="32"/>
      <c r="AM331" s="44">
        <v>17</v>
      </c>
      <c r="AN331" s="44">
        <v>124</v>
      </c>
      <c r="AO331" s="44">
        <v>345</v>
      </c>
      <c r="AP331" s="44"/>
      <c r="AQ331" s="44"/>
      <c r="AR331" s="43">
        <v>330</v>
      </c>
      <c r="AS331" s="43">
        <v>152</v>
      </c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43">
        <v>297</v>
      </c>
      <c r="BF331" s="43">
        <v>193</v>
      </c>
      <c r="BG331" s="43">
        <v>313</v>
      </c>
      <c r="BH331" s="43">
        <v>171</v>
      </c>
      <c r="BI331" s="43">
        <v>321</v>
      </c>
      <c r="BJ331" s="43">
        <v>155</v>
      </c>
      <c r="BK331" s="43">
        <v>183</v>
      </c>
      <c r="BL331" s="43">
        <v>289</v>
      </c>
      <c r="BM331" s="43">
        <v>232</v>
      </c>
      <c r="BN331" s="43">
        <v>238</v>
      </c>
      <c r="BO331" s="43">
        <v>156</v>
      </c>
      <c r="BP331" s="43">
        <v>306</v>
      </c>
      <c r="BQ331" s="43">
        <v>330</v>
      </c>
      <c r="BR331" s="43">
        <v>129</v>
      </c>
      <c r="BS331" s="43">
        <v>335</v>
      </c>
      <c r="BT331" s="43">
        <v>227</v>
      </c>
      <c r="BU331" s="43">
        <v>233</v>
      </c>
      <c r="BV331" s="43">
        <v>315</v>
      </c>
      <c r="BW331" s="43">
        <v>215</v>
      </c>
      <c r="BX331" s="43">
        <v>161</v>
      </c>
      <c r="BY331" s="43">
        <v>281</v>
      </c>
      <c r="BZ331" s="43">
        <v>136</v>
      </c>
      <c r="CA331" s="43">
        <v>283</v>
      </c>
      <c r="CB331" s="43">
        <v>261</v>
      </c>
      <c r="CC331" s="43">
        <v>124</v>
      </c>
      <c r="CD331" s="43">
        <v>257</v>
      </c>
      <c r="CE331" s="43">
        <v>159</v>
      </c>
      <c r="CF331" s="43">
        <v>227</v>
      </c>
      <c r="CG331" s="43">
        <v>244</v>
      </c>
      <c r="CH331" s="43">
        <v>107</v>
      </c>
      <c r="CI331" s="43">
        <v>86</v>
      </c>
      <c r="CJ331" s="43">
        <v>284</v>
      </c>
      <c r="CK331" s="43">
        <v>231</v>
      </c>
      <c r="CL331" s="43">
        <v>129</v>
      </c>
      <c r="CM331" s="43">
        <v>264</v>
      </c>
      <c r="CN331" s="43">
        <v>272</v>
      </c>
      <c r="CO331" s="43">
        <v>112</v>
      </c>
      <c r="CP331" s="43">
        <v>246</v>
      </c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43">
        <v>337</v>
      </c>
      <c r="EX331" s="43">
        <v>165</v>
      </c>
      <c r="EY331" s="43">
        <v>263</v>
      </c>
      <c r="EZ331" s="43">
        <v>183</v>
      </c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43"/>
      <c r="FZ331" s="43"/>
      <c r="GA331" s="53"/>
      <c r="GB331" s="53"/>
      <c r="GC331" s="53"/>
      <c r="GD331" s="53"/>
      <c r="GE331" s="53"/>
      <c r="GF331" s="53"/>
      <c r="GG331" s="53"/>
      <c r="GH331" s="53"/>
      <c r="GI331" s="43"/>
      <c r="GJ331" s="43"/>
      <c r="GK331" s="43"/>
      <c r="GL331" s="43"/>
      <c r="GM331" s="43">
        <v>299</v>
      </c>
      <c r="GN331" s="43">
        <v>207</v>
      </c>
      <c r="GO331" s="43">
        <v>321</v>
      </c>
      <c r="GP331" s="43">
        <v>179</v>
      </c>
      <c r="GQ331" s="43">
        <v>328</v>
      </c>
      <c r="GR331" s="43">
        <v>179</v>
      </c>
    </row>
    <row r="332" spans="1:200">
      <c r="A332" s="7">
        <v>5623</v>
      </c>
      <c r="B332" s="1" t="s">
        <v>460</v>
      </c>
      <c r="C332" s="33">
        <v>846</v>
      </c>
      <c r="D332" s="34">
        <v>685</v>
      </c>
      <c r="E332" s="19">
        <f t="shared" si="5"/>
        <v>0.80969267139479906</v>
      </c>
      <c r="F332" s="62">
        <v>282</v>
      </c>
      <c r="G332" s="43">
        <v>4</v>
      </c>
      <c r="H332" s="43">
        <v>36</v>
      </c>
      <c r="I332" s="43">
        <v>8</v>
      </c>
      <c r="J332" s="55">
        <v>327</v>
      </c>
      <c r="K332" s="6">
        <v>0</v>
      </c>
      <c r="L332" s="6">
        <v>0</v>
      </c>
      <c r="M332" s="43">
        <v>0</v>
      </c>
      <c r="N332" s="25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  <c r="V332" s="43">
        <v>0</v>
      </c>
      <c r="W332" s="43">
        <v>3</v>
      </c>
      <c r="X332" s="43">
        <v>0</v>
      </c>
      <c r="Y332" s="43">
        <v>0</v>
      </c>
      <c r="Z332" s="43">
        <v>0</v>
      </c>
      <c r="AA332" s="44">
        <v>0</v>
      </c>
      <c r="AB332" s="44">
        <v>0</v>
      </c>
      <c r="AC332" s="44">
        <v>2</v>
      </c>
      <c r="AD332" s="44">
        <v>4</v>
      </c>
      <c r="AE332" s="44">
        <v>461</v>
      </c>
      <c r="AF332" s="44">
        <v>2</v>
      </c>
      <c r="AG332" s="44">
        <v>0</v>
      </c>
      <c r="AH332" s="44">
        <v>187</v>
      </c>
      <c r="AI332" s="32"/>
      <c r="AJ332" s="32"/>
      <c r="AK332" s="32"/>
      <c r="AL332" s="32"/>
      <c r="AM332" s="44">
        <v>18</v>
      </c>
      <c r="AN332" s="44">
        <v>156</v>
      </c>
      <c r="AO332" s="44">
        <v>462</v>
      </c>
      <c r="AP332" s="44"/>
      <c r="AQ332" s="44"/>
      <c r="AR332" s="43">
        <v>421</v>
      </c>
      <c r="AS332" s="43">
        <v>207</v>
      </c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43">
        <v>387</v>
      </c>
      <c r="BF332" s="43">
        <v>244</v>
      </c>
      <c r="BG332" s="43">
        <v>408</v>
      </c>
      <c r="BH332" s="43">
        <v>219</v>
      </c>
      <c r="BI332" s="43">
        <v>444</v>
      </c>
      <c r="BJ332" s="43">
        <v>186</v>
      </c>
      <c r="BK332" s="43">
        <v>236</v>
      </c>
      <c r="BL332" s="43">
        <v>384</v>
      </c>
      <c r="BM332" s="43">
        <v>329</v>
      </c>
      <c r="BN332" s="43">
        <v>280</v>
      </c>
      <c r="BO332" s="43">
        <v>206</v>
      </c>
      <c r="BP332" s="43">
        <v>398</v>
      </c>
      <c r="BQ332" s="43">
        <v>448</v>
      </c>
      <c r="BR332" s="43">
        <v>160</v>
      </c>
      <c r="BS332" s="43">
        <v>459</v>
      </c>
      <c r="BT332" s="43">
        <v>300</v>
      </c>
      <c r="BU332" s="43">
        <v>307</v>
      </c>
      <c r="BV332" s="43">
        <v>456</v>
      </c>
      <c r="BW332" s="43">
        <v>342</v>
      </c>
      <c r="BX332" s="43">
        <v>168</v>
      </c>
      <c r="BY332" s="43">
        <v>377</v>
      </c>
      <c r="BZ332" s="43">
        <v>185</v>
      </c>
      <c r="CA332" s="43">
        <v>414</v>
      </c>
      <c r="CB332" s="43">
        <v>365</v>
      </c>
      <c r="CC332" s="43">
        <v>171</v>
      </c>
      <c r="CD332" s="43">
        <v>358</v>
      </c>
      <c r="CE332" s="43">
        <v>215</v>
      </c>
      <c r="CF332" s="43">
        <v>316</v>
      </c>
      <c r="CG332" s="43">
        <v>343</v>
      </c>
      <c r="CH332" s="43">
        <v>156</v>
      </c>
      <c r="CI332" s="43">
        <v>94</v>
      </c>
      <c r="CJ332" s="43">
        <v>425</v>
      </c>
      <c r="CK332" s="43">
        <v>350</v>
      </c>
      <c r="CL332" s="43">
        <v>158</v>
      </c>
      <c r="CM332" s="43">
        <v>394</v>
      </c>
      <c r="CN332" s="43">
        <v>394</v>
      </c>
      <c r="CO332" s="43">
        <v>125</v>
      </c>
      <c r="CP332" s="43">
        <v>378</v>
      </c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43">
        <v>433</v>
      </c>
      <c r="EX332" s="43">
        <v>204</v>
      </c>
      <c r="EY332" s="43">
        <v>345</v>
      </c>
      <c r="EZ332" s="43">
        <v>221</v>
      </c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43"/>
      <c r="FZ332" s="43"/>
      <c r="GA332" s="53"/>
      <c r="GB332" s="53"/>
      <c r="GC332" s="53"/>
      <c r="GD332" s="53"/>
      <c r="GE332" s="53"/>
      <c r="GF332" s="53"/>
      <c r="GG332" s="53"/>
      <c r="GH332" s="53"/>
      <c r="GI332" s="43"/>
      <c r="GJ332" s="43"/>
      <c r="GK332" s="43"/>
      <c r="GL332" s="43"/>
      <c r="GM332" s="43">
        <v>416</v>
      </c>
      <c r="GN332" s="43">
        <v>234</v>
      </c>
      <c r="GO332" s="43">
        <v>450</v>
      </c>
      <c r="GP332" s="43">
        <v>199</v>
      </c>
      <c r="GQ332" s="43">
        <v>478</v>
      </c>
      <c r="GR332" s="43">
        <v>174</v>
      </c>
    </row>
    <row r="333" spans="1:200">
      <c r="A333" s="7">
        <v>5624</v>
      </c>
      <c r="B333" s="1" t="s">
        <v>461</v>
      </c>
      <c r="C333" s="33">
        <v>716</v>
      </c>
      <c r="D333" s="34">
        <v>547</v>
      </c>
      <c r="E333" s="19">
        <f t="shared" si="5"/>
        <v>0.76396648044692739</v>
      </c>
      <c r="F333" s="62">
        <v>231</v>
      </c>
      <c r="G333" s="43">
        <v>2</v>
      </c>
      <c r="H333" s="43">
        <v>29</v>
      </c>
      <c r="I333" s="43">
        <v>6</v>
      </c>
      <c r="J333" s="55">
        <v>267</v>
      </c>
      <c r="K333" s="6">
        <v>0</v>
      </c>
      <c r="L333" s="6">
        <v>0</v>
      </c>
      <c r="M333" s="43">
        <v>1</v>
      </c>
      <c r="N333" s="25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  <c r="V333" s="43">
        <v>0</v>
      </c>
      <c r="W333" s="43">
        <v>1</v>
      </c>
      <c r="X333" s="43">
        <v>0</v>
      </c>
      <c r="Y333" s="43">
        <v>0</v>
      </c>
      <c r="Z333" s="43">
        <v>0</v>
      </c>
      <c r="AA333" s="44">
        <v>0</v>
      </c>
      <c r="AB333" s="44">
        <v>0</v>
      </c>
      <c r="AC333" s="44">
        <v>4</v>
      </c>
      <c r="AD333" s="44">
        <v>12</v>
      </c>
      <c r="AE333" s="44">
        <v>338</v>
      </c>
      <c r="AF333" s="44">
        <v>1</v>
      </c>
      <c r="AG333" s="44">
        <v>0</v>
      </c>
      <c r="AH333" s="44">
        <v>171</v>
      </c>
      <c r="AI333" s="32"/>
      <c r="AJ333" s="32"/>
      <c r="AK333" s="32"/>
      <c r="AL333" s="32"/>
      <c r="AM333" s="44">
        <v>11</v>
      </c>
      <c r="AN333" s="44">
        <v>164</v>
      </c>
      <c r="AO333" s="44">
        <v>337</v>
      </c>
      <c r="AP333" s="44"/>
      <c r="AQ333" s="44"/>
      <c r="AR333" s="43">
        <v>319</v>
      </c>
      <c r="AS333" s="43">
        <v>185</v>
      </c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43">
        <v>301</v>
      </c>
      <c r="BF333" s="43">
        <v>219</v>
      </c>
      <c r="BG333" s="43">
        <v>322</v>
      </c>
      <c r="BH333" s="43">
        <v>195</v>
      </c>
      <c r="BI333" s="43">
        <v>337</v>
      </c>
      <c r="BJ333" s="43">
        <v>172</v>
      </c>
      <c r="BK333" s="43">
        <v>208</v>
      </c>
      <c r="BL333" s="43">
        <v>306</v>
      </c>
      <c r="BM333" s="43">
        <v>226</v>
      </c>
      <c r="BN333" s="43">
        <v>288</v>
      </c>
      <c r="BO333" s="43">
        <v>202</v>
      </c>
      <c r="BP333" s="43">
        <v>300</v>
      </c>
      <c r="BQ333" s="43">
        <v>320</v>
      </c>
      <c r="BR333" s="43">
        <v>181</v>
      </c>
      <c r="BS333" s="43">
        <v>375</v>
      </c>
      <c r="BT333" s="43">
        <v>212</v>
      </c>
      <c r="BU333" s="43">
        <v>286</v>
      </c>
      <c r="BV333" s="43">
        <v>365</v>
      </c>
      <c r="BW333" s="43">
        <v>257</v>
      </c>
      <c r="BX333" s="43">
        <v>155</v>
      </c>
      <c r="BY333" s="43">
        <v>259</v>
      </c>
      <c r="BZ333" s="43">
        <v>184</v>
      </c>
      <c r="CA333" s="43">
        <v>332</v>
      </c>
      <c r="CB333" s="43">
        <v>266</v>
      </c>
      <c r="CC333" s="43">
        <v>158</v>
      </c>
      <c r="CD333" s="43">
        <v>302</v>
      </c>
      <c r="CE333" s="43">
        <v>169</v>
      </c>
      <c r="CF333" s="43">
        <v>252</v>
      </c>
      <c r="CG333" s="43">
        <v>261</v>
      </c>
      <c r="CH333" s="43">
        <v>149</v>
      </c>
      <c r="CI333" s="43">
        <v>108</v>
      </c>
      <c r="CJ333" s="43">
        <v>310</v>
      </c>
      <c r="CK333" s="43">
        <v>254</v>
      </c>
      <c r="CL333" s="43">
        <v>156</v>
      </c>
      <c r="CM333" s="43">
        <v>318</v>
      </c>
      <c r="CN333" s="43">
        <v>323</v>
      </c>
      <c r="CO333" s="43">
        <v>137</v>
      </c>
      <c r="CP333" s="43">
        <v>277</v>
      </c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43">
        <v>326</v>
      </c>
      <c r="EX333" s="43">
        <v>193</v>
      </c>
      <c r="EY333" s="43">
        <v>263</v>
      </c>
      <c r="EZ333" s="43">
        <v>222</v>
      </c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43"/>
      <c r="FZ333" s="43"/>
      <c r="GA333" s="53"/>
      <c r="GB333" s="53"/>
      <c r="GC333" s="53"/>
      <c r="GD333" s="53"/>
      <c r="GE333" s="53"/>
      <c r="GF333" s="53"/>
      <c r="GG333" s="53"/>
      <c r="GH333" s="53"/>
      <c r="GI333" s="43"/>
      <c r="GJ333" s="43"/>
      <c r="GK333" s="43"/>
      <c r="GL333" s="43"/>
      <c r="GM333" s="43">
        <v>320</v>
      </c>
      <c r="GN333" s="43">
        <v>207</v>
      </c>
      <c r="GO333" s="43">
        <v>347</v>
      </c>
      <c r="GP333" s="43">
        <v>179</v>
      </c>
      <c r="GQ333" s="43">
        <v>364</v>
      </c>
      <c r="GR333" s="43">
        <v>162</v>
      </c>
    </row>
    <row r="334" spans="1:200">
      <c r="A334" s="7">
        <v>5625</v>
      </c>
      <c r="B334" s="1" t="s">
        <v>462</v>
      </c>
      <c r="C334" s="33">
        <v>621</v>
      </c>
      <c r="D334" s="34">
        <v>461</v>
      </c>
      <c r="E334" s="19">
        <f t="shared" si="5"/>
        <v>0.74235104669887275</v>
      </c>
      <c r="F334" s="62">
        <v>126</v>
      </c>
      <c r="G334" s="43">
        <v>2</v>
      </c>
      <c r="H334" s="43">
        <v>17</v>
      </c>
      <c r="I334" s="43">
        <v>3</v>
      </c>
      <c r="J334" s="55">
        <v>302</v>
      </c>
      <c r="K334" s="6">
        <v>0</v>
      </c>
      <c r="L334" s="6">
        <v>0</v>
      </c>
      <c r="M334" s="43">
        <v>0</v>
      </c>
      <c r="N334" s="25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  <c r="V334" s="43">
        <v>0</v>
      </c>
      <c r="W334" s="43">
        <v>1</v>
      </c>
      <c r="X334" s="43">
        <v>0</v>
      </c>
      <c r="Y334" s="43">
        <v>0</v>
      </c>
      <c r="Z334" s="43">
        <v>0</v>
      </c>
      <c r="AA334" s="44">
        <v>0</v>
      </c>
      <c r="AB334" s="44">
        <v>0</v>
      </c>
      <c r="AC334" s="44">
        <v>8</v>
      </c>
      <c r="AD334" s="44">
        <v>2</v>
      </c>
      <c r="AE334" s="44">
        <v>345</v>
      </c>
      <c r="AF334" s="44">
        <v>3</v>
      </c>
      <c r="AG334" s="44">
        <v>0</v>
      </c>
      <c r="AH334" s="44">
        <v>83</v>
      </c>
      <c r="AI334" s="32"/>
      <c r="AJ334" s="32"/>
      <c r="AK334" s="32"/>
      <c r="AL334" s="32"/>
      <c r="AM334" s="44">
        <v>8</v>
      </c>
      <c r="AN334" s="44">
        <v>91</v>
      </c>
      <c r="AO334" s="44">
        <v>343</v>
      </c>
      <c r="AP334" s="44"/>
      <c r="AQ334" s="44"/>
      <c r="AR334" s="43">
        <v>329</v>
      </c>
      <c r="AS334" s="43">
        <v>99</v>
      </c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43">
        <v>293</v>
      </c>
      <c r="BF334" s="43">
        <v>144</v>
      </c>
      <c r="BG334" s="43">
        <v>314</v>
      </c>
      <c r="BH334" s="43">
        <v>116</v>
      </c>
      <c r="BI334" s="43">
        <v>335</v>
      </c>
      <c r="BJ334" s="43">
        <v>98</v>
      </c>
      <c r="BK334" s="43">
        <v>126</v>
      </c>
      <c r="BL334" s="43">
        <v>305</v>
      </c>
      <c r="BM334" s="43">
        <v>250</v>
      </c>
      <c r="BN334" s="43">
        <v>181</v>
      </c>
      <c r="BO334" s="43">
        <v>106</v>
      </c>
      <c r="BP334" s="43">
        <v>309</v>
      </c>
      <c r="BQ334" s="43">
        <v>339</v>
      </c>
      <c r="BR334" s="43">
        <v>87</v>
      </c>
      <c r="BS334" s="43">
        <v>339</v>
      </c>
      <c r="BT334" s="43">
        <v>259</v>
      </c>
      <c r="BU334" s="43">
        <v>161</v>
      </c>
      <c r="BV334" s="43">
        <v>314</v>
      </c>
      <c r="BW334" s="43">
        <v>257</v>
      </c>
      <c r="BX334" s="43">
        <v>94</v>
      </c>
      <c r="BY334" s="43">
        <v>283</v>
      </c>
      <c r="BZ334" s="43">
        <v>89</v>
      </c>
      <c r="CA334" s="43">
        <v>296</v>
      </c>
      <c r="CB334" s="43">
        <v>244</v>
      </c>
      <c r="CC334" s="43">
        <v>114</v>
      </c>
      <c r="CD334" s="43">
        <v>235</v>
      </c>
      <c r="CE334" s="43">
        <v>116</v>
      </c>
      <c r="CF334" s="43">
        <v>245</v>
      </c>
      <c r="CG334" s="43">
        <v>258</v>
      </c>
      <c r="CH334" s="43">
        <v>85</v>
      </c>
      <c r="CI334" s="43">
        <v>56</v>
      </c>
      <c r="CJ334" s="43">
        <v>292</v>
      </c>
      <c r="CK334" s="43">
        <v>245</v>
      </c>
      <c r="CL334" s="43">
        <v>104</v>
      </c>
      <c r="CM334" s="43">
        <v>283</v>
      </c>
      <c r="CN334" s="43">
        <v>288</v>
      </c>
      <c r="CO334" s="43">
        <v>90</v>
      </c>
      <c r="CP334" s="43">
        <v>262</v>
      </c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43">
        <v>254</v>
      </c>
      <c r="EX334" s="43">
        <v>179</v>
      </c>
      <c r="EY334" s="43">
        <v>213</v>
      </c>
      <c r="EZ334" s="43">
        <v>193</v>
      </c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43"/>
      <c r="FZ334" s="43"/>
      <c r="GA334" s="53"/>
      <c r="GB334" s="53"/>
      <c r="GC334" s="53"/>
      <c r="GD334" s="53"/>
      <c r="GE334" s="53"/>
      <c r="GF334" s="53"/>
      <c r="GG334" s="53"/>
      <c r="GH334" s="53"/>
      <c r="GI334" s="43"/>
      <c r="GJ334" s="43"/>
      <c r="GK334" s="43"/>
      <c r="GL334" s="43"/>
      <c r="GM334" s="43">
        <v>208</v>
      </c>
      <c r="GN334" s="43">
        <v>235</v>
      </c>
      <c r="GO334" s="43">
        <v>235</v>
      </c>
      <c r="GP334" s="43">
        <v>208</v>
      </c>
      <c r="GQ334" s="43">
        <v>263</v>
      </c>
      <c r="GR334" s="43">
        <v>181</v>
      </c>
    </row>
    <row r="335" spans="1:200">
      <c r="A335" s="7">
        <v>5626</v>
      </c>
      <c r="B335" s="1" t="s">
        <v>463</v>
      </c>
      <c r="C335" s="33">
        <v>1029</v>
      </c>
      <c r="D335" s="34">
        <v>843</v>
      </c>
      <c r="E335" s="19">
        <f t="shared" si="5"/>
        <v>0.81924198250728864</v>
      </c>
      <c r="F335" s="62">
        <v>312</v>
      </c>
      <c r="G335" s="43">
        <v>0</v>
      </c>
      <c r="H335" s="43">
        <v>42</v>
      </c>
      <c r="I335" s="43">
        <v>8</v>
      </c>
      <c r="J335" s="55">
        <v>455</v>
      </c>
      <c r="K335" s="6">
        <v>0</v>
      </c>
      <c r="L335" s="6">
        <v>0</v>
      </c>
      <c r="M335" s="43">
        <v>0</v>
      </c>
      <c r="N335" s="25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  <c r="V335" s="43">
        <v>1</v>
      </c>
      <c r="W335" s="43">
        <v>4</v>
      </c>
      <c r="X335" s="43">
        <v>0</v>
      </c>
      <c r="Y335" s="43">
        <v>0</v>
      </c>
      <c r="Z335" s="43">
        <v>0</v>
      </c>
      <c r="AA335" s="44">
        <v>0</v>
      </c>
      <c r="AB335" s="44">
        <v>0</v>
      </c>
      <c r="AC335" s="44">
        <v>3</v>
      </c>
      <c r="AD335" s="44">
        <v>8</v>
      </c>
      <c r="AE335" s="44">
        <v>623</v>
      </c>
      <c r="AF335" s="44">
        <v>5</v>
      </c>
      <c r="AG335" s="44">
        <v>0</v>
      </c>
      <c r="AH335" s="44">
        <v>186</v>
      </c>
      <c r="AI335" s="32"/>
      <c r="AJ335" s="32"/>
      <c r="AK335" s="32"/>
      <c r="AL335" s="32"/>
      <c r="AM335" s="44">
        <v>23</v>
      </c>
      <c r="AN335" s="44">
        <v>161</v>
      </c>
      <c r="AO335" s="44">
        <v>622</v>
      </c>
      <c r="AP335" s="44"/>
      <c r="AQ335" s="44"/>
      <c r="AR335" s="43">
        <v>594</v>
      </c>
      <c r="AS335" s="43">
        <v>201</v>
      </c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43">
        <v>523</v>
      </c>
      <c r="BF335" s="43">
        <v>281</v>
      </c>
      <c r="BG335" s="43">
        <v>553</v>
      </c>
      <c r="BH335" s="43">
        <v>250</v>
      </c>
      <c r="BI335" s="43">
        <v>571</v>
      </c>
      <c r="BJ335" s="43">
        <v>218</v>
      </c>
      <c r="BK335" s="43">
        <v>263</v>
      </c>
      <c r="BL335" s="43">
        <v>525</v>
      </c>
      <c r="BM335" s="43">
        <v>461</v>
      </c>
      <c r="BN335" s="43">
        <v>318</v>
      </c>
      <c r="BO335" s="43">
        <v>217</v>
      </c>
      <c r="BP335" s="43">
        <v>547</v>
      </c>
      <c r="BQ335" s="43">
        <v>601</v>
      </c>
      <c r="BR335" s="43">
        <v>177</v>
      </c>
      <c r="BS335" s="43">
        <v>603</v>
      </c>
      <c r="BT335" s="43">
        <v>409</v>
      </c>
      <c r="BU335" s="43">
        <v>353</v>
      </c>
      <c r="BV335" s="43">
        <v>587</v>
      </c>
      <c r="BW335" s="43">
        <v>441</v>
      </c>
      <c r="BX335" s="43">
        <v>191</v>
      </c>
      <c r="BY335" s="43">
        <v>471</v>
      </c>
      <c r="BZ335" s="43">
        <v>219</v>
      </c>
      <c r="CA335" s="43">
        <v>514</v>
      </c>
      <c r="CB335" s="43">
        <v>469</v>
      </c>
      <c r="CC335" s="43">
        <v>193</v>
      </c>
      <c r="CD335" s="43">
        <v>460</v>
      </c>
      <c r="CE335" s="43">
        <v>241</v>
      </c>
      <c r="CF335" s="43">
        <v>404</v>
      </c>
      <c r="CG335" s="43">
        <v>442</v>
      </c>
      <c r="CH335" s="43">
        <v>183</v>
      </c>
      <c r="CI335" s="43">
        <v>128</v>
      </c>
      <c r="CJ335" s="43">
        <v>499</v>
      </c>
      <c r="CK335" s="43">
        <v>406</v>
      </c>
      <c r="CL335" s="43">
        <v>210</v>
      </c>
      <c r="CM335" s="43">
        <v>502</v>
      </c>
      <c r="CN335" s="43">
        <v>496</v>
      </c>
      <c r="CO335" s="43">
        <v>160</v>
      </c>
      <c r="CP335" s="43">
        <v>450</v>
      </c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43">
        <v>535</v>
      </c>
      <c r="EX335" s="43">
        <v>271</v>
      </c>
      <c r="EY335" s="43">
        <v>483</v>
      </c>
      <c r="EZ335" s="43">
        <v>278</v>
      </c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43"/>
      <c r="FZ335" s="43"/>
      <c r="GA335" s="53"/>
      <c r="GB335" s="53"/>
      <c r="GC335" s="53"/>
      <c r="GD335" s="53"/>
      <c r="GE335" s="53"/>
      <c r="GF335" s="53"/>
      <c r="GG335" s="53"/>
      <c r="GH335" s="53"/>
      <c r="GI335" s="43"/>
      <c r="GJ335" s="43"/>
      <c r="GK335" s="43"/>
      <c r="GL335" s="43"/>
      <c r="GM335" s="43">
        <v>482</v>
      </c>
      <c r="GN335" s="43">
        <v>330</v>
      </c>
      <c r="GO335" s="43">
        <v>531</v>
      </c>
      <c r="GP335" s="43">
        <v>280</v>
      </c>
      <c r="GQ335" s="43">
        <v>588</v>
      </c>
      <c r="GR335" s="43">
        <v>238</v>
      </c>
    </row>
    <row r="336" spans="1:200">
      <c r="A336" s="7">
        <v>5627</v>
      </c>
      <c r="B336" s="1" t="s">
        <v>464</v>
      </c>
      <c r="C336" s="33">
        <v>1140</v>
      </c>
      <c r="D336" s="34">
        <v>983</v>
      </c>
      <c r="E336" s="19">
        <f t="shared" si="5"/>
        <v>0.86228070175438598</v>
      </c>
      <c r="F336" s="62">
        <v>398</v>
      </c>
      <c r="G336" s="43">
        <v>2</v>
      </c>
      <c r="H336" s="43">
        <v>49</v>
      </c>
      <c r="I336" s="43">
        <v>8</v>
      </c>
      <c r="J336" s="55">
        <v>494</v>
      </c>
      <c r="K336" s="6">
        <v>0</v>
      </c>
      <c r="L336" s="6">
        <v>0</v>
      </c>
      <c r="M336" s="43">
        <v>0</v>
      </c>
      <c r="N336" s="25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  <c r="V336" s="43">
        <v>1</v>
      </c>
      <c r="W336" s="43">
        <v>3</v>
      </c>
      <c r="X336" s="43">
        <v>0</v>
      </c>
      <c r="Y336" s="43">
        <v>1</v>
      </c>
      <c r="Z336" s="43">
        <v>0</v>
      </c>
      <c r="AA336" s="44">
        <v>0</v>
      </c>
      <c r="AB336" s="44">
        <v>0</v>
      </c>
      <c r="AC336" s="44">
        <v>4</v>
      </c>
      <c r="AD336" s="44">
        <v>14</v>
      </c>
      <c r="AE336" s="44">
        <v>650</v>
      </c>
      <c r="AF336" s="44">
        <v>9</v>
      </c>
      <c r="AG336" s="44">
        <v>0</v>
      </c>
      <c r="AH336" s="44">
        <v>277</v>
      </c>
      <c r="AI336" s="32"/>
      <c r="AJ336" s="32"/>
      <c r="AK336" s="32"/>
      <c r="AL336" s="32"/>
      <c r="AM336" s="44">
        <v>21</v>
      </c>
      <c r="AN336" s="44">
        <v>259</v>
      </c>
      <c r="AO336" s="44">
        <v>640</v>
      </c>
      <c r="AP336" s="44"/>
      <c r="AQ336" s="44"/>
      <c r="AR336" s="43">
        <v>589</v>
      </c>
      <c r="AS336" s="43">
        <v>312</v>
      </c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43">
        <v>542</v>
      </c>
      <c r="BF336" s="43">
        <v>362</v>
      </c>
      <c r="BG336" s="43">
        <v>571</v>
      </c>
      <c r="BH336" s="43">
        <v>328</v>
      </c>
      <c r="BI336" s="43">
        <v>594</v>
      </c>
      <c r="BJ336" s="43">
        <v>310</v>
      </c>
      <c r="BK336" s="43">
        <v>377</v>
      </c>
      <c r="BL336" s="43">
        <v>517</v>
      </c>
      <c r="BM336" s="43">
        <v>441</v>
      </c>
      <c r="BN336" s="43">
        <v>446</v>
      </c>
      <c r="BO336" s="43">
        <v>312</v>
      </c>
      <c r="BP336" s="43">
        <v>564</v>
      </c>
      <c r="BQ336" s="43">
        <v>623</v>
      </c>
      <c r="BR336" s="43">
        <v>260</v>
      </c>
      <c r="BS336" s="43">
        <v>623</v>
      </c>
      <c r="BT336" s="43">
        <v>436</v>
      </c>
      <c r="BU336" s="43">
        <v>441</v>
      </c>
      <c r="BV336" s="43">
        <v>606</v>
      </c>
      <c r="BW336" s="43">
        <v>444</v>
      </c>
      <c r="BX336" s="43">
        <v>270</v>
      </c>
      <c r="BY336" s="43">
        <v>512</v>
      </c>
      <c r="BZ336" s="43">
        <v>282</v>
      </c>
      <c r="CA336" s="43">
        <v>546</v>
      </c>
      <c r="CB336" s="43">
        <v>482</v>
      </c>
      <c r="CC336" s="43">
        <v>260</v>
      </c>
      <c r="CD336" s="43">
        <v>512</v>
      </c>
      <c r="CE336" s="43">
        <v>301</v>
      </c>
      <c r="CF336" s="43">
        <v>430</v>
      </c>
      <c r="CG336" s="43">
        <v>471</v>
      </c>
      <c r="CH336" s="43">
        <v>232</v>
      </c>
      <c r="CI336" s="43">
        <v>180</v>
      </c>
      <c r="CJ336" s="43">
        <v>543</v>
      </c>
      <c r="CK336" s="43">
        <v>437</v>
      </c>
      <c r="CL336" s="43">
        <v>253</v>
      </c>
      <c r="CM336" s="43">
        <v>518</v>
      </c>
      <c r="CN336" s="43">
        <v>519</v>
      </c>
      <c r="CO336" s="43">
        <v>227</v>
      </c>
      <c r="CP336" s="43">
        <v>454</v>
      </c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43">
        <v>634</v>
      </c>
      <c r="EX336" s="43">
        <v>303</v>
      </c>
      <c r="EY336" s="43">
        <v>544</v>
      </c>
      <c r="EZ336" s="43">
        <v>313</v>
      </c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43"/>
      <c r="FZ336" s="43"/>
      <c r="GA336" s="53"/>
      <c r="GB336" s="53"/>
      <c r="GC336" s="53"/>
      <c r="GD336" s="53"/>
      <c r="GE336" s="53"/>
      <c r="GF336" s="53"/>
      <c r="GG336" s="53"/>
      <c r="GH336" s="53"/>
      <c r="GI336" s="43"/>
      <c r="GJ336" s="43"/>
      <c r="GK336" s="43"/>
      <c r="GL336" s="43"/>
      <c r="GM336" s="43">
        <v>575</v>
      </c>
      <c r="GN336" s="43">
        <v>370</v>
      </c>
      <c r="GO336" s="43">
        <v>619</v>
      </c>
      <c r="GP336" s="43">
        <v>323</v>
      </c>
      <c r="GQ336" s="43">
        <v>662</v>
      </c>
      <c r="GR336" s="43">
        <v>287</v>
      </c>
    </row>
    <row r="337" spans="1:200">
      <c r="A337" s="7">
        <v>5628</v>
      </c>
      <c r="B337" s="1" t="s">
        <v>465</v>
      </c>
      <c r="C337" s="33">
        <v>877</v>
      </c>
      <c r="D337" s="34">
        <v>740</v>
      </c>
      <c r="E337" s="19">
        <f t="shared" si="5"/>
        <v>0.84378563283922459</v>
      </c>
      <c r="F337" s="62">
        <v>255</v>
      </c>
      <c r="G337" s="43">
        <v>2</v>
      </c>
      <c r="H337" s="43">
        <v>51</v>
      </c>
      <c r="I337" s="43">
        <v>6</v>
      </c>
      <c r="J337" s="55">
        <v>408</v>
      </c>
      <c r="K337" s="6">
        <v>0</v>
      </c>
      <c r="L337" s="6">
        <v>0</v>
      </c>
      <c r="M337" s="43">
        <v>1</v>
      </c>
      <c r="N337" s="25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  <c r="V337" s="43">
        <v>0</v>
      </c>
      <c r="W337" s="43">
        <v>0</v>
      </c>
      <c r="X337" s="43">
        <v>0</v>
      </c>
      <c r="Y337" s="43">
        <v>0</v>
      </c>
      <c r="Z337" s="43">
        <v>0</v>
      </c>
      <c r="AA337" s="44">
        <v>0</v>
      </c>
      <c r="AB337" s="44">
        <v>0</v>
      </c>
      <c r="AC337" s="44">
        <v>3</v>
      </c>
      <c r="AD337" s="44">
        <v>13</v>
      </c>
      <c r="AE337" s="44">
        <v>532</v>
      </c>
      <c r="AF337" s="44">
        <v>9</v>
      </c>
      <c r="AG337" s="44">
        <v>0</v>
      </c>
      <c r="AH337" s="44">
        <v>164</v>
      </c>
      <c r="AI337" s="32"/>
      <c r="AJ337" s="32"/>
      <c r="AK337" s="32"/>
      <c r="AL337" s="32"/>
      <c r="AM337" s="44">
        <v>16</v>
      </c>
      <c r="AN337" s="44">
        <v>155</v>
      </c>
      <c r="AO337" s="44">
        <v>524</v>
      </c>
      <c r="AP337" s="44"/>
      <c r="AQ337" s="44"/>
      <c r="AR337" s="43">
        <v>484</v>
      </c>
      <c r="AS337" s="43">
        <v>192</v>
      </c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43">
        <v>456</v>
      </c>
      <c r="BF337" s="43">
        <v>240</v>
      </c>
      <c r="BG337" s="43">
        <v>454</v>
      </c>
      <c r="BH337" s="43">
        <v>228</v>
      </c>
      <c r="BI337" s="43">
        <v>471</v>
      </c>
      <c r="BJ337" s="43">
        <v>208</v>
      </c>
      <c r="BK337" s="43">
        <v>266</v>
      </c>
      <c r="BL337" s="43">
        <v>411</v>
      </c>
      <c r="BM337" s="43">
        <v>338</v>
      </c>
      <c r="BN337" s="43">
        <v>335</v>
      </c>
      <c r="BO337" s="43">
        <v>200</v>
      </c>
      <c r="BP337" s="43">
        <v>457</v>
      </c>
      <c r="BQ337" s="43">
        <v>486</v>
      </c>
      <c r="BR337" s="43">
        <v>172</v>
      </c>
      <c r="BS337" s="43">
        <v>517</v>
      </c>
      <c r="BT337" s="43">
        <v>341</v>
      </c>
      <c r="BU337" s="43">
        <v>319</v>
      </c>
      <c r="BV337" s="43">
        <v>514</v>
      </c>
      <c r="BW337" s="43">
        <v>346</v>
      </c>
      <c r="BX337" s="43">
        <v>210</v>
      </c>
      <c r="BY337" s="43">
        <v>400</v>
      </c>
      <c r="BZ337" s="43">
        <v>199</v>
      </c>
      <c r="CA337" s="43">
        <v>471</v>
      </c>
      <c r="CB337" s="43">
        <v>376</v>
      </c>
      <c r="CC337" s="43">
        <v>197</v>
      </c>
      <c r="CD337" s="43">
        <v>439</v>
      </c>
      <c r="CE337" s="43">
        <v>202</v>
      </c>
      <c r="CF337" s="43">
        <v>364</v>
      </c>
      <c r="CG337" s="43">
        <v>388</v>
      </c>
      <c r="CH337" s="43">
        <v>160</v>
      </c>
      <c r="CI337" s="43">
        <v>119</v>
      </c>
      <c r="CJ337" s="43">
        <v>445</v>
      </c>
      <c r="CK337" s="43">
        <v>342</v>
      </c>
      <c r="CL337" s="43">
        <v>203</v>
      </c>
      <c r="CM337" s="43">
        <v>456</v>
      </c>
      <c r="CN337" s="43">
        <v>458</v>
      </c>
      <c r="CO337" s="43">
        <v>156</v>
      </c>
      <c r="CP337" s="43">
        <v>391</v>
      </c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43">
        <v>507</v>
      </c>
      <c r="EX337" s="43">
        <v>201</v>
      </c>
      <c r="EY337" s="43">
        <v>349</v>
      </c>
      <c r="EZ337" s="43">
        <v>283</v>
      </c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43"/>
      <c r="FZ337" s="43"/>
      <c r="GA337" s="53"/>
      <c r="GB337" s="53"/>
      <c r="GC337" s="53"/>
      <c r="GD337" s="53"/>
      <c r="GE337" s="53"/>
      <c r="GF337" s="53"/>
      <c r="GG337" s="53"/>
      <c r="GH337" s="53"/>
      <c r="GI337" s="43"/>
      <c r="GJ337" s="43"/>
      <c r="GK337" s="43"/>
      <c r="GL337" s="43"/>
      <c r="GM337" s="43">
        <v>444</v>
      </c>
      <c r="GN337" s="43">
        <v>265</v>
      </c>
      <c r="GO337" s="43">
        <v>470</v>
      </c>
      <c r="GP337" s="43">
        <v>240</v>
      </c>
      <c r="GQ337" s="43">
        <v>523</v>
      </c>
      <c r="GR337" s="43">
        <v>188</v>
      </c>
    </row>
    <row r="338" spans="1:200">
      <c r="A338" s="7">
        <v>5629</v>
      </c>
      <c r="B338" s="1" t="s">
        <v>466</v>
      </c>
      <c r="C338" s="33">
        <v>649</v>
      </c>
      <c r="D338" s="34">
        <v>568</v>
      </c>
      <c r="E338" s="19">
        <f t="shared" si="5"/>
        <v>0.87519260400616328</v>
      </c>
      <c r="F338" s="62">
        <v>225</v>
      </c>
      <c r="G338" s="43">
        <v>0</v>
      </c>
      <c r="H338" s="43">
        <v>32</v>
      </c>
      <c r="I338" s="43">
        <v>1</v>
      </c>
      <c r="J338" s="55">
        <v>294</v>
      </c>
      <c r="K338" s="6">
        <v>0</v>
      </c>
      <c r="L338" s="6">
        <v>0</v>
      </c>
      <c r="M338" s="43">
        <v>1</v>
      </c>
      <c r="N338" s="25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  <c r="V338" s="43">
        <v>0</v>
      </c>
      <c r="W338" s="43">
        <v>3</v>
      </c>
      <c r="X338" s="43">
        <v>0</v>
      </c>
      <c r="Y338" s="43">
        <v>0</v>
      </c>
      <c r="Z338" s="43">
        <v>0</v>
      </c>
      <c r="AA338" s="44">
        <v>0</v>
      </c>
      <c r="AB338" s="44">
        <v>0</v>
      </c>
      <c r="AC338" s="44">
        <v>1</v>
      </c>
      <c r="AD338" s="44">
        <v>8</v>
      </c>
      <c r="AE338" s="44">
        <v>400</v>
      </c>
      <c r="AF338" s="44">
        <v>6</v>
      </c>
      <c r="AG338" s="44">
        <v>0</v>
      </c>
      <c r="AH338" s="44">
        <v>138</v>
      </c>
      <c r="AI338" s="32"/>
      <c r="AJ338" s="32"/>
      <c r="AK338" s="32"/>
      <c r="AL338" s="32"/>
      <c r="AM338" s="44">
        <v>16</v>
      </c>
      <c r="AN338" s="44">
        <v>120</v>
      </c>
      <c r="AO338" s="44">
        <v>400</v>
      </c>
      <c r="AP338" s="44"/>
      <c r="AQ338" s="44"/>
      <c r="AR338" s="43">
        <v>368</v>
      </c>
      <c r="AS338" s="43">
        <v>159</v>
      </c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43">
        <v>345</v>
      </c>
      <c r="BF338" s="43">
        <v>192</v>
      </c>
      <c r="BG338" s="43">
        <v>345</v>
      </c>
      <c r="BH338" s="43">
        <v>178</v>
      </c>
      <c r="BI338" s="43">
        <v>366</v>
      </c>
      <c r="BJ338" s="43">
        <v>162</v>
      </c>
      <c r="BK338" s="43">
        <v>230</v>
      </c>
      <c r="BL338" s="43">
        <v>291</v>
      </c>
      <c r="BM338" s="43">
        <v>280</v>
      </c>
      <c r="BN338" s="43">
        <v>240</v>
      </c>
      <c r="BO338" s="43">
        <v>173</v>
      </c>
      <c r="BP338" s="43">
        <v>326</v>
      </c>
      <c r="BQ338" s="43">
        <v>375</v>
      </c>
      <c r="BR338" s="43">
        <v>135</v>
      </c>
      <c r="BS338" s="43">
        <v>379</v>
      </c>
      <c r="BT338" s="43">
        <v>253</v>
      </c>
      <c r="BU338" s="43">
        <v>250</v>
      </c>
      <c r="BV338" s="43">
        <v>340</v>
      </c>
      <c r="BW338" s="43">
        <v>274</v>
      </c>
      <c r="BX338" s="43">
        <v>139</v>
      </c>
      <c r="BY338" s="43">
        <v>302</v>
      </c>
      <c r="BZ338" s="43">
        <v>148</v>
      </c>
      <c r="CA338" s="43">
        <v>309</v>
      </c>
      <c r="CB338" s="43">
        <v>291</v>
      </c>
      <c r="CC338" s="43">
        <v>129</v>
      </c>
      <c r="CD338" s="43">
        <v>278</v>
      </c>
      <c r="CE338" s="43">
        <v>161</v>
      </c>
      <c r="CF338" s="43">
        <v>253</v>
      </c>
      <c r="CG338" s="43">
        <v>290</v>
      </c>
      <c r="CH338" s="43">
        <v>118</v>
      </c>
      <c r="CI338" s="43">
        <v>87</v>
      </c>
      <c r="CJ338" s="43">
        <v>309</v>
      </c>
      <c r="CK338" s="43">
        <v>258</v>
      </c>
      <c r="CL338" s="43">
        <v>145</v>
      </c>
      <c r="CM338" s="43">
        <v>303</v>
      </c>
      <c r="CN338" s="43">
        <v>301</v>
      </c>
      <c r="CO338" s="43">
        <v>119</v>
      </c>
      <c r="CP338" s="43">
        <v>285</v>
      </c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43">
        <v>355</v>
      </c>
      <c r="EX338" s="43">
        <v>187</v>
      </c>
      <c r="EY338" s="43">
        <v>338</v>
      </c>
      <c r="EZ338" s="43">
        <v>159</v>
      </c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43"/>
      <c r="FZ338" s="43"/>
      <c r="GA338" s="53"/>
      <c r="GB338" s="53"/>
      <c r="GC338" s="53"/>
      <c r="GD338" s="53"/>
      <c r="GE338" s="53"/>
      <c r="GF338" s="53"/>
      <c r="GG338" s="53"/>
      <c r="GH338" s="53"/>
      <c r="GI338" s="43"/>
      <c r="GJ338" s="43"/>
      <c r="GK338" s="43"/>
      <c r="GL338" s="43"/>
      <c r="GM338" s="43">
        <v>332</v>
      </c>
      <c r="GN338" s="43">
        <v>215</v>
      </c>
      <c r="GO338" s="43">
        <v>369</v>
      </c>
      <c r="GP338" s="43">
        <v>176</v>
      </c>
      <c r="GQ338" s="43">
        <v>380</v>
      </c>
      <c r="GR338" s="43">
        <v>170</v>
      </c>
    </row>
    <row r="339" spans="1:200">
      <c r="A339" s="7">
        <v>5630</v>
      </c>
      <c r="B339" s="1" t="s">
        <v>467</v>
      </c>
      <c r="C339" s="33">
        <v>1198</v>
      </c>
      <c r="D339" s="34">
        <v>985</v>
      </c>
      <c r="E339" s="19">
        <f t="shared" si="5"/>
        <v>0.82220367278798001</v>
      </c>
      <c r="F339" s="62">
        <v>362</v>
      </c>
      <c r="G339" s="43">
        <v>3</v>
      </c>
      <c r="H339" s="43">
        <v>36</v>
      </c>
      <c r="I339" s="43">
        <v>8</v>
      </c>
      <c r="J339" s="55">
        <v>548</v>
      </c>
      <c r="K339" s="6">
        <v>0</v>
      </c>
      <c r="L339" s="6">
        <v>0</v>
      </c>
      <c r="M339" s="43">
        <v>0</v>
      </c>
      <c r="N339" s="25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  <c r="V339" s="43">
        <v>0</v>
      </c>
      <c r="W339" s="43">
        <v>6</v>
      </c>
      <c r="X339" s="43">
        <v>0</v>
      </c>
      <c r="Y339" s="43">
        <v>0</v>
      </c>
      <c r="Z339" s="43">
        <v>0</v>
      </c>
      <c r="AA339" s="44">
        <v>0</v>
      </c>
      <c r="AB339" s="44">
        <v>0</v>
      </c>
      <c r="AC339" s="44">
        <v>12</v>
      </c>
      <c r="AD339" s="44">
        <v>14</v>
      </c>
      <c r="AE339" s="44">
        <v>676</v>
      </c>
      <c r="AF339" s="44">
        <v>7</v>
      </c>
      <c r="AG339" s="44">
        <v>0</v>
      </c>
      <c r="AH339" s="44">
        <v>248</v>
      </c>
      <c r="AI339" s="32"/>
      <c r="AJ339" s="32"/>
      <c r="AK339" s="32"/>
      <c r="AL339" s="32"/>
      <c r="AM339" s="44">
        <v>24</v>
      </c>
      <c r="AN339" s="44">
        <v>223</v>
      </c>
      <c r="AO339" s="44">
        <v>684</v>
      </c>
      <c r="AP339" s="44"/>
      <c r="AQ339" s="44"/>
      <c r="AR339" s="43">
        <v>636</v>
      </c>
      <c r="AS339" s="43">
        <v>279</v>
      </c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43">
        <v>587</v>
      </c>
      <c r="BF339" s="43">
        <v>352</v>
      </c>
      <c r="BG339" s="43">
        <v>615</v>
      </c>
      <c r="BH339" s="43">
        <v>313</v>
      </c>
      <c r="BI339" s="43">
        <v>659</v>
      </c>
      <c r="BJ339" s="43">
        <v>255</v>
      </c>
      <c r="BK339" s="43">
        <v>341</v>
      </c>
      <c r="BL339" s="43">
        <v>571</v>
      </c>
      <c r="BM339" s="43">
        <v>430</v>
      </c>
      <c r="BN339" s="43">
        <v>490</v>
      </c>
      <c r="BO339" s="43">
        <v>303</v>
      </c>
      <c r="BP339" s="43">
        <v>579</v>
      </c>
      <c r="BQ339" s="43">
        <v>625</v>
      </c>
      <c r="BR339" s="43">
        <v>259</v>
      </c>
      <c r="BS339" s="43">
        <v>667</v>
      </c>
      <c r="BT339" s="43">
        <v>449</v>
      </c>
      <c r="BU339" s="43">
        <v>431</v>
      </c>
      <c r="BV339" s="43">
        <v>640</v>
      </c>
      <c r="BW339" s="43">
        <v>455</v>
      </c>
      <c r="BX339" s="43">
        <v>288</v>
      </c>
      <c r="BY339" s="43">
        <v>550</v>
      </c>
      <c r="BZ339" s="43">
        <v>252</v>
      </c>
      <c r="CA339" s="43">
        <v>578</v>
      </c>
      <c r="CB339" s="43">
        <v>490</v>
      </c>
      <c r="CC339" s="43">
        <v>246</v>
      </c>
      <c r="CD339" s="43">
        <v>539</v>
      </c>
      <c r="CE339" s="43">
        <v>282</v>
      </c>
      <c r="CF339" s="43">
        <v>451</v>
      </c>
      <c r="CG339" s="43">
        <v>469</v>
      </c>
      <c r="CH339" s="43">
        <v>225</v>
      </c>
      <c r="CI339" s="43">
        <v>167</v>
      </c>
      <c r="CJ339" s="43">
        <v>563</v>
      </c>
      <c r="CK339" s="43">
        <v>441</v>
      </c>
      <c r="CL339" s="43">
        <v>267</v>
      </c>
      <c r="CM339" s="43">
        <v>573</v>
      </c>
      <c r="CN339" s="43">
        <v>570</v>
      </c>
      <c r="CO339" s="43">
        <v>221</v>
      </c>
      <c r="CP339" s="43">
        <v>483</v>
      </c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43">
        <v>673</v>
      </c>
      <c r="EX339" s="43">
        <v>270</v>
      </c>
      <c r="EY339" s="43">
        <v>504</v>
      </c>
      <c r="EZ339" s="43">
        <v>353</v>
      </c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43"/>
      <c r="FZ339" s="43"/>
      <c r="GA339" s="53"/>
      <c r="GB339" s="53"/>
      <c r="GC339" s="53"/>
      <c r="GD339" s="53"/>
      <c r="GE339" s="53"/>
      <c r="GF339" s="53"/>
      <c r="GG339" s="53"/>
      <c r="GH339" s="53"/>
      <c r="GI339" s="43"/>
      <c r="GJ339" s="43"/>
      <c r="GK339" s="43"/>
      <c r="GL339" s="43"/>
      <c r="GM339" s="43">
        <v>571</v>
      </c>
      <c r="GN339" s="43">
        <v>373</v>
      </c>
      <c r="GO339" s="43">
        <v>606</v>
      </c>
      <c r="GP339" s="43">
        <v>328</v>
      </c>
      <c r="GQ339" s="43">
        <v>681</v>
      </c>
      <c r="GR339" s="43">
        <v>269</v>
      </c>
    </row>
    <row r="340" spans="1:200">
      <c r="A340" s="7">
        <v>5631</v>
      </c>
      <c r="B340" s="1" t="s">
        <v>468</v>
      </c>
      <c r="C340" s="33">
        <v>700</v>
      </c>
      <c r="D340" s="34">
        <v>560</v>
      </c>
      <c r="E340" s="19">
        <f t="shared" si="5"/>
        <v>0.8</v>
      </c>
      <c r="F340" s="62">
        <v>209</v>
      </c>
      <c r="G340" s="43">
        <v>1</v>
      </c>
      <c r="H340" s="43">
        <v>19</v>
      </c>
      <c r="I340" s="43">
        <v>4</v>
      </c>
      <c r="J340" s="55">
        <v>309</v>
      </c>
      <c r="K340" s="6">
        <v>0</v>
      </c>
      <c r="L340" s="6">
        <v>0</v>
      </c>
      <c r="M340" s="43">
        <v>0</v>
      </c>
      <c r="N340" s="25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  <c r="V340" s="43">
        <v>0</v>
      </c>
      <c r="W340" s="43">
        <v>5</v>
      </c>
      <c r="X340" s="43">
        <v>0</v>
      </c>
      <c r="Y340" s="43">
        <v>0</v>
      </c>
      <c r="Z340" s="43">
        <v>0</v>
      </c>
      <c r="AA340" s="44">
        <v>0</v>
      </c>
      <c r="AB340" s="44">
        <v>0</v>
      </c>
      <c r="AC340" s="44">
        <v>1</v>
      </c>
      <c r="AD340" s="44">
        <v>10</v>
      </c>
      <c r="AE340" s="44">
        <v>377</v>
      </c>
      <c r="AF340" s="44">
        <v>5</v>
      </c>
      <c r="AG340" s="44">
        <v>0</v>
      </c>
      <c r="AH340" s="44">
        <v>156</v>
      </c>
      <c r="AI340" s="32"/>
      <c r="AJ340" s="32"/>
      <c r="AK340" s="32"/>
      <c r="AL340" s="32"/>
      <c r="AM340" s="44">
        <v>14</v>
      </c>
      <c r="AN340" s="44">
        <v>150</v>
      </c>
      <c r="AO340" s="44">
        <v>365</v>
      </c>
      <c r="AP340" s="44"/>
      <c r="AQ340" s="44"/>
      <c r="AR340" s="43">
        <v>347</v>
      </c>
      <c r="AS340" s="43">
        <v>180</v>
      </c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43">
        <v>325</v>
      </c>
      <c r="BF340" s="43">
        <v>207</v>
      </c>
      <c r="BG340" s="43">
        <v>337</v>
      </c>
      <c r="BH340" s="43">
        <v>191</v>
      </c>
      <c r="BI340" s="43">
        <v>349</v>
      </c>
      <c r="BJ340" s="43">
        <v>164</v>
      </c>
      <c r="BK340" s="43">
        <v>212</v>
      </c>
      <c r="BL340" s="43">
        <v>311</v>
      </c>
      <c r="BM340" s="43">
        <v>280</v>
      </c>
      <c r="BN340" s="43">
        <v>243</v>
      </c>
      <c r="BO340" s="43">
        <v>183</v>
      </c>
      <c r="BP340" s="43">
        <v>317</v>
      </c>
      <c r="BQ340" s="43">
        <v>354</v>
      </c>
      <c r="BR340" s="43">
        <v>149</v>
      </c>
      <c r="BS340" s="43">
        <v>367</v>
      </c>
      <c r="BT340" s="43">
        <v>254</v>
      </c>
      <c r="BU340" s="43">
        <v>243</v>
      </c>
      <c r="BV340" s="43">
        <v>363</v>
      </c>
      <c r="BW340" s="43">
        <v>246</v>
      </c>
      <c r="BX340" s="43">
        <v>161</v>
      </c>
      <c r="BY340" s="43">
        <v>285</v>
      </c>
      <c r="BZ340" s="43">
        <v>158</v>
      </c>
      <c r="CA340" s="43">
        <v>319</v>
      </c>
      <c r="CB340" s="43">
        <v>279</v>
      </c>
      <c r="CC340" s="43">
        <v>151</v>
      </c>
      <c r="CD340" s="43">
        <v>305</v>
      </c>
      <c r="CE340" s="43">
        <v>171</v>
      </c>
      <c r="CF340" s="43">
        <v>251</v>
      </c>
      <c r="CG340" s="43">
        <v>271</v>
      </c>
      <c r="CH340" s="43">
        <v>119</v>
      </c>
      <c r="CI340" s="43">
        <v>83</v>
      </c>
      <c r="CJ340" s="43">
        <v>324</v>
      </c>
      <c r="CK340" s="43">
        <v>262</v>
      </c>
      <c r="CL340" s="43">
        <v>132</v>
      </c>
      <c r="CM340" s="43">
        <v>309</v>
      </c>
      <c r="CN340" s="43">
        <v>308</v>
      </c>
      <c r="CO340" s="43">
        <v>126</v>
      </c>
      <c r="CP340" s="43">
        <v>271</v>
      </c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43">
        <v>366</v>
      </c>
      <c r="EX340" s="43">
        <v>167</v>
      </c>
      <c r="EY340" s="43">
        <v>295</v>
      </c>
      <c r="EZ340" s="43">
        <v>195</v>
      </c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43"/>
      <c r="FZ340" s="43"/>
      <c r="GA340" s="53"/>
      <c r="GB340" s="53"/>
      <c r="GC340" s="53"/>
      <c r="GD340" s="53"/>
      <c r="GE340" s="53"/>
      <c r="GF340" s="53"/>
      <c r="GG340" s="53"/>
      <c r="GH340" s="53"/>
      <c r="GI340" s="43"/>
      <c r="GJ340" s="43"/>
      <c r="GK340" s="43"/>
      <c r="GL340" s="43"/>
      <c r="GM340" s="43">
        <v>338</v>
      </c>
      <c r="GN340" s="43">
        <v>200</v>
      </c>
      <c r="GO340" s="43">
        <v>363</v>
      </c>
      <c r="GP340" s="43">
        <v>171</v>
      </c>
      <c r="GQ340" s="43">
        <v>392</v>
      </c>
      <c r="GR340" s="43">
        <v>143</v>
      </c>
    </row>
    <row r="341" spans="1:200">
      <c r="A341" s="7">
        <v>5632</v>
      </c>
      <c r="B341" s="1" t="s">
        <v>469</v>
      </c>
      <c r="C341" s="33">
        <v>1218</v>
      </c>
      <c r="D341" s="34">
        <v>940</v>
      </c>
      <c r="E341" s="19">
        <f t="shared" si="5"/>
        <v>0.77175697865353032</v>
      </c>
      <c r="F341" s="62">
        <v>385</v>
      </c>
      <c r="G341" s="43">
        <v>2</v>
      </c>
      <c r="H341" s="43">
        <v>34</v>
      </c>
      <c r="I341" s="43">
        <v>4</v>
      </c>
      <c r="J341" s="55">
        <v>484</v>
      </c>
      <c r="K341" s="6">
        <v>0</v>
      </c>
      <c r="L341" s="6">
        <v>0</v>
      </c>
      <c r="M341" s="43">
        <v>1</v>
      </c>
      <c r="N341" s="25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  <c r="V341" s="43">
        <v>0</v>
      </c>
      <c r="W341" s="43">
        <v>5</v>
      </c>
      <c r="X341" s="43">
        <v>0</v>
      </c>
      <c r="Y341" s="43">
        <v>0</v>
      </c>
      <c r="Z341" s="43">
        <v>0</v>
      </c>
      <c r="AA341" s="44">
        <v>0</v>
      </c>
      <c r="AB341" s="44">
        <v>0</v>
      </c>
      <c r="AC341" s="44">
        <v>6</v>
      </c>
      <c r="AD341" s="44">
        <v>6</v>
      </c>
      <c r="AE341" s="44">
        <v>628</v>
      </c>
      <c r="AF341" s="44">
        <v>7</v>
      </c>
      <c r="AG341" s="44">
        <v>0</v>
      </c>
      <c r="AH341" s="44">
        <v>262</v>
      </c>
      <c r="AI341" s="32"/>
      <c r="AJ341" s="32"/>
      <c r="AK341" s="32"/>
      <c r="AL341" s="32"/>
      <c r="AM341" s="44">
        <v>17</v>
      </c>
      <c r="AN341" s="44">
        <v>277</v>
      </c>
      <c r="AO341" s="44">
        <v>601</v>
      </c>
      <c r="AP341" s="44"/>
      <c r="AQ341" s="44"/>
      <c r="AR341" s="43">
        <v>580</v>
      </c>
      <c r="AS341" s="43">
        <v>302</v>
      </c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43">
        <v>537</v>
      </c>
      <c r="BF341" s="43">
        <v>357</v>
      </c>
      <c r="BG341" s="43">
        <v>556</v>
      </c>
      <c r="BH341" s="43">
        <v>333</v>
      </c>
      <c r="BI341" s="43">
        <v>593</v>
      </c>
      <c r="BJ341" s="43">
        <v>289</v>
      </c>
      <c r="BK341" s="43">
        <v>381</v>
      </c>
      <c r="BL341" s="43">
        <v>499</v>
      </c>
      <c r="BM341" s="43">
        <v>446</v>
      </c>
      <c r="BN341" s="43">
        <v>425</v>
      </c>
      <c r="BO341" s="43">
        <v>304</v>
      </c>
      <c r="BP341" s="43">
        <v>550</v>
      </c>
      <c r="BQ341" s="43">
        <v>598</v>
      </c>
      <c r="BR341" s="43">
        <v>262</v>
      </c>
      <c r="BS341" s="43">
        <v>631</v>
      </c>
      <c r="BT341" s="43">
        <v>421</v>
      </c>
      <c r="BU341" s="43">
        <v>431</v>
      </c>
      <c r="BV341" s="43">
        <v>629</v>
      </c>
      <c r="BW341" s="43">
        <v>434</v>
      </c>
      <c r="BX341" s="43">
        <v>292</v>
      </c>
      <c r="BY341" s="43">
        <v>500</v>
      </c>
      <c r="BZ341" s="43">
        <v>282</v>
      </c>
      <c r="CA341" s="43">
        <v>561</v>
      </c>
      <c r="CB341" s="43">
        <v>478</v>
      </c>
      <c r="CC341" s="43">
        <v>271</v>
      </c>
      <c r="CD341" s="43">
        <v>545</v>
      </c>
      <c r="CE341" s="43">
        <v>297</v>
      </c>
      <c r="CF341" s="43">
        <v>436</v>
      </c>
      <c r="CG341" s="43">
        <v>476</v>
      </c>
      <c r="CH341" s="43">
        <v>230</v>
      </c>
      <c r="CI341" s="43">
        <v>163</v>
      </c>
      <c r="CJ341" s="43">
        <v>561</v>
      </c>
      <c r="CK341" s="43">
        <v>425</v>
      </c>
      <c r="CL341" s="43">
        <v>282</v>
      </c>
      <c r="CM341" s="43">
        <v>545</v>
      </c>
      <c r="CN341" s="43">
        <v>551</v>
      </c>
      <c r="CO341" s="43">
        <v>244</v>
      </c>
      <c r="CP341" s="43">
        <v>466</v>
      </c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43">
        <v>602</v>
      </c>
      <c r="EX341" s="43">
        <v>297</v>
      </c>
      <c r="EY341" s="43">
        <v>493</v>
      </c>
      <c r="EZ341" s="43">
        <v>314</v>
      </c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43"/>
      <c r="FZ341" s="43"/>
      <c r="GA341" s="53"/>
      <c r="GB341" s="53"/>
      <c r="GC341" s="53"/>
      <c r="GD341" s="53"/>
      <c r="GE341" s="53"/>
      <c r="GF341" s="53"/>
      <c r="GG341" s="53"/>
      <c r="GH341" s="53"/>
      <c r="GI341" s="43"/>
      <c r="GJ341" s="43"/>
      <c r="GK341" s="43"/>
      <c r="GL341" s="43"/>
      <c r="GM341" s="43">
        <v>559</v>
      </c>
      <c r="GN341" s="43">
        <v>344</v>
      </c>
      <c r="GO341" s="43">
        <v>608</v>
      </c>
      <c r="GP341" s="43">
        <v>293</v>
      </c>
      <c r="GQ341" s="43">
        <v>651</v>
      </c>
      <c r="GR341" s="43">
        <v>255</v>
      </c>
    </row>
    <row r="342" spans="1:200">
      <c r="A342" s="7">
        <v>5801</v>
      </c>
      <c r="B342" s="1" t="s">
        <v>470</v>
      </c>
      <c r="C342" s="33">
        <v>503</v>
      </c>
      <c r="D342" s="34">
        <v>316</v>
      </c>
      <c r="E342" s="19">
        <f t="shared" si="5"/>
        <v>0.62823061630218691</v>
      </c>
      <c r="F342" s="62">
        <v>140</v>
      </c>
      <c r="G342" s="43">
        <v>4</v>
      </c>
      <c r="H342" s="43">
        <v>5</v>
      </c>
      <c r="I342" s="43">
        <v>4</v>
      </c>
      <c r="J342" s="55">
        <v>159</v>
      </c>
      <c r="K342" s="6">
        <v>0</v>
      </c>
      <c r="L342" s="6">
        <v>0</v>
      </c>
      <c r="M342" s="43">
        <v>0</v>
      </c>
      <c r="N342" s="25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  <c r="V342" s="43">
        <v>0</v>
      </c>
      <c r="W342" s="43">
        <v>0</v>
      </c>
      <c r="X342" s="43">
        <v>0</v>
      </c>
      <c r="Y342" s="43">
        <v>0</v>
      </c>
      <c r="Z342" s="43">
        <v>0</v>
      </c>
      <c r="AA342" s="44">
        <v>0</v>
      </c>
      <c r="AB342" s="44">
        <v>0</v>
      </c>
      <c r="AC342" s="44">
        <v>10</v>
      </c>
      <c r="AD342" s="44">
        <v>4</v>
      </c>
      <c r="AE342" s="44">
        <v>147</v>
      </c>
      <c r="AF342" s="44">
        <v>16</v>
      </c>
      <c r="AG342" s="44">
        <v>0</v>
      </c>
      <c r="AH342" s="44">
        <v>125</v>
      </c>
      <c r="AI342" s="32"/>
      <c r="AJ342" s="32"/>
      <c r="AK342" s="32"/>
      <c r="AL342" s="32"/>
      <c r="AM342" s="44">
        <v>1</v>
      </c>
      <c r="AN342" s="44">
        <v>137</v>
      </c>
      <c r="AO342" s="44">
        <v>151</v>
      </c>
      <c r="AP342" s="44"/>
      <c r="AQ342" s="44"/>
      <c r="AR342" s="51"/>
      <c r="AS342" s="51"/>
      <c r="AT342" s="51"/>
      <c r="AU342" s="51"/>
      <c r="AV342" s="51"/>
      <c r="AW342" s="50"/>
      <c r="AX342" s="50"/>
      <c r="AY342" s="50"/>
      <c r="AZ342" s="50"/>
      <c r="BA342" s="50"/>
      <c r="BB342" s="50"/>
      <c r="BC342" s="43">
        <v>146</v>
      </c>
      <c r="BD342" s="43">
        <v>152</v>
      </c>
      <c r="BE342" s="43">
        <v>128</v>
      </c>
      <c r="BF342" s="43">
        <v>167</v>
      </c>
      <c r="BG342" s="43">
        <v>163</v>
      </c>
      <c r="BH342" s="43">
        <v>127</v>
      </c>
      <c r="BI342" s="43">
        <v>147</v>
      </c>
      <c r="BJ342" s="43">
        <v>141</v>
      </c>
      <c r="BK342" s="43">
        <v>158</v>
      </c>
      <c r="BL342" s="43">
        <v>132</v>
      </c>
      <c r="BM342" s="43">
        <v>99</v>
      </c>
      <c r="BN342" s="43">
        <v>195</v>
      </c>
      <c r="BO342" s="43">
        <v>127</v>
      </c>
      <c r="BP342" s="43">
        <v>156</v>
      </c>
      <c r="BQ342" s="43">
        <v>160</v>
      </c>
      <c r="BR342" s="43">
        <v>119</v>
      </c>
      <c r="BS342" s="43">
        <v>189</v>
      </c>
      <c r="BT342" s="43">
        <v>120</v>
      </c>
      <c r="BU342" s="43">
        <v>161</v>
      </c>
      <c r="BV342" s="43">
        <v>193</v>
      </c>
      <c r="BW342" s="43">
        <v>130</v>
      </c>
      <c r="BX342" s="43">
        <v>101</v>
      </c>
      <c r="BY342" s="43">
        <v>156</v>
      </c>
      <c r="BZ342" s="43">
        <v>96</v>
      </c>
      <c r="CA342" s="43">
        <v>180</v>
      </c>
      <c r="CB342" s="43">
        <v>129</v>
      </c>
      <c r="CC342" s="43">
        <v>96</v>
      </c>
      <c r="CD342" s="43">
        <v>166</v>
      </c>
      <c r="CE342" s="43">
        <v>106</v>
      </c>
      <c r="CF342" s="43">
        <v>125</v>
      </c>
      <c r="CG342" s="43">
        <v>126</v>
      </c>
      <c r="CH342" s="43">
        <v>84</v>
      </c>
      <c r="CI342" s="43">
        <v>66</v>
      </c>
      <c r="CJ342" s="43">
        <v>158</v>
      </c>
      <c r="CK342" s="43">
        <v>137</v>
      </c>
      <c r="CL342" s="43">
        <v>88</v>
      </c>
      <c r="CM342" s="43">
        <v>171</v>
      </c>
      <c r="CN342" s="43">
        <v>178</v>
      </c>
      <c r="CO342" s="43">
        <v>101</v>
      </c>
      <c r="CP342" s="43">
        <v>124</v>
      </c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43"/>
      <c r="FZ342" s="43"/>
      <c r="GA342" s="53"/>
      <c r="GB342" s="53"/>
      <c r="GC342" s="53"/>
      <c r="GD342" s="53"/>
      <c r="GE342" s="53"/>
      <c r="GF342" s="53"/>
      <c r="GG342" s="53"/>
      <c r="GH342" s="53"/>
      <c r="GI342" s="43"/>
      <c r="GJ342" s="43"/>
      <c r="GK342" s="43"/>
      <c r="GL342" s="43"/>
      <c r="GM342" s="53"/>
      <c r="GN342" s="53"/>
      <c r="GO342" s="43">
        <v>185</v>
      </c>
      <c r="GP342" s="43">
        <v>114</v>
      </c>
      <c r="GQ342" s="43">
        <v>190</v>
      </c>
      <c r="GR342" s="43">
        <v>103</v>
      </c>
    </row>
    <row r="343" spans="1:200">
      <c r="A343" s="7">
        <v>5901</v>
      </c>
      <c r="B343" s="1" t="s">
        <v>471</v>
      </c>
      <c r="C343" s="33">
        <v>1153</v>
      </c>
      <c r="D343" s="34">
        <v>976</v>
      </c>
      <c r="E343" s="19">
        <f t="shared" si="5"/>
        <v>0.84648742411101474</v>
      </c>
      <c r="F343" s="62">
        <v>174</v>
      </c>
      <c r="G343" s="43">
        <v>4</v>
      </c>
      <c r="H343" s="43">
        <v>32</v>
      </c>
      <c r="I343" s="43">
        <v>6</v>
      </c>
      <c r="J343" s="55">
        <v>741</v>
      </c>
      <c r="K343" s="6">
        <v>0</v>
      </c>
      <c r="L343" s="6">
        <v>0</v>
      </c>
      <c r="M343" s="43">
        <v>1</v>
      </c>
      <c r="N343" s="25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  <c r="V343" s="43">
        <v>0</v>
      </c>
      <c r="W343" s="43">
        <v>1</v>
      </c>
      <c r="X343" s="43">
        <v>0</v>
      </c>
      <c r="Y343" s="43">
        <v>0</v>
      </c>
      <c r="Z343" s="43">
        <v>0</v>
      </c>
      <c r="AA343" s="44">
        <v>0</v>
      </c>
      <c r="AB343" s="44">
        <v>0</v>
      </c>
      <c r="AC343" s="44">
        <v>17</v>
      </c>
      <c r="AD343" s="44">
        <v>9</v>
      </c>
      <c r="AE343" s="44">
        <v>783</v>
      </c>
      <c r="AF343" s="44">
        <v>16</v>
      </c>
      <c r="AG343" s="44">
        <v>0</v>
      </c>
      <c r="AH343" s="44">
        <v>128</v>
      </c>
      <c r="AI343" s="44">
        <v>797</v>
      </c>
      <c r="AJ343" s="44">
        <v>0</v>
      </c>
      <c r="AK343" s="44">
        <v>0</v>
      </c>
      <c r="AL343" s="44">
        <v>156</v>
      </c>
      <c r="AM343" s="48"/>
      <c r="AN343" s="48"/>
      <c r="AO343" s="48"/>
      <c r="AP343" s="44">
        <v>155</v>
      </c>
      <c r="AQ343" s="44">
        <v>748</v>
      </c>
      <c r="AR343" s="51"/>
      <c r="AS343" s="51"/>
      <c r="AT343" s="51"/>
      <c r="AU343" s="51"/>
      <c r="AV343" s="43">
        <v>733</v>
      </c>
      <c r="AW343" s="50"/>
      <c r="AX343" s="50"/>
      <c r="AY343" s="50"/>
      <c r="AZ343" s="50"/>
      <c r="BA343" s="50"/>
      <c r="BB343" s="50"/>
      <c r="BC343" s="50"/>
      <c r="BD343" s="50"/>
      <c r="BE343" s="43">
        <v>677</v>
      </c>
      <c r="BF343" s="43">
        <v>244</v>
      </c>
      <c r="BG343" s="43">
        <v>736</v>
      </c>
      <c r="BH343" s="43">
        <v>180</v>
      </c>
      <c r="BI343" s="43">
        <v>716</v>
      </c>
      <c r="BJ343" s="43">
        <v>188</v>
      </c>
      <c r="BK343" s="43">
        <v>197</v>
      </c>
      <c r="BL343" s="43">
        <v>716</v>
      </c>
      <c r="BM343" s="43">
        <v>583</v>
      </c>
      <c r="BN343" s="43">
        <v>329</v>
      </c>
      <c r="BO343" s="43">
        <v>161</v>
      </c>
      <c r="BP343" s="43">
        <v>729</v>
      </c>
      <c r="BQ343" s="43">
        <v>803</v>
      </c>
      <c r="BR343" s="43">
        <v>105</v>
      </c>
      <c r="BS343" s="43">
        <v>722</v>
      </c>
      <c r="BT343" s="43">
        <v>569</v>
      </c>
      <c r="BU343" s="43">
        <v>297</v>
      </c>
      <c r="BV343" s="43">
        <v>638</v>
      </c>
      <c r="BW343" s="43">
        <v>552</v>
      </c>
      <c r="BX343" s="43">
        <v>210</v>
      </c>
      <c r="BY343" s="43">
        <v>664</v>
      </c>
      <c r="BZ343" s="43">
        <v>161</v>
      </c>
      <c r="CA343" s="43">
        <v>571</v>
      </c>
      <c r="CB343" s="43">
        <v>589</v>
      </c>
      <c r="CC343" s="43">
        <v>155</v>
      </c>
      <c r="CD343" s="43">
        <v>497</v>
      </c>
      <c r="CE343" s="43">
        <v>161</v>
      </c>
      <c r="CF343" s="43">
        <v>592</v>
      </c>
      <c r="CG343" s="43">
        <v>534</v>
      </c>
      <c r="CH343" s="43">
        <v>171</v>
      </c>
      <c r="CI343" s="43">
        <v>99</v>
      </c>
      <c r="CJ343" s="43">
        <v>645</v>
      </c>
      <c r="CK343" s="43">
        <v>500</v>
      </c>
      <c r="CL343" s="43">
        <v>222</v>
      </c>
      <c r="CM343" s="43">
        <v>559</v>
      </c>
      <c r="CN343" s="43">
        <v>550</v>
      </c>
      <c r="CO343" s="43">
        <v>133</v>
      </c>
      <c r="CP343" s="43">
        <v>625</v>
      </c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43"/>
      <c r="FZ343" s="43"/>
      <c r="GA343" s="53"/>
      <c r="GB343" s="53"/>
      <c r="GC343" s="53"/>
      <c r="GD343" s="53"/>
      <c r="GE343" s="53"/>
      <c r="GF343" s="53"/>
      <c r="GG343" s="53"/>
      <c r="GH343" s="53"/>
      <c r="GI343" s="43"/>
      <c r="GJ343" s="43"/>
      <c r="GK343" s="43"/>
      <c r="GL343" s="43"/>
      <c r="GM343" s="53"/>
      <c r="GN343" s="53"/>
      <c r="GO343" s="43">
        <v>511</v>
      </c>
      <c r="GP343" s="43">
        <v>429</v>
      </c>
      <c r="GQ343" s="43">
        <v>480</v>
      </c>
      <c r="GR343" s="43">
        <v>457</v>
      </c>
    </row>
    <row r="344" spans="1:200">
      <c r="A344" s="7">
        <v>5902</v>
      </c>
      <c r="B344" s="1" t="s">
        <v>472</v>
      </c>
      <c r="C344" s="33">
        <v>1092</v>
      </c>
      <c r="D344" s="34">
        <v>798</v>
      </c>
      <c r="E344" s="19">
        <f t="shared" si="5"/>
        <v>0.73076923076923073</v>
      </c>
      <c r="F344" s="62">
        <v>345</v>
      </c>
      <c r="G344" s="43">
        <v>2</v>
      </c>
      <c r="H344" s="43">
        <v>19</v>
      </c>
      <c r="I344" s="43">
        <v>7</v>
      </c>
      <c r="J344" s="55">
        <v>420</v>
      </c>
      <c r="K344" s="6">
        <v>0</v>
      </c>
      <c r="L344" s="6">
        <v>0</v>
      </c>
      <c r="M344" s="43">
        <v>0</v>
      </c>
      <c r="N344" s="25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  <c r="V344" s="43">
        <v>0</v>
      </c>
      <c r="W344" s="43">
        <v>2</v>
      </c>
      <c r="X344" s="43">
        <v>0</v>
      </c>
      <c r="Y344" s="43">
        <v>0</v>
      </c>
      <c r="Z344" s="43">
        <v>0</v>
      </c>
      <c r="AA344" s="44">
        <v>0</v>
      </c>
      <c r="AB344" s="44">
        <v>0</v>
      </c>
      <c r="AC344" s="44">
        <v>7</v>
      </c>
      <c r="AD344" s="44">
        <v>8</v>
      </c>
      <c r="AE344" s="44">
        <v>445</v>
      </c>
      <c r="AF344" s="44">
        <v>9</v>
      </c>
      <c r="AG344" s="44">
        <v>0</v>
      </c>
      <c r="AH344" s="44">
        <v>295</v>
      </c>
      <c r="AI344" s="44">
        <v>454</v>
      </c>
      <c r="AJ344" s="44">
        <v>1</v>
      </c>
      <c r="AK344" s="44">
        <v>0</v>
      </c>
      <c r="AL344" s="44">
        <v>307</v>
      </c>
      <c r="AM344" s="48"/>
      <c r="AN344" s="48"/>
      <c r="AO344" s="48"/>
      <c r="AP344" s="44">
        <v>346</v>
      </c>
      <c r="AQ344" s="44">
        <v>380</v>
      </c>
      <c r="AR344" s="51"/>
      <c r="AS344" s="51"/>
      <c r="AT344" s="51"/>
      <c r="AU344" s="51"/>
      <c r="AV344" s="43">
        <v>481</v>
      </c>
      <c r="AW344" s="50"/>
      <c r="AX344" s="50"/>
      <c r="AY344" s="50"/>
      <c r="AZ344" s="50"/>
      <c r="BA344" s="50"/>
      <c r="BB344" s="50"/>
      <c r="BC344" s="50"/>
      <c r="BD344" s="50"/>
      <c r="BE344" s="43">
        <v>329</v>
      </c>
      <c r="BF344" s="43">
        <v>412</v>
      </c>
      <c r="BG344" s="43">
        <v>434</v>
      </c>
      <c r="BH344" s="43">
        <v>314</v>
      </c>
      <c r="BI344" s="43">
        <v>458</v>
      </c>
      <c r="BJ344" s="43">
        <v>288</v>
      </c>
      <c r="BK344" s="43">
        <v>354</v>
      </c>
      <c r="BL344" s="43">
        <v>393</v>
      </c>
      <c r="BM344" s="43">
        <v>304</v>
      </c>
      <c r="BN344" s="43">
        <v>441</v>
      </c>
      <c r="BO344" s="43">
        <v>331</v>
      </c>
      <c r="BP344" s="43">
        <v>398</v>
      </c>
      <c r="BQ344" s="43">
        <v>424</v>
      </c>
      <c r="BR344" s="43">
        <v>312</v>
      </c>
      <c r="BS344" s="43">
        <v>490</v>
      </c>
      <c r="BT344" s="43">
        <v>321</v>
      </c>
      <c r="BU344" s="43">
        <v>403</v>
      </c>
      <c r="BV344" s="43">
        <v>479</v>
      </c>
      <c r="BW344" s="43">
        <v>370</v>
      </c>
      <c r="BX344" s="43">
        <v>257</v>
      </c>
      <c r="BY344" s="43">
        <v>438</v>
      </c>
      <c r="BZ344" s="43">
        <v>233</v>
      </c>
      <c r="CA344" s="43">
        <v>455</v>
      </c>
      <c r="CB344" s="43">
        <v>327</v>
      </c>
      <c r="CC344" s="43">
        <v>293</v>
      </c>
      <c r="CD344" s="43">
        <v>461</v>
      </c>
      <c r="CE344" s="43">
        <v>285</v>
      </c>
      <c r="CF344" s="43">
        <v>350</v>
      </c>
      <c r="CG344" s="43">
        <v>345</v>
      </c>
      <c r="CH344" s="43">
        <v>256</v>
      </c>
      <c r="CI344" s="43">
        <v>193</v>
      </c>
      <c r="CJ344" s="43">
        <v>425</v>
      </c>
      <c r="CK344" s="43">
        <v>389</v>
      </c>
      <c r="CL344" s="43">
        <v>246</v>
      </c>
      <c r="CM344" s="43">
        <v>447</v>
      </c>
      <c r="CN344" s="43">
        <v>460</v>
      </c>
      <c r="CO344" s="43">
        <v>259</v>
      </c>
      <c r="CP344" s="43">
        <v>376</v>
      </c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43"/>
      <c r="FZ344" s="43"/>
      <c r="GA344" s="53"/>
      <c r="GB344" s="53"/>
      <c r="GC344" s="53"/>
      <c r="GD344" s="53"/>
      <c r="GE344" s="53"/>
      <c r="GF344" s="53"/>
      <c r="GG344" s="53"/>
      <c r="GH344" s="53"/>
      <c r="GI344" s="43"/>
      <c r="GJ344" s="43"/>
      <c r="GK344" s="43"/>
      <c r="GL344" s="43"/>
      <c r="GM344" s="53"/>
      <c r="GN344" s="53"/>
      <c r="GO344" s="43">
        <v>474</v>
      </c>
      <c r="GP344" s="43">
        <v>280</v>
      </c>
      <c r="GQ344" s="43">
        <v>491</v>
      </c>
      <c r="GR344" s="43">
        <v>266</v>
      </c>
    </row>
    <row r="345" spans="1:200">
      <c r="A345" s="7">
        <v>5903</v>
      </c>
      <c r="B345" s="1" t="s">
        <v>473</v>
      </c>
      <c r="C345" s="33">
        <v>1273</v>
      </c>
      <c r="D345" s="34">
        <v>900</v>
      </c>
      <c r="E345" s="19">
        <f t="shared" si="5"/>
        <v>0.70699135899450116</v>
      </c>
      <c r="F345" s="62">
        <v>404</v>
      </c>
      <c r="G345" s="43">
        <v>6</v>
      </c>
      <c r="H345" s="43">
        <v>27</v>
      </c>
      <c r="I345" s="43">
        <v>6</v>
      </c>
      <c r="J345" s="55">
        <v>436</v>
      </c>
      <c r="K345" s="6">
        <v>0</v>
      </c>
      <c r="L345" s="6">
        <v>0</v>
      </c>
      <c r="M345" s="43">
        <v>0</v>
      </c>
      <c r="N345" s="25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  <c r="V345" s="43">
        <v>0</v>
      </c>
      <c r="W345" s="43">
        <v>3</v>
      </c>
      <c r="X345" s="43">
        <v>0</v>
      </c>
      <c r="Y345" s="43">
        <v>0</v>
      </c>
      <c r="Z345" s="43">
        <v>0</v>
      </c>
      <c r="AA345" s="44">
        <v>0</v>
      </c>
      <c r="AB345" s="44">
        <v>0</v>
      </c>
      <c r="AC345" s="44">
        <v>13</v>
      </c>
      <c r="AD345" s="44">
        <v>12</v>
      </c>
      <c r="AE345" s="44">
        <v>505</v>
      </c>
      <c r="AF345" s="44">
        <v>11</v>
      </c>
      <c r="AG345" s="44">
        <v>0</v>
      </c>
      <c r="AH345" s="44">
        <v>336</v>
      </c>
      <c r="AI345" s="44">
        <v>486</v>
      </c>
      <c r="AJ345" s="44">
        <v>0</v>
      </c>
      <c r="AK345" s="44">
        <v>0</v>
      </c>
      <c r="AL345" s="44">
        <v>387</v>
      </c>
      <c r="AM345" s="48"/>
      <c r="AN345" s="48"/>
      <c r="AO345" s="48"/>
      <c r="AP345" s="44">
        <v>419</v>
      </c>
      <c r="AQ345" s="44">
        <v>405</v>
      </c>
      <c r="AR345" s="51"/>
      <c r="AS345" s="51"/>
      <c r="AT345" s="51"/>
      <c r="AU345" s="51"/>
      <c r="AV345" s="43">
        <v>552</v>
      </c>
      <c r="AW345" s="50"/>
      <c r="AX345" s="50"/>
      <c r="AY345" s="50"/>
      <c r="AZ345" s="50"/>
      <c r="BA345" s="50"/>
      <c r="BB345" s="50"/>
      <c r="BC345" s="50"/>
      <c r="BD345" s="50"/>
      <c r="BE345" s="43">
        <v>359</v>
      </c>
      <c r="BF345" s="43">
        <v>492</v>
      </c>
      <c r="BG345" s="43">
        <v>441</v>
      </c>
      <c r="BH345" s="43">
        <v>417</v>
      </c>
      <c r="BI345" s="43">
        <v>489</v>
      </c>
      <c r="BJ345" s="43">
        <v>365</v>
      </c>
      <c r="BK345" s="43">
        <v>391</v>
      </c>
      <c r="BL345" s="43">
        <v>465</v>
      </c>
      <c r="BM345" s="43">
        <v>343</v>
      </c>
      <c r="BN345" s="43">
        <v>515</v>
      </c>
      <c r="BO345" s="43">
        <v>385</v>
      </c>
      <c r="BP345" s="43">
        <v>447</v>
      </c>
      <c r="BQ345" s="43">
        <v>467</v>
      </c>
      <c r="BR345" s="43">
        <v>369</v>
      </c>
      <c r="BS345" s="43">
        <v>566</v>
      </c>
      <c r="BT345" s="43">
        <v>313</v>
      </c>
      <c r="BU345" s="43">
        <v>516</v>
      </c>
      <c r="BV345" s="43">
        <v>567</v>
      </c>
      <c r="BW345" s="43">
        <v>372</v>
      </c>
      <c r="BX345" s="43">
        <v>339</v>
      </c>
      <c r="BY345" s="43">
        <v>463</v>
      </c>
      <c r="BZ345" s="43">
        <v>301</v>
      </c>
      <c r="CA345" s="43">
        <v>528</v>
      </c>
      <c r="CB345" s="43">
        <v>331</v>
      </c>
      <c r="CC345" s="43">
        <v>353</v>
      </c>
      <c r="CD345" s="43">
        <v>528</v>
      </c>
      <c r="CE345" s="43">
        <v>319</v>
      </c>
      <c r="CF345" s="43">
        <v>384</v>
      </c>
      <c r="CG345" s="43">
        <v>329</v>
      </c>
      <c r="CH345" s="43">
        <v>327</v>
      </c>
      <c r="CI345" s="43">
        <v>198</v>
      </c>
      <c r="CJ345" s="43">
        <v>487</v>
      </c>
      <c r="CK345" s="43">
        <v>380</v>
      </c>
      <c r="CL345" s="43">
        <v>315</v>
      </c>
      <c r="CM345" s="43">
        <v>508</v>
      </c>
      <c r="CN345" s="43">
        <v>514</v>
      </c>
      <c r="CO345" s="43">
        <v>275</v>
      </c>
      <c r="CP345" s="43">
        <v>413</v>
      </c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43"/>
      <c r="FZ345" s="43"/>
      <c r="GA345" s="53"/>
      <c r="GB345" s="53"/>
      <c r="GC345" s="53"/>
      <c r="GD345" s="53"/>
      <c r="GE345" s="53"/>
      <c r="GF345" s="53"/>
      <c r="GG345" s="53"/>
      <c r="GH345" s="53"/>
      <c r="GI345" s="43"/>
      <c r="GJ345" s="43"/>
      <c r="GK345" s="43"/>
      <c r="GL345" s="43"/>
      <c r="GM345" s="53"/>
      <c r="GN345" s="53"/>
      <c r="GO345" s="43">
        <v>549</v>
      </c>
      <c r="GP345" s="43">
        <v>306</v>
      </c>
      <c r="GQ345" s="43">
        <v>562</v>
      </c>
      <c r="GR345" s="43">
        <v>298</v>
      </c>
    </row>
    <row r="346" spans="1:200">
      <c r="A346" s="7">
        <v>5904</v>
      </c>
      <c r="B346" s="1" t="s">
        <v>474</v>
      </c>
      <c r="C346" s="33">
        <v>1040</v>
      </c>
      <c r="D346" s="34">
        <v>692</v>
      </c>
      <c r="E346" s="19">
        <f t="shared" si="5"/>
        <v>0.66538461538461535</v>
      </c>
      <c r="F346" s="62">
        <v>352</v>
      </c>
      <c r="G346" s="43">
        <v>2</v>
      </c>
      <c r="H346" s="43">
        <v>22</v>
      </c>
      <c r="I346" s="43">
        <v>6</v>
      </c>
      <c r="J346" s="55">
        <v>297</v>
      </c>
      <c r="K346" s="6">
        <v>0</v>
      </c>
      <c r="L346" s="6">
        <v>0</v>
      </c>
      <c r="M346" s="43">
        <v>0</v>
      </c>
      <c r="N346" s="25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  <c r="V346" s="43">
        <v>0</v>
      </c>
      <c r="W346" s="43">
        <v>0</v>
      </c>
      <c r="X346" s="43">
        <v>0</v>
      </c>
      <c r="Y346" s="43">
        <v>0</v>
      </c>
      <c r="Z346" s="43">
        <v>0</v>
      </c>
      <c r="AA346" s="44">
        <v>0</v>
      </c>
      <c r="AB346" s="44">
        <v>0</v>
      </c>
      <c r="AC346" s="44">
        <v>19</v>
      </c>
      <c r="AD346" s="44">
        <v>15</v>
      </c>
      <c r="AE346" s="44">
        <v>318</v>
      </c>
      <c r="AF346" s="44">
        <v>14</v>
      </c>
      <c r="AG346" s="44">
        <v>0</v>
      </c>
      <c r="AH346" s="44">
        <v>302</v>
      </c>
      <c r="AI346" s="44">
        <v>331</v>
      </c>
      <c r="AJ346" s="44">
        <v>0</v>
      </c>
      <c r="AK346" s="44">
        <v>0</v>
      </c>
      <c r="AL346" s="44">
        <v>335</v>
      </c>
      <c r="AM346" s="48"/>
      <c r="AN346" s="48"/>
      <c r="AO346" s="48"/>
      <c r="AP346" s="44">
        <v>358</v>
      </c>
      <c r="AQ346" s="44">
        <v>274</v>
      </c>
      <c r="AR346" s="51"/>
      <c r="AS346" s="51"/>
      <c r="AT346" s="51"/>
      <c r="AU346" s="51"/>
      <c r="AV346" s="43">
        <v>401</v>
      </c>
      <c r="AW346" s="50"/>
      <c r="AX346" s="50"/>
      <c r="AY346" s="50"/>
      <c r="AZ346" s="50"/>
      <c r="BA346" s="50"/>
      <c r="BB346" s="50"/>
      <c r="BC346" s="50"/>
      <c r="BD346" s="50"/>
      <c r="BE346" s="43">
        <v>242</v>
      </c>
      <c r="BF346" s="43">
        <v>402</v>
      </c>
      <c r="BG346" s="43">
        <v>294</v>
      </c>
      <c r="BH346" s="43">
        <v>362</v>
      </c>
      <c r="BI346" s="43">
        <v>331</v>
      </c>
      <c r="BJ346" s="43">
        <v>317</v>
      </c>
      <c r="BK346" s="43">
        <v>340</v>
      </c>
      <c r="BL346" s="43">
        <v>314</v>
      </c>
      <c r="BM346" s="43">
        <v>231</v>
      </c>
      <c r="BN346" s="43">
        <v>425</v>
      </c>
      <c r="BO346" s="43">
        <v>339</v>
      </c>
      <c r="BP346" s="43">
        <v>299</v>
      </c>
      <c r="BQ346" s="43">
        <v>319</v>
      </c>
      <c r="BR346" s="43">
        <v>322</v>
      </c>
      <c r="BS346" s="43">
        <v>417</v>
      </c>
      <c r="BT346" s="43">
        <v>229</v>
      </c>
      <c r="BU346" s="43">
        <v>406</v>
      </c>
      <c r="BV346" s="43">
        <v>432</v>
      </c>
      <c r="BW346" s="43">
        <v>234</v>
      </c>
      <c r="BX346" s="43">
        <v>292</v>
      </c>
      <c r="BY346" s="43">
        <v>329</v>
      </c>
      <c r="BZ346" s="43">
        <v>248</v>
      </c>
      <c r="CA346" s="43">
        <v>399</v>
      </c>
      <c r="CB346" s="43">
        <v>241</v>
      </c>
      <c r="CC346" s="43">
        <v>283</v>
      </c>
      <c r="CD346" s="43">
        <v>423</v>
      </c>
      <c r="CE346" s="43">
        <v>285</v>
      </c>
      <c r="CF346" s="43">
        <v>251</v>
      </c>
      <c r="CG346" s="43">
        <v>269</v>
      </c>
      <c r="CH346" s="43">
        <v>236</v>
      </c>
      <c r="CI346" s="43">
        <v>201</v>
      </c>
      <c r="CJ346" s="43">
        <v>326</v>
      </c>
      <c r="CK346" s="43">
        <v>282</v>
      </c>
      <c r="CL346" s="43">
        <v>251</v>
      </c>
      <c r="CM346" s="43">
        <v>393</v>
      </c>
      <c r="CN346" s="43">
        <v>397</v>
      </c>
      <c r="CO346" s="43">
        <v>245</v>
      </c>
      <c r="CP346" s="43">
        <v>284</v>
      </c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43"/>
      <c r="FZ346" s="43"/>
      <c r="GA346" s="53"/>
      <c r="GB346" s="53"/>
      <c r="GC346" s="53"/>
      <c r="GD346" s="53"/>
      <c r="GE346" s="53"/>
      <c r="GF346" s="53"/>
      <c r="GG346" s="53"/>
      <c r="GH346" s="53"/>
      <c r="GI346" s="43"/>
      <c r="GJ346" s="43"/>
      <c r="GK346" s="43"/>
      <c r="GL346" s="43"/>
      <c r="GM346" s="53"/>
      <c r="GN346" s="53"/>
      <c r="GO346" s="43">
        <v>439</v>
      </c>
      <c r="GP346" s="43">
        <v>224</v>
      </c>
      <c r="GQ346" s="43">
        <v>432</v>
      </c>
      <c r="GR346" s="43">
        <v>234</v>
      </c>
    </row>
    <row r="347" spans="1:200">
      <c r="A347" s="7">
        <v>5905</v>
      </c>
      <c r="B347" s="1" t="s">
        <v>475</v>
      </c>
      <c r="C347" s="33">
        <v>1348</v>
      </c>
      <c r="D347" s="34">
        <v>1153</v>
      </c>
      <c r="E347" s="19">
        <f t="shared" si="5"/>
        <v>0.85534124629080122</v>
      </c>
      <c r="F347" s="62">
        <v>285</v>
      </c>
      <c r="G347" s="43">
        <v>5</v>
      </c>
      <c r="H347" s="43">
        <v>35</v>
      </c>
      <c r="I347" s="43">
        <v>7</v>
      </c>
      <c r="J347" s="55">
        <v>790</v>
      </c>
      <c r="K347" s="6">
        <v>0</v>
      </c>
      <c r="L347" s="6">
        <v>0</v>
      </c>
      <c r="M347" s="43">
        <v>0</v>
      </c>
      <c r="N347" s="25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  <c r="V347" s="43">
        <v>0</v>
      </c>
      <c r="W347" s="43">
        <v>5</v>
      </c>
      <c r="X347" s="43">
        <v>0</v>
      </c>
      <c r="Y347" s="43">
        <v>0</v>
      </c>
      <c r="Z347" s="43">
        <v>0</v>
      </c>
      <c r="AA347" s="44">
        <v>0</v>
      </c>
      <c r="AB347" s="44">
        <v>0</v>
      </c>
      <c r="AC347" s="44">
        <v>16</v>
      </c>
      <c r="AD347" s="44">
        <v>12</v>
      </c>
      <c r="AE347" s="44">
        <v>864</v>
      </c>
      <c r="AF347" s="44">
        <v>13</v>
      </c>
      <c r="AG347" s="44">
        <v>0</v>
      </c>
      <c r="AH347" s="44">
        <v>208</v>
      </c>
      <c r="AI347" s="44">
        <v>889</v>
      </c>
      <c r="AJ347" s="44">
        <v>0</v>
      </c>
      <c r="AK347" s="44">
        <v>0</v>
      </c>
      <c r="AL347" s="44">
        <v>229</v>
      </c>
      <c r="AM347" s="48"/>
      <c r="AN347" s="48"/>
      <c r="AO347" s="48"/>
      <c r="AP347" s="44">
        <v>236</v>
      </c>
      <c r="AQ347" s="44">
        <v>799</v>
      </c>
      <c r="AR347" s="51"/>
      <c r="AS347" s="51"/>
      <c r="AT347" s="51"/>
      <c r="AU347" s="51"/>
      <c r="AV347" s="43">
        <v>847</v>
      </c>
      <c r="AW347" s="50"/>
      <c r="AX347" s="50"/>
      <c r="AY347" s="50"/>
      <c r="AZ347" s="50"/>
      <c r="BA347" s="50"/>
      <c r="BB347" s="50"/>
      <c r="BC347" s="50"/>
      <c r="BD347" s="50"/>
      <c r="BE347" s="43">
        <v>633</v>
      </c>
      <c r="BF347" s="43">
        <v>415</v>
      </c>
      <c r="BG347" s="43">
        <v>825</v>
      </c>
      <c r="BH347" s="43">
        <v>263</v>
      </c>
      <c r="BI347" s="43">
        <v>819</v>
      </c>
      <c r="BJ347" s="43">
        <v>241</v>
      </c>
      <c r="BK347" s="43">
        <v>294</v>
      </c>
      <c r="BL347" s="43">
        <v>775</v>
      </c>
      <c r="BM347" s="43">
        <v>571</v>
      </c>
      <c r="BN347" s="43">
        <v>507</v>
      </c>
      <c r="BO347" s="43">
        <v>250</v>
      </c>
      <c r="BP347" s="43">
        <v>786</v>
      </c>
      <c r="BQ347" s="43">
        <v>852</v>
      </c>
      <c r="BR347" s="43">
        <v>188</v>
      </c>
      <c r="BS347" s="43">
        <v>831</v>
      </c>
      <c r="BT347" s="43">
        <v>571</v>
      </c>
      <c r="BU347" s="43">
        <v>454</v>
      </c>
      <c r="BV347" s="43">
        <v>763</v>
      </c>
      <c r="BW347" s="43">
        <v>541</v>
      </c>
      <c r="BX347" s="43">
        <v>298</v>
      </c>
      <c r="BY347" s="43">
        <v>729</v>
      </c>
      <c r="BZ347" s="43">
        <v>196</v>
      </c>
      <c r="CA347" s="43">
        <v>682</v>
      </c>
      <c r="CB347" s="43">
        <v>573</v>
      </c>
      <c r="CC347" s="43">
        <v>250</v>
      </c>
      <c r="CD347" s="43">
        <v>622</v>
      </c>
      <c r="CE347" s="43">
        <v>200</v>
      </c>
      <c r="CF347" s="43">
        <v>673</v>
      </c>
      <c r="CG347" s="43">
        <v>535</v>
      </c>
      <c r="CH347" s="43">
        <v>254</v>
      </c>
      <c r="CI347" s="43">
        <v>137</v>
      </c>
      <c r="CJ347" s="43">
        <v>700</v>
      </c>
      <c r="CK347" s="43">
        <v>543</v>
      </c>
      <c r="CL347" s="43">
        <v>272</v>
      </c>
      <c r="CM347" s="43">
        <v>678</v>
      </c>
      <c r="CN347" s="43">
        <v>666</v>
      </c>
      <c r="CO347" s="43">
        <v>205</v>
      </c>
      <c r="CP347" s="43">
        <v>634</v>
      </c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43"/>
      <c r="FZ347" s="43"/>
      <c r="GA347" s="53"/>
      <c r="GB347" s="53"/>
      <c r="GC347" s="53"/>
      <c r="GD347" s="53"/>
      <c r="GE347" s="53"/>
      <c r="GF347" s="53"/>
      <c r="GG347" s="53"/>
      <c r="GH347" s="53"/>
      <c r="GI347" s="43"/>
      <c r="GJ347" s="43"/>
      <c r="GK347" s="43"/>
      <c r="GL347" s="43"/>
      <c r="GM347" s="53"/>
      <c r="GN347" s="53"/>
      <c r="GO347" s="43">
        <v>728</v>
      </c>
      <c r="GP347" s="43">
        <v>376</v>
      </c>
      <c r="GQ347" s="43">
        <v>695</v>
      </c>
      <c r="GR347" s="43">
        <v>397</v>
      </c>
    </row>
    <row r="348" spans="1:200">
      <c r="A348" s="7">
        <v>5906</v>
      </c>
      <c r="B348" s="1" t="s">
        <v>476</v>
      </c>
      <c r="C348" s="33">
        <v>1209</v>
      </c>
      <c r="D348" s="34">
        <v>997</v>
      </c>
      <c r="E348" s="19">
        <f t="shared" si="5"/>
        <v>0.82464846980976014</v>
      </c>
      <c r="F348" s="62">
        <v>213</v>
      </c>
      <c r="G348" s="43">
        <v>2</v>
      </c>
      <c r="H348" s="43">
        <v>31</v>
      </c>
      <c r="I348" s="43">
        <v>5</v>
      </c>
      <c r="J348" s="55">
        <v>724</v>
      </c>
      <c r="K348" s="6">
        <v>0</v>
      </c>
      <c r="L348" s="6">
        <v>0</v>
      </c>
      <c r="M348" s="43">
        <v>0</v>
      </c>
      <c r="N348" s="25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  <c r="V348" s="43">
        <v>0</v>
      </c>
      <c r="W348" s="43">
        <v>3</v>
      </c>
      <c r="X348" s="43">
        <v>0</v>
      </c>
      <c r="Y348" s="43">
        <v>0</v>
      </c>
      <c r="Z348" s="43">
        <v>0</v>
      </c>
      <c r="AA348" s="44">
        <v>0</v>
      </c>
      <c r="AB348" s="44">
        <v>0</v>
      </c>
      <c r="AC348" s="44">
        <v>12</v>
      </c>
      <c r="AD348" s="44">
        <v>10</v>
      </c>
      <c r="AE348" s="44">
        <v>778</v>
      </c>
      <c r="AF348" s="44">
        <v>6</v>
      </c>
      <c r="AG348" s="44">
        <v>0</v>
      </c>
      <c r="AH348" s="44">
        <v>153</v>
      </c>
      <c r="AI348" s="44">
        <v>794</v>
      </c>
      <c r="AJ348" s="44">
        <v>0</v>
      </c>
      <c r="AK348" s="44">
        <v>0</v>
      </c>
      <c r="AL348" s="44">
        <v>171</v>
      </c>
      <c r="AM348" s="48"/>
      <c r="AN348" s="48"/>
      <c r="AO348" s="48"/>
      <c r="AP348" s="44">
        <v>199</v>
      </c>
      <c r="AQ348" s="44">
        <v>704</v>
      </c>
      <c r="AR348" s="51"/>
      <c r="AS348" s="51"/>
      <c r="AT348" s="51"/>
      <c r="AU348" s="51"/>
      <c r="AV348" s="43">
        <v>720</v>
      </c>
      <c r="AW348" s="50"/>
      <c r="AX348" s="50"/>
      <c r="AY348" s="50"/>
      <c r="AZ348" s="50"/>
      <c r="BA348" s="50"/>
      <c r="BB348" s="50"/>
      <c r="BC348" s="50"/>
      <c r="BD348" s="50"/>
      <c r="BE348" s="43">
        <v>585</v>
      </c>
      <c r="BF348" s="43">
        <v>329</v>
      </c>
      <c r="BG348" s="43">
        <v>723</v>
      </c>
      <c r="BH348" s="43">
        <v>211</v>
      </c>
      <c r="BI348" s="43">
        <v>744</v>
      </c>
      <c r="BJ348" s="43">
        <v>177</v>
      </c>
      <c r="BK348" s="43">
        <v>235</v>
      </c>
      <c r="BL348" s="43">
        <v>693</v>
      </c>
      <c r="BM348" s="43">
        <v>486</v>
      </c>
      <c r="BN348" s="43">
        <v>451</v>
      </c>
      <c r="BO348" s="43">
        <v>207</v>
      </c>
      <c r="BP348" s="43">
        <v>675</v>
      </c>
      <c r="BQ348" s="43">
        <v>760</v>
      </c>
      <c r="BR348" s="43">
        <v>144</v>
      </c>
      <c r="BS348" s="43">
        <v>737</v>
      </c>
      <c r="BT348" s="43">
        <v>516</v>
      </c>
      <c r="BU348" s="43">
        <v>363</v>
      </c>
      <c r="BV348" s="43">
        <v>651</v>
      </c>
      <c r="BW348" s="43">
        <v>531</v>
      </c>
      <c r="BX348" s="43">
        <v>220</v>
      </c>
      <c r="BY348" s="43">
        <v>666</v>
      </c>
      <c r="BZ348" s="43">
        <v>156</v>
      </c>
      <c r="CA348" s="43">
        <v>599</v>
      </c>
      <c r="CB348" s="43">
        <v>553</v>
      </c>
      <c r="CC348" s="43">
        <v>178</v>
      </c>
      <c r="CD348" s="43">
        <v>539</v>
      </c>
      <c r="CE348" s="43">
        <v>197</v>
      </c>
      <c r="CF348" s="43">
        <v>582</v>
      </c>
      <c r="CG348" s="43">
        <v>546</v>
      </c>
      <c r="CH348" s="43">
        <v>170</v>
      </c>
      <c r="CI348" s="43">
        <v>130</v>
      </c>
      <c r="CJ348" s="43">
        <v>617</v>
      </c>
      <c r="CK348" s="43">
        <v>499</v>
      </c>
      <c r="CL348" s="43">
        <v>242</v>
      </c>
      <c r="CM348" s="43">
        <v>585</v>
      </c>
      <c r="CN348" s="43">
        <v>569</v>
      </c>
      <c r="CO348" s="43">
        <v>186</v>
      </c>
      <c r="CP348" s="43">
        <v>558</v>
      </c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43"/>
      <c r="FZ348" s="43"/>
      <c r="GA348" s="53"/>
      <c r="GB348" s="53"/>
      <c r="GC348" s="53"/>
      <c r="GD348" s="53"/>
      <c r="GE348" s="53"/>
      <c r="GF348" s="53"/>
      <c r="GG348" s="53"/>
      <c r="GH348" s="53"/>
      <c r="GI348" s="43"/>
      <c r="GJ348" s="43"/>
      <c r="GK348" s="43"/>
      <c r="GL348" s="43"/>
      <c r="GM348" s="53"/>
      <c r="GN348" s="53"/>
      <c r="GO348" s="43">
        <v>546</v>
      </c>
      <c r="GP348" s="43">
        <v>419</v>
      </c>
      <c r="GQ348" s="43">
        <v>502</v>
      </c>
      <c r="GR348" s="43">
        <v>455</v>
      </c>
    </row>
    <row r="349" spans="1:200">
      <c r="A349" s="7">
        <v>5907</v>
      </c>
      <c r="B349" s="1" t="s">
        <v>477</v>
      </c>
      <c r="C349" s="33">
        <v>1205</v>
      </c>
      <c r="D349" s="34">
        <v>1040</v>
      </c>
      <c r="E349" s="19">
        <f t="shared" si="5"/>
        <v>0.86307053941908718</v>
      </c>
      <c r="F349" s="62">
        <v>210</v>
      </c>
      <c r="G349" s="43">
        <v>7</v>
      </c>
      <c r="H349" s="43">
        <v>35</v>
      </c>
      <c r="I349" s="43">
        <v>4</v>
      </c>
      <c r="J349" s="55">
        <v>745</v>
      </c>
      <c r="K349" s="6">
        <v>0</v>
      </c>
      <c r="L349" s="6">
        <v>0</v>
      </c>
      <c r="M349" s="43">
        <v>1</v>
      </c>
      <c r="N349" s="25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  <c r="V349" s="43">
        <v>0</v>
      </c>
      <c r="W349" s="43">
        <v>9</v>
      </c>
      <c r="X349" s="43">
        <v>0</v>
      </c>
      <c r="Y349" s="43">
        <v>0</v>
      </c>
      <c r="Z349" s="43">
        <v>0</v>
      </c>
      <c r="AA349" s="44">
        <v>0</v>
      </c>
      <c r="AB349" s="44">
        <v>0</v>
      </c>
      <c r="AC349" s="44">
        <v>10</v>
      </c>
      <c r="AD349" s="44">
        <v>10</v>
      </c>
      <c r="AE349" s="44">
        <v>834</v>
      </c>
      <c r="AF349" s="44">
        <v>13</v>
      </c>
      <c r="AG349" s="44">
        <v>0</v>
      </c>
      <c r="AH349" s="44">
        <v>130</v>
      </c>
      <c r="AI349" s="44">
        <v>844</v>
      </c>
      <c r="AJ349" s="44">
        <v>0</v>
      </c>
      <c r="AK349" s="44">
        <v>0</v>
      </c>
      <c r="AL349" s="44">
        <v>162</v>
      </c>
      <c r="AM349" s="48"/>
      <c r="AN349" s="48"/>
      <c r="AO349" s="48"/>
      <c r="AP349" s="44">
        <v>179</v>
      </c>
      <c r="AQ349" s="44">
        <v>746</v>
      </c>
      <c r="AR349" s="51"/>
      <c r="AS349" s="51"/>
      <c r="AT349" s="51"/>
      <c r="AU349" s="51"/>
      <c r="AV349" s="43">
        <v>752</v>
      </c>
      <c r="AW349" s="50"/>
      <c r="AX349" s="50"/>
      <c r="AY349" s="50"/>
      <c r="AZ349" s="50"/>
      <c r="BA349" s="50"/>
      <c r="BB349" s="50"/>
      <c r="BC349" s="50"/>
      <c r="BD349" s="50"/>
      <c r="BE349" s="43">
        <v>617</v>
      </c>
      <c r="BF349" s="43">
        <v>341</v>
      </c>
      <c r="BG349" s="43">
        <v>780</v>
      </c>
      <c r="BH349" s="43">
        <v>200</v>
      </c>
      <c r="BI349" s="43">
        <v>773</v>
      </c>
      <c r="BJ349" s="43">
        <v>195</v>
      </c>
      <c r="BK349" s="43">
        <v>228</v>
      </c>
      <c r="BL349" s="43">
        <v>752</v>
      </c>
      <c r="BM349" s="43">
        <v>555</v>
      </c>
      <c r="BN349" s="43">
        <v>415</v>
      </c>
      <c r="BO349" s="43">
        <v>183</v>
      </c>
      <c r="BP349" s="43">
        <v>760</v>
      </c>
      <c r="BQ349" s="43">
        <v>813</v>
      </c>
      <c r="BR349" s="43">
        <v>146</v>
      </c>
      <c r="BS349" s="43">
        <v>752</v>
      </c>
      <c r="BT349" s="43">
        <v>570</v>
      </c>
      <c r="BU349" s="43">
        <v>355</v>
      </c>
      <c r="BV349" s="43">
        <v>654</v>
      </c>
      <c r="BW349" s="43">
        <v>502</v>
      </c>
      <c r="BX349" s="43">
        <v>249</v>
      </c>
      <c r="BY349" s="43">
        <v>667</v>
      </c>
      <c r="BZ349" s="43">
        <v>166</v>
      </c>
      <c r="CA349" s="43">
        <v>615</v>
      </c>
      <c r="CB349" s="43">
        <v>514</v>
      </c>
      <c r="CC349" s="43">
        <v>196</v>
      </c>
      <c r="CD349" s="43">
        <v>580</v>
      </c>
      <c r="CE349" s="43">
        <v>180</v>
      </c>
      <c r="CF349" s="43">
        <v>587</v>
      </c>
      <c r="CG349" s="43">
        <v>509</v>
      </c>
      <c r="CH349" s="43">
        <v>197</v>
      </c>
      <c r="CI349" s="43">
        <v>113</v>
      </c>
      <c r="CJ349" s="43">
        <v>623</v>
      </c>
      <c r="CK349" s="43">
        <v>461</v>
      </c>
      <c r="CL349" s="43">
        <v>253</v>
      </c>
      <c r="CM349" s="43">
        <v>599</v>
      </c>
      <c r="CN349" s="43">
        <v>594</v>
      </c>
      <c r="CO349" s="43">
        <v>194</v>
      </c>
      <c r="CP349" s="43">
        <v>540</v>
      </c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43"/>
      <c r="FZ349" s="43"/>
      <c r="GA349" s="53"/>
      <c r="GB349" s="53"/>
      <c r="GC349" s="53"/>
      <c r="GD349" s="53"/>
      <c r="GE349" s="53"/>
      <c r="GF349" s="53"/>
      <c r="GG349" s="53"/>
      <c r="GH349" s="53"/>
      <c r="GI349" s="43"/>
      <c r="GJ349" s="43"/>
      <c r="GK349" s="43"/>
      <c r="GL349" s="43"/>
      <c r="GM349" s="53"/>
      <c r="GN349" s="53"/>
      <c r="GO349" s="43">
        <v>620</v>
      </c>
      <c r="GP349" s="43">
        <v>380</v>
      </c>
      <c r="GQ349" s="43">
        <v>614</v>
      </c>
      <c r="GR349" s="43">
        <v>372</v>
      </c>
    </row>
    <row r="350" spans="1:200">
      <c r="A350" s="7">
        <v>5908</v>
      </c>
      <c r="B350" s="1" t="s">
        <v>478</v>
      </c>
      <c r="C350" s="33">
        <v>1524</v>
      </c>
      <c r="D350" s="34">
        <v>1186</v>
      </c>
      <c r="E350" s="19">
        <f t="shared" si="5"/>
        <v>0.77821522309711288</v>
      </c>
      <c r="F350" s="62">
        <v>350</v>
      </c>
      <c r="G350" s="43">
        <v>5</v>
      </c>
      <c r="H350" s="43">
        <v>27</v>
      </c>
      <c r="I350" s="43">
        <v>15</v>
      </c>
      <c r="J350" s="55">
        <v>772</v>
      </c>
      <c r="K350" s="6">
        <v>0</v>
      </c>
      <c r="L350" s="6">
        <v>0</v>
      </c>
      <c r="M350" s="43">
        <v>0</v>
      </c>
      <c r="N350" s="25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  <c r="V350" s="43">
        <v>0</v>
      </c>
      <c r="W350" s="43">
        <v>3</v>
      </c>
      <c r="X350" s="43">
        <v>0</v>
      </c>
      <c r="Y350" s="43">
        <v>0</v>
      </c>
      <c r="Z350" s="43">
        <v>0</v>
      </c>
      <c r="AA350" s="44">
        <v>0</v>
      </c>
      <c r="AB350" s="44">
        <v>0</v>
      </c>
      <c r="AC350" s="44">
        <v>14</v>
      </c>
      <c r="AD350" s="44">
        <v>23</v>
      </c>
      <c r="AE350" s="44">
        <v>828</v>
      </c>
      <c r="AF350" s="44">
        <v>7</v>
      </c>
      <c r="AG350" s="44">
        <v>0</v>
      </c>
      <c r="AH350" s="44">
        <v>268</v>
      </c>
      <c r="AI350" s="44">
        <v>833</v>
      </c>
      <c r="AJ350" s="44">
        <v>0</v>
      </c>
      <c r="AK350" s="44">
        <v>0</v>
      </c>
      <c r="AL350" s="44">
        <v>314</v>
      </c>
      <c r="AM350" s="48"/>
      <c r="AN350" s="48"/>
      <c r="AO350" s="48"/>
      <c r="AP350" s="44">
        <v>335</v>
      </c>
      <c r="AQ350" s="44">
        <v>743</v>
      </c>
      <c r="AR350" s="51"/>
      <c r="AS350" s="51"/>
      <c r="AT350" s="51"/>
      <c r="AU350" s="51"/>
      <c r="AV350" s="43">
        <v>793</v>
      </c>
      <c r="AW350" s="50"/>
      <c r="AX350" s="50"/>
      <c r="AY350" s="50"/>
      <c r="AZ350" s="50"/>
      <c r="BA350" s="50"/>
      <c r="BB350" s="50"/>
      <c r="BC350" s="50"/>
      <c r="BD350" s="50"/>
      <c r="BE350" s="43">
        <v>638</v>
      </c>
      <c r="BF350" s="43">
        <v>451</v>
      </c>
      <c r="BG350" s="43">
        <v>762</v>
      </c>
      <c r="BH350" s="43">
        <v>347</v>
      </c>
      <c r="BI350" s="43">
        <v>768</v>
      </c>
      <c r="BJ350" s="43">
        <v>326</v>
      </c>
      <c r="BK350" s="43">
        <v>375</v>
      </c>
      <c r="BL350" s="43">
        <v>728</v>
      </c>
      <c r="BM350" s="43">
        <v>550</v>
      </c>
      <c r="BN350" s="43">
        <v>552</v>
      </c>
      <c r="BO350" s="43">
        <v>320</v>
      </c>
      <c r="BP350" s="43">
        <v>747</v>
      </c>
      <c r="BQ350" s="43">
        <v>815</v>
      </c>
      <c r="BR350" s="43">
        <v>262</v>
      </c>
      <c r="BS350" s="43">
        <v>783</v>
      </c>
      <c r="BT350" s="43">
        <v>555</v>
      </c>
      <c r="BU350" s="43">
        <v>500</v>
      </c>
      <c r="BV350" s="43">
        <v>747</v>
      </c>
      <c r="BW350" s="43">
        <v>553</v>
      </c>
      <c r="BX350" s="43">
        <v>316</v>
      </c>
      <c r="BY350" s="43">
        <v>709</v>
      </c>
      <c r="BZ350" s="43">
        <v>252</v>
      </c>
      <c r="CA350" s="43">
        <v>667</v>
      </c>
      <c r="CB350" s="43">
        <v>509</v>
      </c>
      <c r="CC350" s="43">
        <v>316</v>
      </c>
      <c r="CD350" s="43">
        <v>617</v>
      </c>
      <c r="CE350" s="43">
        <v>289</v>
      </c>
      <c r="CF350" s="43">
        <v>580</v>
      </c>
      <c r="CG350" s="43">
        <v>548</v>
      </c>
      <c r="CH350" s="43">
        <v>234</v>
      </c>
      <c r="CI350" s="43">
        <v>189</v>
      </c>
      <c r="CJ350" s="43">
        <v>659</v>
      </c>
      <c r="CK350" s="43">
        <v>569</v>
      </c>
      <c r="CL350" s="43">
        <v>261</v>
      </c>
      <c r="CM350" s="43">
        <v>627</v>
      </c>
      <c r="CN350" s="43">
        <v>635</v>
      </c>
      <c r="CO350" s="43">
        <v>234</v>
      </c>
      <c r="CP350" s="43">
        <v>612</v>
      </c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43"/>
      <c r="FZ350" s="43"/>
      <c r="GA350" s="53"/>
      <c r="GB350" s="53"/>
      <c r="GC350" s="53"/>
      <c r="GD350" s="53"/>
      <c r="GE350" s="53"/>
      <c r="GF350" s="53"/>
      <c r="GG350" s="53"/>
      <c r="GH350" s="53"/>
      <c r="GI350" s="43"/>
      <c r="GJ350" s="43"/>
      <c r="GK350" s="43"/>
      <c r="GL350" s="43"/>
      <c r="GM350" s="53"/>
      <c r="GN350" s="53"/>
      <c r="GO350" s="43">
        <v>715</v>
      </c>
      <c r="GP350" s="43">
        <v>415</v>
      </c>
      <c r="GQ350" s="43">
        <v>686</v>
      </c>
      <c r="GR350" s="43">
        <v>437</v>
      </c>
    </row>
    <row r="351" spans="1:200">
      <c r="A351" s="7">
        <v>5909</v>
      </c>
      <c r="B351" s="1" t="s">
        <v>479</v>
      </c>
      <c r="C351" s="33">
        <v>949</v>
      </c>
      <c r="D351" s="34">
        <v>784</v>
      </c>
      <c r="E351" s="19">
        <f t="shared" si="5"/>
        <v>0.8261327713382508</v>
      </c>
      <c r="F351" s="62">
        <v>146</v>
      </c>
      <c r="G351" s="43">
        <v>0</v>
      </c>
      <c r="H351" s="43">
        <v>18</v>
      </c>
      <c r="I351" s="43">
        <v>3</v>
      </c>
      <c r="J351" s="55">
        <v>602</v>
      </c>
      <c r="K351" s="6">
        <v>0</v>
      </c>
      <c r="L351" s="6">
        <v>0</v>
      </c>
      <c r="M351" s="43">
        <v>0</v>
      </c>
      <c r="N351" s="25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  <c r="V351" s="43">
        <v>0</v>
      </c>
      <c r="W351" s="43">
        <v>0</v>
      </c>
      <c r="X351" s="43">
        <v>0</v>
      </c>
      <c r="Y351" s="43">
        <v>0</v>
      </c>
      <c r="Z351" s="43">
        <v>0</v>
      </c>
      <c r="AA351" s="44">
        <v>0</v>
      </c>
      <c r="AB351" s="44">
        <v>0</v>
      </c>
      <c r="AC351" s="44">
        <v>6</v>
      </c>
      <c r="AD351" s="44">
        <v>8</v>
      </c>
      <c r="AE351" s="44">
        <v>644</v>
      </c>
      <c r="AF351" s="44">
        <v>8</v>
      </c>
      <c r="AG351" s="44">
        <v>0</v>
      </c>
      <c r="AH351" s="44">
        <v>95</v>
      </c>
      <c r="AI351" s="44">
        <v>631</v>
      </c>
      <c r="AJ351" s="44">
        <v>0</v>
      </c>
      <c r="AK351" s="44">
        <v>0</v>
      </c>
      <c r="AL351" s="44">
        <v>127</v>
      </c>
      <c r="AM351" s="48"/>
      <c r="AN351" s="48"/>
      <c r="AO351" s="48"/>
      <c r="AP351" s="44">
        <v>127</v>
      </c>
      <c r="AQ351" s="44">
        <v>579</v>
      </c>
      <c r="AR351" s="51"/>
      <c r="AS351" s="51"/>
      <c r="AT351" s="51"/>
      <c r="AU351" s="51"/>
      <c r="AV351" s="43">
        <v>579</v>
      </c>
      <c r="AW351" s="50"/>
      <c r="AX351" s="50"/>
      <c r="AY351" s="50"/>
      <c r="AZ351" s="50"/>
      <c r="BA351" s="50"/>
      <c r="BB351" s="50"/>
      <c r="BC351" s="50"/>
      <c r="BD351" s="50"/>
      <c r="BE351" s="43">
        <v>506</v>
      </c>
      <c r="BF351" s="43">
        <v>213</v>
      </c>
      <c r="BG351" s="43">
        <v>588</v>
      </c>
      <c r="BH351" s="43">
        <v>140</v>
      </c>
      <c r="BI351" s="43">
        <v>559</v>
      </c>
      <c r="BJ351" s="43">
        <v>155</v>
      </c>
      <c r="BK351" s="43">
        <v>187</v>
      </c>
      <c r="BL351" s="43">
        <v>541</v>
      </c>
      <c r="BM351" s="43">
        <v>447</v>
      </c>
      <c r="BN351" s="43">
        <v>287</v>
      </c>
      <c r="BO351" s="43">
        <v>129</v>
      </c>
      <c r="BP351" s="43">
        <v>569</v>
      </c>
      <c r="BQ351" s="43">
        <v>615</v>
      </c>
      <c r="BR351" s="43">
        <v>101</v>
      </c>
      <c r="BS351" s="43">
        <v>576</v>
      </c>
      <c r="BT351" s="43">
        <v>427</v>
      </c>
      <c r="BU351" s="43">
        <v>267</v>
      </c>
      <c r="BV351" s="43">
        <v>505</v>
      </c>
      <c r="BW351" s="43">
        <v>383</v>
      </c>
      <c r="BX351" s="43">
        <v>186</v>
      </c>
      <c r="BY351" s="43">
        <v>489</v>
      </c>
      <c r="BZ351" s="43">
        <v>142</v>
      </c>
      <c r="CA351" s="43">
        <v>459</v>
      </c>
      <c r="CB351" s="43">
        <v>382</v>
      </c>
      <c r="CC351" s="43">
        <v>158</v>
      </c>
      <c r="CD351" s="43">
        <v>414</v>
      </c>
      <c r="CE351" s="43">
        <v>137</v>
      </c>
      <c r="CF351" s="43">
        <v>443</v>
      </c>
      <c r="CG351" s="43">
        <v>345</v>
      </c>
      <c r="CH351" s="43">
        <v>164</v>
      </c>
      <c r="CI351" s="43">
        <v>86</v>
      </c>
      <c r="CJ351" s="43">
        <v>468</v>
      </c>
      <c r="CK351" s="43">
        <v>344</v>
      </c>
      <c r="CL351" s="43">
        <v>204</v>
      </c>
      <c r="CM351" s="43">
        <v>434</v>
      </c>
      <c r="CN351" s="43">
        <v>441</v>
      </c>
      <c r="CO351" s="43">
        <v>161</v>
      </c>
      <c r="CP351" s="43">
        <v>397</v>
      </c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43"/>
      <c r="FZ351" s="43"/>
      <c r="GA351" s="53"/>
      <c r="GB351" s="53"/>
      <c r="GC351" s="53"/>
      <c r="GD351" s="53"/>
      <c r="GE351" s="53"/>
      <c r="GF351" s="53"/>
      <c r="GG351" s="53"/>
      <c r="GH351" s="53"/>
      <c r="GI351" s="43"/>
      <c r="GJ351" s="43"/>
      <c r="GK351" s="43"/>
      <c r="GL351" s="43"/>
      <c r="GM351" s="53"/>
      <c r="GN351" s="53"/>
      <c r="GO351" s="43">
        <v>421</v>
      </c>
      <c r="GP351" s="43">
        <v>340</v>
      </c>
      <c r="GQ351" s="43">
        <v>420</v>
      </c>
      <c r="GR351" s="43">
        <v>334</v>
      </c>
    </row>
    <row r="352" spans="1:200">
      <c r="A352" s="7">
        <v>5910</v>
      </c>
      <c r="B352" s="1" t="s">
        <v>480</v>
      </c>
      <c r="C352" s="33">
        <v>1279</v>
      </c>
      <c r="D352" s="34">
        <v>920</v>
      </c>
      <c r="E352" s="19">
        <f t="shared" si="5"/>
        <v>0.71931196247068019</v>
      </c>
      <c r="F352" s="62">
        <v>352</v>
      </c>
      <c r="G352" s="43">
        <v>5</v>
      </c>
      <c r="H352" s="43">
        <v>43</v>
      </c>
      <c r="I352" s="43">
        <v>8</v>
      </c>
      <c r="J352" s="55">
        <v>495</v>
      </c>
      <c r="K352" s="6">
        <v>0</v>
      </c>
      <c r="L352" s="6">
        <v>0</v>
      </c>
      <c r="M352" s="43">
        <v>0</v>
      </c>
      <c r="N352" s="25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  <c r="V352" s="43">
        <v>0</v>
      </c>
      <c r="W352" s="43">
        <v>1</v>
      </c>
      <c r="X352" s="43">
        <v>0</v>
      </c>
      <c r="Y352" s="43">
        <v>0</v>
      </c>
      <c r="Z352" s="43">
        <v>0</v>
      </c>
      <c r="AA352" s="44">
        <v>0</v>
      </c>
      <c r="AB352" s="44">
        <v>0</v>
      </c>
      <c r="AC352" s="44">
        <v>6</v>
      </c>
      <c r="AD352" s="44">
        <v>14</v>
      </c>
      <c r="AE352" s="44">
        <v>551</v>
      </c>
      <c r="AF352" s="44">
        <v>20</v>
      </c>
      <c r="AG352" s="44">
        <v>0</v>
      </c>
      <c r="AH352" s="44">
        <v>291</v>
      </c>
      <c r="AI352" s="44">
        <v>563</v>
      </c>
      <c r="AJ352" s="44">
        <v>0</v>
      </c>
      <c r="AK352" s="44">
        <v>0</v>
      </c>
      <c r="AL352" s="44">
        <v>321</v>
      </c>
      <c r="AM352" s="48"/>
      <c r="AN352" s="48"/>
      <c r="AO352" s="48"/>
      <c r="AP352" s="44">
        <v>332</v>
      </c>
      <c r="AQ352" s="44">
        <v>487</v>
      </c>
      <c r="AR352" s="51"/>
      <c r="AS352" s="51"/>
      <c r="AT352" s="51"/>
      <c r="AU352" s="51"/>
      <c r="AV352" s="43">
        <v>583</v>
      </c>
      <c r="AW352" s="50"/>
      <c r="AX352" s="50"/>
      <c r="AY352" s="50"/>
      <c r="AZ352" s="50"/>
      <c r="BA352" s="50"/>
      <c r="BB352" s="50"/>
      <c r="BC352" s="50"/>
      <c r="BD352" s="50"/>
      <c r="BE352" s="43">
        <v>399</v>
      </c>
      <c r="BF352" s="43">
        <v>445</v>
      </c>
      <c r="BG352" s="43">
        <v>515</v>
      </c>
      <c r="BH352" s="43">
        <v>338</v>
      </c>
      <c r="BI352" s="43">
        <v>542</v>
      </c>
      <c r="BJ352" s="43">
        <v>297</v>
      </c>
      <c r="BK352" s="43">
        <v>364</v>
      </c>
      <c r="BL352" s="43">
        <v>494</v>
      </c>
      <c r="BM352" s="43">
        <v>356</v>
      </c>
      <c r="BN352" s="43">
        <v>494</v>
      </c>
      <c r="BO352" s="43">
        <v>308</v>
      </c>
      <c r="BP352" s="43">
        <v>509</v>
      </c>
      <c r="BQ352" s="43">
        <v>539</v>
      </c>
      <c r="BR352" s="43">
        <v>287</v>
      </c>
      <c r="BS352" s="43">
        <v>587</v>
      </c>
      <c r="BT352" s="43">
        <v>368</v>
      </c>
      <c r="BU352" s="43">
        <v>451</v>
      </c>
      <c r="BV352" s="43">
        <v>587</v>
      </c>
      <c r="BW352" s="43">
        <v>414</v>
      </c>
      <c r="BX352" s="43">
        <v>272</v>
      </c>
      <c r="BY352" s="43">
        <v>516</v>
      </c>
      <c r="BZ352" s="43">
        <v>226</v>
      </c>
      <c r="CA352" s="43">
        <v>544</v>
      </c>
      <c r="CB352" s="43">
        <v>391</v>
      </c>
      <c r="CC352" s="43">
        <v>280</v>
      </c>
      <c r="CD352" s="43">
        <v>516</v>
      </c>
      <c r="CE352" s="43">
        <v>266</v>
      </c>
      <c r="CF352" s="43">
        <v>427</v>
      </c>
      <c r="CG352" s="43">
        <v>407</v>
      </c>
      <c r="CH352" s="43">
        <v>244</v>
      </c>
      <c r="CI352" s="43">
        <v>166</v>
      </c>
      <c r="CJ352" s="43">
        <v>506</v>
      </c>
      <c r="CK352" s="43">
        <v>435</v>
      </c>
      <c r="CL352" s="43">
        <v>240</v>
      </c>
      <c r="CM352" s="43">
        <v>523</v>
      </c>
      <c r="CN352" s="43">
        <v>531</v>
      </c>
      <c r="CO352" s="43">
        <v>220</v>
      </c>
      <c r="CP352" s="43">
        <v>458</v>
      </c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43"/>
      <c r="FZ352" s="43"/>
      <c r="GA352" s="53"/>
      <c r="GB352" s="53"/>
      <c r="GC352" s="53"/>
      <c r="GD352" s="53"/>
      <c r="GE352" s="53"/>
      <c r="GF352" s="53"/>
      <c r="GG352" s="53"/>
      <c r="GH352" s="53"/>
      <c r="GI352" s="43"/>
      <c r="GJ352" s="43"/>
      <c r="GK352" s="43"/>
      <c r="GL352" s="43"/>
      <c r="GM352" s="53"/>
      <c r="GN352" s="53"/>
      <c r="GO352" s="43">
        <v>589</v>
      </c>
      <c r="GP352" s="43">
        <v>285</v>
      </c>
      <c r="GQ352" s="43">
        <v>592</v>
      </c>
      <c r="GR352" s="43">
        <v>282</v>
      </c>
    </row>
    <row r="353" spans="1:200">
      <c r="A353" s="7">
        <v>5911</v>
      </c>
      <c r="B353" s="1" t="s">
        <v>481</v>
      </c>
      <c r="C353" s="33">
        <v>769</v>
      </c>
      <c r="D353" s="34">
        <v>636</v>
      </c>
      <c r="E353" s="19">
        <f t="shared" si="5"/>
        <v>0.82704811443433035</v>
      </c>
      <c r="F353" s="62">
        <v>229</v>
      </c>
      <c r="G353" s="43">
        <v>0</v>
      </c>
      <c r="H353" s="43">
        <v>19</v>
      </c>
      <c r="I353" s="43">
        <v>2</v>
      </c>
      <c r="J353" s="55">
        <v>373</v>
      </c>
      <c r="K353" s="6">
        <v>0</v>
      </c>
      <c r="L353" s="6">
        <v>0</v>
      </c>
      <c r="M353" s="43">
        <v>0</v>
      </c>
      <c r="N353" s="25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  <c r="V353" s="43">
        <v>0</v>
      </c>
      <c r="W353" s="43">
        <v>5</v>
      </c>
      <c r="X353" s="43">
        <v>0</v>
      </c>
      <c r="Y353" s="43">
        <v>0</v>
      </c>
      <c r="Z353" s="43">
        <v>0</v>
      </c>
      <c r="AA353" s="44">
        <v>0</v>
      </c>
      <c r="AB353" s="44">
        <v>0</v>
      </c>
      <c r="AC353" s="44">
        <v>8</v>
      </c>
      <c r="AD353" s="44">
        <v>4</v>
      </c>
      <c r="AE353" s="44">
        <v>413</v>
      </c>
      <c r="AF353" s="44">
        <v>5</v>
      </c>
      <c r="AG353" s="44">
        <v>0</v>
      </c>
      <c r="AH353" s="44">
        <v>194</v>
      </c>
      <c r="AI353" s="44">
        <v>404</v>
      </c>
      <c r="AJ353" s="44">
        <v>0</v>
      </c>
      <c r="AK353" s="44">
        <v>0</v>
      </c>
      <c r="AL353" s="44">
        <v>214</v>
      </c>
      <c r="AM353" s="48"/>
      <c r="AN353" s="48"/>
      <c r="AO353" s="48"/>
      <c r="AP353" s="44">
        <v>213</v>
      </c>
      <c r="AQ353" s="44">
        <v>375</v>
      </c>
      <c r="AR353" s="51"/>
      <c r="AS353" s="51"/>
      <c r="AT353" s="51"/>
      <c r="AU353" s="51"/>
      <c r="AV353" s="43">
        <v>438</v>
      </c>
      <c r="AW353" s="50"/>
      <c r="AX353" s="50"/>
      <c r="AY353" s="50"/>
      <c r="AZ353" s="50"/>
      <c r="BA353" s="50"/>
      <c r="BB353" s="50"/>
      <c r="BC353" s="50"/>
      <c r="BD353" s="50"/>
      <c r="BE353" s="43">
        <v>323</v>
      </c>
      <c r="BF353" s="43">
        <v>282</v>
      </c>
      <c r="BG353" s="43">
        <v>389</v>
      </c>
      <c r="BH353" s="43">
        <v>221</v>
      </c>
      <c r="BI353" s="43">
        <v>405</v>
      </c>
      <c r="BJ353" s="43">
        <v>190</v>
      </c>
      <c r="BK353" s="43">
        <v>232</v>
      </c>
      <c r="BL353" s="43">
        <v>371</v>
      </c>
      <c r="BM353" s="43">
        <v>310</v>
      </c>
      <c r="BN353" s="43">
        <v>293</v>
      </c>
      <c r="BO353" s="43">
        <v>192</v>
      </c>
      <c r="BP353" s="43">
        <v>402</v>
      </c>
      <c r="BQ353" s="43">
        <v>404</v>
      </c>
      <c r="BR353" s="43">
        <v>190</v>
      </c>
      <c r="BS353" s="43">
        <v>447</v>
      </c>
      <c r="BT353" s="43">
        <v>301</v>
      </c>
      <c r="BU353" s="43">
        <v>293</v>
      </c>
      <c r="BV353" s="43">
        <v>446</v>
      </c>
      <c r="BW353" s="43">
        <v>314</v>
      </c>
      <c r="BX353" s="43">
        <v>188</v>
      </c>
      <c r="BY353" s="43">
        <v>373</v>
      </c>
      <c r="BZ353" s="43">
        <v>177</v>
      </c>
      <c r="CA353" s="43">
        <v>407</v>
      </c>
      <c r="CB353" s="43">
        <v>330</v>
      </c>
      <c r="CC353" s="43">
        <v>173</v>
      </c>
      <c r="CD353" s="43">
        <v>376</v>
      </c>
      <c r="CE353" s="43">
        <v>169</v>
      </c>
      <c r="CF353" s="43">
        <v>342</v>
      </c>
      <c r="CG353" s="43">
        <v>303</v>
      </c>
      <c r="CH353" s="43">
        <v>168</v>
      </c>
      <c r="CI353" s="43">
        <v>112</v>
      </c>
      <c r="CJ353" s="43">
        <v>387</v>
      </c>
      <c r="CK353" s="43">
        <v>321</v>
      </c>
      <c r="CL353" s="43">
        <v>176</v>
      </c>
      <c r="CM353" s="43">
        <v>406</v>
      </c>
      <c r="CN353" s="43">
        <v>399</v>
      </c>
      <c r="CO353" s="43">
        <v>139</v>
      </c>
      <c r="CP353" s="43">
        <v>373</v>
      </c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43"/>
      <c r="FZ353" s="43"/>
      <c r="GA353" s="53"/>
      <c r="GB353" s="53"/>
      <c r="GC353" s="53"/>
      <c r="GD353" s="53"/>
      <c r="GE353" s="53"/>
      <c r="GF353" s="53"/>
      <c r="GG353" s="53"/>
      <c r="GH353" s="53"/>
      <c r="GI353" s="43"/>
      <c r="GJ353" s="43"/>
      <c r="GK353" s="43"/>
      <c r="GL353" s="43"/>
      <c r="GM353" s="53"/>
      <c r="GN353" s="53"/>
      <c r="GO353" s="43">
        <v>393</v>
      </c>
      <c r="GP353" s="43">
        <v>222</v>
      </c>
      <c r="GQ353" s="43">
        <v>403</v>
      </c>
      <c r="GR353" s="43">
        <v>209</v>
      </c>
    </row>
    <row r="354" spans="1:200">
      <c r="A354" s="7">
        <v>5912</v>
      </c>
      <c r="B354" s="1" t="s">
        <v>482</v>
      </c>
      <c r="C354" s="33">
        <v>1200</v>
      </c>
      <c r="D354" s="34">
        <v>1030</v>
      </c>
      <c r="E354" s="19">
        <f t="shared" si="5"/>
        <v>0.85833333333333328</v>
      </c>
      <c r="F354" s="62">
        <v>226</v>
      </c>
      <c r="G354" s="43">
        <v>2</v>
      </c>
      <c r="H354" s="43">
        <v>22</v>
      </c>
      <c r="I354" s="43">
        <v>3</v>
      </c>
      <c r="J354" s="55">
        <v>759</v>
      </c>
      <c r="K354" s="6">
        <v>0</v>
      </c>
      <c r="L354" s="6">
        <v>0</v>
      </c>
      <c r="M354" s="43">
        <v>0</v>
      </c>
      <c r="N354" s="25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  <c r="V354" s="43">
        <v>3</v>
      </c>
      <c r="W354" s="43">
        <v>1</v>
      </c>
      <c r="X354" s="43">
        <v>0</v>
      </c>
      <c r="Y354" s="43">
        <v>0</v>
      </c>
      <c r="Z354" s="43">
        <v>0</v>
      </c>
      <c r="AA354" s="44">
        <v>0</v>
      </c>
      <c r="AB354" s="44">
        <v>0</v>
      </c>
      <c r="AC354" s="44">
        <v>10</v>
      </c>
      <c r="AD354" s="44">
        <v>5</v>
      </c>
      <c r="AE354" s="44">
        <v>817</v>
      </c>
      <c r="AF354" s="44">
        <v>9</v>
      </c>
      <c r="AG354" s="44">
        <v>0</v>
      </c>
      <c r="AH354" s="44">
        <v>159</v>
      </c>
      <c r="AI354" s="44">
        <v>815</v>
      </c>
      <c r="AJ354" s="44">
        <v>0</v>
      </c>
      <c r="AK354" s="44">
        <v>0</v>
      </c>
      <c r="AL354" s="44">
        <v>182</v>
      </c>
      <c r="AM354" s="48"/>
      <c r="AN354" s="48"/>
      <c r="AO354" s="48"/>
      <c r="AP354" s="44">
        <v>185</v>
      </c>
      <c r="AQ354" s="44">
        <v>760</v>
      </c>
      <c r="AR354" s="51"/>
      <c r="AS354" s="51"/>
      <c r="AT354" s="51"/>
      <c r="AU354" s="51"/>
      <c r="AV354" s="43">
        <v>781</v>
      </c>
      <c r="AW354" s="50"/>
      <c r="AX354" s="50"/>
      <c r="AY354" s="50"/>
      <c r="AZ354" s="50"/>
      <c r="BA354" s="50"/>
      <c r="BB354" s="50"/>
      <c r="BC354" s="50"/>
      <c r="BD354" s="50"/>
      <c r="BE354" s="43">
        <v>643</v>
      </c>
      <c r="BF354" s="43">
        <v>314</v>
      </c>
      <c r="BG354" s="43">
        <v>759</v>
      </c>
      <c r="BH354" s="43">
        <v>215</v>
      </c>
      <c r="BI354" s="43">
        <v>749</v>
      </c>
      <c r="BJ354" s="43">
        <v>187</v>
      </c>
      <c r="BK354" s="43">
        <v>247</v>
      </c>
      <c r="BL354" s="43">
        <v>720</v>
      </c>
      <c r="BM354" s="43">
        <v>573</v>
      </c>
      <c r="BN354" s="43">
        <v>392</v>
      </c>
      <c r="BO354" s="43">
        <v>177</v>
      </c>
      <c r="BP354" s="43">
        <v>766</v>
      </c>
      <c r="BQ354" s="43">
        <v>819</v>
      </c>
      <c r="BR354" s="43">
        <v>139</v>
      </c>
      <c r="BS354" s="43">
        <v>785</v>
      </c>
      <c r="BT354" s="43">
        <v>579</v>
      </c>
      <c r="BU354" s="43">
        <v>339</v>
      </c>
      <c r="BV354" s="43">
        <v>704</v>
      </c>
      <c r="BW354" s="43">
        <v>597</v>
      </c>
      <c r="BX354" s="43">
        <v>207</v>
      </c>
      <c r="BY354" s="43">
        <v>719</v>
      </c>
      <c r="BZ354" s="43">
        <v>158</v>
      </c>
      <c r="CA354" s="43">
        <v>649</v>
      </c>
      <c r="CB354" s="43">
        <v>598</v>
      </c>
      <c r="CC354" s="43">
        <v>192</v>
      </c>
      <c r="CD354" s="43">
        <v>554</v>
      </c>
      <c r="CE354" s="43">
        <v>208</v>
      </c>
      <c r="CF354" s="43">
        <v>595</v>
      </c>
      <c r="CG354" s="43">
        <v>577</v>
      </c>
      <c r="CH354" s="43">
        <v>177</v>
      </c>
      <c r="CI354" s="43">
        <v>103</v>
      </c>
      <c r="CJ354" s="43">
        <v>677</v>
      </c>
      <c r="CK354" s="43">
        <v>559</v>
      </c>
      <c r="CL354" s="43">
        <v>198</v>
      </c>
      <c r="CM354" s="43">
        <v>629</v>
      </c>
      <c r="CN354" s="43">
        <v>627</v>
      </c>
      <c r="CO354" s="43">
        <v>144</v>
      </c>
      <c r="CP354" s="43">
        <v>664</v>
      </c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43"/>
      <c r="FZ354" s="43"/>
      <c r="GA354" s="53"/>
      <c r="GB354" s="53"/>
      <c r="GC354" s="53"/>
      <c r="GD354" s="53"/>
      <c r="GE354" s="53"/>
      <c r="GF354" s="53"/>
      <c r="GG354" s="53"/>
      <c r="GH354" s="53"/>
      <c r="GI354" s="43"/>
      <c r="GJ354" s="43"/>
      <c r="GK354" s="43"/>
      <c r="GL354" s="43"/>
      <c r="GM354" s="53"/>
      <c r="GN354" s="53"/>
      <c r="GO354" s="43">
        <v>640</v>
      </c>
      <c r="GP354" s="43">
        <v>349</v>
      </c>
      <c r="GQ354" s="43">
        <v>591</v>
      </c>
      <c r="GR354" s="43">
        <v>400</v>
      </c>
    </row>
    <row r="355" spans="1:200">
      <c r="A355" s="7">
        <v>5913</v>
      </c>
      <c r="B355" s="1" t="s">
        <v>483</v>
      </c>
      <c r="C355" s="33">
        <v>1065</v>
      </c>
      <c r="D355" s="34">
        <v>739</v>
      </c>
      <c r="E355" s="19">
        <f t="shared" si="5"/>
        <v>0.69389671361502347</v>
      </c>
      <c r="F355" s="62">
        <v>297</v>
      </c>
      <c r="G355" s="43">
        <v>4</v>
      </c>
      <c r="H355" s="43">
        <v>22</v>
      </c>
      <c r="I355" s="43">
        <v>12</v>
      </c>
      <c r="J355" s="55">
        <v>392</v>
      </c>
      <c r="K355" s="6">
        <v>0</v>
      </c>
      <c r="L355" s="6">
        <v>0</v>
      </c>
      <c r="M355" s="43">
        <v>0</v>
      </c>
      <c r="N355" s="25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  <c r="V355" s="43">
        <v>0</v>
      </c>
      <c r="W355" s="43">
        <v>1</v>
      </c>
      <c r="X355" s="43">
        <v>0</v>
      </c>
      <c r="Y355" s="43">
        <v>0</v>
      </c>
      <c r="Z355" s="43">
        <v>0</v>
      </c>
      <c r="AA355" s="44">
        <v>0</v>
      </c>
      <c r="AB355" s="44">
        <v>0</v>
      </c>
      <c r="AC355" s="44">
        <v>16</v>
      </c>
      <c r="AD355" s="44">
        <v>21</v>
      </c>
      <c r="AE355" s="44">
        <v>430</v>
      </c>
      <c r="AF355" s="44">
        <v>12</v>
      </c>
      <c r="AG355" s="44">
        <v>0</v>
      </c>
      <c r="AH355" s="44">
        <v>225</v>
      </c>
      <c r="AI355" s="44">
        <v>438</v>
      </c>
      <c r="AJ355" s="44">
        <v>0</v>
      </c>
      <c r="AK355" s="44">
        <v>0</v>
      </c>
      <c r="AL355" s="44">
        <v>271</v>
      </c>
      <c r="AM355" s="48"/>
      <c r="AN355" s="48"/>
      <c r="AO355" s="48"/>
      <c r="AP355" s="44">
        <v>292</v>
      </c>
      <c r="AQ355" s="44">
        <v>367</v>
      </c>
      <c r="AR355" s="51"/>
      <c r="AS355" s="51"/>
      <c r="AT355" s="51"/>
      <c r="AU355" s="51"/>
      <c r="AV355" s="43">
        <v>471</v>
      </c>
      <c r="AW355" s="50"/>
      <c r="AX355" s="50"/>
      <c r="AY355" s="50"/>
      <c r="AZ355" s="50"/>
      <c r="BA355" s="50"/>
      <c r="BB355" s="50"/>
      <c r="BC355" s="50"/>
      <c r="BD355" s="50"/>
      <c r="BE355" s="43">
        <v>305</v>
      </c>
      <c r="BF355" s="43">
        <v>370</v>
      </c>
      <c r="BG355" s="43">
        <v>406</v>
      </c>
      <c r="BH355" s="43">
        <v>285</v>
      </c>
      <c r="BI355" s="43">
        <v>436</v>
      </c>
      <c r="BJ355" s="43">
        <v>245</v>
      </c>
      <c r="BK355" s="43">
        <v>297</v>
      </c>
      <c r="BL355" s="43">
        <v>401</v>
      </c>
      <c r="BM355" s="43">
        <v>299</v>
      </c>
      <c r="BN355" s="43">
        <v>396</v>
      </c>
      <c r="BO355" s="43">
        <v>265</v>
      </c>
      <c r="BP355" s="43">
        <v>409</v>
      </c>
      <c r="BQ355" s="43">
        <v>417</v>
      </c>
      <c r="BR355" s="43">
        <v>254</v>
      </c>
      <c r="BS355" s="43">
        <v>466</v>
      </c>
      <c r="BT355" s="43">
        <v>289</v>
      </c>
      <c r="BU355" s="43">
        <v>369</v>
      </c>
      <c r="BV355" s="43">
        <v>439</v>
      </c>
      <c r="BW355" s="43">
        <v>313</v>
      </c>
      <c r="BX355" s="43">
        <v>248</v>
      </c>
      <c r="BY355" s="43">
        <v>390</v>
      </c>
      <c r="BZ355" s="43">
        <v>215</v>
      </c>
      <c r="CA355" s="43">
        <v>421</v>
      </c>
      <c r="CB355" s="43">
        <v>272</v>
      </c>
      <c r="CC355" s="43">
        <v>273</v>
      </c>
      <c r="CD355" s="43">
        <v>414</v>
      </c>
      <c r="CE355" s="43">
        <v>235</v>
      </c>
      <c r="CF355" s="43">
        <v>318</v>
      </c>
      <c r="CG355" s="43">
        <v>291</v>
      </c>
      <c r="CH355" s="43">
        <v>218</v>
      </c>
      <c r="CI355" s="43">
        <v>149</v>
      </c>
      <c r="CJ355" s="43">
        <v>392</v>
      </c>
      <c r="CK355" s="43">
        <v>309</v>
      </c>
      <c r="CL355" s="43">
        <v>236</v>
      </c>
      <c r="CM355" s="43">
        <v>406</v>
      </c>
      <c r="CN355" s="43">
        <v>409</v>
      </c>
      <c r="CO355" s="43">
        <v>207</v>
      </c>
      <c r="CP355" s="43">
        <v>349</v>
      </c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43"/>
      <c r="FZ355" s="43"/>
      <c r="GA355" s="53"/>
      <c r="GB355" s="53"/>
      <c r="GC355" s="53"/>
      <c r="GD355" s="53"/>
      <c r="GE355" s="53"/>
      <c r="GF355" s="53"/>
      <c r="GG355" s="53"/>
      <c r="GH355" s="53"/>
      <c r="GI355" s="43"/>
      <c r="GJ355" s="43"/>
      <c r="GK355" s="43"/>
      <c r="GL355" s="43"/>
      <c r="GM355" s="53"/>
      <c r="GN355" s="53"/>
      <c r="GO355" s="43">
        <v>471</v>
      </c>
      <c r="GP355" s="43">
        <v>236</v>
      </c>
      <c r="GQ355" s="43">
        <v>456</v>
      </c>
      <c r="GR355" s="43">
        <v>246</v>
      </c>
    </row>
    <row r="356" spans="1:200">
      <c r="A356" s="7">
        <v>5914</v>
      </c>
      <c r="B356" s="1" t="s">
        <v>484</v>
      </c>
      <c r="C356" s="33">
        <v>1366</v>
      </c>
      <c r="D356" s="34">
        <v>1115</v>
      </c>
      <c r="E356" s="19">
        <f t="shared" si="5"/>
        <v>0.81625183016105418</v>
      </c>
      <c r="F356" s="62">
        <v>326</v>
      </c>
      <c r="G356" s="43">
        <v>2</v>
      </c>
      <c r="H356" s="43">
        <v>29</v>
      </c>
      <c r="I356" s="43">
        <v>5</v>
      </c>
      <c r="J356" s="55">
        <v>727</v>
      </c>
      <c r="K356" s="6">
        <v>0</v>
      </c>
      <c r="L356" s="6">
        <v>0</v>
      </c>
      <c r="M356" s="43">
        <v>1</v>
      </c>
      <c r="N356" s="25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  <c r="V356" s="43">
        <v>0</v>
      </c>
      <c r="W356" s="43">
        <v>2</v>
      </c>
      <c r="X356" s="43">
        <v>0</v>
      </c>
      <c r="Y356" s="43">
        <v>0</v>
      </c>
      <c r="Z356" s="43">
        <v>0</v>
      </c>
      <c r="AA356" s="44">
        <v>0</v>
      </c>
      <c r="AB356" s="44">
        <v>0</v>
      </c>
      <c r="AC356" s="44">
        <v>9</v>
      </c>
      <c r="AD356" s="44">
        <v>9</v>
      </c>
      <c r="AE356" s="44">
        <v>811</v>
      </c>
      <c r="AF356" s="44">
        <v>14</v>
      </c>
      <c r="AG356" s="44">
        <v>0</v>
      </c>
      <c r="AH356" s="44">
        <v>234</v>
      </c>
      <c r="AI356" s="44">
        <v>789</v>
      </c>
      <c r="AJ356" s="44">
        <v>1</v>
      </c>
      <c r="AK356" s="44">
        <v>0</v>
      </c>
      <c r="AL356" s="44">
        <v>286</v>
      </c>
      <c r="AM356" s="48"/>
      <c r="AN356" s="48"/>
      <c r="AO356" s="48"/>
      <c r="AP356" s="44">
        <v>288</v>
      </c>
      <c r="AQ356" s="44">
        <v>720</v>
      </c>
      <c r="AR356" s="51"/>
      <c r="AS356" s="51"/>
      <c r="AT356" s="51"/>
      <c r="AU356" s="51"/>
      <c r="AV356" s="43">
        <v>781</v>
      </c>
      <c r="AW356" s="50"/>
      <c r="AX356" s="50"/>
      <c r="AY356" s="50"/>
      <c r="AZ356" s="50"/>
      <c r="BA356" s="50"/>
      <c r="BB356" s="50"/>
      <c r="BC356" s="50"/>
      <c r="BD356" s="50"/>
      <c r="BE356" s="43">
        <v>593</v>
      </c>
      <c r="BF356" s="43">
        <v>443</v>
      </c>
      <c r="BG356" s="43">
        <v>735</v>
      </c>
      <c r="BH356" s="43">
        <v>312</v>
      </c>
      <c r="BI356" s="43">
        <v>757</v>
      </c>
      <c r="BJ356" s="43">
        <v>277</v>
      </c>
      <c r="BK356" s="43">
        <v>326</v>
      </c>
      <c r="BL356" s="43">
        <v>713</v>
      </c>
      <c r="BM356" s="43">
        <v>554</v>
      </c>
      <c r="BN356" s="43">
        <v>490</v>
      </c>
      <c r="BO356" s="43">
        <v>269</v>
      </c>
      <c r="BP356" s="43">
        <v>741</v>
      </c>
      <c r="BQ356" s="43">
        <v>803</v>
      </c>
      <c r="BR356" s="43">
        <v>229</v>
      </c>
      <c r="BS356" s="43">
        <v>781</v>
      </c>
      <c r="BT356" s="43">
        <v>545</v>
      </c>
      <c r="BU356" s="43">
        <v>466</v>
      </c>
      <c r="BV356" s="43">
        <v>726</v>
      </c>
      <c r="BW356" s="43">
        <v>560</v>
      </c>
      <c r="BX356" s="43">
        <v>298</v>
      </c>
      <c r="BY356" s="43">
        <v>708</v>
      </c>
      <c r="BZ356" s="43">
        <v>218</v>
      </c>
      <c r="CA356" s="43">
        <v>663</v>
      </c>
      <c r="CB356" s="43">
        <v>562</v>
      </c>
      <c r="CC356" s="43">
        <v>256</v>
      </c>
      <c r="CD356" s="43">
        <v>608</v>
      </c>
      <c r="CE356" s="43">
        <v>260</v>
      </c>
      <c r="CF356" s="43">
        <v>617</v>
      </c>
      <c r="CG356" s="43">
        <v>557</v>
      </c>
      <c r="CH356" s="43">
        <v>241</v>
      </c>
      <c r="CI356" s="43">
        <v>168</v>
      </c>
      <c r="CJ356" s="43">
        <v>657</v>
      </c>
      <c r="CK356" s="43">
        <v>550</v>
      </c>
      <c r="CL356" s="43">
        <v>276</v>
      </c>
      <c r="CM356" s="43">
        <v>637</v>
      </c>
      <c r="CN356" s="43">
        <v>628</v>
      </c>
      <c r="CO356" s="43">
        <v>252</v>
      </c>
      <c r="CP356" s="43">
        <v>570</v>
      </c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43"/>
      <c r="FZ356" s="43"/>
      <c r="GA356" s="53"/>
      <c r="GB356" s="53"/>
      <c r="GC356" s="53"/>
      <c r="GD356" s="53"/>
      <c r="GE356" s="53"/>
      <c r="GF356" s="53"/>
      <c r="GG356" s="53"/>
      <c r="GH356" s="53"/>
      <c r="GI356" s="43"/>
      <c r="GJ356" s="43"/>
      <c r="GK356" s="43"/>
      <c r="GL356" s="43"/>
      <c r="GM356" s="53"/>
      <c r="GN356" s="53"/>
      <c r="GO356" s="43">
        <v>692</v>
      </c>
      <c r="GP356" s="43">
        <v>367</v>
      </c>
      <c r="GQ356" s="43">
        <v>675</v>
      </c>
      <c r="GR356" s="43">
        <v>380</v>
      </c>
    </row>
    <row r="357" spans="1:200">
      <c r="A357" s="7">
        <v>5915</v>
      </c>
      <c r="B357" s="1" t="s">
        <v>485</v>
      </c>
      <c r="C357" s="33">
        <v>572</v>
      </c>
      <c r="D357" s="34">
        <v>452</v>
      </c>
      <c r="E357" s="19">
        <f t="shared" si="5"/>
        <v>0.79020979020979021</v>
      </c>
      <c r="F357" s="62">
        <v>134</v>
      </c>
      <c r="G357" s="43">
        <v>2</v>
      </c>
      <c r="H357" s="43">
        <v>16</v>
      </c>
      <c r="I357" s="43">
        <v>1</v>
      </c>
      <c r="J357" s="55">
        <v>275</v>
      </c>
      <c r="K357" s="6">
        <v>0</v>
      </c>
      <c r="L357" s="6">
        <v>0</v>
      </c>
      <c r="M357" s="43">
        <v>0</v>
      </c>
      <c r="N357" s="25">
        <v>0</v>
      </c>
      <c r="O357" s="43">
        <v>1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  <c r="V357" s="43">
        <v>0</v>
      </c>
      <c r="W357" s="43">
        <v>3</v>
      </c>
      <c r="X357" s="43">
        <v>0</v>
      </c>
      <c r="Y357" s="43">
        <v>2</v>
      </c>
      <c r="Z357" s="43">
        <v>0</v>
      </c>
      <c r="AA357" s="44">
        <v>0</v>
      </c>
      <c r="AB357" s="44">
        <v>0</v>
      </c>
      <c r="AC357" s="44">
        <v>3</v>
      </c>
      <c r="AD357" s="44">
        <v>5</v>
      </c>
      <c r="AE357" s="44">
        <v>316</v>
      </c>
      <c r="AF357" s="44">
        <v>7</v>
      </c>
      <c r="AG357" s="44">
        <v>0</v>
      </c>
      <c r="AH357" s="44">
        <v>97</v>
      </c>
      <c r="AI357" s="44">
        <v>322</v>
      </c>
      <c r="AJ357" s="44">
        <v>0</v>
      </c>
      <c r="AK357" s="44">
        <v>0</v>
      </c>
      <c r="AL357" s="44">
        <v>109</v>
      </c>
      <c r="AM357" s="48"/>
      <c r="AN357" s="48"/>
      <c r="AO357" s="48"/>
      <c r="AP357" s="44">
        <v>112</v>
      </c>
      <c r="AQ357" s="44">
        <v>292</v>
      </c>
      <c r="AR357" s="51"/>
      <c r="AS357" s="51"/>
      <c r="AT357" s="51"/>
      <c r="AU357" s="51"/>
      <c r="AV357" s="43">
        <v>323</v>
      </c>
      <c r="AW357" s="50"/>
      <c r="AX357" s="50"/>
      <c r="AY357" s="50"/>
      <c r="AZ357" s="50"/>
      <c r="BA357" s="50"/>
      <c r="BB357" s="50"/>
      <c r="BC357" s="50"/>
      <c r="BD357" s="50"/>
      <c r="BE357" s="43">
        <v>235</v>
      </c>
      <c r="BF357" s="43">
        <v>180</v>
      </c>
      <c r="BG357" s="43">
        <v>288</v>
      </c>
      <c r="BH357" s="43">
        <v>132</v>
      </c>
      <c r="BI357" s="43">
        <v>308</v>
      </c>
      <c r="BJ357" s="43">
        <v>113</v>
      </c>
      <c r="BK357" s="43">
        <v>125</v>
      </c>
      <c r="BL357" s="43">
        <v>292</v>
      </c>
      <c r="BM357" s="43">
        <v>229</v>
      </c>
      <c r="BN357" s="43">
        <v>189</v>
      </c>
      <c r="BO357" s="43">
        <v>94</v>
      </c>
      <c r="BP357" s="43">
        <v>313</v>
      </c>
      <c r="BQ357" s="43">
        <v>320</v>
      </c>
      <c r="BR357" s="43">
        <v>89</v>
      </c>
      <c r="BS357" s="43">
        <v>320</v>
      </c>
      <c r="BT357" s="43">
        <v>212</v>
      </c>
      <c r="BU357" s="43">
        <v>180</v>
      </c>
      <c r="BV357" s="43">
        <v>292</v>
      </c>
      <c r="BW357" s="43">
        <v>202</v>
      </c>
      <c r="BX357" s="43">
        <v>131</v>
      </c>
      <c r="BY357" s="43">
        <v>267</v>
      </c>
      <c r="BZ357" s="43">
        <v>91</v>
      </c>
      <c r="CA357" s="43">
        <v>274</v>
      </c>
      <c r="CB357" s="43">
        <v>189</v>
      </c>
      <c r="CC357" s="43">
        <v>120</v>
      </c>
      <c r="CD357" s="43">
        <v>259</v>
      </c>
      <c r="CE357" s="43">
        <v>100</v>
      </c>
      <c r="CF357" s="43">
        <v>231</v>
      </c>
      <c r="CG357" s="43">
        <v>203</v>
      </c>
      <c r="CH357" s="43">
        <v>99</v>
      </c>
      <c r="CI357" s="43">
        <v>59</v>
      </c>
      <c r="CJ357" s="43">
        <v>257</v>
      </c>
      <c r="CK357" s="43">
        <v>193</v>
      </c>
      <c r="CL357" s="43">
        <v>116</v>
      </c>
      <c r="CM357" s="43">
        <v>259</v>
      </c>
      <c r="CN357" s="43">
        <v>258</v>
      </c>
      <c r="CO357" s="43">
        <v>81</v>
      </c>
      <c r="CP357" s="43">
        <v>234</v>
      </c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43"/>
      <c r="FZ357" s="43"/>
      <c r="GA357" s="53"/>
      <c r="GB357" s="53"/>
      <c r="GC357" s="53"/>
      <c r="GD357" s="53"/>
      <c r="GE357" s="53"/>
      <c r="GF357" s="53"/>
      <c r="GG357" s="53"/>
      <c r="GH357" s="53"/>
      <c r="GI357" s="43"/>
      <c r="GJ357" s="43"/>
      <c r="GK357" s="43"/>
      <c r="GL357" s="43"/>
      <c r="GM357" s="53"/>
      <c r="GN357" s="53"/>
      <c r="GO357" s="43">
        <v>287</v>
      </c>
      <c r="GP357" s="43">
        <v>135</v>
      </c>
      <c r="GQ357" s="43">
        <v>281</v>
      </c>
      <c r="GR357" s="43">
        <v>136</v>
      </c>
    </row>
    <row r="358" spans="1:200">
      <c r="A358" s="7">
        <v>5916</v>
      </c>
      <c r="B358" s="1" t="s">
        <v>486</v>
      </c>
      <c r="C358" s="33">
        <v>489</v>
      </c>
      <c r="D358" s="34">
        <v>356</v>
      </c>
      <c r="E358" s="19">
        <f t="shared" si="5"/>
        <v>0.72801635991820046</v>
      </c>
      <c r="F358" s="62">
        <v>158</v>
      </c>
      <c r="G358" s="43">
        <v>1</v>
      </c>
      <c r="H358" s="43">
        <v>7</v>
      </c>
      <c r="I358" s="43">
        <v>3</v>
      </c>
      <c r="J358" s="55">
        <v>180</v>
      </c>
      <c r="K358" s="6">
        <v>0</v>
      </c>
      <c r="L358" s="6">
        <v>0</v>
      </c>
      <c r="M358" s="43">
        <v>0</v>
      </c>
      <c r="N358" s="25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  <c r="V358" s="43">
        <v>0</v>
      </c>
      <c r="W358" s="43">
        <v>1</v>
      </c>
      <c r="X358" s="43">
        <v>0</v>
      </c>
      <c r="Y358" s="43">
        <v>0</v>
      </c>
      <c r="Z358" s="43">
        <v>0</v>
      </c>
      <c r="AA358" s="44">
        <v>0</v>
      </c>
      <c r="AB358" s="44">
        <v>0</v>
      </c>
      <c r="AC358" s="44">
        <v>4</v>
      </c>
      <c r="AD358" s="44">
        <v>2</v>
      </c>
      <c r="AE358" s="44">
        <v>193</v>
      </c>
      <c r="AF358" s="44">
        <v>5</v>
      </c>
      <c r="AG358" s="44">
        <v>0</v>
      </c>
      <c r="AH358" s="44">
        <v>141</v>
      </c>
      <c r="AI358" s="44">
        <v>206</v>
      </c>
      <c r="AJ358" s="44">
        <v>0</v>
      </c>
      <c r="AK358" s="44">
        <v>0</v>
      </c>
      <c r="AL358" s="44">
        <v>138</v>
      </c>
      <c r="AM358" s="48"/>
      <c r="AN358" s="48"/>
      <c r="AO358" s="48"/>
      <c r="AP358" s="44">
        <v>146</v>
      </c>
      <c r="AQ358" s="44">
        <v>169</v>
      </c>
      <c r="AR358" s="51"/>
      <c r="AS358" s="51"/>
      <c r="AT358" s="51"/>
      <c r="AU358" s="51"/>
      <c r="AV358" s="43">
        <v>200</v>
      </c>
      <c r="AW358" s="50"/>
      <c r="AX358" s="50"/>
      <c r="AY358" s="50"/>
      <c r="AZ358" s="50"/>
      <c r="BA358" s="50"/>
      <c r="BB358" s="50"/>
      <c r="BC358" s="50"/>
      <c r="BD358" s="50"/>
      <c r="BE358" s="43">
        <v>146</v>
      </c>
      <c r="BF358" s="43">
        <v>176</v>
      </c>
      <c r="BG358" s="43">
        <v>185</v>
      </c>
      <c r="BH358" s="43">
        <v>144</v>
      </c>
      <c r="BI358" s="43">
        <v>190</v>
      </c>
      <c r="BJ358" s="43">
        <v>139</v>
      </c>
      <c r="BK358" s="43">
        <v>142</v>
      </c>
      <c r="BL358" s="43">
        <v>180</v>
      </c>
      <c r="BM358" s="43">
        <v>141</v>
      </c>
      <c r="BN358" s="43">
        <v>181</v>
      </c>
      <c r="BO358" s="43">
        <v>145</v>
      </c>
      <c r="BP358" s="43">
        <v>170</v>
      </c>
      <c r="BQ358" s="43">
        <v>181</v>
      </c>
      <c r="BR358" s="43">
        <v>140</v>
      </c>
      <c r="BS358" s="43">
        <v>207</v>
      </c>
      <c r="BT358" s="43">
        <v>136</v>
      </c>
      <c r="BU358" s="43">
        <v>184</v>
      </c>
      <c r="BV358" s="43">
        <v>215</v>
      </c>
      <c r="BW358" s="43">
        <v>131</v>
      </c>
      <c r="BX358" s="43">
        <v>119</v>
      </c>
      <c r="BY358" s="43">
        <v>169</v>
      </c>
      <c r="BZ358" s="43">
        <v>116</v>
      </c>
      <c r="CA358" s="43">
        <v>199</v>
      </c>
      <c r="CB358" s="43">
        <v>128</v>
      </c>
      <c r="CC358" s="43">
        <v>123</v>
      </c>
      <c r="CD358" s="43">
        <v>205</v>
      </c>
      <c r="CE358" s="43">
        <v>124</v>
      </c>
      <c r="CF358" s="43">
        <v>134</v>
      </c>
      <c r="CG358" s="43">
        <v>134</v>
      </c>
      <c r="CH358" s="43">
        <v>110</v>
      </c>
      <c r="CI358" s="43">
        <v>71</v>
      </c>
      <c r="CJ358" s="43">
        <v>184</v>
      </c>
      <c r="CK358" s="43">
        <v>152</v>
      </c>
      <c r="CL358" s="43">
        <v>106</v>
      </c>
      <c r="CM358" s="43">
        <v>191</v>
      </c>
      <c r="CN358" s="43">
        <v>202</v>
      </c>
      <c r="CO358" s="43">
        <v>104</v>
      </c>
      <c r="CP358" s="43">
        <v>152</v>
      </c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43"/>
      <c r="FZ358" s="43"/>
      <c r="GA358" s="53"/>
      <c r="GB358" s="53"/>
      <c r="GC358" s="53"/>
      <c r="GD358" s="53"/>
      <c r="GE358" s="53"/>
      <c r="GF358" s="53"/>
      <c r="GG358" s="53"/>
      <c r="GH358" s="53"/>
      <c r="GI358" s="43"/>
      <c r="GJ358" s="43"/>
      <c r="GK358" s="43"/>
      <c r="GL358" s="43"/>
      <c r="GM358" s="53"/>
      <c r="GN358" s="53"/>
      <c r="GO358" s="43">
        <v>235</v>
      </c>
      <c r="GP358" s="43">
        <v>102</v>
      </c>
      <c r="GQ358" s="43">
        <v>217</v>
      </c>
      <c r="GR358" s="43">
        <v>120</v>
      </c>
    </row>
    <row r="359" spans="1:200">
      <c r="A359" s="7">
        <v>5917</v>
      </c>
      <c r="B359" s="1" t="s">
        <v>487</v>
      </c>
      <c r="C359" s="33">
        <v>1227</v>
      </c>
      <c r="D359" s="34">
        <v>1035</v>
      </c>
      <c r="E359" s="19">
        <f t="shared" si="5"/>
        <v>0.84352078239608796</v>
      </c>
      <c r="F359" s="62">
        <v>225</v>
      </c>
      <c r="G359" s="43">
        <v>3</v>
      </c>
      <c r="H359" s="43">
        <v>39</v>
      </c>
      <c r="I359" s="43">
        <v>7</v>
      </c>
      <c r="J359" s="55">
        <v>729</v>
      </c>
      <c r="K359" s="6">
        <v>0</v>
      </c>
      <c r="L359" s="6">
        <v>0</v>
      </c>
      <c r="M359" s="43">
        <v>1</v>
      </c>
      <c r="N359" s="25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  <c r="V359" s="43">
        <v>0</v>
      </c>
      <c r="W359" s="43">
        <v>4</v>
      </c>
      <c r="X359" s="43">
        <v>0</v>
      </c>
      <c r="Y359" s="43">
        <v>0</v>
      </c>
      <c r="Z359" s="43">
        <v>0</v>
      </c>
      <c r="AA359" s="44">
        <v>0</v>
      </c>
      <c r="AB359" s="44">
        <v>0</v>
      </c>
      <c r="AC359" s="44">
        <v>19</v>
      </c>
      <c r="AD359" s="44">
        <v>9</v>
      </c>
      <c r="AE359" s="44">
        <v>814</v>
      </c>
      <c r="AF359" s="44">
        <v>7</v>
      </c>
      <c r="AG359" s="44">
        <v>0</v>
      </c>
      <c r="AH359" s="44">
        <v>139</v>
      </c>
      <c r="AI359" s="44">
        <v>831</v>
      </c>
      <c r="AJ359" s="44">
        <v>2</v>
      </c>
      <c r="AK359" s="44">
        <v>0</v>
      </c>
      <c r="AL359" s="44">
        <v>165</v>
      </c>
      <c r="AM359" s="48"/>
      <c r="AN359" s="48"/>
      <c r="AO359" s="48"/>
      <c r="AP359" s="44">
        <v>174</v>
      </c>
      <c r="AQ359" s="44">
        <v>753</v>
      </c>
      <c r="AR359" s="51"/>
      <c r="AS359" s="51"/>
      <c r="AT359" s="51"/>
      <c r="AU359" s="51"/>
      <c r="AV359" s="43">
        <v>793</v>
      </c>
      <c r="AW359" s="50"/>
      <c r="AX359" s="50"/>
      <c r="AY359" s="50"/>
      <c r="AZ359" s="50"/>
      <c r="BA359" s="50"/>
      <c r="BB359" s="50"/>
      <c r="BC359" s="50"/>
      <c r="BD359" s="50"/>
      <c r="BE359" s="43">
        <v>641</v>
      </c>
      <c r="BF359" s="43">
        <v>312</v>
      </c>
      <c r="BG359" s="43">
        <v>773</v>
      </c>
      <c r="BH359" s="43">
        <v>203</v>
      </c>
      <c r="BI359" s="43">
        <v>772</v>
      </c>
      <c r="BJ359" s="43">
        <v>191</v>
      </c>
      <c r="BK359" s="43">
        <v>238</v>
      </c>
      <c r="BL359" s="43">
        <v>722</v>
      </c>
      <c r="BM359" s="43">
        <v>536</v>
      </c>
      <c r="BN359" s="43">
        <v>416</v>
      </c>
      <c r="BO359" s="43">
        <v>181</v>
      </c>
      <c r="BP359" s="43">
        <v>738</v>
      </c>
      <c r="BQ359" s="43">
        <v>781</v>
      </c>
      <c r="BR359" s="43">
        <v>148</v>
      </c>
      <c r="BS359" s="43">
        <v>766</v>
      </c>
      <c r="BT359" s="43">
        <v>520</v>
      </c>
      <c r="BU359" s="43">
        <v>405</v>
      </c>
      <c r="BV359" s="43">
        <v>678</v>
      </c>
      <c r="BW359" s="43">
        <v>506</v>
      </c>
      <c r="BX359" s="43">
        <v>257</v>
      </c>
      <c r="BY359" s="43">
        <v>651</v>
      </c>
      <c r="BZ359" s="43">
        <v>182</v>
      </c>
      <c r="CA359" s="43">
        <v>625</v>
      </c>
      <c r="CB359" s="43">
        <v>540</v>
      </c>
      <c r="CC359" s="43">
        <v>198</v>
      </c>
      <c r="CD359" s="43">
        <v>564</v>
      </c>
      <c r="CE359" s="43">
        <v>212</v>
      </c>
      <c r="CF359" s="43">
        <v>585</v>
      </c>
      <c r="CG359" s="43">
        <v>532</v>
      </c>
      <c r="CH359" s="43">
        <v>191</v>
      </c>
      <c r="CI359" s="43">
        <v>123</v>
      </c>
      <c r="CJ359" s="43">
        <v>640</v>
      </c>
      <c r="CK359" s="43">
        <v>493</v>
      </c>
      <c r="CL359" s="43">
        <v>248</v>
      </c>
      <c r="CM359" s="43">
        <v>607</v>
      </c>
      <c r="CN359" s="43">
        <v>602</v>
      </c>
      <c r="CO359" s="43">
        <v>178</v>
      </c>
      <c r="CP359" s="43">
        <v>590</v>
      </c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43"/>
      <c r="FZ359" s="43"/>
      <c r="GA359" s="53"/>
      <c r="GB359" s="53"/>
      <c r="GC359" s="53"/>
      <c r="GD359" s="53"/>
      <c r="GE359" s="53"/>
      <c r="GF359" s="53"/>
      <c r="GG359" s="53"/>
      <c r="GH359" s="53"/>
      <c r="GI359" s="43"/>
      <c r="GJ359" s="43"/>
      <c r="GK359" s="43"/>
      <c r="GL359" s="43"/>
      <c r="GM359" s="53"/>
      <c r="GN359" s="53"/>
      <c r="GO359" s="43">
        <v>628</v>
      </c>
      <c r="GP359" s="43">
        <v>364</v>
      </c>
      <c r="GQ359" s="43">
        <v>607</v>
      </c>
      <c r="GR359" s="43">
        <v>386</v>
      </c>
    </row>
    <row r="360" spans="1:200">
      <c r="A360" s="7">
        <v>5918</v>
      </c>
      <c r="B360" s="1" t="s">
        <v>488</v>
      </c>
      <c r="C360" s="33">
        <v>1203</v>
      </c>
      <c r="D360" s="34">
        <v>857</v>
      </c>
      <c r="E360" s="19">
        <f t="shared" si="5"/>
        <v>0.71238570241064003</v>
      </c>
      <c r="F360" s="62">
        <v>349</v>
      </c>
      <c r="G360" s="43">
        <v>4</v>
      </c>
      <c r="H360" s="43">
        <v>28</v>
      </c>
      <c r="I360" s="43">
        <v>11</v>
      </c>
      <c r="J360" s="55">
        <v>452</v>
      </c>
      <c r="K360" s="6">
        <v>0</v>
      </c>
      <c r="L360" s="6">
        <v>0</v>
      </c>
      <c r="M360" s="43">
        <v>0</v>
      </c>
      <c r="N360" s="25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  <c r="V360" s="43">
        <v>0</v>
      </c>
      <c r="W360" s="43">
        <v>2</v>
      </c>
      <c r="X360" s="43">
        <v>0</v>
      </c>
      <c r="Y360" s="43">
        <v>0</v>
      </c>
      <c r="Z360" s="43">
        <v>0</v>
      </c>
      <c r="AA360" s="44">
        <v>0</v>
      </c>
      <c r="AB360" s="44">
        <v>0</v>
      </c>
      <c r="AC360" s="44">
        <v>9</v>
      </c>
      <c r="AD360" s="44">
        <v>13</v>
      </c>
      <c r="AE360" s="44">
        <v>522</v>
      </c>
      <c r="AF360" s="44">
        <v>2</v>
      </c>
      <c r="AG360" s="44">
        <v>0</v>
      </c>
      <c r="AH360" s="44">
        <v>284</v>
      </c>
      <c r="AI360" s="44">
        <v>519</v>
      </c>
      <c r="AJ360" s="44">
        <v>0</v>
      </c>
      <c r="AK360" s="44">
        <v>0</v>
      </c>
      <c r="AL360" s="44">
        <v>313</v>
      </c>
      <c r="AM360" s="48"/>
      <c r="AN360" s="48"/>
      <c r="AO360" s="48"/>
      <c r="AP360" s="44">
        <v>338</v>
      </c>
      <c r="AQ360" s="44">
        <v>447</v>
      </c>
      <c r="AR360" s="51"/>
      <c r="AS360" s="51"/>
      <c r="AT360" s="51"/>
      <c r="AU360" s="51"/>
      <c r="AV360" s="43">
        <v>557</v>
      </c>
      <c r="AW360" s="50"/>
      <c r="AX360" s="50"/>
      <c r="AY360" s="50"/>
      <c r="AZ360" s="50"/>
      <c r="BA360" s="50"/>
      <c r="BB360" s="50"/>
      <c r="BC360" s="50"/>
      <c r="BD360" s="50"/>
      <c r="BE360" s="43">
        <v>370</v>
      </c>
      <c r="BF360" s="43">
        <v>436</v>
      </c>
      <c r="BG360" s="43">
        <v>468</v>
      </c>
      <c r="BH360" s="43">
        <v>337</v>
      </c>
      <c r="BI360" s="43">
        <v>477</v>
      </c>
      <c r="BJ360" s="43">
        <v>321</v>
      </c>
      <c r="BK360" s="43">
        <v>365</v>
      </c>
      <c r="BL360" s="43">
        <v>441</v>
      </c>
      <c r="BM360" s="43">
        <v>341</v>
      </c>
      <c r="BN360" s="43">
        <v>461</v>
      </c>
      <c r="BO360" s="43">
        <v>310</v>
      </c>
      <c r="BP360" s="43">
        <v>471</v>
      </c>
      <c r="BQ360" s="43">
        <v>495</v>
      </c>
      <c r="BR360" s="43">
        <v>307</v>
      </c>
      <c r="BS360" s="43">
        <v>554</v>
      </c>
      <c r="BT360" s="43">
        <v>355</v>
      </c>
      <c r="BU360" s="43">
        <v>445</v>
      </c>
      <c r="BV360" s="43">
        <v>552</v>
      </c>
      <c r="BW360" s="43">
        <v>409</v>
      </c>
      <c r="BX360" s="43">
        <v>262</v>
      </c>
      <c r="BY360" s="43">
        <v>475</v>
      </c>
      <c r="BZ360" s="43">
        <v>253</v>
      </c>
      <c r="CA360" s="43">
        <v>514</v>
      </c>
      <c r="CB360" s="43">
        <v>384</v>
      </c>
      <c r="CC360" s="43">
        <v>282</v>
      </c>
      <c r="CD360" s="43">
        <v>495</v>
      </c>
      <c r="CE360" s="43">
        <v>258</v>
      </c>
      <c r="CF360" s="43">
        <v>417</v>
      </c>
      <c r="CG360" s="43">
        <v>411</v>
      </c>
      <c r="CH360" s="43">
        <v>224</v>
      </c>
      <c r="CI360" s="43">
        <v>181</v>
      </c>
      <c r="CJ360" s="43">
        <v>482</v>
      </c>
      <c r="CK360" s="43">
        <v>424</v>
      </c>
      <c r="CL360" s="43">
        <v>237</v>
      </c>
      <c r="CM360" s="43">
        <v>500</v>
      </c>
      <c r="CN360" s="43">
        <v>523</v>
      </c>
      <c r="CO360" s="43">
        <v>228</v>
      </c>
      <c r="CP360" s="43">
        <v>456</v>
      </c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43"/>
      <c r="FZ360" s="43"/>
      <c r="GA360" s="53"/>
      <c r="GB360" s="53"/>
      <c r="GC360" s="53"/>
      <c r="GD360" s="53"/>
      <c r="GE360" s="53"/>
      <c r="GF360" s="53"/>
      <c r="GG360" s="53"/>
      <c r="GH360" s="53"/>
      <c r="GI360" s="43"/>
      <c r="GJ360" s="43"/>
      <c r="GK360" s="43"/>
      <c r="GL360" s="43"/>
      <c r="GM360" s="53"/>
      <c r="GN360" s="53"/>
      <c r="GO360" s="43">
        <v>541</v>
      </c>
      <c r="GP360" s="43">
        <v>278</v>
      </c>
      <c r="GQ360" s="43">
        <v>570</v>
      </c>
      <c r="GR360" s="43">
        <v>248</v>
      </c>
    </row>
    <row r="361" spans="1:200">
      <c r="A361" s="7">
        <v>5919</v>
      </c>
      <c r="B361" s="1" t="s">
        <v>489</v>
      </c>
      <c r="C361" s="33">
        <v>905</v>
      </c>
      <c r="D361" s="34">
        <v>725</v>
      </c>
      <c r="E361" s="19">
        <f t="shared" si="5"/>
        <v>0.80110497237569056</v>
      </c>
      <c r="F361" s="62">
        <v>210</v>
      </c>
      <c r="G361" s="43">
        <v>4</v>
      </c>
      <c r="H361" s="43">
        <v>28</v>
      </c>
      <c r="I361" s="43">
        <v>9</v>
      </c>
      <c r="J361" s="55">
        <v>464</v>
      </c>
      <c r="K361" s="6">
        <v>0</v>
      </c>
      <c r="L361" s="6">
        <v>0</v>
      </c>
      <c r="M361" s="43">
        <v>0</v>
      </c>
      <c r="N361" s="25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  <c r="V361" s="43">
        <v>0</v>
      </c>
      <c r="W361" s="43">
        <v>1</v>
      </c>
      <c r="X361" s="43">
        <v>0</v>
      </c>
      <c r="Y361" s="43">
        <v>0</v>
      </c>
      <c r="Z361" s="43">
        <v>0</v>
      </c>
      <c r="AA361" s="44">
        <v>0</v>
      </c>
      <c r="AB361" s="44">
        <v>0</v>
      </c>
      <c r="AC361" s="44">
        <v>7</v>
      </c>
      <c r="AD361" s="44">
        <v>12</v>
      </c>
      <c r="AE361" s="44">
        <v>520</v>
      </c>
      <c r="AF361" s="44">
        <v>12</v>
      </c>
      <c r="AG361" s="44">
        <v>0</v>
      </c>
      <c r="AH361" s="44">
        <v>150</v>
      </c>
      <c r="AI361" s="44">
        <v>508</v>
      </c>
      <c r="AJ361" s="44">
        <v>0</v>
      </c>
      <c r="AK361" s="44">
        <v>0</v>
      </c>
      <c r="AL361" s="44">
        <v>189</v>
      </c>
      <c r="AM361" s="48"/>
      <c r="AN361" s="48"/>
      <c r="AO361" s="48"/>
      <c r="AP361" s="44">
        <v>201</v>
      </c>
      <c r="AQ361" s="44">
        <v>445</v>
      </c>
      <c r="AR361" s="51"/>
      <c r="AS361" s="51"/>
      <c r="AT361" s="51"/>
      <c r="AU361" s="51"/>
      <c r="AV361" s="43">
        <v>511</v>
      </c>
      <c r="AW361" s="50"/>
      <c r="AX361" s="50"/>
      <c r="AY361" s="50"/>
      <c r="AZ361" s="50"/>
      <c r="BA361" s="50"/>
      <c r="BB361" s="50"/>
      <c r="BC361" s="50"/>
      <c r="BD361" s="50"/>
      <c r="BE361" s="43">
        <v>382</v>
      </c>
      <c r="BF361" s="43">
        <v>288</v>
      </c>
      <c r="BG361" s="43">
        <v>471</v>
      </c>
      <c r="BH361" s="43">
        <v>208</v>
      </c>
      <c r="BI361" s="43">
        <v>480</v>
      </c>
      <c r="BJ361" s="43">
        <v>193</v>
      </c>
      <c r="BK361" s="43">
        <v>210</v>
      </c>
      <c r="BL361" s="43">
        <v>460</v>
      </c>
      <c r="BM361" s="43">
        <v>368</v>
      </c>
      <c r="BN361" s="43">
        <v>311</v>
      </c>
      <c r="BO361" s="43">
        <v>191</v>
      </c>
      <c r="BP361" s="43">
        <v>463</v>
      </c>
      <c r="BQ361" s="43">
        <v>501</v>
      </c>
      <c r="BR361" s="43">
        <v>158</v>
      </c>
      <c r="BS361" s="43">
        <v>504</v>
      </c>
      <c r="BT361" s="43">
        <v>337</v>
      </c>
      <c r="BU361" s="43">
        <v>309</v>
      </c>
      <c r="BV361" s="43">
        <v>460</v>
      </c>
      <c r="BW361" s="43">
        <v>327</v>
      </c>
      <c r="BX361" s="43">
        <v>217</v>
      </c>
      <c r="BY361" s="43">
        <v>411</v>
      </c>
      <c r="BZ361" s="43">
        <v>177</v>
      </c>
      <c r="CA361" s="43">
        <v>411</v>
      </c>
      <c r="CB361" s="43">
        <v>307</v>
      </c>
      <c r="CC361" s="43">
        <v>205</v>
      </c>
      <c r="CD361" s="43">
        <v>403</v>
      </c>
      <c r="CE361" s="43">
        <v>190</v>
      </c>
      <c r="CF361" s="43">
        <v>366</v>
      </c>
      <c r="CG361" s="43">
        <v>318</v>
      </c>
      <c r="CH361" s="43">
        <v>186</v>
      </c>
      <c r="CI361" s="43">
        <v>109</v>
      </c>
      <c r="CJ361" s="43">
        <v>426</v>
      </c>
      <c r="CK361" s="43">
        <v>296</v>
      </c>
      <c r="CL361" s="43">
        <v>229</v>
      </c>
      <c r="CM361" s="43">
        <v>407</v>
      </c>
      <c r="CN361" s="43">
        <v>403</v>
      </c>
      <c r="CO361" s="43">
        <v>161</v>
      </c>
      <c r="CP361" s="43">
        <v>364</v>
      </c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43"/>
      <c r="FZ361" s="43"/>
      <c r="GA361" s="53"/>
      <c r="GB361" s="53"/>
      <c r="GC361" s="53"/>
      <c r="GD361" s="53"/>
      <c r="GE361" s="53"/>
      <c r="GF361" s="53"/>
      <c r="GG361" s="53"/>
      <c r="GH361" s="53"/>
      <c r="GI361" s="43"/>
      <c r="GJ361" s="43"/>
      <c r="GK361" s="43"/>
      <c r="GL361" s="43"/>
      <c r="GM361" s="53"/>
      <c r="GN361" s="53"/>
      <c r="GO361" s="43">
        <v>483</v>
      </c>
      <c r="GP361" s="43">
        <v>223</v>
      </c>
      <c r="GQ361" s="43">
        <v>446</v>
      </c>
      <c r="GR361" s="43">
        <v>250</v>
      </c>
    </row>
    <row r="362" spans="1:200">
      <c r="A362" s="7">
        <v>5920</v>
      </c>
      <c r="B362" s="1" t="s">
        <v>490</v>
      </c>
      <c r="C362" s="33">
        <v>1210</v>
      </c>
      <c r="D362" s="34">
        <v>877</v>
      </c>
      <c r="E362" s="19">
        <f t="shared" si="5"/>
        <v>0.72479338842975205</v>
      </c>
      <c r="F362" s="62">
        <v>465</v>
      </c>
      <c r="G362" s="43">
        <v>3</v>
      </c>
      <c r="H362" s="43">
        <v>23</v>
      </c>
      <c r="I362" s="43">
        <v>6</v>
      </c>
      <c r="J362" s="55">
        <v>364</v>
      </c>
      <c r="K362" s="6">
        <v>0</v>
      </c>
      <c r="L362" s="6">
        <v>0</v>
      </c>
      <c r="M362" s="43">
        <v>2</v>
      </c>
      <c r="N362" s="25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  <c r="V362" s="43">
        <v>0</v>
      </c>
      <c r="W362" s="43">
        <v>3</v>
      </c>
      <c r="X362" s="43">
        <v>0</v>
      </c>
      <c r="Y362" s="43">
        <v>0</v>
      </c>
      <c r="Z362" s="43">
        <v>0</v>
      </c>
      <c r="AA362" s="44">
        <v>0</v>
      </c>
      <c r="AB362" s="44">
        <v>0</v>
      </c>
      <c r="AC362" s="44">
        <v>16</v>
      </c>
      <c r="AD362" s="44">
        <v>8</v>
      </c>
      <c r="AE362" s="44">
        <v>392</v>
      </c>
      <c r="AF362" s="44">
        <v>16</v>
      </c>
      <c r="AG362" s="44">
        <v>0</v>
      </c>
      <c r="AH362" s="44">
        <v>419</v>
      </c>
      <c r="AI362" s="44">
        <v>423</v>
      </c>
      <c r="AJ362" s="44">
        <v>0</v>
      </c>
      <c r="AK362" s="44">
        <v>0</v>
      </c>
      <c r="AL362" s="44">
        <v>429</v>
      </c>
      <c r="AM362" s="48"/>
      <c r="AN362" s="48"/>
      <c r="AO362" s="48"/>
      <c r="AP362" s="44">
        <v>461</v>
      </c>
      <c r="AQ362" s="44">
        <v>353</v>
      </c>
      <c r="AR362" s="51"/>
      <c r="AS362" s="51"/>
      <c r="AT362" s="51"/>
      <c r="AU362" s="51"/>
      <c r="AV362" s="43">
        <v>465</v>
      </c>
      <c r="AW362" s="50"/>
      <c r="AX362" s="50"/>
      <c r="AY362" s="50"/>
      <c r="AZ362" s="50"/>
      <c r="BA362" s="50"/>
      <c r="BB362" s="50"/>
      <c r="BC362" s="50"/>
      <c r="BD362" s="50"/>
      <c r="BE362" s="43">
        <v>300</v>
      </c>
      <c r="BF362" s="43">
        <v>523</v>
      </c>
      <c r="BG362" s="43">
        <v>375</v>
      </c>
      <c r="BH362" s="43">
        <v>463</v>
      </c>
      <c r="BI362" s="43">
        <v>400</v>
      </c>
      <c r="BJ362" s="43">
        <v>423</v>
      </c>
      <c r="BK362" s="43">
        <v>446</v>
      </c>
      <c r="BL362" s="43">
        <v>390</v>
      </c>
      <c r="BM362" s="43">
        <v>279</v>
      </c>
      <c r="BN362" s="43">
        <v>550</v>
      </c>
      <c r="BO362" s="43">
        <v>439</v>
      </c>
      <c r="BP362" s="43">
        <v>380</v>
      </c>
      <c r="BQ362" s="43">
        <v>374</v>
      </c>
      <c r="BR362" s="43">
        <v>441</v>
      </c>
      <c r="BS362" s="43">
        <v>495</v>
      </c>
      <c r="BT362" s="43">
        <v>283</v>
      </c>
      <c r="BU362" s="43">
        <v>534</v>
      </c>
      <c r="BV362" s="43">
        <v>485</v>
      </c>
      <c r="BW362" s="43">
        <v>341</v>
      </c>
      <c r="BX362" s="43">
        <v>343</v>
      </c>
      <c r="BY362" s="43">
        <v>411</v>
      </c>
      <c r="BZ362" s="43">
        <v>328</v>
      </c>
      <c r="CA362" s="43">
        <v>464</v>
      </c>
      <c r="CB362" s="43">
        <v>291</v>
      </c>
      <c r="CC362" s="43">
        <v>394</v>
      </c>
      <c r="CD362" s="43">
        <v>498</v>
      </c>
      <c r="CE362" s="43">
        <v>350</v>
      </c>
      <c r="CF362" s="43">
        <v>342</v>
      </c>
      <c r="CG362" s="43">
        <v>354</v>
      </c>
      <c r="CH362" s="43">
        <v>308</v>
      </c>
      <c r="CI362" s="43">
        <v>267</v>
      </c>
      <c r="CJ362" s="43">
        <v>414</v>
      </c>
      <c r="CK362" s="43">
        <v>378</v>
      </c>
      <c r="CL362" s="43">
        <v>318</v>
      </c>
      <c r="CM362" s="43">
        <v>448</v>
      </c>
      <c r="CN362" s="43">
        <v>463</v>
      </c>
      <c r="CO362" s="43">
        <v>320</v>
      </c>
      <c r="CP362" s="43">
        <v>378</v>
      </c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43"/>
      <c r="FZ362" s="43"/>
      <c r="GA362" s="53"/>
      <c r="GB362" s="53"/>
      <c r="GC362" s="53"/>
      <c r="GD362" s="53"/>
      <c r="GE362" s="53"/>
      <c r="GF362" s="53"/>
      <c r="GG362" s="53"/>
      <c r="GH362" s="53"/>
      <c r="GI362" s="43"/>
      <c r="GJ362" s="43"/>
      <c r="GK362" s="43"/>
      <c r="GL362" s="43"/>
      <c r="GM362" s="53"/>
      <c r="GN362" s="53"/>
      <c r="GO362" s="43">
        <v>517</v>
      </c>
      <c r="GP362" s="43">
        <v>323</v>
      </c>
      <c r="GQ362" s="43">
        <v>551</v>
      </c>
      <c r="GR362" s="43">
        <v>291</v>
      </c>
    </row>
    <row r="363" spans="1:200">
      <c r="A363" s="7">
        <v>5921</v>
      </c>
      <c r="B363" s="1" t="s">
        <v>491</v>
      </c>
      <c r="C363" s="33">
        <v>952</v>
      </c>
      <c r="D363" s="34">
        <v>758</v>
      </c>
      <c r="E363" s="19">
        <f t="shared" si="5"/>
        <v>0.79621848739495793</v>
      </c>
      <c r="F363" s="62">
        <v>313</v>
      </c>
      <c r="G363" s="43">
        <v>5</v>
      </c>
      <c r="H363" s="43">
        <v>22</v>
      </c>
      <c r="I363" s="43">
        <v>3</v>
      </c>
      <c r="J363" s="55">
        <v>400</v>
      </c>
      <c r="K363" s="6">
        <v>0</v>
      </c>
      <c r="L363" s="6">
        <v>0</v>
      </c>
      <c r="M363" s="43">
        <v>0</v>
      </c>
      <c r="N363" s="25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  <c r="V363" s="43">
        <v>0</v>
      </c>
      <c r="W363" s="43">
        <v>1</v>
      </c>
      <c r="X363" s="43">
        <v>0</v>
      </c>
      <c r="Y363" s="43">
        <v>0</v>
      </c>
      <c r="Z363" s="43">
        <v>0</v>
      </c>
      <c r="AA363" s="44">
        <v>0</v>
      </c>
      <c r="AB363" s="44">
        <v>0</v>
      </c>
      <c r="AC363" s="44">
        <v>12</v>
      </c>
      <c r="AD363" s="44">
        <v>10</v>
      </c>
      <c r="AE363" s="44">
        <v>440</v>
      </c>
      <c r="AF363" s="44">
        <v>4</v>
      </c>
      <c r="AG363" s="44">
        <v>0</v>
      </c>
      <c r="AH363" s="44">
        <v>264</v>
      </c>
      <c r="AI363" s="44">
        <v>426</v>
      </c>
      <c r="AJ363" s="44">
        <v>0</v>
      </c>
      <c r="AK363" s="44">
        <v>0</v>
      </c>
      <c r="AL363" s="44">
        <v>301</v>
      </c>
      <c r="AM363" s="48"/>
      <c r="AN363" s="48"/>
      <c r="AO363" s="48"/>
      <c r="AP363" s="44">
        <v>307</v>
      </c>
      <c r="AQ363" s="44">
        <v>380</v>
      </c>
      <c r="AR363" s="51"/>
      <c r="AS363" s="51"/>
      <c r="AT363" s="51"/>
      <c r="AU363" s="51"/>
      <c r="AV363" s="43">
        <v>489</v>
      </c>
      <c r="AW363" s="50"/>
      <c r="AX363" s="50"/>
      <c r="AY363" s="50"/>
      <c r="AZ363" s="50"/>
      <c r="BA363" s="50"/>
      <c r="BB363" s="50"/>
      <c r="BC363" s="50"/>
      <c r="BD363" s="50"/>
      <c r="BE363" s="43">
        <v>315</v>
      </c>
      <c r="BF363" s="43">
        <v>385</v>
      </c>
      <c r="BG363" s="43">
        <v>407</v>
      </c>
      <c r="BH363" s="43">
        <v>298</v>
      </c>
      <c r="BI363" s="43">
        <v>425</v>
      </c>
      <c r="BJ363" s="43">
        <v>286</v>
      </c>
      <c r="BK363" s="43">
        <v>313</v>
      </c>
      <c r="BL363" s="43">
        <v>406</v>
      </c>
      <c r="BM363" s="43">
        <v>312</v>
      </c>
      <c r="BN363" s="43">
        <v>393</v>
      </c>
      <c r="BO363" s="43">
        <v>294</v>
      </c>
      <c r="BP363" s="43">
        <v>400</v>
      </c>
      <c r="BQ363" s="43">
        <v>435</v>
      </c>
      <c r="BR363" s="43">
        <v>260</v>
      </c>
      <c r="BS363" s="43">
        <v>487</v>
      </c>
      <c r="BT363" s="43">
        <v>291</v>
      </c>
      <c r="BU363" s="43">
        <v>397</v>
      </c>
      <c r="BV363" s="43">
        <v>500</v>
      </c>
      <c r="BW363" s="43">
        <v>327</v>
      </c>
      <c r="BX363" s="43">
        <v>255</v>
      </c>
      <c r="BY363" s="43">
        <v>393</v>
      </c>
      <c r="BZ363" s="43">
        <v>236</v>
      </c>
      <c r="CA363" s="43">
        <v>463</v>
      </c>
      <c r="CB363" s="43">
        <v>274</v>
      </c>
      <c r="CC363" s="43">
        <v>292</v>
      </c>
      <c r="CD363" s="43">
        <v>449</v>
      </c>
      <c r="CE363" s="43">
        <v>250</v>
      </c>
      <c r="CF363" s="43">
        <v>345</v>
      </c>
      <c r="CG363" s="43">
        <v>324</v>
      </c>
      <c r="CH363" s="43">
        <v>235</v>
      </c>
      <c r="CI363" s="43">
        <v>163</v>
      </c>
      <c r="CJ363" s="43">
        <v>406</v>
      </c>
      <c r="CK363" s="43">
        <v>324</v>
      </c>
      <c r="CL363" s="43">
        <v>255</v>
      </c>
      <c r="CM363" s="43">
        <v>440</v>
      </c>
      <c r="CN363" s="43">
        <v>449</v>
      </c>
      <c r="CO363" s="43">
        <v>223</v>
      </c>
      <c r="CP363" s="43">
        <v>349</v>
      </c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43"/>
      <c r="FZ363" s="43"/>
      <c r="GA363" s="53"/>
      <c r="GB363" s="53"/>
      <c r="GC363" s="53"/>
      <c r="GD363" s="53"/>
      <c r="GE363" s="53"/>
      <c r="GF363" s="53"/>
      <c r="GG363" s="53"/>
      <c r="GH363" s="53"/>
      <c r="GI363" s="43"/>
      <c r="GJ363" s="43"/>
      <c r="GK363" s="43"/>
      <c r="GL363" s="43"/>
      <c r="GM363" s="53"/>
      <c r="GN363" s="53"/>
      <c r="GO363" s="43">
        <v>504</v>
      </c>
      <c r="GP363" s="43">
        <v>235</v>
      </c>
      <c r="GQ363" s="43">
        <v>521</v>
      </c>
      <c r="GR363" s="43">
        <v>215</v>
      </c>
    </row>
    <row r="364" spans="1:200">
      <c r="A364" s="7">
        <v>5922</v>
      </c>
      <c r="B364" s="1" t="s">
        <v>492</v>
      </c>
      <c r="C364" s="33">
        <v>1092</v>
      </c>
      <c r="D364" s="34">
        <v>781</v>
      </c>
      <c r="E364" s="19">
        <f t="shared" si="5"/>
        <v>0.71520146520146521</v>
      </c>
      <c r="F364" s="62">
        <v>297</v>
      </c>
      <c r="G364" s="43">
        <v>4</v>
      </c>
      <c r="H364" s="43">
        <v>20</v>
      </c>
      <c r="I364" s="43">
        <v>4</v>
      </c>
      <c r="J364" s="55">
        <v>441</v>
      </c>
      <c r="K364" s="6">
        <v>0</v>
      </c>
      <c r="L364" s="6">
        <v>0</v>
      </c>
      <c r="M364" s="43">
        <v>0</v>
      </c>
      <c r="N364" s="25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  <c r="V364" s="43">
        <v>0</v>
      </c>
      <c r="W364" s="43">
        <v>2</v>
      </c>
      <c r="X364" s="43">
        <v>0</v>
      </c>
      <c r="Y364" s="43">
        <v>0</v>
      </c>
      <c r="Z364" s="43">
        <v>0</v>
      </c>
      <c r="AA364" s="44">
        <v>0</v>
      </c>
      <c r="AB364" s="44">
        <v>0</v>
      </c>
      <c r="AC364" s="44">
        <v>15</v>
      </c>
      <c r="AD364" s="44">
        <v>15</v>
      </c>
      <c r="AE364" s="44">
        <v>483</v>
      </c>
      <c r="AF364" s="44">
        <v>20</v>
      </c>
      <c r="AG364" s="44">
        <v>0</v>
      </c>
      <c r="AH364" s="44">
        <v>222</v>
      </c>
      <c r="AI364" s="44">
        <v>505</v>
      </c>
      <c r="AJ364" s="44">
        <v>0</v>
      </c>
      <c r="AK364" s="44">
        <v>0</v>
      </c>
      <c r="AL364" s="44">
        <v>256</v>
      </c>
      <c r="AM364" s="48"/>
      <c r="AN364" s="48"/>
      <c r="AO364" s="48"/>
      <c r="AP364" s="44">
        <v>273</v>
      </c>
      <c r="AQ364" s="44">
        <v>431</v>
      </c>
      <c r="AR364" s="51"/>
      <c r="AS364" s="51"/>
      <c r="AT364" s="51"/>
      <c r="AU364" s="51"/>
      <c r="AV364" s="43">
        <v>518</v>
      </c>
      <c r="AW364" s="50"/>
      <c r="AX364" s="50"/>
      <c r="AY364" s="50"/>
      <c r="AZ364" s="50"/>
      <c r="BA364" s="50"/>
      <c r="BB364" s="50"/>
      <c r="BC364" s="50"/>
      <c r="BD364" s="50"/>
      <c r="BE364" s="43">
        <v>365</v>
      </c>
      <c r="BF364" s="43">
        <v>352</v>
      </c>
      <c r="BG364" s="43">
        <v>461</v>
      </c>
      <c r="BH364" s="43">
        <v>274</v>
      </c>
      <c r="BI364" s="43">
        <v>476</v>
      </c>
      <c r="BJ364" s="43">
        <v>255</v>
      </c>
      <c r="BK364" s="43">
        <v>287</v>
      </c>
      <c r="BL364" s="43">
        <v>443</v>
      </c>
      <c r="BM364" s="43">
        <v>335</v>
      </c>
      <c r="BN364" s="43">
        <v>400</v>
      </c>
      <c r="BO364" s="43">
        <v>255</v>
      </c>
      <c r="BP364" s="43">
        <v>463</v>
      </c>
      <c r="BQ364" s="43">
        <v>467</v>
      </c>
      <c r="BR364" s="43">
        <v>250</v>
      </c>
      <c r="BS364" s="43">
        <v>504</v>
      </c>
      <c r="BT364" s="43">
        <v>352</v>
      </c>
      <c r="BU364" s="43">
        <v>363</v>
      </c>
      <c r="BV364" s="43">
        <v>494</v>
      </c>
      <c r="BW364" s="43">
        <v>349</v>
      </c>
      <c r="BX364" s="43">
        <v>242</v>
      </c>
      <c r="BY364" s="43">
        <v>438</v>
      </c>
      <c r="BZ364" s="43">
        <v>206</v>
      </c>
      <c r="CA364" s="43">
        <v>449</v>
      </c>
      <c r="CB364" s="43">
        <v>337</v>
      </c>
      <c r="CC364" s="43">
        <v>247</v>
      </c>
      <c r="CD364" s="43">
        <v>443</v>
      </c>
      <c r="CE364" s="43">
        <v>219</v>
      </c>
      <c r="CF364" s="43">
        <v>379</v>
      </c>
      <c r="CG364" s="43">
        <v>359</v>
      </c>
      <c r="CH364" s="43">
        <v>190</v>
      </c>
      <c r="CI364" s="43">
        <v>148</v>
      </c>
      <c r="CJ364" s="43">
        <v>426</v>
      </c>
      <c r="CK364" s="43">
        <v>359</v>
      </c>
      <c r="CL364" s="43">
        <v>218</v>
      </c>
      <c r="CM364" s="43">
        <v>433</v>
      </c>
      <c r="CN364" s="43">
        <v>426</v>
      </c>
      <c r="CO364" s="43">
        <v>189</v>
      </c>
      <c r="CP364" s="43">
        <v>399</v>
      </c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43"/>
      <c r="FZ364" s="43"/>
      <c r="GA364" s="53"/>
      <c r="GB364" s="53"/>
      <c r="GC364" s="53"/>
      <c r="GD364" s="53"/>
      <c r="GE364" s="53"/>
      <c r="GF364" s="53"/>
      <c r="GG364" s="53"/>
      <c r="GH364" s="53"/>
      <c r="GI364" s="43"/>
      <c r="GJ364" s="43"/>
      <c r="GK364" s="43"/>
      <c r="GL364" s="43"/>
      <c r="GM364" s="53"/>
      <c r="GN364" s="53"/>
      <c r="GO364" s="43">
        <v>483</v>
      </c>
      <c r="GP364" s="43">
        <v>259</v>
      </c>
      <c r="GQ364" s="43">
        <v>450</v>
      </c>
      <c r="GR364" s="43">
        <v>290</v>
      </c>
    </row>
    <row r="365" spans="1:200">
      <c r="A365" s="7">
        <v>5923</v>
      </c>
      <c r="B365" s="1" t="s">
        <v>493</v>
      </c>
      <c r="C365" s="33">
        <v>748</v>
      </c>
      <c r="D365" s="34">
        <v>475</v>
      </c>
      <c r="E365" s="19">
        <f t="shared" si="5"/>
        <v>0.63502673796791442</v>
      </c>
      <c r="F365" s="62">
        <v>255</v>
      </c>
      <c r="G365" s="43">
        <v>2</v>
      </c>
      <c r="H365" s="43">
        <v>10</v>
      </c>
      <c r="I365" s="43">
        <v>9</v>
      </c>
      <c r="J365" s="55">
        <v>193</v>
      </c>
      <c r="K365" s="6">
        <v>0</v>
      </c>
      <c r="L365" s="6">
        <v>0</v>
      </c>
      <c r="M365" s="43">
        <v>0</v>
      </c>
      <c r="N365" s="25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  <c r="V365" s="43">
        <v>0</v>
      </c>
      <c r="W365" s="43">
        <v>3</v>
      </c>
      <c r="X365" s="43">
        <v>0</v>
      </c>
      <c r="Y365" s="43">
        <v>0</v>
      </c>
      <c r="Z365" s="43">
        <v>0</v>
      </c>
      <c r="AA365" s="44">
        <v>0</v>
      </c>
      <c r="AB365" s="44">
        <v>0</v>
      </c>
      <c r="AC365" s="44">
        <v>5</v>
      </c>
      <c r="AD365" s="44">
        <v>18</v>
      </c>
      <c r="AE365" s="44">
        <v>218</v>
      </c>
      <c r="AF365" s="44">
        <v>9</v>
      </c>
      <c r="AG365" s="44">
        <v>0</v>
      </c>
      <c r="AH365" s="44">
        <v>212</v>
      </c>
      <c r="AI365" s="44">
        <v>220</v>
      </c>
      <c r="AJ365" s="44">
        <v>2</v>
      </c>
      <c r="AK365" s="44">
        <v>0</v>
      </c>
      <c r="AL365" s="44">
        <v>244</v>
      </c>
      <c r="AM365" s="48"/>
      <c r="AN365" s="48"/>
      <c r="AO365" s="48"/>
      <c r="AP365" s="44">
        <v>264</v>
      </c>
      <c r="AQ365" s="44">
        <v>180</v>
      </c>
      <c r="AR365" s="51"/>
      <c r="AS365" s="51"/>
      <c r="AT365" s="51"/>
      <c r="AU365" s="51"/>
      <c r="AV365" s="43">
        <v>285</v>
      </c>
      <c r="AW365" s="50"/>
      <c r="AX365" s="50"/>
      <c r="AY365" s="50"/>
      <c r="AZ365" s="50"/>
      <c r="BA365" s="50"/>
      <c r="BB365" s="50"/>
      <c r="BC365" s="50"/>
      <c r="BD365" s="50"/>
      <c r="BE365" s="43">
        <v>153</v>
      </c>
      <c r="BF365" s="43">
        <v>296</v>
      </c>
      <c r="BG365" s="43">
        <v>206</v>
      </c>
      <c r="BH365" s="43">
        <v>249</v>
      </c>
      <c r="BI365" s="43">
        <v>237</v>
      </c>
      <c r="BJ365" s="43">
        <v>217</v>
      </c>
      <c r="BK365" s="43">
        <v>250</v>
      </c>
      <c r="BL365" s="43">
        <v>203</v>
      </c>
      <c r="BM365" s="43">
        <v>150</v>
      </c>
      <c r="BN365" s="43">
        <v>304</v>
      </c>
      <c r="BO365" s="43">
        <v>237</v>
      </c>
      <c r="BP365" s="43">
        <v>209</v>
      </c>
      <c r="BQ365" s="43">
        <v>215</v>
      </c>
      <c r="BR365" s="43">
        <v>236</v>
      </c>
      <c r="BS365" s="43">
        <v>296</v>
      </c>
      <c r="BT365" s="43">
        <v>156</v>
      </c>
      <c r="BU365" s="43">
        <v>292</v>
      </c>
      <c r="BV365" s="43">
        <v>308</v>
      </c>
      <c r="BW365" s="43">
        <v>183</v>
      </c>
      <c r="BX365" s="43">
        <v>204</v>
      </c>
      <c r="BY365" s="43">
        <v>230</v>
      </c>
      <c r="BZ365" s="43">
        <v>192</v>
      </c>
      <c r="CA365" s="43">
        <v>292</v>
      </c>
      <c r="CB365" s="43">
        <v>159</v>
      </c>
      <c r="CC365" s="43">
        <v>223</v>
      </c>
      <c r="CD365" s="43">
        <v>289</v>
      </c>
      <c r="CE365" s="43">
        <v>202</v>
      </c>
      <c r="CF365" s="43">
        <v>180</v>
      </c>
      <c r="CG365" s="43">
        <v>176</v>
      </c>
      <c r="CH365" s="43">
        <v>193</v>
      </c>
      <c r="CI365" s="43">
        <v>128</v>
      </c>
      <c r="CJ365" s="43">
        <v>240</v>
      </c>
      <c r="CK365" s="43">
        <v>215</v>
      </c>
      <c r="CL365" s="43">
        <v>169</v>
      </c>
      <c r="CM365" s="43">
        <v>285</v>
      </c>
      <c r="CN365" s="43">
        <v>294</v>
      </c>
      <c r="CO365" s="43">
        <v>153</v>
      </c>
      <c r="CP365" s="43">
        <v>235</v>
      </c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43"/>
      <c r="FZ365" s="43"/>
      <c r="GA365" s="53"/>
      <c r="GB365" s="53"/>
      <c r="GC365" s="53"/>
      <c r="GD365" s="53"/>
      <c r="GE365" s="53"/>
      <c r="GF365" s="53"/>
      <c r="GG365" s="53"/>
      <c r="GH365" s="53"/>
      <c r="GI365" s="43"/>
      <c r="GJ365" s="43"/>
      <c r="GK365" s="43"/>
      <c r="GL365" s="43"/>
      <c r="GM365" s="53"/>
      <c r="GN365" s="53"/>
      <c r="GO365" s="43">
        <v>296</v>
      </c>
      <c r="GP365" s="43">
        <v>165</v>
      </c>
      <c r="GQ365" s="43">
        <v>317</v>
      </c>
      <c r="GR365" s="43">
        <v>144</v>
      </c>
    </row>
    <row r="366" spans="1:200">
      <c r="A366" s="7">
        <v>5924</v>
      </c>
      <c r="B366" s="1" t="s">
        <v>494</v>
      </c>
      <c r="C366" s="33">
        <v>1039</v>
      </c>
      <c r="D366" s="34">
        <v>712</v>
      </c>
      <c r="E366" s="19">
        <f t="shared" si="5"/>
        <v>0.68527430221366703</v>
      </c>
      <c r="F366" s="62">
        <v>305</v>
      </c>
      <c r="G366" s="43">
        <v>3</v>
      </c>
      <c r="H366" s="43">
        <v>22</v>
      </c>
      <c r="I366" s="43">
        <v>6</v>
      </c>
      <c r="J366" s="55">
        <v>355</v>
      </c>
      <c r="K366" s="6">
        <v>0</v>
      </c>
      <c r="L366" s="6">
        <v>0</v>
      </c>
      <c r="M366" s="43">
        <v>0</v>
      </c>
      <c r="N366" s="25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  <c r="V366" s="43">
        <v>0</v>
      </c>
      <c r="W366" s="43">
        <v>1</v>
      </c>
      <c r="X366" s="43">
        <v>0</v>
      </c>
      <c r="Y366" s="43">
        <v>0</v>
      </c>
      <c r="Z366" s="43">
        <v>0</v>
      </c>
      <c r="AA366" s="44">
        <v>0</v>
      </c>
      <c r="AB366" s="44">
        <v>0</v>
      </c>
      <c r="AC366" s="44">
        <v>9</v>
      </c>
      <c r="AD366" s="44">
        <v>12</v>
      </c>
      <c r="AE366" s="44">
        <v>396</v>
      </c>
      <c r="AF366" s="44">
        <v>7</v>
      </c>
      <c r="AG366" s="44">
        <v>0</v>
      </c>
      <c r="AH366" s="44">
        <v>256</v>
      </c>
      <c r="AI366" s="44">
        <v>395</v>
      </c>
      <c r="AJ366" s="44">
        <v>0</v>
      </c>
      <c r="AK366" s="44">
        <v>0</v>
      </c>
      <c r="AL366" s="44">
        <v>292</v>
      </c>
      <c r="AM366" s="48"/>
      <c r="AN366" s="48"/>
      <c r="AO366" s="48"/>
      <c r="AP366" s="44">
        <v>303</v>
      </c>
      <c r="AQ366" s="44">
        <v>332</v>
      </c>
      <c r="AR366" s="51"/>
      <c r="AS366" s="51"/>
      <c r="AT366" s="51"/>
      <c r="AU366" s="51"/>
      <c r="AV366" s="43">
        <v>413</v>
      </c>
      <c r="AW366" s="50"/>
      <c r="AX366" s="50"/>
      <c r="AY366" s="50"/>
      <c r="AZ366" s="50"/>
      <c r="BA366" s="50"/>
      <c r="BB366" s="50"/>
      <c r="BC366" s="50"/>
      <c r="BD366" s="50"/>
      <c r="BE366" s="43">
        <v>285</v>
      </c>
      <c r="BF366" s="43">
        <v>364</v>
      </c>
      <c r="BG366" s="43">
        <v>371</v>
      </c>
      <c r="BH366" s="43">
        <v>291</v>
      </c>
      <c r="BI366" s="43">
        <v>377</v>
      </c>
      <c r="BJ366" s="43">
        <v>269</v>
      </c>
      <c r="BK366" s="43">
        <v>311</v>
      </c>
      <c r="BL366" s="43">
        <v>343</v>
      </c>
      <c r="BM366" s="43">
        <v>279</v>
      </c>
      <c r="BN366" s="43">
        <v>383</v>
      </c>
      <c r="BO366" s="43">
        <v>295</v>
      </c>
      <c r="BP366" s="43">
        <v>337</v>
      </c>
      <c r="BQ366" s="43">
        <v>378</v>
      </c>
      <c r="BR366" s="43">
        <v>256</v>
      </c>
      <c r="BS366" s="43">
        <v>425</v>
      </c>
      <c r="BT366" s="43">
        <v>258</v>
      </c>
      <c r="BU366" s="43">
        <v>374</v>
      </c>
      <c r="BV366" s="43">
        <v>424</v>
      </c>
      <c r="BW366" s="43">
        <v>307</v>
      </c>
      <c r="BX366" s="43">
        <v>228</v>
      </c>
      <c r="BY366" s="43">
        <v>379</v>
      </c>
      <c r="BZ366" s="43">
        <v>205</v>
      </c>
      <c r="CA366" s="43">
        <v>402</v>
      </c>
      <c r="CB366" s="43">
        <v>282</v>
      </c>
      <c r="CC366" s="43">
        <v>240</v>
      </c>
      <c r="CD366" s="43">
        <v>390</v>
      </c>
      <c r="CE366" s="43">
        <v>233</v>
      </c>
      <c r="CF366" s="43">
        <v>303</v>
      </c>
      <c r="CG366" s="43">
        <v>305</v>
      </c>
      <c r="CH366" s="43">
        <v>193</v>
      </c>
      <c r="CI366" s="43">
        <v>145</v>
      </c>
      <c r="CJ366" s="43">
        <v>389</v>
      </c>
      <c r="CK366" s="43">
        <v>306</v>
      </c>
      <c r="CL366" s="43">
        <v>213</v>
      </c>
      <c r="CM366" s="43">
        <v>385</v>
      </c>
      <c r="CN366" s="43">
        <v>394</v>
      </c>
      <c r="CO366" s="43">
        <v>210</v>
      </c>
      <c r="CP366" s="43">
        <v>326</v>
      </c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43"/>
      <c r="FZ366" s="43"/>
      <c r="GA366" s="53"/>
      <c r="GB366" s="53"/>
      <c r="GC366" s="53"/>
      <c r="GD366" s="53"/>
      <c r="GE366" s="53"/>
      <c r="GF366" s="53"/>
      <c r="GG366" s="53"/>
      <c r="GH366" s="53"/>
      <c r="GI366" s="43"/>
      <c r="GJ366" s="43"/>
      <c r="GK366" s="43"/>
      <c r="GL366" s="43"/>
      <c r="GM366" s="53"/>
      <c r="GN366" s="53"/>
      <c r="GO366" s="43">
        <v>439</v>
      </c>
      <c r="GP366" s="43">
        <v>223</v>
      </c>
      <c r="GQ366" s="43">
        <v>441</v>
      </c>
      <c r="GR366" s="43">
        <v>221</v>
      </c>
    </row>
    <row r="367" spans="1:200">
      <c r="A367" s="7">
        <v>5925</v>
      </c>
      <c r="B367" s="1" t="s">
        <v>495</v>
      </c>
      <c r="C367" s="33">
        <v>1238</v>
      </c>
      <c r="D367" s="34">
        <v>905</v>
      </c>
      <c r="E367" s="19">
        <f t="shared" si="5"/>
        <v>0.73101777059773831</v>
      </c>
      <c r="F367" s="62">
        <v>451</v>
      </c>
      <c r="G367" s="43">
        <v>4</v>
      </c>
      <c r="H367" s="43">
        <v>23</v>
      </c>
      <c r="I367" s="43">
        <v>13</v>
      </c>
      <c r="J367" s="55">
        <v>400</v>
      </c>
      <c r="K367" s="6">
        <v>0</v>
      </c>
      <c r="L367" s="6">
        <v>0</v>
      </c>
      <c r="M367" s="43">
        <v>0</v>
      </c>
      <c r="N367" s="25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  <c r="V367" s="43">
        <v>0</v>
      </c>
      <c r="W367" s="43">
        <v>0</v>
      </c>
      <c r="X367" s="43">
        <v>0</v>
      </c>
      <c r="Y367" s="43">
        <v>0</v>
      </c>
      <c r="Z367" s="43">
        <v>0</v>
      </c>
      <c r="AA367" s="44">
        <v>0</v>
      </c>
      <c r="AB367" s="44">
        <v>0</v>
      </c>
      <c r="AC367" s="44">
        <v>10</v>
      </c>
      <c r="AD367" s="44">
        <v>15</v>
      </c>
      <c r="AE367" s="44">
        <v>432</v>
      </c>
      <c r="AF367" s="44">
        <v>14</v>
      </c>
      <c r="AG367" s="44">
        <v>0</v>
      </c>
      <c r="AH367" s="44">
        <v>413</v>
      </c>
      <c r="AI367" s="44">
        <v>458</v>
      </c>
      <c r="AJ367" s="44">
        <v>0</v>
      </c>
      <c r="AK367" s="44">
        <v>0</v>
      </c>
      <c r="AL367" s="44">
        <v>423</v>
      </c>
      <c r="AM367" s="48"/>
      <c r="AN367" s="48"/>
      <c r="AO367" s="48"/>
      <c r="AP367" s="44">
        <v>460</v>
      </c>
      <c r="AQ367" s="44">
        <v>376</v>
      </c>
      <c r="AR367" s="51"/>
      <c r="AS367" s="51"/>
      <c r="AT367" s="51"/>
      <c r="AU367" s="51"/>
      <c r="AV367" s="43">
        <v>510</v>
      </c>
      <c r="AW367" s="50"/>
      <c r="AX367" s="50"/>
      <c r="AY367" s="50"/>
      <c r="AZ367" s="50"/>
      <c r="BA367" s="50"/>
      <c r="BB367" s="50"/>
      <c r="BC367" s="50"/>
      <c r="BD367" s="50"/>
      <c r="BE367" s="43">
        <v>333</v>
      </c>
      <c r="BF367" s="43">
        <v>514</v>
      </c>
      <c r="BG367" s="43">
        <v>406</v>
      </c>
      <c r="BH367" s="43">
        <v>457</v>
      </c>
      <c r="BI367" s="43">
        <v>430</v>
      </c>
      <c r="BJ367" s="43">
        <v>430</v>
      </c>
      <c r="BK367" s="43">
        <v>445</v>
      </c>
      <c r="BL367" s="43">
        <v>415</v>
      </c>
      <c r="BM367" s="43">
        <v>326</v>
      </c>
      <c r="BN367" s="43">
        <v>543</v>
      </c>
      <c r="BO367" s="43">
        <v>437</v>
      </c>
      <c r="BP367" s="43">
        <v>407</v>
      </c>
      <c r="BQ367" s="43">
        <v>423</v>
      </c>
      <c r="BR367" s="43">
        <v>429</v>
      </c>
      <c r="BS367" s="43">
        <v>521</v>
      </c>
      <c r="BT367" s="43">
        <v>316</v>
      </c>
      <c r="BU367" s="43">
        <v>516</v>
      </c>
      <c r="BV367" s="43">
        <v>532</v>
      </c>
      <c r="BW367" s="43">
        <v>355</v>
      </c>
      <c r="BX367" s="43">
        <v>347</v>
      </c>
      <c r="BY367" s="43">
        <v>424</v>
      </c>
      <c r="BZ367" s="43">
        <v>345</v>
      </c>
      <c r="CA367" s="43">
        <v>476</v>
      </c>
      <c r="CB367" s="43">
        <v>304</v>
      </c>
      <c r="CC367" s="43">
        <v>391</v>
      </c>
      <c r="CD367" s="43">
        <v>498</v>
      </c>
      <c r="CE367" s="43">
        <v>380</v>
      </c>
      <c r="CF367" s="43">
        <v>320</v>
      </c>
      <c r="CG367" s="43">
        <v>312</v>
      </c>
      <c r="CH367" s="43">
        <v>348</v>
      </c>
      <c r="CI367" s="43">
        <v>276</v>
      </c>
      <c r="CJ367" s="43">
        <v>410</v>
      </c>
      <c r="CK367" s="43">
        <v>375</v>
      </c>
      <c r="CL367" s="43">
        <v>325</v>
      </c>
      <c r="CM367" s="43">
        <v>460</v>
      </c>
      <c r="CN367" s="43">
        <v>480</v>
      </c>
      <c r="CO367" s="43">
        <v>329</v>
      </c>
      <c r="CP367" s="43">
        <v>367</v>
      </c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43"/>
      <c r="FZ367" s="43"/>
      <c r="GA367" s="53"/>
      <c r="GB367" s="53"/>
      <c r="GC367" s="53"/>
      <c r="GD367" s="53"/>
      <c r="GE367" s="53"/>
      <c r="GF367" s="53"/>
      <c r="GG367" s="53"/>
      <c r="GH367" s="53"/>
      <c r="GI367" s="43"/>
      <c r="GJ367" s="43"/>
      <c r="GK367" s="43"/>
      <c r="GL367" s="43"/>
      <c r="GM367" s="53"/>
      <c r="GN367" s="53"/>
      <c r="GO367" s="43">
        <v>518</v>
      </c>
      <c r="GP367" s="43">
        <v>340</v>
      </c>
      <c r="GQ367" s="43">
        <v>537</v>
      </c>
      <c r="GR367" s="43">
        <v>331</v>
      </c>
    </row>
    <row r="368" spans="1:200">
      <c r="A368" s="7">
        <v>5926</v>
      </c>
      <c r="B368" s="1" t="s">
        <v>496</v>
      </c>
      <c r="C368" s="33">
        <v>1241</v>
      </c>
      <c r="D368" s="34">
        <v>875</v>
      </c>
      <c r="E368" s="19">
        <f t="shared" si="5"/>
        <v>0.70507655116841261</v>
      </c>
      <c r="F368" s="62">
        <v>458</v>
      </c>
      <c r="G368" s="43">
        <v>9</v>
      </c>
      <c r="H368" s="43">
        <v>20</v>
      </c>
      <c r="I368" s="43">
        <v>5</v>
      </c>
      <c r="J368" s="55">
        <v>370</v>
      </c>
      <c r="K368" s="6">
        <v>0</v>
      </c>
      <c r="L368" s="6">
        <v>0</v>
      </c>
      <c r="M368" s="43">
        <v>1</v>
      </c>
      <c r="N368" s="25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  <c r="V368" s="43">
        <v>0</v>
      </c>
      <c r="W368" s="43">
        <v>0</v>
      </c>
      <c r="X368" s="43">
        <v>0</v>
      </c>
      <c r="Y368" s="43">
        <v>0</v>
      </c>
      <c r="Z368" s="43">
        <v>0</v>
      </c>
      <c r="AA368" s="44">
        <v>0</v>
      </c>
      <c r="AB368" s="44">
        <v>0</v>
      </c>
      <c r="AC368" s="44">
        <v>17</v>
      </c>
      <c r="AD368" s="44">
        <v>11</v>
      </c>
      <c r="AE368" s="44">
        <v>387</v>
      </c>
      <c r="AF368" s="44">
        <v>12</v>
      </c>
      <c r="AG368" s="44">
        <v>0</v>
      </c>
      <c r="AH368" s="44">
        <v>415</v>
      </c>
      <c r="AI368" s="44">
        <v>392</v>
      </c>
      <c r="AJ368" s="44">
        <v>0</v>
      </c>
      <c r="AK368" s="44">
        <v>0</v>
      </c>
      <c r="AL368" s="44">
        <v>449</v>
      </c>
      <c r="AM368" s="48"/>
      <c r="AN368" s="48"/>
      <c r="AO368" s="48"/>
      <c r="AP368" s="44">
        <v>475</v>
      </c>
      <c r="AQ368" s="44">
        <v>320</v>
      </c>
      <c r="AR368" s="51"/>
      <c r="AS368" s="51"/>
      <c r="AT368" s="51"/>
      <c r="AU368" s="51"/>
      <c r="AV368" s="43">
        <v>472</v>
      </c>
      <c r="AW368" s="50"/>
      <c r="AX368" s="50"/>
      <c r="AY368" s="50"/>
      <c r="AZ368" s="50"/>
      <c r="BA368" s="50"/>
      <c r="BB368" s="50"/>
      <c r="BC368" s="50"/>
      <c r="BD368" s="50"/>
      <c r="BE368" s="43">
        <v>277</v>
      </c>
      <c r="BF368" s="43">
        <v>529</v>
      </c>
      <c r="BG368" s="43">
        <v>350</v>
      </c>
      <c r="BH368" s="43">
        <v>459</v>
      </c>
      <c r="BI368" s="43">
        <v>412</v>
      </c>
      <c r="BJ368" s="43">
        <v>396</v>
      </c>
      <c r="BK368" s="43">
        <v>445</v>
      </c>
      <c r="BL368" s="43">
        <v>368</v>
      </c>
      <c r="BM368" s="43">
        <v>251</v>
      </c>
      <c r="BN368" s="43">
        <v>561</v>
      </c>
      <c r="BO368" s="43">
        <v>438</v>
      </c>
      <c r="BP368" s="43">
        <v>353</v>
      </c>
      <c r="BQ368" s="43">
        <v>393</v>
      </c>
      <c r="BR368" s="43">
        <v>409</v>
      </c>
      <c r="BS368" s="43">
        <v>485</v>
      </c>
      <c r="BT368" s="43">
        <v>285</v>
      </c>
      <c r="BU368" s="43">
        <v>507</v>
      </c>
      <c r="BV368" s="43">
        <v>510</v>
      </c>
      <c r="BW368" s="43">
        <v>323</v>
      </c>
      <c r="BX368" s="43">
        <v>328</v>
      </c>
      <c r="BY368" s="43">
        <v>401</v>
      </c>
      <c r="BZ368" s="43">
        <v>316</v>
      </c>
      <c r="CA368" s="43">
        <v>476</v>
      </c>
      <c r="CB368" s="43">
        <v>292</v>
      </c>
      <c r="CC368" s="43">
        <v>354</v>
      </c>
      <c r="CD368" s="43">
        <v>494</v>
      </c>
      <c r="CE368" s="43">
        <v>370</v>
      </c>
      <c r="CF368" s="43">
        <v>297</v>
      </c>
      <c r="CG368" s="43">
        <v>321</v>
      </c>
      <c r="CH368" s="43">
        <v>290</v>
      </c>
      <c r="CI368" s="43">
        <v>237</v>
      </c>
      <c r="CJ368" s="43">
        <v>416</v>
      </c>
      <c r="CK368" s="43">
        <v>384</v>
      </c>
      <c r="CL368" s="43">
        <v>283</v>
      </c>
      <c r="CM368" s="43">
        <v>453</v>
      </c>
      <c r="CN368" s="43">
        <v>476</v>
      </c>
      <c r="CO368" s="43">
        <v>312</v>
      </c>
      <c r="CP368" s="43">
        <v>349</v>
      </c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43"/>
      <c r="FZ368" s="43"/>
      <c r="GA368" s="53"/>
      <c r="GB368" s="53"/>
      <c r="GC368" s="53"/>
      <c r="GD368" s="53"/>
      <c r="GE368" s="53"/>
      <c r="GF368" s="53"/>
      <c r="GG368" s="53"/>
      <c r="GH368" s="53"/>
      <c r="GI368" s="43"/>
      <c r="GJ368" s="43"/>
      <c r="GK368" s="43"/>
      <c r="GL368" s="43"/>
      <c r="GM368" s="53"/>
      <c r="GN368" s="53"/>
      <c r="GO368" s="43">
        <v>523</v>
      </c>
      <c r="GP368" s="43">
        <v>294</v>
      </c>
      <c r="GQ368" s="43">
        <v>549</v>
      </c>
      <c r="GR368" s="43">
        <v>276</v>
      </c>
    </row>
    <row r="369" spans="1:200">
      <c r="A369" s="7">
        <v>5927</v>
      </c>
      <c r="B369" s="1" t="s">
        <v>497</v>
      </c>
      <c r="C369" s="33">
        <v>1171</v>
      </c>
      <c r="D369" s="34">
        <v>996</v>
      </c>
      <c r="E369" s="19">
        <f t="shared" si="5"/>
        <v>0.85055508112724165</v>
      </c>
      <c r="F369" s="62">
        <v>193</v>
      </c>
      <c r="G369" s="43">
        <v>2</v>
      </c>
      <c r="H369" s="43">
        <v>38</v>
      </c>
      <c r="I369" s="43">
        <v>4</v>
      </c>
      <c r="J369" s="55">
        <v>726</v>
      </c>
      <c r="K369" s="6">
        <v>0</v>
      </c>
      <c r="L369" s="6">
        <v>0</v>
      </c>
      <c r="M369" s="43">
        <v>0</v>
      </c>
      <c r="N369" s="25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  <c r="V369" s="43">
        <v>0</v>
      </c>
      <c r="W369" s="43">
        <v>6</v>
      </c>
      <c r="X369" s="43">
        <v>0</v>
      </c>
      <c r="Y369" s="43">
        <v>0</v>
      </c>
      <c r="Z369" s="43">
        <v>0</v>
      </c>
      <c r="AA369" s="44">
        <v>0</v>
      </c>
      <c r="AB369" s="44">
        <v>0</v>
      </c>
      <c r="AC369" s="44">
        <v>7</v>
      </c>
      <c r="AD369" s="44">
        <v>8</v>
      </c>
      <c r="AE369" s="44">
        <v>821</v>
      </c>
      <c r="AF369" s="44">
        <v>4</v>
      </c>
      <c r="AG369" s="44">
        <v>0</v>
      </c>
      <c r="AH369" s="44">
        <v>121</v>
      </c>
      <c r="AI369" s="44">
        <v>818</v>
      </c>
      <c r="AJ369" s="44">
        <v>0</v>
      </c>
      <c r="AK369" s="44">
        <v>0</v>
      </c>
      <c r="AL369" s="44">
        <v>146</v>
      </c>
      <c r="AM369" s="48"/>
      <c r="AN369" s="48"/>
      <c r="AO369" s="48"/>
      <c r="AP369" s="44">
        <v>147</v>
      </c>
      <c r="AQ369" s="44">
        <v>758</v>
      </c>
      <c r="AR369" s="51"/>
      <c r="AS369" s="51"/>
      <c r="AT369" s="51"/>
      <c r="AU369" s="51"/>
      <c r="AV369" s="43">
        <v>734</v>
      </c>
      <c r="AW369" s="50"/>
      <c r="AX369" s="50"/>
      <c r="AY369" s="50"/>
      <c r="AZ369" s="50"/>
      <c r="BA369" s="50"/>
      <c r="BB369" s="50"/>
      <c r="BC369" s="50"/>
      <c r="BD369" s="50"/>
      <c r="BE369" s="43">
        <v>650</v>
      </c>
      <c r="BF369" s="43">
        <v>266</v>
      </c>
      <c r="BG369" s="43">
        <v>771</v>
      </c>
      <c r="BH369" s="43">
        <v>173</v>
      </c>
      <c r="BI369" s="43">
        <v>766</v>
      </c>
      <c r="BJ369" s="43">
        <v>160</v>
      </c>
      <c r="BK369" s="43">
        <v>216</v>
      </c>
      <c r="BL369" s="43">
        <v>706</v>
      </c>
      <c r="BM369" s="43">
        <v>542</v>
      </c>
      <c r="BN369" s="43">
        <v>388</v>
      </c>
      <c r="BO369" s="43">
        <v>154</v>
      </c>
      <c r="BP369" s="43">
        <v>748</v>
      </c>
      <c r="BQ369" s="43">
        <v>790</v>
      </c>
      <c r="BR369" s="43">
        <v>118</v>
      </c>
      <c r="BS369" s="43">
        <v>722</v>
      </c>
      <c r="BT369" s="43">
        <v>511</v>
      </c>
      <c r="BU369" s="43">
        <v>375</v>
      </c>
      <c r="BV369" s="43">
        <v>647</v>
      </c>
      <c r="BW369" s="43">
        <v>502</v>
      </c>
      <c r="BX369" s="43">
        <v>217</v>
      </c>
      <c r="BY369" s="43">
        <v>630</v>
      </c>
      <c r="BZ369" s="43">
        <v>173</v>
      </c>
      <c r="CA369" s="43">
        <v>570</v>
      </c>
      <c r="CB369" s="43">
        <v>524</v>
      </c>
      <c r="CC369" s="43">
        <v>174</v>
      </c>
      <c r="CD369" s="43">
        <v>509</v>
      </c>
      <c r="CE369" s="43">
        <v>177</v>
      </c>
      <c r="CF369" s="43">
        <v>574</v>
      </c>
      <c r="CG369" s="43">
        <v>472</v>
      </c>
      <c r="CH369" s="43">
        <v>201</v>
      </c>
      <c r="CI369" s="43">
        <v>97</v>
      </c>
      <c r="CJ369" s="43">
        <v>618</v>
      </c>
      <c r="CK369" s="43">
        <v>483</v>
      </c>
      <c r="CL369" s="43">
        <v>217</v>
      </c>
      <c r="CM369" s="43">
        <v>547</v>
      </c>
      <c r="CN369" s="43">
        <v>533</v>
      </c>
      <c r="CO369" s="43">
        <v>131</v>
      </c>
      <c r="CP369" s="43">
        <v>593</v>
      </c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43"/>
      <c r="FZ369" s="43"/>
      <c r="GA369" s="53"/>
      <c r="GB369" s="53"/>
      <c r="GC369" s="53"/>
      <c r="GD369" s="53"/>
      <c r="GE369" s="53"/>
      <c r="GF369" s="53"/>
      <c r="GG369" s="53"/>
      <c r="GH369" s="53"/>
      <c r="GI369" s="43"/>
      <c r="GJ369" s="43"/>
      <c r="GK369" s="43"/>
      <c r="GL369" s="43"/>
      <c r="GM369" s="53"/>
      <c r="GN369" s="53"/>
      <c r="GO369" s="43">
        <v>632</v>
      </c>
      <c r="GP369" s="43">
        <v>320</v>
      </c>
      <c r="GQ369" s="43">
        <v>600</v>
      </c>
      <c r="GR369" s="43">
        <v>344</v>
      </c>
    </row>
    <row r="370" spans="1:200">
      <c r="A370" s="7">
        <v>5928</v>
      </c>
      <c r="B370" s="1" t="s">
        <v>498</v>
      </c>
      <c r="C370" s="33">
        <v>987</v>
      </c>
      <c r="D370" s="34">
        <v>834</v>
      </c>
      <c r="E370" s="19">
        <f t="shared" si="5"/>
        <v>0.84498480243161089</v>
      </c>
      <c r="F370" s="62">
        <v>160</v>
      </c>
      <c r="G370" s="43">
        <v>2</v>
      </c>
      <c r="H370" s="43">
        <v>29</v>
      </c>
      <c r="I370" s="43">
        <v>9</v>
      </c>
      <c r="J370" s="55">
        <v>613</v>
      </c>
      <c r="K370" s="6">
        <v>0</v>
      </c>
      <c r="L370" s="6">
        <v>0</v>
      </c>
      <c r="M370" s="43">
        <v>0</v>
      </c>
      <c r="N370" s="25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1</v>
      </c>
      <c r="U370" s="43">
        <v>0</v>
      </c>
      <c r="V370" s="43">
        <v>0</v>
      </c>
      <c r="W370" s="43">
        <v>4</v>
      </c>
      <c r="X370" s="43">
        <v>0</v>
      </c>
      <c r="Y370" s="43">
        <v>0</v>
      </c>
      <c r="Z370" s="43">
        <v>0</v>
      </c>
      <c r="AA370" s="44">
        <v>0</v>
      </c>
      <c r="AB370" s="44">
        <v>0</v>
      </c>
      <c r="AC370" s="44">
        <v>6</v>
      </c>
      <c r="AD370" s="44">
        <v>9</v>
      </c>
      <c r="AE370" s="44">
        <v>668</v>
      </c>
      <c r="AF370" s="44">
        <v>11</v>
      </c>
      <c r="AG370" s="44">
        <v>0</v>
      </c>
      <c r="AH370" s="44">
        <v>116</v>
      </c>
      <c r="AI370" s="44">
        <v>679</v>
      </c>
      <c r="AJ370" s="44">
        <v>0</v>
      </c>
      <c r="AK370" s="44">
        <v>0</v>
      </c>
      <c r="AL370" s="44">
        <v>133</v>
      </c>
      <c r="AM370" s="48"/>
      <c r="AN370" s="48"/>
      <c r="AO370" s="48"/>
      <c r="AP370" s="44">
        <v>152</v>
      </c>
      <c r="AQ370" s="44">
        <v>617</v>
      </c>
      <c r="AR370" s="51"/>
      <c r="AS370" s="51"/>
      <c r="AT370" s="51"/>
      <c r="AU370" s="51"/>
      <c r="AV370" s="43">
        <v>608</v>
      </c>
      <c r="AW370" s="50"/>
      <c r="AX370" s="50"/>
      <c r="AY370" s="50"/>
      <c r="AZ370" s="50"/>
      <c r="BA370" s="50"/>
      <c r="BB370" s="50"/>
      <c r="BC370" s="50"/>
      <c r="BD370" s="50"/>
      <c r="BE370" s="43">
        <v>518</v>
      </c>
      <c r="BF370" s="43">
        <v>249</v>
      </c>
      <c r="BG370" s="43">
        <v>632</v>
      </c>
      <c r="BH370" s="43">
        <v>160</v>
      </c>
      <c r="BI370" s="43">
        <v>614</v>
      </c>
      <c r="BJ370" s="43">
        <v>162</v>
      </c>
      <c r="BK370" s="43">
        <v>213</v>
      </c>
      <c r="BL370" s="43">
        <v>578</v>
      </c>
      <c r="BM370" s="43">
        <v>425</v>
      </c>
      <c r="BN370" s="43">
        <v>363</v>
      </c>
      <c r="BO370" s="43">
        <v>165</v>
      </c>
      <c r="BP370" s="43">
        <v>593</v>
      </c>
      <c r="BQ370" s="43">
        <v>637</v>
      </c>
      <c r="BR370" s="43">
        <v>130</v>
      </c>
      <c r="BS370" s="43">
        <v>601</v>
      </c>
      <c r="BT370" s="43">
        <v>440</v>
      </c>
      <c r="BU370" s="43">
        <v>300</v>
      </c>
      <c r="BV370" s="43">
        <v>527</v>
      </c>
      <c r="BW370" s="43">
        <v>448</v>
      </c>
      <c r="BX370" s="43">
        <v>187</v>
      </c>
      <c r="BY370" s="43">
        <v>549</v>
      </c>
      <c r="BZ370" s="43">
        <v>138</v>
      </c>
      <c r="CA370" s="43">
        <v>496</v>
      </c>
      <c r="CB370" s="43">
        <v>443</v>
      </c>
      <c r="CC370" s="43">
        <v>160</v>
      </c>
      <c r="CD370" s="43">
        <v>447</v>
      </c>
      <c r="CE370" s="43">
        <v>156</v>
      </c>
      <c r="CF370" s="43">
        <v>483</v>
      </c>
      <c r="CG370" s="43">
        <v>431</v>
      </c>
      <c r="CH370" s="43">
        <v>148</v>
      </c>
      <c r="CI370" s="43">
        <v>93</v>
      </c>
      <c r="CJ370" s="43">
        <v>514</v>
      </c>
      <c r="CK370" s="43">
        <v>432</v>
      </c>
      <c r="CL370" s="43">
        <v>163</v>
      </c>
      <c r="CM370" s="43">
        <v>479</v>
      </c>
      <c r="CN370" s="43">
        <v>474</v>
      </c>
      <c r="CO370" s="43">
        <v>155</v>
      </c>
      <c r="CP370" s="43">
        <v>463</v>
      </c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43"/>
      <c r="FZ370" s="43"/>
      <c r="GA370" s="53"/>
      <c r="GB370" s="53"/>
      <c r="GC370" s="53"/>
      <c r="GD370" s="53"/>
      <c r="GE370" s="53"/>
      <c r="GF370" s="53"/>
      <c r="GG370" s="53"/>
      <c r="GH370" s="53"/>
      <c r="GI370" s="43"/>
      <c r="GJ370" s="43"/>
      <c r="GK370" s="43"/>
      <c r="GL370" s="43"/>
      <c r="GM370" s="53"/>
      <c r="GN370" s="53"/>
      <c r="GO370" s="43">
        <v>504</v>
      </c>
      <c r="GP370" s="43">
        <v>311</v>
      </c>
      <c r="GQ370" s="43">
        <v>484</v>
      </c>
      <c r="GR370" s="43">
        <v>322</v>
      </c>
    </row>
    <row r="371" spans="1:200">
      <c r="A371" s="7">
        <v>5929</v>
      </c>
      <c r="B371" s="1" t="s">
        <v>499</v>
      </c>
      <c r="C371" s="33">
        <v>1240</v>
      </c>
      <c r="D371" s="34">
        <v>701</v>
      </c>
      <c r="E371" s="19">
        <f t="shared" si="5"/>
        <v>0.56532258064516128</v>
      </c>
      <c r="F371" s="62">
        <v>393</v>
      </c>
      <c r="G371" s="43">
        <v>1</v>
      </c>
      <c r="H371" s="43">
        <v>13</v>
      </c>
      <c r="I371" s="43">
        <v>4</v>
      </c>
      <c r="J371" s="55">
        <v>274</v>
      </c>
      <c r="K371" s="6">
        <v>0</v>
      </c>
      <c r="L371" s="6">
        <v>0</v>
      </c>
      <c r="M371" s="43">
        <v>0</v>
      </c>
      <c r="N371" s="25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  <c r="V371" s="43">
        <v>0</v>
      </c>
      <c r="W371" s="43">
        <v>2</v>
      </c>
      <c r="X371" s="43">
        <v>0</v>
      </c>
      <c r="Y371" s="43">
        <v>0</v>
      </c>
      <c r="Z371" s="43">
        <v>0</v>
      </c>
      <c r="AA371" s="44">
        <v>0</v>
      </c>
      <c r="AB371" s="44">
        <v>0</v>
      </c>
      <c r="AC371" s="44">
        <v>7</v>
      </c>
      <c r="AD371" s="44">
        <v>14</v>
      </c>
      <c r="AE371" s="44">
        <v>293</v>
      </c>
      <c r="AF371" s="44">
        <v>20</v>
      </c>
      <c r="AG371" s="44">
        <v>0</v>
      </c>
      <c r="AH371" s="44">
        <v>336</v>
      </c>
      <c r="AI371" s="44">
        <v>297</v>
      </c>
      <c r="AJ371" s="44">
        <v>0</v>
      </c>
      <c r="AK371" s="44">
        <v>0</v>
      </c>
      <c r="AL371" s="44">
        <v>368</v>
      </c>
      <c r="AM371" s="48"/>
      <c r="AN371" s="48"/>
      <c r="AO371" s="48"/>
      <c r="AP371" s="44">
        <v>386</v>
      </c>
      <c r="AQ371" s="44">
        <v>245</v>
      </c>
      <c r="AR371" s="51"/>
      <c r="AS371" s="51"/>
      <c r="AT371" s="51"/>
      <c r="AU371" s="51"/>
      <c r="AV371" s="43">
        <v>387</v>
      </c>
      <c r="AW371" s="50"/>
      <c r="AX371" s="50"/>
      <c r="AY371" s="50"/>
      <c r="AZ371" s="50"/>
      <c r="BA371" s="50"/>
      <c r="BB371" s="50"/>
      <c r="BC371" s="50"/>
      <c r="BD371" s="50"/>
      <c r="BE371" s="43">
        <v>206</v>
      </c>
      <c r="BF371" s="43">
        <v>439</v>
      </c>
      <c r="BG371" s="43">
        <v>288</v>
      </c>
      <c r="BH371" s="43">
        <v>367</v>
      </c>
      <c r="BI371" s="43">
        <v>324</v>
      </c>
      <c r="BJ371" s="43">
        <v>327</v>
      </c>
      <c r="BK371" s="43">
        <v>358</v>
      </c>
      <c r="BL371" s="43">
        <v>298</v>
      </c>
      <c r="BM371" s="43">
        <v>211</v>
      </c>
      <c r="BN371" s="43">
        <v>437</v>
      </c>
      <c r="BO371" s="43">
        <v>354</v>
      </c>
      <c r="BP371" s="43">
        <v>284</v>
      </c>
      <c r="BQ371" s="43">
        <v>275</v>
      </c>
      <c r="BR371" s="43">
        <v>367</v>
      </c>
      <c r="BS371" s="43">
        <v>409</v>
      </c>
      <c r="BT371" s="43">
        <v>211</v>
      </c>
      <c r="BU371" s="43">
        <v>418</v>
      </c>
      <c r="BV371" s="43">
        <v>436</v>
      </c>
      <c r="BW371" s="43">
        <v>284</v>
      </c>
      <c r="BX371" s="43">
        <v>264</v>
      </c>
      <c r="BY371" s="43">
        <v>333</v>
      </c>
      <c r="BZ371" s="43">
        <v>254</v>
      </c>
      <c r="CA371" s="43">
        <v>399</v>
      </c>
      <c r="CB371" s="43">
        <v>227</v>
      </c>
      <c r="CC371" s="43">
        <v>306</v>
      </c>
      <c r="CD371" s="43">
        <v>402</v>
      </c>
      <c r="CE371" s="43">
        <v>276</v>
      </c>
      <c r="CF371" s="43">
        <v>274</v>
      </c>
      <c r="CG371" s="43">
        <v>244</v>
      </c>
      <c r="CH371" s="43">
        <v>259</v>
      </c>
      <c r="CI371" s="43">
        <v>173</v>
      </c>
      <c r="CJ371" s="43">
        <v>358</v>
      </c>
      <c r="CK371" s="43">
        <v>309</v>
      </c>
      <c r="CL371" s="43">
        <v>231</v>
      </c>
      <c r="CM371" s="43">
        <v>400</v>
      </c>
      <c r="CN371" s="43">
        <v>397</v>
      </c>
      <c r="CO371" s="43">
        <v>213</v>
      </c>
      <c r="CP371" s="43">
        <v>318</v>
      </c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43"/>
      <c r="FZ371" s="43"/>
      <c r="GA371" s="53"/>
      <c r="GB371" s="53"/>
      <c r="GC371" s="53"/>
      <c r="GD371" s="53"/>
      <c r="GE371" s="53"/>
      <c r="GF371" s="53"/>
      <c r="GG371" s="53"/>
      <c r="GH371" s="53"/>
      <c r="GI371" s="43"/>
      <c r="GJ371" s="43"/>
      <c r="GK371" s="43"/>
      <c r="GL371" s="43"/>
      <c r="GM371" s="53"/>
      <c r="GN371" s="53"/>
      <c r="GO371" s="43">
        <v>424</v>
      </c>
      <c r="GP371" s="43">
        <v>234</v>
      </c>
      <c r="GQ371" s="43">
        <v>456</v>
      </c>
      <c r="GR371" s="43">
        <v>208</v>
      </c>
    </row>
    <row r="372" spans="1:200">
      <c r="A372" s="7">
        <v>5930</v>
      </c>
      <c r="B372" s="1" t="s">
        <v>500</v>
      </c>
      <c r="C372" s="33">
        <v>966</v>
      </c>
      <c r="D372" s="34">
        <v>660</v>
      </c>
      <c r="E372" s="19">
        <f t="shared" si="5"/>
        <v>0.68322981366459623</v>
      </c>
      <c r="F372" s="62">
        <v>542</v>
      </c>
      <c r="G372" s="43">
        <v>1</v>
      </c>
      <c r="H372" s="43">
        <v>13</v>
      </c>
      <c r="I372" s="43">
        <v>6</v>
      </c>
      <c r="J372" s="55">
        <v>94</v>
      </c>
      <c r="K372" s="6">
        <v>0</v>
      </c>
      <c r="L372" s="6">
        <v>0</v>
      </c>
      <c r="M372" s="43">
        <v>0</v>
      </c>
      <c r="N372" s="25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  <c r="V372" s="43">
        <v>0</v>
      </c>
      <c r="W372" s="43">
        <v>0</v>
      </c>
      <c r="X372" s="43">
        <v>0</v>
      </c>
      <c r="Y372" s="43">
        <v>0</v>
      </c>
      <c r="Z372" s="43">
        <v>0</v>
      </c>
      <c r="AA372" s="44">
        <v>0</v>
      </c>
      <c r="AB372" s="44">
        <v>0</v>
      </c>
      <c r="AC372" s="44">
        <v>10</v>
      </c>
      <c r="AD372" s="44">
        <v>13</v>
      </c>
      <c r="AE372" s="44">
        <v>134</v>
      </c>
      <c r="AF372" s="44">
        <v>12</v>
      </c>
      <c r="AG372" s="44">
        <v>0</v>
      </c>
      <c r="AH372" s="44">
        <v>476</v>
      </c>
      <c r="AI372" s="44">
        <v>131</v>
      </c>
      <c r="AJ372" s="44">
        <v>0</v>
      </c>
      <c r="AK372" s="44">
        <v>0</v>
      </c>
      <c r="AL372" s="44">
        <v>512</v>
      </c>
      <c r="AM372" s="48"/>
      <c r="AN372" s="48"/>
      <c r="AO372" s="48"/>
      <c r="AP372" s="44">
        <v>527</v>
      </c>
      <c r="AQ372" s="44">
        <v>94</v>
      </c>
      <c r="AR372" s="51"/>
      <c r="AS372" s="51"/>
      <c r="AT372" s="51"/>
      <c r="AU372" s="51"/>
      <c r="AV372" s="43">
        <v>207</v>
      </c>
      <c r="AW372" s="50"/>
      <c r="AX372" s="50"/>
      <c r="AY372" s="50"/>
      <c r="AZ372" s="50"/>
      <c r="BA372" s="50"/>
      <c r="BB372" s="50"/>
      <c r="BC372" s="50"/>
      <c r="BD372" s="50"/>
      <c r="BE372" s="43">
        <v>88</v>
      </c>
      <c r="BF372" s="43">
        <v>532</v>
      </c>
      <c r="BG372" s="43">
        <v>109</v>
      </c>
      <c r="BH372" s="43">
        <v>508</v>
      </c>
      <c r="BI372" s="43">
        <v>129</v>
      </c>
      <c r="BJ372" s="43">
        <v>492</v>
      </c>
      <c r="BK372" s="43">
        <v>489</v>
      </c>
      <c r="BL372" s="43">
        <v>127</v>
      </c>
      <c r="BM372" s="43">
        <v>87</v>
      </c>
      <c r="BN372" s="43">
        <v>545</v>
      </c>
      <c r="BO372" s="43">
        <v>505</v>
      </c>
      <c r="BP372" s="43">
        <v>112</v>
      </c>
      <c r="BQ372" s="43">
        <v>125</v>
      </c>
      <c r="BR372" s="43">
        <v>501</v>
      </c>
      <c r="BS372" s="43">
        <v>225</v>
      </c>
      <c r="BT372" s="43">
        <v>89</v>
      </c>
      <c r="BU372" s="43">
        <v>527</v>
      </c>
      <c r="BV372" s="43">
        <v>310</v>
      </c>
      <c r="BW372" s="43">
        <v>199</v>
      </c>
      <c r="BX372" s="43">
        <v>313</v>
      </c>
      <c r="BY372" s="43">
        <v>200</v>
      </c>
      <c r="BZ372" s="43">
        <v>359</v>
      </c>
      <c r="CA372" s="43">
        <v>275</v>
      </c>
      <c r="CB372" s="43">
        <v>120</v>
      </c>
      <c r="CC372" s="43">
        <v>394</v>
      </c>
      <c r="CD372" s="43">
        <v>345</v>
      </c>
      <c r="CE372" s="43">
        <v>357</v>
      </c>
      <c r="CF372" s="43">
        <v>157</v>
      </c>
      <c r="CG372" s="43">
        <v>175</v>
      </c>
      <c r="CH372" s="43">
        <v>299</v>
      </c>
      <c r="CI372" s="43">
        <v>266</v>
      </c>
      <c r="CJ372" s="43">
        <v>247</v>
      </c>
      <c r="CK372" s="43">
        <v>226</v>
      </c>
      <c r="CL372" s="43">
        <v>304</v>
      </c>
      <c r="CM372" s="43">
        <v>289</v>
      </c>
      <c r="CN372" s="43">
        <v>320</v>
      </c>
      <c r="CO372" s="43">
        <v>296</v>
      </c>
      <c r="CP372" s="43">
        <v>238</v>
      </c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43"/>
      <c r="FZ372" s="43"/>
      <c r="GA372" s="53"/>
      <c r="GB372" s="53"/>
      <c r="GC372" s="53"/>
      <c r="GD372" s="53"/>
      <c r="GE372" s="53"/>
      <c r="GF372" s="53"/>
      <c r="GG372" s="53"/>
      <c r="GH372" s="53"/>
      <c r="GI372" s="43"/>
      <c r="GJ372" s="43"/>
      <c r="GK372" s="43"/>
      <c r="GL372" s="43"/>
      <c r="GM372" s="53"/>
      <c r="GN372" s="53"/>
      <c r="GO372" s="43">
        <v>380</v>
      </c>
      <c r="GP372" s="43">
        <v>235</v>
      </c>
      <c r="GQ372" s="43">
        <v>442</v>
      </c>
      <c r="GR372" s="43">
        <v>176</v>
      </c>
    </row>
    <row r="373" spans="1:200">
      <c r="A373" s="7">
        <v>5931</v>
      </c>
      <c r="B373" s="1" t="s">
        <v>501</v>
      </c>
      <c r="C373" s="33">
        <v>1145</v>
      </c>
      <c r="D373" s="34">
        <v>873</v>
      </c>
      <c r="E373" s="19">
        <f t="shared" si="5"/>
        <v>0.76244541484716155</v>
      </c>
      <c r="F373" s="62">
        <v>332</v>
      </c>
      <c r="G373" s="43">
        <v>1</v>
      </c>
      <c r="H373" s="43">
        <v>17</v>
      </c>
      <c r="I373" s="43">
        <v>4</v>
      </c>
      <c r="J373" s="55">
        <v>507</v>
      </c>
      <c r="K373" s="6">
        <v>0</v>
      </c>
      <c r="L373" s="6">
        <v>0</v>
      </c>
      <c r="M373" s="43">
        <v>0</v>
      </c>
      <c r="N373" s="25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  <c r="V373" s="43">
        <v>0</v>
      </c>
      <c r="W373" s="43">
        <v>0</v>
      </c>
      <c r="X373" s="43">
        <v>0</v>
      </c>
      <c r="Y373" s="43">
        <v>0</v>
      </c>
      <c r="Z373" s="43">
        <v>0</v>
      </c>
      <c r="AA373" s="44">
        <v>0</v>
      </c>
      <c r="AB373" s="44">
        <v>0</v>
      </c>
      <c r="AC373" s="44">
        <v>6</v>
      </c>
      <c r="AD373" s="44">
        <v>14</v>
      </c>
      <c r="AE373" s="44">
        <v>531</v>
      </c>
      <c r="AF373" s="44">
        <v>17</v>
      </c>
      <c r="AG373" s="44">
        <v>0</v>
      </c>
      <c r="AH373" s="44">
        <v>282</v>
      </c>
      <c r="AI373" s="44">
        <v>526</v>
      </c>
      <c r="AJ373" s="44">
        <v>0</v>
      </c>
      <c r="AK373" s="44">
        <v>0</v>
      </c>
      <c r="AL373" s="44">
        <v>318</v>
      </c>
      <c r="AM373" s="48"/>
      <c r="AN373" s="48"/>
      <c r="AO373" s="48"/>
      <c r="AP373" s="44">
        <v>338</v>
      </c>
      <c r="AQ373" s="44">
        <v>452</v>
      </c>
      <c r="AR373" s="51"/>
      <c r="AS373" s="51"/>
      <c r="AT373" s="51"/>
      <c r="AU373" s="51"/>
      <c r="AV373" s="43">
        <v>547</v>
      </c>
      <c r="AW373" s="50"/>
      <c r="AX373" s="50"/>
      <c r="AY373" s="50"/>
      <c r="AZ373" s="50"/>
      <c r="BA373" s="50"/>
      <c r="BB373" s="50"/>
      <c r="BC373" s="50"/>
      <c r="BD373" s="50"/>
      <c r="BE373" s="43">
        <v>410</v>
      </c>
      <c r="BF373" s="43">
        <v>392</v>
      </c>
      <c r="BG373" s="43">
        <v>504</v>
      </c>
      <c r="BH373" s="43">
        <v>313</v>
      </c>
      <c r="BI373" s="43">
        <v>520</v>
      </c>
      <c r="BJ373" s="43">
        <v>294</v>
      </c>
      <c r="BK373" s="43">
        <v>331</v>
      </c>
      <c r="BL373" s="43">
        <v>482</v>
      </c>
      <c r="BM373" s="43">
        <v>387</v>
      </c>
      <c r="BN373" s="43">
        <v>429</v>
      </c>
      <c r="BO373" s="43">
        <v>317</v>
      </c>
      <c r="BP373" s="43">
        <v>469</v>
      </c>
      <c r="BQ373" s="43">
        <v>519</v>
      </c>
      <c r="BR373" s="43">
        <v>281</v>
      </c>
      <c r="BS373" s="43">
        <v>562</v>
      </c>
      <c r="BT373" s="43">
        <v>375</v>
      </c>
      <c r="BU373" s="43">
        <v>416</v>
      </c>
      <c r="BV373" s="43">
        <v>552</v>
      </c>
      <c r="BW373" s="43">
        <v>402</v>
      </c>
      <c r="BX373" s="43">
        <v>268</v>
      </c>
      <c r="BY373" s="43">
        <v>480</v>
      </c>
      <c r="BZ373" s="43">
        <v>229</v>
      </c>
      <c r="CA373" s="43">
        <v>503</v>
      </c>
      <c r="CB373" s="43">
        <v>339</v>
      </c>
      <c r="CC373" s="43">
        <v>299</v>
      </c>
      <c r="CD373" s="43">
        <v>468</v>
      </c>
      <c r="CE373" s="43">
        <v>259</v>
      </c>
      <c r="CF373" s="43">
        <v>397</v>
      </c>
      <c r="CG373" s="43">
        <v>359</v>
      </c>
      <c r="CH373" s="43">
        <v>257</v>
      </c>
      <c r="CI373" s="43">
        <v>153</v>
      </c>
      <c r="CJ373" s="43">
        <v>490</v>
      </c>
      <c r="CK373" s="43">
        <v>381</v>
      </c>
      <c r="CL373" s="43">
        <v>263</v>
      </c>
      <c r="CM373" s="43">
        <v>483</v>
      </c>
      <c r="CN373" s="43">
        <v>494</v>
      </c>
      <c r="CO373" s="43">
        <v>239</v>
      </c>
      <c r="CP373" s="43">
        <v>419</v>
      </c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43"/>
      <c r="FZ373" s="43"/>
      <c r="GA373" s="53"/>
      <c r="GB373" s="53"/>
      <c r="GC373" s="53"/>
      <c r="GD373" s="53"/>
      <c r="GE373" s="53"/>
      <c r="GF373" s="53"/>
      <c r="GG373" s="53"/>
      <c r="GH373" s="53"/>
      <c r="GI373" s="43"/>
      <c r="GJ373" s="43"/>
      <c r="GK373" s="43"/>
      <c r="GL373" s="43"/>
      <c r="GM373" s="53"/>
      <c r="GN373" s="53"/>
      <c r="GO373" s="43">
        <v>539</v>
      </c>
      <c r="GP373" s="43">
        <v>281</v>
      </c>
      <c r="GQ373" s="43">
        <v>570</v>
      </c>
      <c r="GR373" s="43">
        <v>252</v>
      </c>
    </row>
    <row r="374" spans="1:200">
      <c r="A374" s="7">
        <v>5932</v>
      </c>
      <c r="B374" s="1" t="s">
        <v>502</v>
      </c>
      <c r="C374" s="33">
        <v>487</v>
      </c>
      <c r="D374" s="34">
        <v>361</v>
      </c>
      <c r="E374" s="19">
        <f t="shared" si="5"/>
        <v>0.74127310061601648</v>
      </c>
      <c r="F374" s="62">
        <v>128</v>
      </c>
      <c r="G374" s="43">
        <v>0</v>
      </c>
      <c r="H374" s="43">
        <v>9</v>
      </c>
      <c r="I374" s="43">
        <v>2</v>
      </c>
      <c r="J374" s="55">
        <v>219</v>
      </c>
      <c r="K374" s="6">
        <v>0</v>
      </c>
      <c r="L374" s="6">
        <v>0</v>
      </c>
      <c r="M374" s="43">
        <v>0</v>
      </c>
      <c r="N374" s="25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  <c r="V374" s="43">
        <v>0</v>
      </c>
      <c r="W374" s="43">
        <v>1</v>
      </c>
      <c r="X374" s="43">
        <v>0</v>
      </c>
      <c r="Y374" s="43">
        <v>0</v>
      </c>
      <c r="Z374" s="43">
        <v>0</v>
      </c>
      <c r="AA374" s="44">
        <v>0</v>
      </c>
      <c r="AB374" s="44">
        <v>0</v>
      </c>
      <c r="AC374" s="44">
        <v>9</v>
      </c>
      <c r="AD374" s="44">
        <v>10</v>
      </c>
      <c r="AE374" s="44">
        <v>240</v>
      </c>
      <c r="AF374" s="44">
        <v>2</v>
      </c>
      <c r="AG374" s="44">
        <v>0</v>
      </c>
      <c r="AH374" s="44">
        <v>92</v>
      </c>
      <c r="AI374" s="44">
        <v>248</v>
      </c>
      <c r="AJ374" s="44">
        <v>0</v>
      </c>
      <c r="AK374" s="44">
        <v>0</v>
      </c>
      <c r="AL374" s="44">
        <v>96</v>
      </c>
      <c r="AM374" s="48"/>
      <c r="AN374" s="48"/>
      <c r="AO374" s="48"/>
      <c r="AP374" s="44">
        <v>107</v>
      </c>
      <c r="AQ374" s="44">
        <v>216</v>
      </c>
      <c r="AR374" s="51"/>
      <c r="AS374" s="51"/>
      <c r="AT374" s="51"/>
      <c r="AU374" s="51"/>
      <c r="AV374" s="43">
        <v>246</v>
      </c>
      <c r="AW374" s="50"/>
      <c r="AX374" s="50"/>
      <c r="AY374" s="50"/>
      <c r="AZ374" s="50"/>
      <c r="BA374" s="50"/>
      <c r="BB374" s="50"/>
      <c r="BC374" s="50"/>
      <c r="BD374" s="50"/>
      <c r="BE374" s="43">
        <v>181</v>
      </c>
      <c r="BF374" s="43">
        <v>152</v>
      </c>
      <c r="BG374" s="43">
        <v>229</v>
      </c>
      <c r="BH374" s="43">
        <v>110</v>
      </c>
      <c r="BI374" s="43">
        <v>234</v>
      </c>
      <c r="BJ374" s="43">
        <v>98</v>
      </c>
      <c r="BK374" s="43">
        <v>112</v>
      </c>
      <c r="BL374" s="43">
        <v>223</v>
      </c>
      <c r="BM374" s="43">
        <v>177</v>
      </c>
      <c r="BN374" s="43">
        <v>165</v>
      </c>
      <c r="BO374" s="43">
        <v>104</v>
      </c>
      <c r="BP374" s="43">
        <v>222</v>
      </c>
      <c r="BQ374" s="43">
        <v>233</v>
      </c>
      <c r="BR374" s="43">
        <v>96</v>
      </c>
      <c r="BS374" s="43">
        <v>253</v>
      </c>
      <c r="BT374" s="43">
        <v>171</v>
      </c>
      <c r="BU374" s="43">
        <v>152</v>
      </c>
      <c r="BV374" s="43">
        <v>241</v>
      </c>
      <c r="BW374" s="43">
        <v>162</v>
      </c>
      <c r="BX374" s="43">
        <v>105</v>
      </c>
      <c r="BY374" s="43">
        <v>222</v>
      </c>
      <c r="BZ374" s="43">
        <v>73</v>
      </c>
      <c r="CA374" s="43">
        <v>223</v>
      </c>
      <c r="CB374" s="43">
        <v>159</v>
      </c>
      <c r="CC374" s="43">
        <v>104</v>
      </c>
      <c r="CD374" s="43">
        <v>202</v>
      </c>
      <c r="CE374" s="43">
        <v>98</v>
      </c>
      <c r="CF374" s="43">
        <v>171</v>
      </c>
      <c r="CG374" s="43">
        <v>171</v>
      </c>
      <c r="CH374" s="43">
        <v>73</v>
      </c>
      <c r="CI374" s="43">
        <v>59</v>
      </c>
      <c r="CJ374" s="43">
        <v>201</v>
      </c>
      <c r="CK374" s="43">
        <v>170</v>
      </c>
      <c r="CL374" s="43">
        <v>88</v>
      </c>
      <c r="CM374" s="43">
        <v>208</v>
      </c>
      <c r="CN374" s="43">
        <v>215</v>
      </c>
      <c r="CO374" s="43">
        <v>70</v>
      </c>
      <c r="CP374" s="43">
        <v>192</v>
      </c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43"/>
      <c r="FZ374" s="43"/>
      <c r="GA374" s="53"/>
      <c r="GB374" s="53"/>
      <c r="GC374" s="53"/>
      <c r="GD374" s="53"/>
      <c r="GE374" s="53"/>
      <c r="GF374" s="53"/>
      <c r="GG374" s="53"/>
      <c r="GH374" s="53"/>
      <c r="GI374" s="43"/>
      <c r="GJ374" s="43"/>
      <c r="GK374" s="43"/>
      <c r="GL374" s="43"/>
      <c r="GM374" s="53"/>
      <c r="GN374" s="53"/>
      <c r="GO374" s="43">
        <v>228</v>
      </c>
      <c r="GP374" s="43">
        <v>112</v>
      </c>
      <c r="GQ374" s="43">
        <v>223</v>
      </c>
      <c r="GR374" s="43">
        <v>121</v>
      </c>
    </row>
    <row r="375" spans="1:200">
      <c r="A375" s="7">
        <v>5933</v>
      </c>
      <c r="B375" s="1" t="s">
        <v>503</v>
      </c>
      <c r="C375" s="33">
        <v>1126</v>
      </c>
      <c r="D375" s="34">
        <v>849</v>
      </c>
      <c r="E375" s="19">
        <f t="shared" si="5"/>
        <v>0.75399644760213147</v>
      </c>
      <c r="F375" s="62">
        <v>397</v>
      </c>
      <c r="G375" s="43">
        <v>2</v>
      </c>
      <c r="H375" s="43">
        <v>26</v>
      </c>
      <c r="I375" s="43">
        <v>7</v>
      </c>
      <c r="J375" s="55">
        <v>404</v>
      </c>
      <c r="K375" s="6">
        <v>0</v>
      </c>
      <c r="L375" s="6">
        <v>0</v>
      </c>
      <c r="M375" s="43">
        <v>0</v>
      </c>
      <c r="N375" s="25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  <c r="V375" s="43">
        <v>0</v>
      </c>
      <c r="W375" s="43">
        <v>2</v>
      </c>
      <c r="X375" s="43">
        <v>0</v>
      </c>
      <c r="Y375" s="43">
        <v>0</v>
      </c>
      <c r="Z375" s="43">
        <v>0</v>
      </c>
      <c r="AA375" s="44">
        <v>0</v>
      </c>
      <c r="AB375" s="44">
        <v>0</v>
      </c>
      <c r="AC375" s="44">
        <v>14</v>
      </c>
      <c r="AD375" s="44">
        <v>12</v>
      </c>
      <c r="AE375" s="44">
        <v>457</v>
      </c>
      <c r="AF375" s="44">
        <v>11</v>
      </c>
      <c r="AG375" s="44">
        <v>0</v>
      </c>
      <c r="AH375" s="44">
        <v>318</v>
      </c>
      <c r="AI375" s="44">
        <v>454</v>
      </c>
      <c r="AJ375" s="44">
        <v>0</v>
      </c>
      <c r="AK375" s="44">
        <v>0</v>
      </c>
      <c r="AL375" s="44">
        <v>363</v>
      </c>
      <c r="AM375" s="48"/>
      <c r="AN375" s="48"/>
      <c r="AO375" s="48"/>
      <c r="AP375" s="44">
        <v>390</v>
      </c>
      <c r="AQ375" s="44">
        <v>379</v>
      </c>
      <c r="AR375" s="51"/>
      <c r="AS375" s="51"/>
      <c r="AT375" s="51"/>
      <c r="AU375" s="51"/>
      <c r="AV375" s="43">
        <v>505</v>
      </c>
      <c r="AW375" s="50"/>
      <c r="AX375" s="50"/>
      <c r="AY375" s="50"/>
      <c r="AZ375" s="50"/>
      <c r="BA375" s="50"/>
      <c r="BB375" s="50"/>
      <c r="BC375" s="50"/>
      <c r="BD375" s="50"/>
      <c r="BE375" s="43">
        <v>313</v>
      </c>
      <c r="BF375" s="43">
        <v>484</v>
      </c>
      <c r="BG375" s="43">
        <v>408</v>
      </c>
      <c r="BH375" s="43">
        <v>388</v>
      </c>
      <c r="BI375" s="43">
        <v>454</v>
      </c>
      <c r="BJ375" s="43">
        <v>344</v>
      </c>
      <c r="BK375" s="43">
        <v>394</v>
      </c>
      <c r="BL375" s="43">
        <v>397</v>
      </c>
      <c r="BM375" s="43">
        <v>315</v>
      </c>
      <c r="BN375" s="43">
        <v>487</v>
      </c>
      <c r="BO375" s="43">
        <v>357</v>
      </c>
      <c r="BP375" s="43">
        <v>415</v>
      </c>
      <c r="BQ375" s="43">
        <v>436</v>
      </c>
      <c r="BR375" s="43">
        <v>347</v>
      </c>
      <c r="BS375" s="43">
        <v>510</v>
      </c>
      <c r="BT375" s="43">
        <v>306</v>
      </c>
      <c r="BU375" s="43">
        <v>466</v>
      </c>
      <c r="BV375" s="43">
        <v>511</v>
      </c>
      <c r="BW375" s="43">
        <v>323</v>
      </c>
      <c r="BX375" s="43">
        <v>301</v>
      </c>
      <c r="BY375" s="43">
        <v>424</v>
      </c>
      <c r="BZ375" s="43">
        <v>271</v>
      </c>
      <c r="CA375" s="43">
        <v>469</v>
      </c>
      <c r="CB375" s="43">
        <v>272</v>
      </c>
      <c r="CC375" s="43">
        <v>342</v>
      </c>
      <c r="CD375" s="43">
        <v>472</v>
      </c>
      <c r="CE375" s="43">
        <v>279</v>
      </c>
      <c r="CF375" s="43">
        <v>344</v>
      </c>
      <c r="CG375" s="43">
        <v>315</v>
      </c>
      <c r="CH375" s="43">
        <v>269</v>
      </c>
      <c r="CI375" s="43">
        <v>199</v>
      </c>
      <c r="CJ375" s="43">
        <v>406</v>
      </c>
      <c r="CK375" s="43">
        <v>342</v>
      </c>
      <c r="CL375" s="43">
        <v>280</v>
      </c>
      <c r="CM375" s="43">
        <v>449</v>
      </c>
      <c r="CN375" s="43">
        <v>464</v>
      </c>
      <c r="CO375" s="43">
        <v>265</v>
      </c>
      <c r="CP375" s="43">
        <v>362</v>
      </c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43"/>
      <c r="FZ375" s="43"/>
      <c r="GA375" s="53"/>
      <c r="GB375" s="53"/>
      <c r="GC375" s="53"/>
      <c r="GD375" s="53"/>
      <c r="GE375" s="53"/>
      <c r="GF375" s="53"/>
      <c r="GG375" s="53"/>
      <c r="GH375" s="53"/>
      <c r="GI375" s="43"/>
      <c r="GJ375" s="43"/>
      <c r="GK375" s="43"/>
      <c r="GL375" s="43"/>
      <c r="GM375" s="53"/>
      <c r="GN375" s="53"/>
      <c r="GO375" s="43">
        <v>513</v>
      </c>
      <c r="GP375" s="43">
        <v>293</v>
      </c>
      <c r="GQ375" s="43">
        <v>510</v>
      </c>
      <c r="GR375" s="43">
        <v>295</v>
      </c>
    </row>
    <row r="376" spans="1:200">
      <c r="A376" s="7">
        <v>5934</v>
      </c>
      <c r="B376" s="1" t="s">
        <v>504</v>
      </c>
      <c r="C376" s="33">
        <v>1010</v>
      </c>
      <c r="D376" s="34">
        <v>645</v>
      </c>
      <c r="E376" s="19">
        <f t="shared" si="5"/>
        <v>0.63861386138613863</v>
      </c>
      <c r="F376" s="62">
        <v>338</v>
      </c>
      <c r="G376" s="43">
        <v>1</v>
      </c>
      <c r="H376" s="43">
        <v>13</v>
      </c>
      <c r="I376" s="43">
        <v>7</v>
      </c>
      <c r="J376" s="55">
        <v>279</v>
      </c>
      <c r="K376" s="6">
        <v>0</v>
      </c>
      <c r="L376" s="6">
        <v>0</v>
      </c>
      <c r="M376" s="43">
        <v>0</v>
      </c>
      <c r="N376" s="25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  <c r="V376" s="43">
        <v>0</v>
      </c>
      <c r="W376" s="43">
        <v>0</v>
      </c>
      <c r="X376" s="43">
        <v>0</v>
      </c>
      <c r="Y376" s="43">
        <v>0</v>
      </c>
      <c r="Z376" s="43">
        <v>0</v>
      </c>
      <c r="AA376" s="44">
        <v>0</v>
      </c>
      <c r="AB376" s="44">
        <v>0</v>
      </c>
      <c r="AC376" s="44">
        <v>13</v>
      </c>
      <c r="AD376" s="44">
        <v>10</v>
      </c>
      <c r="AE376" s="44">
        <v>311</v>
      </c>
      <c r="AF376" s="44">
        <v>12</v>
      </c>
      <c r="AG376" s="44">
        <v>0</v>
      </c>
      <c r="AH376" s="44">
        <v>274</v>
      </c>
      <c r="AI376" s="44">
        <v>321</v>
      </c>
      <c r="AJ376" s="44">
        <v>0</v>
      </c>
      <c r="AK376" s="44">
        <v>0</v>
      </c>
      <c r="AL376" s="44">
        <v>300</v>
      </c>
      <c r="AM376" s="48"/>
      <c r="AN376" s="48"/>
      <c r="AO376" s="48"/>
      <c r="AP376" s="44">
        <v>328</v>
      </c>
      <c r="AQ376" s="44">
        <v>261</v>
      </c>
      <c r="AR376" s="51"/>
      <c r="AS376" s="51"/>
      <c r="AT376" s="51"/>
      <c r="AU376" s="51"/>
      <c r="AV376" s="43">
        <v>369</v>
      </c>
      <c r="AW376" s="50"/>
      <c r="AX376" s="50"/>
      <c r="AY376" s="50"/>
      <c r="AZ376" s="50"/>
      <c r="BA376" s="50"/>
      <c r="BB376" s="50"/>
      <c r="BC376" s="50"/>
      <c r="BD376" s="50"/>
      <c r="BE376" s="43">
        <v>237</v>
      </c>
      <c r="BF376" s="43">
        <v>366</v>
      </c>
      <c r="BG376" s="43">
        <v>307</v>
      </c>
      <c r="BH376" s="43">
        <v>298</v>
      </c>
      <c r="BI376" s="43">
        <v>327</v>
      </c>
      <c r="BJ376" s="43">
        <v>276</v>
      </c>
      <c r="BK376" s="43">
        <v>304</v>
      </c>
      <c r="BL376" s="43">
        <v>286</v>
      </c>
      <c r="BM376" s="43">
        <v>238</v>
      </c>
      <c r="BN376" s="43">
        <v>372</v>
      </c>
      <c r="BO376" s="43">
        <v>288</v>
      </c>
      <c r="BP376" s="43">
        <v>304</v>
      </c>
      <c r="BQ376" s="43">
        <v>298</v>
      </c>
      <c r="BR376" s="43">
        <v>297</v>
      </c>
      <c r="BS376" s="43">
        <v>375</v>
      </c>
      <c r="BT376" s="43">
        <v>233</v>
      </c>
      <c r="BU376" s="43">
        <v>355</v>
      </c>
      <c r="BV376" s="43">
        <v>402</v>
      </c>
      <c r="BW376" s="43">
        <v>263</v>
      </c>
      <c r="BX376" s="43">
        <v>227</v>
      </c>
      <c r="BY376" s="43">
        <v>338</v>
      </c>
      <c r="BZ376" s="43">
        <v>203</v>
      </c>
      <c r="CA376" s="43">
        <v>379</v>
      </c>
      <c r="CB376" s="43">
        <v>228</v>
      </c>
      <c r="CC376" s="43">
        <v>241</v>
      </c>
      <c r="CD376" s="43">
        <v>379</v>
      </c>
      <c r="CE376" s="43">
        <v>244</v>
      </c>
      <c r="CF376" s="43">
        <v>256</v>
      </c>
      <c r="CG376" s="43">
        <v>253</v>
      </c>
      <c r="CH376" s="43">
        <v>207</v>
      </c>
      <c r="CI376" s="43">
        <v>158</v>
      </c>
      <c r="CJ376" s="43">
        <v>317</v>
      </c>
      <c r="CK376" s="43">
        <v>275</v>
      </c>
      <c r="CL376" s="43">
        <v>214</v>
      </c>
      <c r="CM376" s="43">
        <v>348</v>
      </c>
      <c r="CN376" s="43">
        <v>369</v>
      </c>
      <c r="CO376" s="43">
        <v>211</v>
      </c>
      <c r="CP376" s="43">
        <v>271</v>
      </c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43"/>
      <c r="FZ376" s="43"/>
      <c r="GA376" s="53"/>
      <c r="GB376" s="53"/>
      <c r="GC376" s="53"/>
      <c r="GD376" s="53"/>
      <c r="GE376" s="53"/>
      <c r="GF376" s="53"/>
      <c r="GG376" s="53"/>
      <c r="GH376" s="53"/>
      <c r="GI376" s="43"/>
      <c r="GJ376" s="43"/>
      <c r="GK376" s="43"/>
      <c r="GL376" s="43"/>
      <c r="GM376" s="53"/>
      <c r="GN376" s="53"/>
      <c r="GO376" s="43">
        <v>397</v>
      </c>
      <c r="GP376" s="43">
        <v>213</v>
      </c>
      <c r="GQ376" s="43">
        <v>412</v>
      </c>
      <c r="GR376" s="43">
        <v>197</v>
      </c>
    </row>
    <row r="377" spans="1:200">
      <c r="A377" s="7">
        <v>5935</v>
      </c>
      <c r="B377" s="1" t="s">
        <v>505</v>
      </c>
      <c r="C377" s="33">
        <v>490</v>
      </c>
      <c r="D377" s="34">
        <v>407</v>
      </c>
      <c r="E377" s="19">
        <f t="shared" si="5"/>
        <v>0.83061224489795915</v>
      </c>
      <c r="F377" s="62">
        <v>133</v>
      </c>
      <c r="G377" s="43">
        <v>2</v>
      </c>
      <c r="H377" s="43">
        <v>15</v>
      </c>
      <c r="I377" s="43">
        <v>2</v>
      </c>
      <c r="J377" s="55">
        <v>250</v>
      </c>
      <c r="K377" s="6">
        <v>0</v>
      </c>
      <c r="L377" s="6">
        <v>0</v>
      </c>
      <c r="M377" s="43">
        <v>0</v>
      </c>
      <c r="N377" s="25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  <c r="V377" s="43">
        <v>0</v>
      </c>
      <c r="W377" s="43">
        <v>1</v>
      </c>
      <c r="X377" s="43">
        <v>0</v>
      </c>
      <c r="Y377" s="43">
        <v>0</v>
      </c>
      <c r="Z377" s="43">
        <v>0</v>
      </c>
      <c r="AA377" s="44">
        <v>0</v>
      </c>
      <c r="AB377" s="44">
        <v>0</v>
      </c>
      <c r="AC377" s="44">
        <v>7</v>
      </c>
      <c r="AD377" s="44">
        <v>4</v>
      </c>
      <c r="AE377" s="44">
        <v>267</v>
      </c>
      <c r="AF377" s="44">
        <v>6</v>
      </c>
      <c r="AG377" s="44">
        <v>0</v>
      </c>
      <c r="AH377" s="44">
        <v>114</v>
      </c>
      <c r="AI377" s="44">
        <v>272</v>
      </c>
      <c r="AJ377" s="44">
        <v>1</v>
      </c>
      <c r="AK377" s="44">
        <v>0</v>
      </c>
      <c r="AL377" s="44">
        <v>123</v>
      </c>
      <c r="AM377" s="48"/>
      <c r="AN377" s="48"/>
      <c r="AO377" s="48"/>
      <c r="AP377" s="44">
        <v>144</v>
      </c>
      <c r="AQ377" s="44">
        <v>235</v>
      </c>
      <c r="AR377" s="51"/>
      <c r="AS377" s="51"/>
      <c r="AT377" s="51"/>
      <c r="AU377" s="51"/>
      <c r="AV377" s="43">
        <v>276</v>
      </c>
      <c r="AW377" s="50"/>
      <c r="AX377" s="50"/>
      <c r="AY377" s="50"/>
      <c r="AZ377" s="50"/>
      <c r="BA377" s="50"/>
      <c r="BB377" s="50"/>
      <c r="BC377" s="50"/>
      <c r="BD377" s="50"/>
      <c r="BE377" s="43">
        <v>213</v>
      </c>
      <c r="BF377" s="43">
        <v>175</v>
      </c>
      <c r="BG377" s="43">
        <v>248</v>
      </c>
      <c r="BH377" s="43">
        <v>140</v>
      </c>
      <c r="BI377" s="43">
        <v>273</v>
      </c>
      <c r="BJ377" s="43">
        <v>121</v>
      </c>
      <c r="BK377" s="43">
        <v>150</v>
      </c>
      <c r="BL377" s="43">
        <v>234</v>
      </c>
      <c r="BM377" s="43">
        <v>200</v>
      </c>
      <c r="BN377" s="43">
        <v>189</v>
      </c>
      <c r="BO377" s="43">
        <v>133</v>
      </c>
      <c r="BP377" s="43">
        <v>250</v>
      </c>
      <c r="BQ377" s="43">
        <v>266</v>
      </c>
      <c r="BR377" s="43">
        <v>120</v>
      </c>
      <c r="BS377" s="43">
        <v>279</v>
      </c>
      <c r="BT377" s="43">
        <v>197</v>
      </c>
      <c r="BU377" s="43">
        <v>178</v>
      </c>
      <c r="BV377" s="43">
        <v>273</v>
      </c>
      <c r="BW377" s="43">
        <v>205</v>
      </c>
      <c r="BX377" s="43">
        <v>120</v>
      </c>
      <c r="BY377" s="43">
        <v>244</v>
      </c>
      <c r="BZ377" s="43">
        <v>105</v>
      </c>
      <c r="CA377" s="43">
        <v>243</v>
      </c>
      <c r="CB377" s="43">
        <v>193</v>
      </c>
      <c r="CC377" s="43">
        <v>120</v>
      </c>
      <c r="CD377" s="43">
        <v>225</v>
      </c>
      <c r="CE377" s="43">
        <v>107</v>
      </c>
      <c r="CF377" s="43">
        <v>216</v>
      </c>
      <c r="CG377" s="43">
        <v>187</v>
      </c>
      <c r="CH377" s="43">
        <v>111</v>
      </c>
      <c r="CI377" s="43">
        <v>68</v>
      </c>
      <c r="CJ377" s="43">
        <v>252</v>
      </c>
      <c r="CK377" s="43">
        <v>206</v>
      </c>
      <c r="CL377" s="43">
        <v>105</v>
      </c>
      <c r="CM377" s="43">
        <v>230</v>
      </c>
      <c r="CN377" s="43">
        <v>229</v>
      </c>
      <c r="CO377" s="43">
        <v>86</v>
      </c>
      <c r="CP377" s="43">
        <v>222</v>
      </c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43"/>
      <c r="FZ377" s="43"/>
      <c r="GA377" s="53"/>
      <c r="GB377" s="53"/>
      <c r="GC377" s="53"/>
      <c r="GD377" s="53"/>
      <c r="GE377" s="53"/>
      <c r="GF377" s="53"/>
      <c r="GG377" s="53"/>
      <c r="GH377" s="53"/>
      <c r="GI377" s="43"/>
      <c r="GJ377" s="43"/>
      <c r="GK377" s="43"/>
      <c r="GL377" s="43"/>
      <c r="GM377" s="53"/>
      <c r="GN377" s="53"/>
      <c r="GO377" s="43">
        <v>247</v>
      </c>
      <c r="GP377" s="43">
        <v>151</v>
      </c>
      <c r="GQ377" s="43">
        <v>244</v>
      </c>
      <c r="GR377" s="43">
        <v>154</v>
      </c>
    </row>
    <row r="378" spans="1:200">
      <c r="A378" s="7">
        <v>5936</v>
      </c>
      <c r="B378" s="1" t="s">
        <v>506</v>
      </c>
      <c r="C378" s="33">
        <v>1145</v>
      </c>
      <c r="D378" s="34">
        <v>816</v>
      </c>
      <c r="E378" s="19">
        <f t="shared" si="5"/>
        <v>0.71266375545851524</v>
      </c>
      <c r="F378" s="62">
        <v>320</v>
      </c>
      <c r="G378" s="43">
        <v>2</v>
      </c>
      <c r="H378" s="43">
        <v>15</v>
      </c>
      <c r="I378" s="43">
        <v>6</v>
      </c>
      <c r="J378" s="55">
        <v>455</v>
      </c>
      <c r="K378" s="6">
        <v>0</v>
      </c>
      <c r="L378" s="6">
        <v>0</v>
      </c>
      <c r="M378" s="43">
        <v>0</v>
      </c>
      <c r="N378" s="25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  <c r="V378" s="43">
        <v>0</v>
      </c>
      <c r="W378" s="43">
        <v>7</v>
      </c>
      <c r="X378" s="43">
        <v>0</v>
      </c>
      <c r="Y378" s="43">
        <v>0</v>
      </c>
      <c r="Z378" s="43">
        <v>0</v>
      </c>
      <c r="AA378" s="44">
        <v>0</v>
      </c>
      <c r="AB378" s="44">
        <v>0</v>
      </c>
      <c r="AC378" s="44">
        <v>15</v>
      </c>
      <c r="AD378" s="44">
        <v>13</v>
      </c>
      <c r="AE378" s="44">
        <v>496</v>
      </c>
      <c r="AF378" s="44">
        <v>11</v>
      </c>
      <c r="AG378" s="44">
        <v>0</v>
      </c>
      <c r="AH378" s="44">
        <v>258</v>
      </c>
      <c r="AI378" s="44">
        <v>496</v>
      </c>
      <c r="AJ378" s="44">
        <v>0</v>
      </c>
      <c r="AK378" s="44">
        <v>0</v>
      </c>
      <c r="AL378" s="44">
        <v>290</v>
      </c>
      <c r="AM378" s="48"/>
      <c r="AN378" s="48"/>
      <c r="AO378" s="48"/>
      <c r="AP378" s="44">
        <v>304</v>
      </c>
      <c r="AQ378" s="44">
        <v>434</v>
      </c>
      <c r="AR378" s="51"/>
      <c r="AS378" s="51"/>
      <c r="AT378" s="51"/>
      <c r="AU378" s="51"/>
      <c r="AV378" s="43">
        <v>515</v>
      </c>
      <c r="AW378" s="50"/>
      <c r="AX378" s="50"/>
      <c r="AY378" s="50"/>
      <c r="AZ378" s="50"/>
      <c r="BA378" s="50"/>
      <c r="BB378" s="50"/>
      <c r="BC378" s="50"/>
      <c r="BD378" s="50"/>
      <c r="BE378" s="43">
        <v>386</v>
      </c>
      <c r="BF378" s="43">
        <v>362</v>
      </c>
      <c r="BG378" s="43">
        <v>476</v>
      </c>
      <c r="BH378" s="43">
        <v>288</v>
      </c>
      <c r="BI378" s="43">
        <v>500</v>
      </c>
      <c r="BJ378" s="43">
        <v>258</v>
      </c>
      <c r="BK378" s="43">
        <v>308</v>
      </c>
      <c r="BL378" s="43">
        <v>441</v>
      </c>
      <c r="BM378" s="43">
        <v>366</v>
      </c>
      <c r="BN378" s="43">
        <v>386</v>
      </c>
      <c r="BO378" s="43">
        <v>280</v>
      </c>
      <c r="BP378" s="43">
        <v>454</v>
      </c>
      <c r="BQ378" s="43">
        <v>490</v>
      </c>
      <c r="BR378" s="43">
        <v>256</v>
      </c>
      <c r="BS378" s="43">
        <v>537</v>
      </c>
      <c r="BT378" s="43">
        <v>376</v>
      </c>
      <c r="BU378" s="43">
        <v>369</v>
      </c>
      <c r="BV378" s="43">
        <v>528</v>
      </c>
      <c r="BW378" s="43">
        <v>389</v>
      </c>
      <c r="BX378" s="43">
        <v>240</v>
      </c>
      <c r="BY378" s="43">
        <v>464</v>
      </c>
      <c r="BZ378" s="43">
        <v>221</v>
      </c>
      <c r="CA378" s="43">
        <v>496</v>
      </c>
      <c r="CB378" s="43">
        <v>360</v>
      </c>
      <c r="CC378" s="43">
        <v>264</v>
      </c>
      <c r="CD378" s="43">
        <v>456</v>
      </c>
      <c r="CE378" s="43">
        <v>255</v>
      </c>
      <c r="CF378" s="43">
        <v>374</v>
      </c>
      <c r="CG378" s="43">
        <v>384</v>
      </c>
      <c r="CH378" s="43">
        <v>210</v>
      </c>
      <c r="CI378" s="43">
        <v>152</v>
      </c>
      <c r="CJ378" s="43">
        <v>471</v>
      </c>
      <c r="CK378" s="43">
        <v>397</v>
      </c>
      <c r="CL378" s="43">
        <v>224</v>
      </c>
      <c r="CM378" s="43">
        <v>485</v>
      </c>
      <c r="CN378" s="43">
        <v>486</v>
      </c>
      <c r="CO378" s="43">
        <v>205</v>
      </c>
      <c r="CP378" s="43">
        <v>406</v>
      </c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43"/>
      <c r="FZ378" s="43"/>
      <c r="GA378" s="53"/>
      <c r="GB378" s="53"/>
      <c r="GC378" s="53"/>
      <c r="GD378" s="53"/>
      <c r="GE378" s="53"/>
      <c r="GF378" s="53"/>
      <c r="GG378" s="53"/>
      <c r="GH378" s="53"/>
      <c r="GI378" s="43"/>
      <c r="GJ378" s="43"/>
      <c r="GK378" s="43"/>
      <c r="GL378" s="43"/>
      <c r="GM378" s="53"/>
      <c r="GN378" s="53"/>
      <c r="GO378" s="43">
        <v>503</v>
      </c>
      <c r="GP378" s="43">
        <v>276</v>
      </c>
      <c r="GQ378" s="43">
        <v>509</v>
      </c>
      <c r="GR378" s="43">
        <v>269</v>
      </c>
    </row>
    <row r="379" spans="1:200">
      <c r="A379" s="7">
        <v>5937</v>
      </c>
      <c r="B379" s="1" t="s">
        <v>507</v>
      </c>
      <c r="C379" s="33">
        <v>1265</v>
      </c>
      <c r="D379" s="34">
        <v>900</v>
      </c>
      <c r="E379" s="19">
        <f t="shared" si="5"/>
        <v>0.71146245059288538</v>
      </c>
      <c r="F379" s="62">
        <v>546</v>
      </c>
      <c r="G379" s="43">
        <v>3</v>
      </c>
      <c r="H379" s="43">
        <v>24</v>
      </c>
      <c r="I379" s="43">
        <v>8</v>
      </c>
      <c r="J379" s="55">
        <v>303</v>
      </c>
      <c r="K379" s="6">
        <v>0</v>
      </c>
      <c r="L379" s="6">
        <v>0</v>
      </c>
      <c r="M379" s="43">
        <v>0</v>
      </c>
      <c r="N379" s="25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  <c r="V379" s="43">
        <v>0</v>
      </c>
      <c r="W379" s="43">
        <v>2</v>
      </c>
      <c r="X379" s="43">
        <v>0</v>
      </c>
      <c r="Y379" s="43">
        <v>0</v>
      </c>
      <c r="Z379" s="43">
        <v>0</v>
      </c>
      <c r="AA379" s="44">
        <v>0</v>
      </c>
      <c r="AB379" s="44">
        <v>0</v>
      </c>
      <c r="AC379" s="44">
        <v>16</v>
      </c>
      <c r="AD379" s="44">
        <v>19</v>
      </c>
      <c r="AE379" s="44">
        <v>385</v>
      </c>
      <c r="AF379" s="44">
        <v>7</v>
      </c>
      <c r="AG379" s="44">
        <v>0</v>
      </c>
      <c r="AH379" s="44">
        <v>448</v>
      </c>
      <c r="AI379" s="44">
        <v>365</v>
      </c>
      <c r="AJ379" s="44">
        <v>0</v>
      </c>
      <c r="AK379" s="44">
        <v>1</v>
      </c>
      <c r="AL379" s="44">
        <v>508</v>
      </c>
      <c r="AM379" s="48"/>
      <c r="AN379" s="48"/>
      <c r="AO379" s="48"/>
      <c r="AP379" s="44">
        <v>517</v>
      </c>
      <c r="AQ379" s="44">
        <v>300</v>
      </c>
      <c r="AR379" s="51"/>
      <c r="AS379" s="51"/>
      <c r="AT379" s="51"/>
      <c r="AU379" s="51"/>
      <c r="AV379" s="43">
        <v>460</v>
      </c>
      <c r="AW379" s="50"/>
      <c r="AX379" s="50"/>
      <c r="AY379" s="50"/>
      <c r="AZ379" s="50"/>
      <c r="BA379" s="50"/>
      <c r="BB379" s="50"/>
      <c r="BC379" s="50"/>
      <c r="BD379" s="50"/>
      <c r="BE379" s="43">
        <v>254</v>
      </c>
      <c r="BF379" s="43">
        <v>594</v>
      </c>
      <c r="BG379" s="43">
        <v>346</v>
      </c>
      <c r="BH379" s="43">
        <v>501</v>
      </c>
      <c r="BI379" s="43">
        <v>394</v>
      </c>
      <c r="BJ379" s="43">
        <v>455</v>
      </c>
      <c r="BK379" s="43">
        <v>492</v>
      </c>
      <c r="BL379" s="43">
        <v>360</v>
      </c>
      <c r="BM379" s="43">
        <v>241</v>
      </c>
      <c r="BN379" s="43">
        <v>609</v>
      </c>
      <c r="BO379" s="43">
        <v>488</v>
      </c>
      <c r="BP379" s="43">
        <v>337</v>
      </c>
      <c r="BQ379" s="43">
        <v>361</v>
      </c>
      <c r="BR379" s="43">
        <v>465</v>
      </c>
      <c r="BS379" s="43">
        <v>484</v>
      </c>
      <c r="BT379" s="43">
        <v>245</v>
      </c>
      <c r="BU379" s="43">
        <v>588</v>
      </c>
      <c r="BV379" s="43">
        <v>535</v>
      </c>
      <c r="BW379" s="43">
        <v>317</v>
      </c>
      <c r="BX379" s="43">
        <v>374</v>
      </c>
      <c r="BY379" s="43">
        <v>383</v>
      </c>
      <c r="BZ379" s="43">
        <v>363</v>
      </c>
      <c r="CA379" s="43">
        <v>490</v>
      </c>
      <c r="CB379" s="43">
        <v>242</v>
      </c>
      <c r="CC379" s="43">
        <v>435</v>
      </c>
      <c r="CD379" s="43">
        <v>514</v>
      </c>
      <c r="CE379" s="43">
        <v>387</v>
      </c>
      <c r="CF379" s="43">
        <v>311</v>
      </c>
      <c r="CG379" s="43">
        <v>293</v>
      </c>
      <c r="CH379" s="43">
        <v>344</v>
      </c>
      <c r="CI379" s="43">
        <v>272</v>
      </c>
      <c r="CJ379" s="43">
        <v>407</v>
      </c>
      <c r="CK379" s="43">
        <v>351</v>
      </c>
      <c r="CL379" s="43">
        <v>328</v>
      </c>
      <c r="CM379" s="43">
        <v>478</v>
      </c>
      <c r="CN379" s="43">
        <v>498</v>
      </c>
      <c r="CO379" s="43">
        <v>302</v>
      </c>
      <c r="CP379" s="43">
        <v>387</v>
      </c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43"/>
      <c r="FZ379" s="43"/>
      <c r="GA379" s="53"/>
      <c r="GB379" s="53"/>
      <c r="GC379" s="53"/>
      <c r="GD379" s="53"/>
      <c r="GE379" s="53"/>
      <c r="GF379" s="53"/>
      <c r="GG379" s="53"/>
      <c r="GH379" s="53"/>
      <c r="GI379" s="43"/>
      <c r="GJ379" s="43"/>
      <c r="GK379" s="43"/>
      <c r="GL379" s="43"/>
      <c r="GM379" s="53"/>
      <c r="GN379" s="53"/>
      <c r="GO379" s="43">
        <v>589</v>
      </c>
      <c r="GP379" s="43">
        <v>266</v>
      </c>
      <c r="GQ379" s="43">
        <v>639</v>
      </c>
      <c r="GR379" s="43">
        <v>214</v>
      </c>
    </row>
    <row r="380" spans="1:200">
      <c r="A380" s="7">
        <v>5938</v>
      </c>
      <c r="B380" s="1" t="s">
        <v>508</v>
      </c>
      <c r="C380" s="33">
        <v>690</v>
      </c>
      <c r="D380" s="34">
        <v>540</v>
      </c>
      <c r="E380" s="19">
        <f t="shared" si="5"/>
        <v>0.78260869565217395</v>
      </c>
      <c r="F380" s="62">
        <v>235</v>
      </c>
      <c r="G380" s="43">
        <v>1</v>
      </c>
      <c r="H380" s="43">
        <v>14</v>
      </c>
      <c r="I380" s="43">
        <v>5</v>
      </c>
      <c r="J380" s="55">
        <v>275</v>
      </c>
      <c r="K380" s="6">
        <v>0</v>
      </c>
      <c r="L380" s="6">
        <v>0</v>
      </c>
      <c r="M380" s="43">
        <v>0</v>
      </c>
      <c r="N380" s="25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  <c r="V380" s="43">
        <v>0</v>
      </c>
      <c r="W380" s="43">
        <v>3</v>
      </c>
      <c r="X380" s="43">
        <v>0</v>
      </c>
      <c r="Y380" s="43">
        <v>0</v>
      </c>
      <c r="Z380" s="43">
        <v>0</v>
      </c>
      <c r="AA380" s="44">
        <v>0</v>
      </c>
      <c r="AB380" s="44">
        <v>0</v>
      </c>
      <c r="AC380" s="44">
        <v>5</v>
      </c>
      <c r="AD380" s="44">
        <v>9</v>
      </c>
      <c r="AE380" s="44">
        <v>311</v>
      </c>
      <c r="AF380" s="44">
        <v>5</v>
      </c>
      <c r="AG380" s="44">
        <v>0</v>
      </c>
      <c r="AH380" s="44">
        <v>194</v>
      </c>
      <c r="AI380" s="44">
        <v>298</v>
      </c>
      <c r="AJ380" s="44">
        <v>0</v>
      </c>
      <c r="AK380" s="44">
        <v>0</v>
      </c>
      <c r="AL380" s="44">
        <v>222</v>
      </c>
      <c r="AM380" s="48"/>
      <c r="AN380" s="48"/>
      <c r="AO380" s="48"/>
      <c r="AP380" s="44">
        <v>237</v>
      </c>
      <c r="AQ380" s="44">
        <v>255</v>
      </c>
      <c r="AR380" s="51"/>
      <c r="AS380" s="51"/>
      <c r="AT380" s="51"/>
      <c r="AU380" s="51"/>
      <c r="AV380" s="43">
        <v>326</v>
      </c>
      <c r="AW380" s="50"/>
      <c r="AX380" s="50"/>
      <c r="AY380" s="50"/>
      <c r="AZ380" s="50"/>
      <c r="BA380" s="50"/>
      <c r="BB380" s="50"/>
      <c r="BC380" s="50"/>
      <c r="BD380" s="50"/>
      <c r="BE380" s="43">
        <v>224</v>
      </c>
      <c r="BF380" s="43">
        <v>276</v>
      </c>
      <c r="BG380" s="43">
        <v>292</v>
      </c>
      <c r="BH380" s="43">
        <v>220</v>
      </c>
      <c r="BI380" s="43">
        <v>305</v>
      </c>
      <c r="BJ380" s="43">
        <v>199</v>
      </c>
      <c r="BK380" s="43">
        <v>232</v>
      </c>
      <c r="BL380" s="43">
        <v>273</v>
      </c>
      <c r="BM380" s="43">
        <v>214</v>
      </c>
      <c r="BN380" s="43">
        <v>296</v>
      </c>
      <c r="BO380" s="43">
        <v>221</v>
      </c>
      <c r="BP380" s="43">
        <v>275</v>
      </c>
      <c r="BQ380" s="43">
        <v>294</v>
      </c>
      <c r="BR380" s="43">
        <v>200</v>
      </c>
      <c r="BS380" s="43">
        <v>324</v>
      </c>
      <c r="BT380" s="43">
        <v>205</v>
      </c>
      <c r="BU380" s="43">
        <v>289</v>
      </c>
      <c r="BV380" s="43">
        <v>317</v>
      </c>
      <c r="BW380" s="43">
        <v>216</v>
      </c>
      <c r="BX380" s="43">
        <v>184</v>
      </c>
      <c r="BY380" s="43">
        <v>281</v>
      </c>
      <c r="BZ380" s="43">
        <v>160</v>
      </c>
      <c r="CA380" s="43">
        <v>301</v>
      </c>
      <c r="CB380" s="43">
        <v>198</v>
      </c>
      <c r="CC380" s="43">
        <v>180</v>
      </c>
      <c r="CD380" s="43">
        <v>305</v>
      </c>
      <c r="CE380" s="43">
        <v>178</v>
      </c>
      <c r="CF380" s="43">
        <v>223</v>
      </c>
      <c r="CG380" s="43">
        <v>196</v>
      </c>
      <c r="CH380" s="43">
        <v>166</v>
      </c>
      <c r="CI380" s="43">
        <v>127</v>
      </c>
      <c r="CJ380" s="43">
        <v>260</v>
      </c>
      <c r="CK380" s="43">
        <v>218</v>
      </c>
      <c r="CL380" s="43">
        <v>169</v>
      </c>
      <c r="CM380" s="43">
        <v>289</v>
      </c>
      <c r="CN380" s="43">
        <v>289</v>
      </c>
      <c r="CO380" s="43">
        <v>166</v>
      </c>
      <c r="CP380" s="43">
        <v>221</v>
      </c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43"/>
      <c r="FZ380" s="43"/>
      <c r="GA380" s="53"/>
      <c r="GB380" s="53"/>
      <c r="GC380" s="53"/>
      <c r="GD380" s="53"/>
      <c r="GE380" s="53"/>
      <c r="GF380" s="53"/>
      <c r="GG380" s="53"/>
      <c r="GH380" s="53"/>
      <c r="GI380" s="43"/>
      <c r="GJ380" s="43"/>
      <c r="GK380" s="43"/>
      <c r="GL380" s="43"/>
      <c r="GM380" s="53"/>
      <c r="GN380" s="53"/>
      <c r="GO380" s="43">
        <v>346</v>
      </c>
      <c r="GP380" s="43">
        <v>179</v>
      </c>
      <c r="GQ380" s="43">
        <v>339</v>
      </c>
      <c r="GR380" s="43">
        <v>186</v>
      </c>
    </row>
    <row r="381" spans="1:200">
      <c r="A381" s="7">
        <v>6201</v>
      </c>
      <c r="B381" s="1" t="s">
        <v>509</v>
      </c>
      <c r="C381" s="33">
        <v>155</v>
      </c>
      <c r="D381" s="34">
        <v>137</v>
      </c>
      <c r="E381" s="19">
        <f t="shared" si="5"/>
        <v>0.88387096774193552</v>
      </c>
      <c r="F381" s="62">
        <v>87</v>
      </c>
      <c r="G381" s="43">
        <v>1</v>
      </c>
      <c r="H381" s="43">
        <v>4</v>
      </c>
      <c r="I381" s="43">
        <v>3</v>
      </c>
      <c r="J381" s="55">
        <v>40</v>
      </c>
      <c r="K381" s="6">
        <v>0</v>
      </c>
      <c r="L381" s="6">
        <v>0</v>
      </c>
      <c r="M381" s="43">
        <v>0</v>
      </c>
      <c r="N381" s="25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  <c r="V381" s="43">
        <v>0</v>
      </c>
      <c r="W381" s="43">
        <v>1</v>
      </c>
      <c r="X381" s="43">
        <v>0</v>
      </c>
      <c r="Y381" s="43">
        <v>0</v>
      </c>
      <c r="Z381" s="43">
        <v>0</v>
      </c>
      <c r="AA381" s="44">
        <v>0</v>
      </c>
      <c r="AB381" s="44">
        <v>0</v>
      </c>
      <c r="AC381" s="44">
        <v>3</v>
      </c>
      <c r="AD381" s="44">
        <v>4</v>
      </c>
      <c r="AE381" s="44">
        <v>58</v>
      </c>
      <c r="AF381" s="44">
        <v>0</v>
      </c>
      <c r="AG381" s="44">
        <v>0</v>
      </c>
      <c r="AH381" s="44">
        <v>68</v>
      </c>
      <c r="AI381" s="32"/>
      <c r="AJ381" s="32"/>
      <c r="AK381" s="32"/>
      <c r="AL381" s="32"/>
      <c r="AM381" s="44">
        <v>5</v>
      </c>
      <c r="AN381" s="44">
        <v>74</v>
      </c>
      <c r="AO381" s="44">
        <v>51</v>
      </c>
      <c r="AP381" s="44"/>
      <c r="AQ381" s="44"/>
      <c r="AR381" s="51"/>
      <c r="AS381" s="51"/>
      <c r="AT381" s="51"/>
      <c r="AU381" s="51"/>
      <c r="AV381" s="51"/>
      <c r="AW381" s="50"/>
      <c r="AX381" s="50"/>
      <c r="AY381" s="43">
        <v>86</v>
      </c>
      <c r="AZ381" s="43">
        <v>42</v>
      </c>
      <c r="BA381" s="50"/>
      <c r="BB381" s="50"/>
      <c r="BC381" s="50"/>
      <c r="BD381" s="50"/>
      <c r="BE381" s="43">
        <v>36</v>
      </c>
      <c r="BF381" s="43">
        <v>92</v>
      </c>
      <c r="BG381" s="43">
        <v>52</v>
      </c>
      <c r="BH381" s="43">
        <v>77</v>
      </c>
      <c r="BI381" s="43">
        <v>60</v>
      </c>
      <c r="BJ381" s="43">
        <v>67</v>
      </c>
      <c r="BK381" s="43">
        <v>82</v>
      </c>
      <c r="BL381" s="43">
        <v>46</v>
      </c>
      <c r="BM381" s="43">
        <v>35</v>
      </c>
      <c r="BN381" s="43">
        <v>91</v>
      </c>
      <c r="BO381" s="43">
        <v>73</v>
      </c>
      <c r="BP381" s="43">
        <v>53</v>
      </c>
      <c r="BQ381" s="43">
        <v>50</v>
      </c>
      <c r="BR381" s="43">
        <v>74</v>
      </c>
      <c r="BS381" s="43">
        <v>73</v>
      </c>
      <c r="BT381" s="43">
        <v>32</v>
      </c>
      <c r="BU381" s="43">
        <v>94</v>
      </c>
      <c r="BV381" s="43">
        <v>78</v>
      </c>
      <c r="BW381" s="43">
        <v>54</v>
      </c>
      <c r="BX381" s="43">
        <v>50</v>
      </c>
      <c r="BY381" s="43">
        <v>49</v>
      </c>
      <c r="BZ381" s="43">
        <v>67</v>
      </c>
      <c r="CA381" s="43">
        <v>71</v>
      </c>
      <c r="CB381" s="43">
        <v>39</v>
      </c>
      <c r="CC381" s="43">
        <v>65</v>
      </c>
      <c r="CD381" s="43">
        <v>77</v>
      </c>
      <c r="CE381" s="43">
        <v>65</v>
      </c>
      <c r="CF381" s="43">
        <v>36</v>
      </c>
      <c r="CG381" s="43">
        <v>50</v>
      </c>
      <c r="CH381" s="43">
        <v>56</v>
      </c>
      <c r="CI381" s="43">
        <v>38</v>
      </c>
      <c r="CJ381" s="43">
        <v>64</v>
      </c>
      <c r="CK381" s="43">
        <v>46</v>
      </c>
      <c r="CL381" s="43">
        <v>59</v>
      </c>
      <c r="CM381" s="43">
        <v>63</v>
      </c>
      <c r="CN381" s="43">
        <v>68</v>
      </c>
      <c r="CO381" s="43">
        <v>54</v>
      </c>
      <c r="CP381" s="43">
        <v>50</v>
      </c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43">
        <v>67</v>
      </c>
      <c r="FZ381" s="43">
        <v>59</v>
      </c>
      <c r="GA381" s="53"/>
      <c r="GB381" s="53"/>
      <c r="GC381" s="53"/>
      <c r="GD381" s="53"/>
      <c r="GE381" s="53"/>
      <c r="GF381" s="53"/>
      <c r="GG381" s="53"/>
      <c r="GH381" s="53"/>
      <c r="GI381" s="43"/>
      <c r="GJ381" s="43"/>
      <c r="GK381" s="43"/>
      <c r="GL381" s="43"/>
      <c r="GM381" s="53"/>
      <c r="GN381" s="53"/>
      <c r="GO381" s="43">
        <v>94</v>
      </c>
      <c r="GP381" s="43">
        <v>34</v>
      </c>
      <c r="GQ381" s="43">
        <v>97</v>
      </c>
      <c r="GR381" s="43">
        <v>31</v>
      </c>
    </row>
    <row r="382" spans="1:200">
      <c r="A382" s="7">
        <v>6202</v>
      </c>
      <c r="B382" s="1" t="s">
        <v>510</v>
      </c>
      <c r="C382" s="33">
        <v>364</v>
      </c>
      <c r="D382" s="34">
        <v>279</v>
      </c>
      <c r="E382" s="19">
        <f t="shared" si="5"/>
        <v>0.76648351648351654</v>
      </c>
      <c r="F382" s="62">
        <v>160</v>
      </c>
      <c r="G382" s="43">
        <v>0</v>
      </c>
      <c r="H382" s="43">
        <v>12</v>
      </c>
      <c r="I382" s="43">
        <v>5</v>
      </c>
      <c r="J382" s="55">
        <v>93</v>
      </c>
      <c r="K382" s="6">
        <v>0</v>
      </c>
      <c r="L382" s="6">
        <v>0</v>
      </c>
      <c r="M382" s="43">
        <v>0</v>
      </c>
      <c r="N382" s="25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  <c r="V382" s="43">
        <v>0</v>
      </c>
      <c r="W382" s="43">
        <v>0</v>
      </c>
      <c r="X382" s="43">
        <v>0</v>
      </c>
      <c r="Y382" s="43">
        <v>0</v>
      </c>
      <c r="Z382" s="43">
        <v>0</v>
      </c>
      <c r="AA382" s="44">
        <v>0</v>
      </c>
      <c r="AB382" s="44">
        <v>0</v>
      </c>
      <c r="AC382" s="44">
        <v>4</v>
      </c>
      <c r="AD382" s="44">
        <v>5</v>
      </c>
      <c r="AE382" s="44">
        <v>137</v>
      </c>
      <c r="AF382" s="44">
        <v>9</v>
      </c>
      <c r="AG382" s="44">
        <v>0</v>
      </c>
      <c r="AH382" s="44">
        <v>114</v>
      </c>
      <c r="AI382" s="32"/>
      <c r="AJ382" s="32"/>
      <c r="AK382" s="32"/>
      <c r="AL382" s="32"/>
      <c r="AM382" s="44">
        <v>8</v>
      </c>
      <c r="AN382" s="44">
        <v>123</v>
      </c>
      <c r="AO382" s="44">
        <v>128</v>
      </c>
      <c r="AP382" s="44"/>
      <c r="AQ382" s="44"/>
      <c r="AR382" s="51"/>
      <c r="AS382" s="51"/>
      <c r="AT382" s="51"/>
      <c r="AU382" s="51"/>
      <c r="AV382" s="51"/>
      <c r="AW382" s="50"/>
      <c r="AX382" s="50"/>
      <c r="AY382" s="43">
        <v>157</v>
      </c>
      <c r="AZ382" s="43">
        <v>109</v>
      </c>
      <c r="BA382" s="50"/>
      <c r="BB382" s="50"/>
      <c r="BC382" s="50"/>
      <c r="BD382" s="50"/>
      <c r="BE382" s="43">
        <v>99</v>
      </c>
      <c r="BF382" s="43">
        <v>167</v>
      </c>
      <c r="BG382" s="43">
        <v>121</v>
      </c>
      <c r="BH382" s="43">
        <v>141</v>
      </c>
      <c r="BI382" s="43">
        <v>129</v>
      </c>
      <c r="BJ382" s="43">
        <v>135</v>
      </c>
      <c r="BK382" s="43">
        <v>146</v>
      </c>
      <c r="BL382" s="43">
        <v>118</v>
      </c>
      <c r="BM382" s="43">
        <v>80</v>
      </c>
      <c r="BN382" s="43">
        <v>182</v>
      </c>
      <c r="BO382" s="43">
        <v>135</v>
      </c>
      <c r="BP382" s="43">
        <v>121</v>
      </c>
      <c r="BQ382" s="43">
        <v>131</v>
      </c>
      <c r="BR382" s="43">
        <v>128</v>
      </c>
      <c r="BS382" s="43">
        <v>162</v>
      </c>
      <c r="BT382" s="43">
        <v>84</v>
      </c>
      <c r="BU382" s="43">
        <v>176</v>
      </c>
      <c r="BV382" s="43">
        <v>178</v>
      </c>
      <c r="BW382" s="43">
        <v>110</v>
      </c>
      <c r="BX382" s="43">
        <v>103</v>
      </c>
      <c r="BY382" s="43">
        <v>118</v>
      </c>
      <c r="BZ382" s="43">
        <v>116</v>
      </c>
      <c r="CA382" s="43">
        <v>150</v>
      </c>
      <c r="CB382" s="43">
        <v>102</v>
      </c>
      <c r="CC382" s="43">
        <v>110</v>
      </c>
      <c r="CD382" s="43">
        <v>162</v>
      </c>
      <c r="CE382" s="43">
        <v>109</v>
      </c>
      <c r="CF382" s="43">
        <v>104</v>
      </c>
      <c r="CG382" s="43">
        <v>116</v>
      </c>
      <c r="CH382" s="43">
        <v>90</v>
      </c>
      <c r="CI382" s="43">
        <v>80</v>
      </c>
      <c r="CJ382" s="43">
        <v>129</v>
      </c>
      <c r="CK382" s="43">
        <v>110</v>
      </c>
      <c r="CL382" s="43">
        <v>102</v>
      </c>
      <c r="CM382" s="43">
        <v>147</v>
      </c>
      <c r="CN382" s="43">
        <v>152</v>
      </c>
      <c r="CO382" s="43">
        <v>90</v>
      </c>
      <c r="CP382" s="43">
        <v>127</v>
      </c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43">
        <v>127</v>
      </c>
      <c r="FZ382" s="43">
        <v>146</v>
      </c>
      <c r="GA382" s="53"/>
      <c r="GB382" s="53"/>
      <c r="GC382" s="53"/>
      <c r="GD382" s="53"/>
      <c r="GE382" s="53"/>
      <c r="GF382" s="53"/>
      <c r="GG382" s="53"/>
      <c r="GH382" s="53"/>
      <c r="GI382" s="43"/>
      <c r="GJ382" s="43"/>
      <c r="GK382" s="43"/>
      <c r="GL382" s="43"/>
      <c r="GM382" s="53"/>
      <c r="GN382" s="53"/>
      <c r="GO382" s="43">
        <v>185</v>
      </c>
      <c r="GP382" s="43">
        <v>85</v>
      </c>
      <c r="GQ382" s="43">
        <v>181</v>
      </c>
      <c r="GR382" s="43">
        <v>93</v>
      </c>
    </row>
    <row r="383" spans="1:200">
      <c r="A383" s="7">
        <v>6203</v>
      </c>
      <c r="B383" s="1" t="s">
        <v>511</v>
      </c>
      <c r="C383" s="33">
        <v>410</v>
      </c>
      <c r="D383" s="34">
        <v>346</v>
      </c>
      <c r="E383" s="19">
        <f t="shared" si="5"/>
        <v>0.84390243902439022</v>
      </c>
      <c r="F383" s="62">
        <v>239</v>
      </c>
      <c r="G383" s="43">
        <v>1</v>
      </c>
      <c r="H383" s="43">
        <v>13</v>
      </c>
      <c r="I383" s="43">
        <v>1</v>
      </c>
      <c r="J383" s="55">
        <v>80</v>
      </c>
      <c r="K383" s="6">
        <v>0</v>
      </c>
      <c r="L383" s="6">
        <v>0</v>
      </c>
      <c r="M383" s="43">
        <v>0</v>
      </c>
      <c r="N383" s="25">
        <v>0</v>
      </c>
      <c r="O383" s="43">
        <v>0</v>
      </c>
      <c r="P383" s="43">
        <v>1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  <c r="V383" s="43">
        <v>0</v>
      </c>
      <c r="W383" s="43">
        <v>1</v>
      </c>
      <c r="X383" s="43">
        <v>0</v>
      </c>
      <c r="Y383" s="43">
        <v>0</v>
      </c>
      <c r="Z383" s="43">
        <v>0</v>
      </c>
      <c r="AA383" s="44">
        <v>0</v>
      </c>
      <c r="AB383" s="44">
        <v>0</v>
      </c>
      <c r="AC383" s="44">
        <v>3</v>
      </c>
      <c r="AD383" s="44">
        <v>4</v>
      </c>
      <c r="AE383" s="44">
        <v>144</v>
      </c>
      <c r="AF383" s="44">
        <v>2</v>
      </c>
      <c r="AG383" s="44">
        <v>0</v>
      </c>
      <c r="AH383" s="44">
        <v>182</v>
      </c>
      <c r="AI383" s="32"/>
      <c r="AJ383" s="32"/>
      <c r="AK383" s="32"/>
      <c r="AL383" s="32"/>
      <c r="AM383" s="44">
        <v>26</v>
      </c>
      <c r="AN383" s="44">
        <v>160</v>
      </c>
      <c r="AO383" s="44">
        <v>139</v>
      </c>
      <c r="AP383" s="44"/>
      <c r="AQ383" s="44"/>
      <c r="AR383" s="51"/>
      <c r="AS383" s="51"/>
      <c r="AT383" s="51"/>
      <c r="AU383" s="51"/>
      <c r="AV383" s="51"/>
      <c r="AW383" s="50"/>
      <c r="AX383" s="50"/>
      <c r="AY383" s="43">
        <v>203</v>
      </c>
      <c r="AZ383" s="43">
        <v>112</v>
      </c>
      <c r="BA383" s="50"/>
      <c r="BB383" s="50"/>
      <c r="BC383" s="50"/>
      <c r="BD383" s="50"/>
      <c r="BE383" s="43">
        <v>99</v>
      </c>
      <c r="BF383" s="43">
        <v>222</v>
      </c>
      <c r="BG383" s="43">
        <v>115</v>
      </c>
      <c r="BH383" s="43">
        <v>201</v>
      </c>
      <c r="BI383" s="43">
        <v>136</v>
      </c>
      <c r="BJ383" s="43">
        <v>175</v>
      </c>
      <c r="BK383" s="43">
        <v>212</v>
      </c>
      <c r="BL383" s="43">
        <v>110</v>
      </c>
      <c r="BM383" s="43">
        <v>97</v>
      </c>
      <c r="BN383" s="43">
        <v>220</v>
      </c>
      <c r="BO383" s="43">
        <v>182</v>
      </c>
      <c r="BP383" s="43">
        <v>126</v>
      </c>
      <c r="BQ383" s="43">
        <v>137</v>
      </c>
      <c r="BR383" s="43">
        <v>164</v>
      </c>
      <c r="BS383" s="43">
        <v>164</v>
      </c>
      <c r="BT383" s="43">
        <v>78</v>
      </c>
      <c r="BU383" s="43">
        <v>228</v>
      </c>
      <c r="BV383" s="43">
        <v>175</v>
      </c>
      <c r="BW383" s="43">
        <v>131</v>
      </c>
      <c r="BX383" s="43">
        <v>124</v>
      </c>
      <c r="BY383" s="43">
        <v>106</v>
      </c>
      <c r="BZ383" s="43">
        <v>160</v>
      </c>
      <c r="CA383" s="43">
        <v>161</v>
      </c>
      <c r="CB383" s="43">
        <v>87</v>
      </c>
      <c r="CC383" s="43">
        <v>150</v>
      </c>
      <c r="CD383" s="43">
        <v>190</v>
      </c>
      <c r="CE383" s="43">
        <v>145</v>
      </c>
      <c r="CF383" s="43">
        <v>105</v>
      </c>
      <c r="CG383" s="43">
        <v>117</v>
      </c>
      <c r="CH383" s="43">
        <v>123</v>
      </c>
      <c r="CI383" s="43">
        <v>105</v>
      </c>
      <c r="CJ383" s="43">
        <v>140</v>
      </c>
      <c r="CK383" s="43">
        <v>100</v>
      </c>
      <c r="CL383" s="43">
        <v>139</v>
      </c>
      <c r="CM383" s="43">
        <v>146</v>
      </c>
      <c r="CN383" s="43">
        <v>151</v>
      </c>
      <c r="CO383" s="43">
        <v>121</v>
      </c>
      <c r="CP383" s="43">
        <v>114</v>
      </c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43">
        <v>273</v>
      </c>
      <c r="FB383" s="43">
        <v>65</v>
      </c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43">
        <v>194</v>
      </c>
      <c r="FZ383" s="43">
        <v>136</v>
      </c>
      <c r="GA383" s="53"/>
      <c r="GB383" s="53"/>
      <c r="GC383" s="53"/>
      <c r="GD383" s="53"/>
      <c r="GE383" s="53"/>
      <c r="GF383" s="53"/>
      <c r="GG383" s="53"/>
      <c r="GH383" s="53"/>
      <c r="GI383" s="43"/>
      <c r="GJ383" s="43"/>
      <c r="GK383" s="43"/>
      <c r="GL383" s="43"/>
      <c r="GM383" s="53"/>
      <c r="GN383" s="53"/>
      <c r="GO383" s="43">
        <v>281</v>
      </c>
      <c r="GP383" s="43">
        <v>55</v>
      </c>
      <c r="GQ383" s="43">
        <v>272</v>
      </c>
      <c r="GR383" s="43">
        <v>65</v>
      </c>
    </row>
    <row r="384" spans="1:200">
      <c r="A384" s="7">
        <v>6204</v>
      </c>
      <c r="B384" s="1" t="s">
        <v>512</v>
      </c>
      <c r="C384" s="33">
        <v>566</v>
      </c>
      <c r="D384" s="34">
        <v>384</v>
      </c>
      <c r="E384" s="19">
        <f t="shared" si="5"/>
        <v>0.67844522968197885</v>
      </c>
      <c r="F384" s="62">
        <v>324</v>
      </c>
      <c r="G384" s="43">
        <v>0</v>
      </c>
      <c r="H384" s="43">
        <v>9</v>
      </c>
      <c r="I384" s="43">
        <v>4</v>
      </c>
      <c r="J384" s="55">
        <v>39</v>
      </c>
      <c r="K384" s="6">
        <v>0</v>
      </c>
      <c r="L384" s="6">
        <v>0</v>
      </c>
      <c r="M384" s="43">
        <v>0</v>
      </c>
      <c r="N384" s="25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  <c r="V384" s="43">
        <v>0</v>
      </c>
      <c r="W384" s="43">
        <v>1</v>
      </c>
      <c r="X384" s="43">
        <v>0</v>
      </c>
      <c r="Y384" s="43">
        <v>0</v>
      </c>
      <c r="Z384" s="43">
        <v>0</v>
      </c>
      <c r="AA384" s="44">
        <v>0</v>
      </c>
      <c r="AB384" s="44">
        <v>0</v>
      </c>
      <c r="AC384" s="44">
        <v>4</v>
      </c>
      <c r="AD384" s="44">
        <v>5</v>
      </c>
      <c r="AE384" s="44">
        <v>71</v>
      </c>
      <c r="AF384" s="44">
        <v>3</v>
      </c>
      <c r="AG384" s="44">
        <v>0</v>
      </c>
      <c r="AH384" s="44">
        <v>282</v>
      </c>
      <c r="AI384" s="32"/>
      <c r="AJ384" s="32"/>
      <c r="AK384" s="32"/>
      <c r="AL384" s="32"/>
      <c r="AM384" s="44">
        <v>21</v>
      </c>
      <c r="AN384" s="44">
        <v>264</v>
      </c>
      <c r="AO384" s="44">
        <v>67</v>
      </c>
      <c r="AP384" s="44"/>
      <c r="AQ384" s="44"/>
      <c r="AR384" s="51"/>
      <c r="AS384" s="51"/>
      <c r="AT384" s="51"/>
      <c r="AU384" s="51"/>
      <c r="AV384" s="51"/>
      <c r="AW384" s="50"/>
      <c r="AX384" s="50"/>
      <c r="AY384" s="43">
        <v>307</v>
      </c>
      <c r="AZ384" s="43">
        <v>54</v>
      </c>
      <c r="BA384" s="50"/>
      <c r="BB384" s="50"/>
      <c r="BC384" s="50"/>
      <c r="BD384" s="50"/>
      <c r="BE384" s="43">
        <v>44</v>
      </c>
      <c r="BF384" s="43">
        <v>317</v>
      </c>
      <c r="BG384" s="43">
        <v>57</v>
      </c>
      <c r="BH384" s="43">
        <v>297</v>
      </c>
      <c r="BI384" s="43">
        <v>67</v>
      </c>
      <c r="BJ384" s="43">
        <v>291</v>
      </c>
      <c r="BK384" s="43">
        <v>289</v>
      </c>
      <c r="BL384" s="43">
        <v>63</v>
      </c>
      <c r="BM384" s="43">
        <v>46</v>
      </c>
      <c r="BN384" s="43">
        <v>306</v>
      </c>
      <c r="BO384" s="43">
        <v>294</v>
      </c>
      <c r="BP384" s="43">
        <v>53</v>
      </c>
      <c r="BQ384" s="43">
        <v>62</v>
      </c>
      <c r="BR384" s="43">
        <v>290</v>
      </c>
      <c r="BS384" s="43">
        <v>142</v>
      </c>
      <c r="BT384" s="43">
        <v>39</v>
      </c>
      <c r="BU384" s="43">
        <v>313</v>
      </c>
      <c r="BV384" s="43">
        <v>187</v>
      </c>
      <c r="BW384" s="43">
        <v>90</v>
      </c>
      <c r="BX384" s="43">
        <v>211</v>
      </c>
      <c r="BY384" s="43">
        <v>80</v>
      </c>
      <c r="BZ384" s="43">
        <v>233</v>
      </c>
      <c r="CA384" s="43">
        <v>165</v>
      </c>
      <c r="CB384" s="43">
        <v>58</v>
      </c>
      <c r="CC384" s="43">
        <v>243</v>
      </c>
      <c r="CD384" s="43">
        <v>227</v>
      </c>
      <c r="CE384" s="43">
        <v>233</v>
      </c>
      <c r="CF384" s="43">
        <v>58</v>
      </c>
      <c r="CG384" s="43">
        <v>79</v>
      </c>
      <c r="CH384" s="43">
        <v>208</v>
      </c>
      <c r="CI384" s="43">
        <v>199</v>
      </c>
      <c r="CJ384" s="43">
        <v>96</v>
      </c>
      <c r="CK384" s="43">
        <v>107</v>
      </c>
      <c r="CL384" s="43">
        <v>187</v>
      </c>
      <c r="CM384" s="43">
        <v>156</v>
      </c>
      <c r="CN384" s="43">
        <v>163</v>
      </c>
      <c r="CO384" s="43">
        <v>196</v>
      </c>
      <c r="CP384" s="43">
        <v>97</v>
      </c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43">
        <v>254</v>
      </c>
      <c r="FB384" s="43">
        <v>92</v>
      </c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43">
        <v>258</v>
      </c>
      <c r="FZ384" s="43">
        <v>98</v>
      </c>
      <c r="GA384" s="53"/>
      <c r="GB384" s="53"/>
      <c r="GC384" s="53"/>
      <c r="GD384" s="53"/>
      <c r="GE384" s="53"/>
      <c r="GF384" s="53"/>
      <c r="GG384" s="53"/>
      <c r="GH384" s="53"/>
      <c r="GI384" s="43"/>
      <c r="GJ384" s="43"/>
      <c r="GK384" s="43"/>
      <c r="GL384" s="43"/>
      <c r="GM384" s="53"/>
      <c r="GN384" s="53"/>
      <c r="GO384" s="43">
        <v>251</v>
      </c>
      <c r="GP384" s="43">
        <v>103</v>
      </c>
      <c r="GQ384" s="43">
        <v>294</v>
      </c>
      <c r="GR384" s="43">
        <v>74</v>
      </c>
    </row>
    <row r="385" spans="1:200">
      <c r="A385" s="7">
        <v>6205</v>
      </c>
      <c r="B385" s="1" t="s">
        <v>513</v>
      </c>
      <c r="C385" s="33">
        <v>357</v>
      </c>
      <c r="D385" s="34">
        <v>267</v>
      </c>
      <c r="E385" s="19">
        <f t="shared" si="5"/>
        <v>0.74789915966386555</v>
      </c>
      <c r="F385" s="62">
        <v>168</v>
      </c>
      <c r="G385" s="43">
        <v>1</v>
      </c>
      <c r="H385" s="43">
        <v>8</v>
      </c>
      <c r="I385" s="43">
        <v>3</v>
      </c>
      <c r="J385" s="55">
        <v>83</v>
      </c>
      <c r="K385" s="6">
        <v>0</v>
      </c>
      <c r="L385" s="6">
        <v>0</v>
      </c>
      <c r="M385" s="43">
        <v>0</v>
      </c>
      <c r="N385" s="25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  <c r="V385" s="43">
        <v>0</v>
      </c>
      <c r="W385" s="43">
        <v>0</v>
      </c>
      <c r="X385" s="43">
        <v>0</v>
      </c>
      <c r="Y385" s="43">
        <v>0</v>
      </c>
      <c r="Z385" s="43">
        <v>0</v>
      </c>
      <c r="AA385" s="44">
        <v>0</v>
      </c>
      <c r="AB385" s="44">
        <v>0</v>
      </c>
      <c r="AC385" s="44">
        <v>4</v>
      </c>
      <c r="AD385" s="44">
        <v>5</v>
      </c>
      <c r="AE385" s="44">
        <v>114</v>
      </c>
      <c r="AF385" s="44">
        <v>2</v>
      </c>
      <c r="AG385" s="44">
        <v>0</v>
      </c>
      <c r="AH385" s="44">
        <v>135</v>
      </c>
      <c r="AI385" s="32"/>
      <c r="AJ385" s="32"/>
      <c r="AK385" s="32"/>
      <c r="AL385" s="32"/>
      <c r="AM385" s="44">
        <v>5</v>
      </c>
      <c r="AN385" s="44">
        <v>135</v>
      </c>
      <c r="AO385" s="44">
        <v>104</v>
      </c>
      <c r="AP385" s="44"/>
      <c r="AQ385" s="44"/>
      <c r="AR385" s="51"/>
      <c r="AS385" s="51"/>
      <c r="AT385" s="51"/>
      <c r="AU385" s="51"/>
      <c r="AV385" s="51"/>
      <c r="AW385" s="50"/>
      <c r="AX385" s="50"/>
      <c r="AY385" s="43">
        <v>149</v>
      </c>
      <c r="AZ385" s="43">
        <v>91</v>
      </c>
      <c r="BA385" s="50"/>
      <c r="BB385" s="50"/>
      <c r="BC385" s="50"/>
      <c r="BD385" s="50"/>
      <c r="BE385" s="43">
        <v>87</v>
      </c>
      <c r="BF385" s="43">
        <v>163</v>
      </c>
      <c r="BG385" s="43">
        <v>98</v>
      </c>
      <c r="BH385" s="43">
        <v>155</v>
      </c>
      <c r="BI385" s="43">
        <v>108</v>
      </c>
      <c r="BJ385" s="43">
        <v>145</v>
      </c>
      <c r="BK385" s="43">
        <v>151</v>
      </c>
      <c r="BL385" s="43">
        <v>97</v>
      </c>
      <c r="BM385" s="43">
        <v>85</v>
      </c>
      <c r="BN385" s="43">
        <v>166</v>
      </c>
      <c r="BO385" s="43">
        <v>150</v>
      </c>
      <c r="BP385" s="43">
        <v>98</v>
      </c>
      <c r="BQ385" s="43">
        <v>111</v>
      </c>
      <c r="BR385" s="43">
        <v>133</v>
      </c>
      <c r="BS385" s="43">
        <v>144</v>
      </c>
      <c r="BT385" s="43">
        <v>64</v>
      </c>
      <c r="BU385" s="43">
        <v>185</v>
      </c>
      <c r="BV385" s="43">
        <v>158</v>
      </c>
      <c r="BW385" s="43">
        <v>89</v>
      </c>
      <c r="BX385" s="43">
        <v>110</v>
      </c>
      <c r="BY385" s="43">
        <v>118</v>
      </c>
      <c r="BZ385" s="43">
        <v>97</v>
      </c>
      <c r="CA385" s="43">
        <v>143</v>
      </c>
      <c r="CB385" s="43">
        <v>78</v>
      </c>
      <c r="CC385" s="43">
        <v>120</v>
      </c>
      <c r="CD385" s="43">
        <v>150</v>
      </c>
      <c r="CE385" s="43">
        <v>119</v>
      </c>
      <c r="CF385" s="43">
        <v>88</v>
      </c>
      <c r="CG385" s="43">
        <v>108</v>
      </c>
      <c r="CH385" s="43">
        <v>85</v>
      </c>
      <c r="CI385" s="43">
        <v>78</v>
      </c>
      <c r="CJ385" s="43">
        <v>120</v>
      </c>
      <c r="CK385" s="43">
        <v>102</v>
      </c>
      <c r="CL385" s="43">
        <v>96</v>
      </c>
      <c r="CM385" s="43">
        <v>130</v>
      </c>
      <c r="CN385" s="43">
        <v>148</v>
      </c>
      <c r="CO385" s="43">
        <v>100</v>
      </c>
      <c r="CP385" s="43">
        <v>103</v>
      </c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43">
        <v>132</v>
      </c>
      <c r="FZ385" s="43">
        <v>116</v>
      </c>
      <c r="GA385" s="53"/>
      <c r="GB385" s="53"/>
      <c r="GC385" s="53"/>
      <c r="GD385" s="53"/>
      <c r="GE385" s="53"/>
      <c r="GF385" s="53"/>
      <c r="GG385" s="53"/>
      <c r="GH385" s="53"/>
      <c r="GI385" s="43"/>
      <c r="GJ385" s="43"/>
      <c r="GK385" s="43"/>
      <c r="GL385" s="43"/>
      <c r="GM385" s="53"/>
      <c r="GN385" s="53"/>
      <c r="GO385" s="43">
        <v>167</v>
      </c>
      <c r="GP385" s="43">
        <v>86</v>
      </c>
      <c r="GQ385" s="43">
        <v>189</v>
      </c>
      <c r="GR385" s="43">
        <v>66</v>
      </c>
    </row>
    <row r="386" spans="1:200">
      <c r="A386" s="7">
        <v>6206</v>
      </c>
      <c r="B386" s="1" t="s">
        <v>514</v>
      </c>
      <c r="C386" s="33">
        <v>610</v>
      </c>
      <c r="D386" s="34">
        <v>468</v>
      </c>
      <c r="E386" s="19">
        <f t="shared" si="5"/>
        <v>0.76721311475409837</v>
      </c>
      <c r="F386" s="62">
        <v>236</v>
      </c>
      <c r="G386" s="43">
        <v>3</v>
      </c>
      <c r="H386" s="43">
        <v>13</v>
      </c>
      <c r="I386" s="43">
        <v>5</v>
      </c>
      <c r="J386" s="55">
        <v>188</v>
      </c>
      <c r="K386" s="6">
        <v>0</v>
      </c>
      <c r="L386" s="6">
        <v>0</v>
      </c>
      <c r="M386" s="43">
        <v>0</v>
      </c>
      <c r="N386" s="25">
        <v>0</v>
      </c>
      <c r="O386" s="43">
        <v>0</v>
      </c>
      <c r="P386" s="43">
        <v>1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  <c r="V386" s="43">
        <v>0</v>
      </c>
      <c r="W386" s="43">
        <v>4</v>
      </c>
      <c r="X386" s="43">
        <v>0</v>
      </c>
      <c r="Y386" s="43">
        <v>0</v>
      </c>
      <c r="Z386" s="43">
        <v>0</v>
      </c>
      <c r="AA386" s="44">
        <v>0</v>
      </c>
      <c r="AB386" s="44">
        <v>0</v>
      </c>
      <c r="AC386" s="44">
        <v>6</v>
      </c>
      <c r="AD386" s="44">
        <v>13</v>
      </c>
      <c r="AE386" s="44">
        <v>255</v>
      </c>
      <c r="AF386" s="44">
        <v>7</v>
      </c>
      <c r="AG386" s="44">
        <v>0</v>
      </c>
      <c r="AH386" s="44">
        <v>173</v>
      </c>
      <c r="AI386" s="32"/>
      <c r="AJ386" s="32"/>
      <c r="AK386" s="32"/>
      <c r="AL386" s="32"/>
      <c r="AM386" s="44">
        <v>24</v>
      </c>
      <c r="AN386" s="44">
        <v>166</v>
      </c>
      <c r="AO386" s="44">
        <v>250</v>
      </c>
      <c r="AP386" s="44"/>
      <c r="AQ386" s="44"/>
      <c r="AR386" s="51"/>
      <c r="AS386" s="51"/>
      <c r="AT386" s="51"/>
      <c r="AU386" s="51"/>
      <c r="AV386" s="51"/>
      <c r="AW386" s="50"/>
      <c r="AX386" s="50"/>
      <c r="AY386" s="43">
        <v>229</v>
      </c>
      <c r="AZ386" s="43">
        <v>210</v>
      </c>
      <c r="BA386" s="50"/>
      <c r="BB386" s="50"/>
      <c r="BC386" s="50"/>
      <c r="BD386" s="50"/>
      <c r="BE386" s="43">
        <v>196</v>
      </c>
      <c r="BF386" s="43">
        <v>239</v>
      </c>
      <c r="BG386" s="43">
        <v>217</v>
      </c>
      <c r="BH386" s="43">
        <v>224</v>
      </c>
      <c r="BI386" s="43">
        <v>255</v>
      </c>
      <c r="BJ386" s="43">
        <v>182</v>
      </c>
      <c r="BK386" s="43">
        <v>238</v>
      </c>
      <c r="BL386" s="43">
        <v>198</v>
      </c>
      <c r="BM386" s="43">
        <v>159</v>
      </c>
      <c r="BN386" s="43">
        <v>266</v>
      </c>
      <c r="BO386" s="43">
        <v>204</v>
      </c>
      <c r="BP386" s="43">
        <v>217</v>
      </c>
      <c r="BQ386" s="43">
        <v>252</v>
      </c>
      <c r="BR386" s="43">
        <v>176</v>
      </c>
      <c r="BS386" s="43">
        <v>297</v>
      </c>
      <c r="BT386" s="43">
        <v>170</v>
      </c>
      <c r="BU386" s="43">
        <v>256</v>
      </c>
      <c r="BV386" s="43">
        <v>288</v>
      </c>
      <c r="BW386" s="43">
        <v>188</v>
      </c>
      <c r="BX386" s="43">
        <v>147</v>
      </c>
      <c r="BY386" s="43">
        <v>202</v>
      </c>
      <c r="BZ386" s="43">
        <v>166</v>
      </c>
      <c r="CA386" s="43">
        <v>248</v>
      </c>
      <c r="CB386" s="43">
        <v>164</v>
      </c>
      <c r="CC386" s="43">
        <v>171</v>
      </c>
      <c r="CD386" s="43">
        <v>247</v>
      </c>
      <c r="CE386" s="43">
        <v>178</v>
      </c>
      <c r="CF386" s="43">
        <v>162</v>
      </c>
      <c r="CG386" s="43">
        <v>181</v>
      </c>
      <c r="CH386" s="43">
        <v>143</v>
      </c>
      <c r="CI386" s="43">
        <v>99</v>
      </c>
      <c r="CJ386" s="43">
        <v>243</v>
      </c>
      <c r="CK386" s="43">
        <v>178</v>
      </c>
      <c r="CL386" s="43">
        <v>150</v>
      </c>
      <c r="CM386" s="43">
        <v>238</v>
      </c>
      <c r="CN386" s="43">
        <v>241</v>
      </c>
      <c r="CO386" s="43">
        <v>139</v>
      </c>
      <c r="CP386" s="43">
        <v>197</v>
      </c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43">
        <v>234</v>
      </c>
      <c r="FZ386" s="43">
        <v>204</v>
      </c>
      <c r="GA386" s="53"/>
      <c r="GB386" s="53"/>
      <c r="GC386" s="53"/>
      <c r="GD386" s="53"/>
      <c r="GE386" s="53"/>
      <c r="GF386" s="53"/>
      <c r="GG386" s="53"/>
      <c r="GH386" s="53"/>
      <c r="GI386" s="43"/>
      <c r="GJ386" s="43"/>
      <c r="GK386" s="43"/>
      <c r="GL386" s="43"/>
      <c r="GM386" s="53"/>
      <c r="GN386" s="53"/>
      <c r="GO386" s="43">
        <v>322</v>
      </c>
      <c r="GP386" s="43">
        <v>123</v>
      </c>
      <c r="GQ386" s="43">
        <v>333</v>
      </c>
      <c r="GR386" s="43">
        <v>102</v>
      </c>
    </row>
    <row r="387" spans="1:200">
      <c r="A387" s="7">
        <v>6207</v>
      </c>
      <c r="B387" s="1" t="s">
        <v>515</v>
      </c>
      <c r="C387" s="33">
        <v>797</v>
      </c>
      <c r="D387" s="34">
        <v>582</v>
      </c>
      <c r="E387" s="19">
        <f t="shared" si="5"/>
        <v>0.7302383939774153</v>
      </c>
      <c r="F387" s="62">
        <v>308</v>
      </c>
      <c r="G387" s="43">
        <v>0</v>
      </c>
      <c r="H387" s="43">
        <v>29</v>
      </c>
      <c r="I387" s="43">
        <v>4</v>
      </c>
      <c r="J387" s="55">
        <v>211</v>
      </c>
      <c r="K387" s="6">
        <v>0</v>
      </c>
      <c r="L387" s="6">
        <v>0</v>
      </c>
      <c r="M387" s="43">
        <v>1</v>
      </c>
      <c r="N387" s="25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  <c r="V387" s="43">
        <v>0</v>
      </c>
      <c r="W387" s="43">
        <v>1</v>
      </c>
      <c r="X387" s="43">
        <v>0</v>
      </c>
      <c r="Y387" s="43">
        <v>0</v>
      </c>
      <c r="Z387" s="43">
        <v>0</v>
      </c>
      <c r="AA387" s="44">
        <v>0</v>
      </c>
      <c r="AB387" s="44">
        <v>0</v>
      </c>
      <c r="AC387" s="44">
        <v>5</v>
      </c>
      <c r="AD387" s="44">
        <v>16</v>
      </c>
      <c r="AE387" s="44">
        <v>354</v>
      </c>
      <c r="AF387" s="44">
        <v>6</v>
      </c>
      <c r="AG387" s="44">
        <v>0</v>
      </c>
      <c r="AH387" s="44">
        <v>194</v>
      </c>
      <c r="AI387" s="32"/>
      <c r="AJ387" s="32"/>
      <c r="AK387" s="32"/>
      <c r="AL387" s="32"/>
      <c r="AM387" s="44">
        <v>18</v>
      </c>
      <c r="AN387" s="44">
        <v>199</v>
      </c>
      <c r="AO387" s="44">
        <v>329</v>
      </c>
      <c r="AP387" s="44"/>
      <c r="AQ387" s="44"/>
      <c r="AR387" s="43">
        <v>308</v>
      </c>
      <c r="AS387" s="43">
        <v>231</v>
      </c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43">
        <v>257</v>
      </c>
      <c r="BF387" s="43">
        <v>281</v>
      </c>
      <c r="BG387" s="43">
        <v>309</v>
      </c>
      <c r="BH387" s="43">
        <v>239</v>
      </c>
      <c r="BI387" s="43">
        <v>335</v>
      </c>
      <c r="BJ387" s="43">
        <v>202</v>
      </c>
      <c r="BK387" s="43">
        <v>264</v>
      </c>
      <c r="BL387" s="43">
        <v>259</v>
      </c>
      <c r="BM387" s="43">
        <v>242</v>
      </c>
      <c r="BN387" s="43">
        <v>286</v>
      </c>
      <c r="BO387" s="43">
        <v>240</v>
      </c>
      <c r="BP387" s="43">
        <v>282</v>
      </c>
      <c r="BQ387" s="43">
        <v>324</v>
      </c>
      <c r="BR387" s="43">
        <v>205</v>
      </c>
      <c r="BS387" s="43">
        <v>368</v>
      </c>
      <c r="BT387" s="43">
        <v>218</v>
      </c>
      <c r="BU387" s="43">
        <v>302</v>
      </c>
      <c r="BV387" s="43">
        <v>379</v>
      </c>
      <c r="BW387" s="43">
        <v>234</v>
      </c>
      <c r="BX387" s="43">
        <v>181</v>
      </c>
      <c r="BY387" s="43">
        <v>245</v>
      </c>
      <c r="BZ387" s="43">
        <v>218</v>
      </c>
      <c r="CA387" s="43">
        <v>327</v>
      </c>
      <c r="CB387" s="43">
        <v>234</v>
      </c>
      <c r="CC387" s="43">
        <v>188</v>
      </c>
      <c r="CD387" s="43">
        <v>337</v>
      </c>
      <c r="CE387" s="43">
        <v>221</v>
      </c>
      <c r="CF387" s="43">
        <v>198</v>
      </c>
      <c r="CG387" s="43">
        <v>232</v>
      </c>
      <c r="CH387" s="43">
        <v>160</v>
      </c>
      <c r="CI387" s="43">
        <v>123</v>
      </c>
      <c r="CJ387" s="43">
        <v>292</v>
      </c>
      <c r="CK387" s="43">
        <v>222</v>
      </c>
      <c r="CL387" s="43">
        <v>169</v>
      </c>
      <c r="CM387" s="43">
        <v>307</v>
      </c>
      <c r="CN387" s="43">
        <v>313</v>
      </c>
      <c r="CO387" s="43">
        <v>150</v>
      </c>
      <c r="CP387" s="43">
        <v>250</v>
      </c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53"/>
      <c r="FZ387" s="53"/>
      <c r="GA387" s="53"/>
      <c r="GB387" s="53"/>
      <c r="GC387" s="53"/>
      <c r="GD387" s="53"/>
      <c r="GE387" s="53"/>
      <c r="GF387" s="53"/>
      <c r="GG387" s="53"/>
      <c r="GH387" s="53"/>
      <c r="GI387" s="43"/>
      <c r="GJ387" s="43"/>
      <c r="GK387" s="43"/>
      <c r="GL387" s="43"/>
      <c r="GM387" s="53"/>
      <c r="GN387" s="53"/>
      <c r="GO387" s="43">
        <v>450</v>
      </c>
      <c r="GP387" s="43">
        <v>110</v>
      </c>
      <c r="GQ387" s="43">
        <v>410</v>
      </c>
      <c r="GR387" s="43">
        <v>137</v>
      </c>
    </row>
    <row r="388" spans="1:200">
      <c r="A388" s="7">
        <v>6208</v>
      </c>
      <c r="B388" s="1" t="s">
        <v>516</v>
      </c>
      <c r="C388" s="33">
        <v>3</v>
      </c>
      <c r="D388" s="34">
        <v>3</v>
      </c>
      <c r="E388" s="19">
        <f t="shared" si="5"/>
        <v>1</v>
      </c>
      <c r="F388" s="62">
        <v>2</v>
      </c>
      <c r="G388" s="43">
        <v>0</v>
      </c>
      <c r="H388" s="43">
        <v>0</v>
      </c>
      <c r="I388" s="43">
        <v>0</v>
      </c>
      <c r="J388" s="55">
        <v>1</v>
      </c>
      <c r="K388" s="6">
        <v>0</v>
      </c>
      <c r="L388" s="6">
        <v>0</v>
      </c>
      <c r="M388" s="43">
        <v>0</v>
      </c>
      <c r="N388" s="25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  <c r="V388" s="43">
        <v>0</v>
      </c>
      <c r="W388" s="43">
        <v>0</v>
      </c>
      <c r="X388" s="43">
        <v>0</v>
      </c>
      <c r="Y388" s="43">
        <v>0</v>
      </c>
      <c r="Z388" s="43">
        <v>0</v>
      </c>
      <c r="AA388" s="44">
        <v>0</v>
      </c>
      <c r="AB388" s="44">
        <v>0</v>
      </c>
      <c r="AC388" s="44">
        <v>0</v>
      </c>
      <c r="AD388" s="44">
        <v>0</v>
      </c>
      <c r="AE388" s="44">
        <v>1</v>
      </c>
      <c r="AF388" s="44">
        <v>0</v>
      </c>
      <c r="AG388" s="44">
        <v>0</v>
      </c>
      <c r="AH388" s="44">
        <v>2</v>
      </c>
      <c r="AI388" s="32"/>
      <c r="AJ388" s="32"/>
      <c r="AK388" s="32"/>
      <c r="AL388" s="32"/>
      <c r="AM388" s="44">
        <v>0</v>
      </c>
      <c r="AN388" s="44">
        <v>1</v>
      </c>
      <c r="AO388" s="44">
        <v>2</v>
      </c>
      <c r="AP388" s="44"/>
      <c r="AQ388" s="44"/>
      <c r="AR388" s="43">
        <v>1</v>
      </c>
      <c r="AS388" s="43">
        <v>2</v>
      </c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43">
        <v>0</v>
      </c>
      <c r="BF388" s="43">
        <v>3</v>
      </c>
      <c r="BG388" s="43">
        <v>1</v>
      </c>
      <c r="BH388" s="43">
        <v>2</v>
      </c>
      <c r="BI388" s="43">
        <v>1</v>
      </c>
      <c r="BJ388" s="43">
        <v>2</v>
      </c>
      <c r="BK388" s="43">
        <v>2</v>
      </c>
      <c r="BL388" s="43">
        <v>1</v>
      </c>
      <c r="BM388" s="43">
        <v>1</v>
      </c>
      <c r="BN388" s="43">
        <v>2</v>
      </c>
      <c r="BO388" s="43">
        <v>2</v>
      </c>
      <c r="BP388" s="43">
        <v>1</v>
      </c>
      <c r="BQ388" s="43">
        <v>2</v>
      </c>
      <c r="BR388" s="43">
        <v>1</v>
      </c>
      <c r="BS388" s="43">
        <v>3</v>
      </c>
      <c r="BT388" s="43">
        <v>1</v>
      </c>
      <c r="BU388" s="43">
        <v>2</v>
      </c>
      <c r="BV388" s="43">
        <v>3</v>
      </c>
      <c r="BW388" s="43">
        <v>3</v>
      </c>
      <c r="BX388" s="43">
        <v>0</v>
      </c>
      <c r="BY388" s="43">
        <v>1</v>
      </c>
      <c r="BZ388" s="43">
        <v>2</v>
      </c>
      <c r="CA388" s="43">
        <v>3</v>
      </c>
      <c r="CB388" s="43">
        <v>1</v>
      </c>
      <c r="CC388" s="43">
        <v>2</v>
      </c>
      <c r="CD388" s="43">
        <v>3</v>
      </c>
      <c r="CE388" s="43">
        <v>2</v>
      </c>
      <c r="CF388" s="43">
        <v>1</v>
      </c>
      <c r="CG388" s="43">
        <v>2</v>
      </c>
      <c r="CH388" s="43">
        <v>1</v>
      </c>
      <c r="CI388" s="43">
        <v>1</v>
      </c>
      <c r="CJ388" s="43">
        <v>2</v>
      </c>
      <c r="CK388" s="43">
        <v>3</v>
      </c>
      <c r="CL388" s="43">
        <v>0</v>
      </c>
      <c r="CM388" s="43">
        <v>3</v>
      </c>
      <c r="CN388" s="43">
        <v>3</v>
      </c>
      <c r="CO388" s="43">
        <v>0</v>
      </c>
      <c r="CP388" s="43">
        <v>3</v>
      </c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53"/>
      <c r="FZ388" s="53"/>
      <c r="GA388" s="53"/>
      <c r="GB388" s="53"/>
      <c r="GC388" s="53"/>
      <c r="GD388" s="53"/>
      <c r="GE388" s="53"/>
      <c r="GF388" s="53"/>
      <c r="GG388" s="53"/>
      <c r="GH388" s="53"/>
      <c r="GI388" s="43"/>
      <c r="GJ388" s="43"/>
      <c r="GK388" s="43"/>
      <c r="GL388" s="43"/>
      <c r="GM388" s="53"/>
      <c r="GN388" s="53"/>
      <c r="GO388" s="43">
        <v>2</v>
      </c>
      <c r="GP388" s="43">
        <v>1</v>
      </c>
      <c r="GQ388" s="43">
        <v>3</v>
      </c>
      <c r="GR388" s="43">
        <v>0</v>
      </c>
    </row>
    <row r="389" spans="1:200">
      <c r="A389" s="7">
        <v>6209</v>
      </c>
      <c r="B389" s="1" t="s">
        <v>517</v>
      </c>
      <c r="C389" s="33">
        <v>11</v>
      </c>
      <c r="D389" s="34">
        <v>10</v>
      </c>
      <c r="E389" s="19">
        <f t="shared" ref="E389:E452" si="6">SUM(D389/C389)</f>
        <v>0.90909090909090906</v>
      </c>
      <c r="F389" s="62">
        <v>3</v>
      </c>
      <c r="G389" s="43">
        <v>0</v>
      </c>
      <c r="H389" s="43">
        <v>0</v>
      </c>
      <c r="I389" s="43">
        <v>0</v>
      </c>
      <c r="J389" s="55">
        <v>7</v>
      </c>
      <c r="K389" s="6">
        <v>0</v>
      </c>
      <c r="L389" s="6">
        <v>0</v>
      </c>
      <c r="M389" s="43">
        <v>0</v>
      </c>
      <c r="N389" s="25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  <c r="V389" s="43">
        <v>0</v>
      </c>
      <c r="W389" s="43">
        <v>0</v>
      </c>
      <c r="X389" s="43">
        <v>0</v>
      </c>
      <c r="Y389" s="43">
        <v>0</v>
      </c>
      <c r="Z389" s="43">
        <v>0</v>
      </c>
      <c r="AA389" s="44">
        <v>0</v>
      </c>
      <c r="AB389" s="44">
        <v>0</v>
      </c>
      <c r="AC389" s="44">
        <v>0</v>
      </c>
      <c r="AD389" s="44">
        <v>0</v>
      </c>
      <c r="AE389" s="44">
        <v>9</v>
      </c>
      <c r="AF389" s="44">
        <v>0</v>
      </c>
      <c r="AG389" s="44">
        <v>0</v>
      </c>
      <c r="AH389" s="44">
        <v>0</v>
      </c>
      <c r="AI389" s="32"/>
      <c r="AJ389" s="32"/>
      <c r="AK389" s="32"/>
      <c r="AL389" s="32"/>
      <c r="AM389" s="44">
        <v>0</v>
      </c>
      <c r="AN389" s="44">
        <v>0</v>
      </c>
      <c r="AO389" s="44">
        <v>9</v>
      </c>
      <c r="AP389" s="44"/>
      <c r="AQ389" s="44"/>
      <c r="AR389" s="43">
        <v>9</v>
      </c>
      <c r="AS389" s="43">
        <v>0</v>
      </c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43">
        <v>7</v>
      </c>
      <c r="BF389" s="43">
        <v>2</v>
      </c>
      <c r="BG389" s="43">
        <v>9</v>
      </c>
      <c r="BH389" s="43">
        <v>0</v>
      </c>
      <c r="BI389" s="43">
        <v>9</v>
      </c>
      <c r="BJ389" s="43">
        <v>0</v>
      </c>
      <c r="BK389" s="43">
        <v>2</v>
      </c>
      <c r="BL389" s="43">
        <v>7</v>
      </c>
      <c r="BM389" s="43">
        <v>8</v>
      </c>
      <c r="BN389" s="43">
        <v>1</v>
      </c>
      <c r="BO389" s="43">
        <v>1</v>
      </c>
      <c r="BP389" s="43">
        <v>7</v>
      </c>
      <c r="BQ389" s="43">
        <v>9</v>
      </c>
      <c r="BR389" s="43">
        <v>0</v>
      </c>
      <c r="BS389" s="43">
        <v>8</v>
      </c>
      <c r="BT389" s="43">
        <v>6</v>
      </c>
      <c r="BU389" s="43">
        <v>2</v>
      </c>
      <c r="BV389" s="43">
        <v>9</v>
      </c>
      <c r="BW389" s="43">
        <v>3</v>
      </c>
      <c r="BX389" s="43">
        <v>4</v>
      </c>
      <c r="BY389" s="43">
        <v>7</v>
      </c>
      <c r="BZ389" s="43">
        <v>2</v>
      </c>
      <c r="CA389" s="43">
        <v>8</v>
      </c>
      <c r="CB389" s="43">
        <v>6</v>
      </c>
      <c r="CC389" s="43">
        <v>3</v>
      </c>
      <c r="CD389" s="43">
        <v>8</v>
      </c>
      <c r="CE389" s="43">
        <v>2</v>
      </c>
      <c r="CF389" s="43">
        <v>7</v>
      </c>
      <c r="CG389" s="43">
        <v>7</v>
      </c>
      <c r="CH389" s="43">
        <v>2</v>
      </c>
      <c r="CI389" s="43">
        <v>0</v>
      </c>
      <c r="CJ389" s="43">
        <v>8</v>
      </c>
      <c r="CK389" s="43">
        <v>7</v>
      </c>
      <c r="CL389" s="43">
        <v>2</v>
      </c>
      <c r="CM389" s="43">
        <v>9</v>
      </c>
      <c r="CN389" s="43">
        <v>8</v>
      </c>
      <c r="CO389" s="43">
        <v>1</v>
      </c>
      <c r="CP389" s="43">
        <v>8</v>
      </c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53"/>
      <c r="FZ389" s="53"/>
      <c r="GA389" s="53"/>
      <c r="GB389" s="53"/>
      <c r="GC389" s="53"/>
      <c r="GD389" s="53"/>
      <c r="GE389" s="53"/>
      <c r="GF389" s="53"/>
      <c r="GG389" s="53"/>
      <c r="GH389" s="53"/>
      <c r="GI389" s="43"/>
      <c r="GJ389" s="43"/>
      <c r="GK389" s="43"/>
      <c r="GL389" s="43"/>
      <c r="GM389" s="53"/>
      <c r="GN389" s="53"/>
      <c r="GO389" s="43">
        <v>7</v>
      </c>
      <c r="GP389" s="43">
        <v>2</v>
      </c>
      <c r="GQ389" s="43">
        <v>7</v>
      </c>
      <c r="GR389" s="43">
        <v>2</v>
      </c>
    </row>
    <row r="390" spans="1:200">
      <c r="A390" s="7">
        <v>6210</v>
      </c>
      <c r="B390" s="1" t="s">
        <v>518</v>
      </c>
      <c r="C390" s="33">
        <v>2</v>
      </c>
      <c r="D390" s="34">
        <v>2</v>
      </c>
      <c r="E390" s="19">
        <f t="shared" si="6"/>
        <v>1</v>
      </c>
      <c r="F390" s="62">
        <v>0</v>
      </c>
      <c r="G390" s="43">
        <v>0</v>
      </c>
      <c r="H390" s="43">
        <v>0</v>
      </c>
      <c r="I390" s="43">
        <v>0</v>
      </c>
      <c r="J390" s="55">
        <v>2</v>
      </c>
      <c r="K390" s="6">
        <v>0</v>
      </c>
      <c r="L390" s="6">
        <v>0</v>
      </c>
      <c r="M390" s="43">
        <v>0</v>
      </c>
      <c r="N390" s="25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  <c r="V390" s="43">
        <v>0</v>
      </c>
      <c r="W390" s="43">
        <v>0</v>
      </c>
      <c r="X390" s="43">
        <v>0</v>
      </c>
      <c r="Y390" s="43">
        <v>0</v>
      </c>
      <c r="Z390" s="43">
        <v>0</v>
      </c>
      <c r="AA390" s="44">
        <v>0</v>
      </c>
      <c r="AB390" s="44">
        <v>0</v>
      </c>
      <c r="AC390" s="44">
        <v>0</v>
      </c>
      <c r="AD390" s="44">
        <v>0</v>
      </c>
      <c r="AE390" s="44">
        <v>2</v>
      </c>
      <c r="AF390" s="44">
        <v>0</v>
      </c>
      <c r="AG390" s="44">
        <v>0</v>
      </c>
      <c r="AH390" s="44">
        <v>0</v>
      </c>
      <c r="AI390" s="32"/>
      <c r="AJ390" s="32"/>
      <c r="AK390" s="32"/>
      <c r="AL390" s="32"/>
      <c r="AM390" s="44">
        <v>0</v>
      </c>
      <c r="AN390" s="44">
        <v>0</v>
      </c>
      <c r="AO390" s="44">
        <v>2</v>
      </c>
      <c r="AP390" s="44"/>
      <c r="AQ390" s="44"/>
      <c r="AR390" s="43">
        <v>2</v>
      </c>
      <c r="AS390" s="43">
        <v>0</v>
      </c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43">
        <v>1</v>
      </c>
      <c r="BF390" s="43">
        <v>1</v>
      </c>
      <c r="BG390" s="43">
        <v>2</v>
      </c>
      <c r="BH390" s="43">
        <v>0</v>
      </c>
      <c r="BI390" s="43">
        <v>2</v>
      </c>
      <c r="BJ390" s="43">
        <v>0</v>
      </c>
      <c r="BK390" s="43">
        <v>1</v>
      </c>
      <c r="BL390" s="43">
        <v>1</v>
      </c>
      <c r="BM390" s="43">
        <v>2</v>
      </c>
      <c r="BN390" s="43">
        <v>0</v>
      </c>
      <c r="BO390" s="43">
        <v>0</v>
      </c>
      <c r="BP390" s="43">
        <v>2</v>
      </c>
      <c r="BQ390" s="43">
        <v>2</v>
      </c>
      <c r="BR390" s="43">
        <v>0</v>
      </c>
      <c r="BS390" s="43">
        <v>1</v>
      </c>
      <c r="BT390" s="43">
        <v>1</v>
      </c>
      <c r="BU390" s="43">
        <v>1</v>
      </c>
      <c r="BV390" s="43">
        <v>1</v>
      </c>
      <c r="BW390" s="43">
        <v>2</v>
      </c>
      <c r="BX390" s="43">
        <v>0</v>
      </c>
      <c r="BY390" s="43">
        <v>2</v>
      </c>
      <c r="BZ390" s="43">
        <v>0</v>
      </c>
      <c r="CA390" s="43">
        <v>0</v>
      </c>
      <c r="CB390" s="43">
        <v>2</v>
      </c>
      <c r="CC390" s="43">
        <v>0</v>
      </c>
      <c r="CD390" s="43">
        <v>0</v>
      </c>
      <c r="CE390" s="43">
        <v>0</v>
      </c>
      <c r="CF390" s="43">
        <v>2</v>
      </c>
      <c r="CG390" s="43">
        <v>1</v>
      </c>
      <c r="CH390" s="43">
        <v>0</v>
      </c>
      <c r="CI390" s="43">
        <v>0</v>
      </c>
      <c r="CJ390" s="43">
        <v>2</v>
      </c>
      <c r="CK390" s="43">
        <v>1</v>
      </c>
      <c r="CL390" s="43">
        <v>0</v>
      </c>
      <c r="CM390" s="43">
        <v>0</v>
      </c>
      <c r="CN390" s="43">
        <v>0</v>
      </c>
      <c r="CO390" s="43">
        <v>0</v>
      </c>
      <c r="CP390" s="43">
        <v>1</v>
      </c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53"/>
      <c r="FZ390" s="53"/>
      <c r="GA390" s="53"/>
      <c r="GB390" s="53"/>
      <c r="GC390" s="53"/>
      <c r="GD390" s="53"/>
      <c r="GE390" s="53"/>
      <c r="GF390" s="53"/>
      <c r="GG390" s="53"/>
      <c r="GH390" s="53"/>
      <c r="GI390" s="43"/>
      <c r="GJ390" s="43"/>
      <c r="GK390" s="43"/>
      <c r="GL390" s="43"/>
      <c r="GM390" s="53"/>
      <c r="GN390" s="53"/>
      <c r="GO390" s="43">
        <v>1</v>
      </c>
      <c r="GP390" s="43">
        <v>1</v>
      </c>
      <c r="GQ390" s="43">
        <v>1</v>
      </c>
      <c r="GR390" s="43">
        <v>1</v>
      </c>
    </row>
    <row r="391" spans="1:200">
      <c r="A391" s="7">
        <v>6211</v>
      </c>
      <c r="B391" s="1" t="s">
        <v>519</v>
      </c>
      <c r="C391" s="33">
        <v>11</v>
      </c>
      <c r="D391" s="34">
        <v>8</v>
      </c>
      <c r="E391" s="19">
        <f t="shared" si="6"/>
        <v>0.72727272727272729</v>
      </c>
      <c r="F391" s="62">
        <v>1</v>
      </c>
      <c r="G391" s="43">
        <v>0</v>
      </c>
      <c r="H391" s="43">
        <v>1</v>
      </c>
      <c r="I391" s="43">
        <v>0</v>
      </c>
      <c r="J391" s="55">
        <v>6</v>
      </c>
      <c r="K391" s="6">
        <v>0</v>
      </c>
      <c r="L391" s="6">
        <v>0</v>
      </c>
      <c r="M391" s="43">
        <v>0</v>
      </c>
      <c r="N391" s="25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  <c r="V391" s="43">
        <v>0</v>
      </c>
      <c r="W391" s="43">
        <v>0</v>
      </c>
      <c r="X391" s="43">
        <v>0</v>
      </c>
      <c r="Y391" s="43">
        <v>0</v>
      </c>
      <c r="Z391" s="43">
        <v>0</v>
      </c>
      <c r="AA391" s="44">
        <v>0</v>
      </c>
      <c r="AB391" s="44">
        <v>0</v>
      </c>
      <c r="AC391" s="44">
        <v>0</v>
      </c>
      <c r="AD391" s="44">
        <v>0</v>
      </c>
      <c r="AE391" s="44">
        <v>6</v>
      </c>
      <c r="AF391" s="44">
        <v>1</v>
      </c>
      <c r="AG391" s="44">
        <v>0</v>
      </c>
      <c r="AH391" s="44">
        <v>1</v>
      </c>
      <c r="AI391" s="32"/>
      <c r="AJ391" s="32"/>
      <c r="AK391" s="32"/>
      <c r="AL391" s="32"/>
      <c r="AM391" s="44">
        <v>0</v>
      </c>
      <c r="AN391" s="44">
        <v>1</v>
      </c>
      <c r="AO391" s="44">
        <v>7</v>
      </c>
      <c r="AP391" s="44"/>
      <c r="AQ391" s="44"/>
      <c r="AR391" s="43">
        <v>7</v>
      </c>
      <c r="AS391" s="43">
        <v>1</v>
      </c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43">
        <v>7</v>
      </c>
      <c r="BF391" s="43">
        <v>1</v>
      </c>
      <c r="BG391" s="43">
        <v>6</v>
      </c>
      <c r="BH391" s="43">
        <v>1</v>
      </c>
      <c r="BI391" s="43">
        <v>6</v>
      </c>
      <c r="BJ391" s="43">
        <v>2</v>
      </c>
      <c r="BK391" s="43">
        <v>1</v>
      </c>
      <c r="BL391" s="43">
        <v>7</v>
      </c>
      <c r="BM391" s="43">
        <v>5</v>
      </c>
      <c r="BN391" s="43">
        <v>3</v>
      </c>
      <c r="BO391" s="43">
        <v>1</v>
      </c>
      <c r="BP391" s="43">
        <v>6</v>
      </c>
      <c r="BQ391" s="43">
        <v>7</v>
      </c>
      <c r="BR391" s="43">
        <v>1</v>
      </c>
      <c r="BS391" s="43">
        <v>5</v>
      </c>
      <c r="BT391" s="43">
        <v>6</v>
      </c>
      <c r="BU391" s="43">
        <v>1</v>
      </c>
      <c r="BV391" s="43">
        <v>5</v>
      </c>
      <c r="BW391" s="43">
        <v>5</v>
      </c>
      <c r="BX391" s="43">
        <v>1</v>
      </c>
      <c r="BY391" s="43">
        <v>5</v>
      </c>
      <c r="BZ391" s="43">
        <v>2</v>
      </c>
      <c r="CA391" s="43">
        <v>3</v>
      </c>
      <c r="CB391" s="43">
        <v>4</v>
      </c>
      <c r="CC391" s="43">
        <v>1</v>
      </c>
      <c r="CD391" s="43">
        <v>4</v>
      </c>
      <c r="CE391" s="43">
        <v>2</v>
      </c>
      <c r="CF391" s="43">
        <v>2</v>
      </c>
      <c r="CG391" s="43">
        <v>2</v>
      </c>
      <c r="CH391" s="43">
        <v>2</v>
      </c>
      <c r="CI391" s="43">
        <v>3</v>
      </c>
      <c r="CJ391" s="43">
        <v>1</v>
      </c>
      <c r="CK391" s="43">
        <v>2</v>
      </c>
      <c r="CL391" s="43">
        <v>3</v>
      </c>
      <c r="CM391" s="43">
        <v>3</v>
      </c>
      <c r="CN391" s="43">
        <v>4</v>
      </c>
      <c r="CO391" s="43">
        <v>3</v>
      </c>
      <c r="CP391" s="43">
        <v>1</v>
      </c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53"/>
      <c r="FZ391" s="53"/>
      <c r="GA391" s="53"/>
      <c r="GB391" s="53"/>
      <c r="GC391" s="53"/>
      <c r="GD391" s="53"/>
      <c r="GE391" s="53"/>
      <c r="GF391" s="53"/>
      <c r="GG391" s="53"/>
      <c r="GH391" s="53"/>
      <c r="GI391" s="43"/>
      <c r="GJ391" s="43"/>
      <c r="GK391" s="43"/>
      <c r="GL391" s="43"/>
      <c r="GM391" s="53"/>
      <c r="GN391" s="53"/>
      <c r="GO391" s="43">
        <v>8</v>
      </c>
      <c r="GP391" s="43">
        <v>0</v>
      </c>
      <c r="GQ391" s="43">
        <v>6</v>
      </c>
      <c r="GR391" s="43">
        <v>2</v>
      </c>
    </row>
    <row r="392" spans="1:200">
      <c r="A392" s="7">
        <v>6212</v>
      </c>
      <c r="B392" s="1" t="s">
        <v>520</v>
      </c>
      <c r="C392" s="33">
        <v>73</v>
      </c>
      <c r="D392" s="34">
        <v>46</v>
      </c>
      <c r="E392" s="19">
        <f t="shared" si="6"/>
        <v>0.63013698630136983</v>
      </c>
      <c r="F392" s="62">
        <v>28</v>
      </c>
      <c r="G392" s="43">
        <v>0</v>
      </c>
      <c r="H392" s="43">
        <v>2</v>
      </c>
      <c r="I392" s="43">
        <v>0</v>
      </c>
      <c r="J392" s="55">
        <v>16</v>
      </c>
      <c r="K392" s="6">
        <v>0</v>
      </c>
      <c r="L392" s="6">
        <v>0</v>
      </c>
      <c r="M392" s="43">
        <v>0</v>
      </c>
      <c r="N392" s="25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  <c r="V392" s="43">
        <v>0</v>
      </c>
      <c r="W392" s="43">
        <v>0</v>
      </c>
      <c r="X392" s="43">
        <v>0</v>
      </c>
      <c r="Y392" s="43">
        <v>0</v>
      </c>
      <c r="Z392" s="43">
        <v>0</v>
      </c>
      <c r="AA392" s="44">
        <v>0</v>
      </c>
      <c r="AB392" s="44">
        <v>0</v>
      </c>
      <c r="AC392" s="44">
        <v>2</v>
      </c>
      <c r="AD392" s="44">
        <v>1</v>
      </c>
      <c r="AE392" s="44">
        <v>15</v>
      </c>
      <c r="AF392" s="44">
        <v>0</v>
      </c>
      <c r="AG392" s="44">
        <v>0</v>
      </c>
      <c r="AH392" s="44">
        <v>27</v>
      </c>
      <c r="AI392" s="32"/>
      <c r="AJ392" s="32"/>
      <c r="AK392" s="32"/>
      <c r="AL392" s="32"/>
      <c r="AM392" s="44">
        <v>3</v>
      </c>
      <c r="AN392" s="44">
        <v>25</v>
      </c>
      <c r="AO392" s="44">
        <v>17</v>
      </c>
      <c r="AP392" s="44"/>
      <c r="AQ392" s="44"/>
      <c r="AR392" s="51"/>
      <c r="AS392" s="51"/>
      <c r="AT392" s="51"/>
      <c r="AU392" s="51"/>
      <c r="AV392" s="51"/>
      <c r="AW392" s="50"/>
      <c r="AX392" s="50"/>
      <c r="AY392" s="43">
        <v>32</v>
      </c>
      <c r="AZ392" s="43">
        <v>14</v>
      </c>
      <c r="BA392" s="50"/>
      <c r="BB392" s="50"/>
      <c r="BC392" s="50"/>
      <c r="BD392" s="50"/>
      <c r="BE392" s="43">
        <v>13</v>
      </c>
      <c r="BF392" s="43">
        <v>32</v>
      </c>
      <c r="BG392" s="43">
        <v>14</v>
      </c>
      <c r="BH392" s="43">
        <v>31</v>
      </c>
      <c r="BI392" s="43">
        <v>17</v>
      </c>
      <c r="BJ392" s="43">
        <v>28</v>
      </c>
      <c r="BK392" s="43">
        <v>30</v>
      </c>
      <c r="BL392" s="43">
        <v>15</v>
      </c>
      <c r="BM392" s="43">
        <v>7</v>
      </c>
      <c r="BN392" s="43">
        <v>38</v>
      </c>
      <c r="BO392" s="43">
        <v>30</v>
      </c>
      <c r="BP392" s="43">
        <v>14</v>
      </c>
      <c r="BQ392" s="43">
        <v>19</v>
      </c>
      <c r="BR392" s="43">
        <v>26</v>
      </c>
      <c r="BS392" s="43">
        <v>28</v>
      </c>
      <c r="BT392" s="43">
        <v>14</v>
      </c>
      <c r="BU392" s="43">
        <v>31</v>
      </c>
      <c r="BV392" s="43">
        <v>28</v>
      </c>
      <c r="BW392" s="43">
        <v>15</v>
      </c>
      <c r="BX392" s="43">
        <v>23</v>
      </c>
      <c r="BY392" s="43">
        <v>21</v>
      </c>
      <c r="BZ392" s="43">
        <v>17</v>
      </c>
      <c r="CA392" s="43">
        <v>25</v>
      </c>
      <c r="CB392" s="43">
        <v>14</v>
      </c>
      <c r="CC392" s="43">
        <v>20</v>
      </c>
      <c r="CD392" s="43">
        <v>29</v>
      </c>
      <c r="CE392" s="43">
        <v>19</v>
      </c>
      <c r="CF392" s="43">
        <v>16</v>
      </c>
      <c r="CG392" s="43">
        <v>12</v>
      </c>
      <c r="CH392" s="43">
        <v>22</v>
      </c>
      <c r="CI392" s="43">
        <v>12</v>
      </c>
      <c r="CJ392" s="43">
        <v>22</v>
      </c>
      <c r="CK392" s="43">
        <v>14</v>
      </c>
      <c r="CL392" s="43">
        <v>18</v>
      </c>
      <c r="CM392" s="43">
        <v>23</v>
      </c>
      <c r="CN392" s="43">
        <v>25</v>
      </c>
      <c r="CO392" s="43">
        <v>15</v>
      </c>
      <c r="CP392" s="43">
        <v>21</v>
      </c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43">
        <v>19</v>
      </c>
      <c r="FZ392" s="43">
        <v>24</v>
      </c>
      <c r="GA392" s="53"/>
      <c r="GB392" s="53"/>
      <c r="GC392" s="53"/>
      <c r="GD392" s="53"/>
      <c r="GE392" s="53"/>
      <c r="GF392" s="53"/>
      <c r="GG392" s="53"/>
      <c r="GH392" s="53"/>
      <c r="GI392" s="43"/>
      <c r="GJ392" s="43"/>
      <c r="GK392" s="43"/>
      <c r="GL392" s="43"/>
      <c r="GM392" s="53"/>
      <c r="GN392" s="53"/>
      <c r="GO392" s="43">
        <v>27</v>
      </c>
      <c r="GP392" s="43">
        <v>16</v>
      </c>
      <c r="GQ392" s="43">
        <v>28</v>
      </c>
      <c r="GR392" s="43">
        <v>15</v>
      </c>
    </row>
    <row r="393" spans="1:200">
      <c r="A393" s="7">
        <v>6401</v>
      </c>
      <c r="B393" s="1" t="s">
        <v>521</v>
      </c>
      <c r="C393" s="33">
        <v>836</v>
      </c>
      <c r="D393" s="34">
        <v>641</v>
      </c>
      <c r="E393" s="19">
        <f t="shared" si="6"/>
        <v>0.76674641148325362</v>
      </c>
      <c r="F393" s="62">
        <v>112</v>
      </c>
      <c r="G393" s="43">
        <v>3</v>
      </c>
      <c r="H393" s="43">
        <v>23</v>
      </c>
      <c r="I393" s="43">
        <v>4</v>
      </c>
      <c r="J393" s="55">
        <v>487</v>
      </c>
      <c r="K393" s="6">
        <v>0</v>
      </c>
      <c r="L393" s="6">
        <v>0</v>
      </c>
      <c r="M393" s="43">
        <v>0</v>
      </c>
      <c r="N393" s="25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  <c r="V393" s="43">
        <v>0</v>
      </c>
      <c r="W393" s="43">
        <v>3</v>
      </c>
      <c r="X393" s="43">
        <v>0</v>
      </c>
      <c r="Y393" s="43">
        <v>0</v>
      </c>
      <c r="Z393" s="43">
        <v>0</v>
      </c>
      <c r="AA393" s="44">
        <v>0</v>
      </c>
      <c r="AB393" s="44">
        <v>0</v>
      </c>
      <c r="AC393" s="44">
        <v>20</v>
      </c>
      <c r="AD393" s="44">
        <v>12</v>
      </c>
      <c r="AE393" s="44">
        <v>482</v>
      </c>
      <c r="AF393" s="44">
        <v>8</v>
      </c>
      <c r="AG393" s="44">
        <v>0</v>
      </c>
      <c r="AH393" s="44">
        <v>92</v>
      </c>
      <c r="AI393" s="44">
        <v>493</v>
      </c>
      <c r="AJ393" s="44">
        <v>0</v>
      </c>
      <c r="AK393" s="44">
        <v>0</v>
      </c>
      <c r="AL393" s="44">
        <v>110</v>
      </c>
      <c r="AM393" s="48"/>
      <c r="AN393" s="48"/>
      <c r="AO393" s="48"/>
      <c r="AP393" s="44">
        <v>112</v>
      </c>
      <c r="AQ393" s="44">
        <v>458</v>
      </c>
      <c r="AR393" s="51"/>
      <c r="AS393" s="51"/>
      <c r="AT393" s="51"/>
      <c r="AU393" s="51"/>
      <c r="AV393" s="43">
        <v>454</v>
      </c>
      <c r="AW393" s="50"/>
      <c r="AX393" s="50"/>
      <c r="AY393" s="50"/>
      <c r="AZ393" s="50"/>
      <c r="BA393" s="50"/>
      <c r="BB393" s="50"/>
      <c r="BC393" s="50"/>
      <c r="BD393" s="50"/>
      <c r="BE393" s="43">
        <v>412</v>
      </c>
      <c r="BF393" s="43">
        <v>173</v>
      </c>
      <c r="BG393" s="43">
        <v>477</v>
      </c>
      <c r="BH393" s="43">
        <v>118</v>
      </c>
      <c r="BI393" s="43">
        <v>484</v>
      </c>
      <c r="BJ393" s="43">
        <v>112</v>
      </c>
      <c r="BK393" s="43">
        <v>145</v>
      </c>
      <c r="BL393" s="43">
        <v>435</v>
      </c>
      <c r="BM393" s="43">
        <v>327</v>
      </c>
      <c r="BN393" s="43">
        <v>262</v>
      </c>
      <c r="BO393" s="43">
        <v>112</v>
      </c>
      <c r="BP393" s="43">
        <v>450</v>
      </c>
      <c r="BQ393" s="43">
        <v>475</v>
      </c>
      <c r="BR393" s="43">
        <v>95</v>
      </c>
      <c r="BS393" s="43">
        <v>469</v>
      </c>
      <c r="BT393" s="43">
        <v>343</v>
      </c>
      <c r="BU393" s="43">
        <v>210</v>
      </c>
      <c r="BV393" s="43">
        <v>396</v>
      </c>
      <c r="BW393" s="43">
        <v>266</v>
      </c>
      <c r="BX393" s="43">
        <v>177</v>
      </c>
      <c r="BY393" s="43">
        <v>373</v>
      </c>
      <c r="BZ393" s="43">
        <v>127</v>
      </c>
      <c r="CA393" s="43">
        <v>354</v>
      </c>
      <c r="CB393" s="43">
        <v>304</v>
      </c>
      <c r="CC393" s="43">
        <v>122</v>
      </c>
      <c r="CD393" s="43">
        <v>333</v>
      </c>
      <c r="CE393" s="43">
        <v>102</v>
      </c>
      <c r="CF393" s="43">
        <v>363</v>
      </c>
      <c r="CG393" s="43">
        <v>287</v>
      </c>
      <c r="CH393" s="43">
        <v>133</v>
      </c>
      <c r="CI393" s="43">
        <v>76</v>
      </c>
      <c r="CJ393" s="43">
        <v>367</v>
      </c>
      <c r="CK393" s="43">
        <v>276</v>
      </c>
      <c r="CL393" s="43">
        <v>158</v>
      </c>
      <c r="CM393" s="43">
        <v>355</v>
      </c>
      <c r="CN393" s="43">
        <v>343</v>
      </c>
      <c r="CO393" s="43">
        <v>127</v>
      </c>
      <c r="CP393" s="43">
        <v>299</v>
      </c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53"/>
      <c r="FZ393" s="53"/>
      <c r="GA393" s="53"/>
      <c r="GB393" s="53"/>
      <c r="GC393" s="53"/>
      <c r="GD393" s="53"/>
      <c r="GE393" s="53"/>
      <c r="GF393" s="53"/>
      <c r="GG393" s="53"/>
      <c r="GH393" s="53"/>
      <c r="GI393" s="43"/>
      <c r="GJ393" s="43"/>
      <c r="GK393" s="43"/>
      <c r="GL393" s="43"/>
      <c r="GM393" s="53"/>
      <c r="GN393" s="53"/>
      <c r="GO393" s="43">
        <v>376</v>
      </c>
      <c r="GP393" s="43">
        <v>237</v>
      </c>
      <c r="GQ393" s="43">
        <v>326</v>
      </c>
      <c r="GR393" s="43">
        <v>279</v>
      </c>
    </row>
    <row r="394" spans="1:200">
      <c r="A394" s="7">
        <v>6402</v>
      </c>
      <c r="B394" s="1" t="s">
        <v>522</v>
      </c>
      <c r="C394" s="33">
        <v>1209</v>
      </c>
      <c r="D394" s="34">
        <v>987</v>
      </c>
      <c r="E394" s="19">
        <f t="shared" si="6"/>
        <v>0.81637717121588094</v>
      </c>
      <c r="F394" s="62">
        <v>163</v>
      </c>
      <c r="G394" s="43">
        <v>2</v>
      </c>
      <c r="H394" s="43">
        <v>31</v>
      </c>
      <c r="I394" s="43">
        <v>4</v>
      </c>
      <c r="J394" s="55">
        <v>782</v>
      </c>
      <c r="K394" s="6">
        <v>0</v>
      </c>
      <c r="L394" s="6">
        <v>0</v>
      </c>
      <c r="M394" s="43">
        <v>0</v>
      </c>
      <c r="N394" s="25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  <c r="V394" s="43">
        <v>0</v>
      </c>
      <c r="W394" s="43">
        <v>0</v>
      </c>
      <c r="X394" s="43">
        <v>0</v>
      </c>
      <c r="Y394" s="43">
        <v>0</v>
      </c>
      <c r="Z394" s="43">
        <v>0</v>
      </c>
      <c r="AA394" s="44">
        <v>0</v>
      </c>
      <c r="AB394" s="44">
        <v>0</v>
      </c>
      <c r="AC394" s="44">
        <v>17</v>
      </c>
      <c r="AD394" s="44">
        <v>7</v>
      </c>
      <c r="AE394" s="44">
        <v>806</v>
      </c>
      <c r="AF394" s="44">
        <v>13</v>
      </c>
      <c r="AG394" s="44">
        <v>0</v>
      </c>
      <c r="AH394" s="44">
        <v>112</v>
      </c>
      <c r="AI394" s="44">
        <v>800</v>
      </c>
      <c r="AJ394" s="44">
        <v>0</v>
      </c>
      <c r="AK394" s="44">
        <v>0</v>
      </c>
      <c r="AL394" s="44">
        <v>157</v>
      </c>
      <c r="AM394" s="48"/>
      <c r="AN394" s="48"/>
      <c r="AO394" s="48"/>
      <c r="AP394" s="44">
        <v>167</v>
      </c>
      <c r="AQ394" s="44">
        <v>733</v>
      </c>
      <c r="AR394" s="51"/>
      <c r="AS394" s="51"/>
      <c r="AT394" s="51"/>
      <c r="AU394" s="51"/>
      <c r="AV394" s="43">
        <v>722</v>
      </c>
      <c r="AW394" s="50"/>
      <c r="AX394" s="50"/>
      <c r="AY394" s="50"/>
      <c r="AZ394" s="50"/>
      <c r="BA394" s="50"/>
      <c r="BB394" s="50"/>
      <c r="BC394" s="50"/>
      <c r="BD394" s="50"/>
      <c r="BE394" s="43">
        <v>641</v>
      </c>
      <c r="BF394" s="43">
        <v>276</v>
      </c>
      <c r="BG394" s="43">
        <v>760</v>
      </c>
      <c r="BH394" s="43">
        <v>179</v>
      </c>
      <c r="BI394" s="43">
        <v>747</v>
      </c>
      <c r="BJ394" s="43">
        <v>167</v>
      </c>
      <c r="BK394" s="43">
        <v>225</v>
      </c>
      <c r="BL394" s="43">
        <v>693</v>
      </c>
      <c r="BM394" s="43">
        <v>478</v>
      </c>
      <c r="BN394" s="43">
        <v>445</v>
      </c>
      <c r="BO394" s="43">
        <v>174</v>
      </c>
      <c r="BP394" s="43">
        <v>728</v>
      </c>
      <c r="BQ394" s="43">
        <v>788</v>
      </c>
      <c r="BR394" s="43">
        <v>130</v>
      </c>
      <c r="BS394" s="43">
        <v>730</v>
      </c>
      <c r="BT394" s="43">
        <v>572</v>
      </c>
      <c r="BU394" s="43">
        <v>317</v>
      </c>
      <c r="BV394" s="43">
        <v>645</v>
      </c>
      <c r="BW394" s="43">
        <v>490</v>
      </c>
      <c r="BX394" s="43">
        <v>245</v>
      </c>
      <c r="BY394" s="43">
        <v>656</v>
      </c>
      <c r="BZ394" s="43">
        <v>163</v>
      </c>
      <c r="CA394" s="43">
        <v>584</v>
      </c>
      <c r="CB394" s="43">
        <v>508</v>
      </c>
      <c r="CC394" s="43">
        <v>185</v>
      </c>
      <c r="CD394" s="43">
        <v>524</v>
      </c>
      <c r="CE394" s="43">
        <v>188</v>
      </c>
      <c r="CF394" s="43">
        <v>574</v>
      </c>
      <c r="CG394" s="43">
        <v>483</v>
      </c>
      <c r="CH394" s="43">
        <v>196</v>
      </c>
      <c r="CI394" s="43">
        <v>129</v>
      </c>
      <c r="CJ394" s="43">
        <v>606</v>
      </c>
      <c r="CK394" s="43">
        <v>486</v>
      </c>
      <c r="CL394" s="43">
        <v>228</v>
      </c>
      <c r="CM394" s="43">
        <v>558</v>
      </c>
      <c r="CN394" s="43">
        <v>566</v>
      </c>
      <c r="CO394" s="43">
        <v>224</v>
      </c>
      <c r="CP394" s="43">
        <v>500</v>
      </c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53"/>
      <c r="FZ394" s="53"/>
      <c r="GA394" s="53"/>
      <c r="GB394" s="53"/>
      <c r="GC394" s="53"/>
      <c r="GD394" s="53"/>
      <c r="GE394" s="53"/>
      <c r="GF394" s="53"/>
      <c r="GG394" s="53"/>
      <c r="GH394" s="53"/>
      <c r="GI394" s="43"/>
      <c r="GJ394" s="43"/>
      <c r="GK394" s="43"/>
      <c r="GL394" s="43"/>
      <c r="GM394" s="53"/>
      <c r="GN394" s="53"/>
      <c r="GO394" s="43">
        <v>552</v>
      </c>
      <c r="GP394" s="43">
        <v>423</v>
      </c>
      <c r="GQ394" s="43">
        <v>494</v>
      </c>
      <c r="GR394" s="43">
        <v>464</v>
      </c>
    </row>
    <row r="395" spans="1:200">
      <c r="A395" s="7">
        <v>6501</v>
      </c>
      <c r="B395" s="1" t="s">
        <v>523</v>
      </c>
      <c r="C395" s="33">
        <v>1155</v>
      </c>
      <c r="D395" s="34">
        <v>768</v>
      </c>
      <c r="E395" s="19">
        <f t="shared" si="6"/>
        <v>0.66493506493506493</v>
      </c>
      <c r="F395" s="62">
        <v>222</v>
      </c>
      <c r="G395" s="43">
        <v>0</v>
      </c>
      <c r="H395" s="43">
        <v>33</v>
      </c>
      <c r="I395" s="43">
        <v>7</v>
      </c>
      <c r="J395" s="55">
        <v>496</v>
      </c>
      <c r="K395" s="6">
        <v>0</v>
      </c>
      <c r="L395" s="6">
        <v>0</v>
      </c>
      <c r="M395" s="43">
        <v>0</v>
      </c>
      <c r="N395" s="25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  <c r="V395" s="43">
        <v>0</v>
      </c>
      <c r="W395" s="43">
        <v>0</v>
      </c>
      <c r="X395" s="43">
        <v>0</v>
      </c>
      <c r="Y395" s="43">
        <v>0</v>
      </c>
      <c r="Z395" s="43">
        <v>1</v>
      </c>
      <c r="AA395" s="44">
        <v>0</v>
      </c>
      <c r="AB395" s="44">
        <v>0</v>
      </c>
      <c r="AC395" s="44">
        <v>9</v>
      </c>
      <c r="AD395" s="44">
        <v>19</v>
      </c>
      <c r="AE395" s="44">
        <v>515</v>
      </c>
      <c r="AF395" s="44">
        <v>13</v>
      </c>
      <c r="AG395" s="44">
        <v>0</v>
      </c>
      <c r="AH395" s="44">
        <v>186</v>
      </c>
      <c r="AI395" s="44">
        <v>513</v>
      </c>
      <c r="AJ395" s="44">
        <v>0</v>
      </c>
      <c r="AK395" s="44">
        <v>0</v>
      </c>
      <c r="AL395" s="44">
        <v>229</v>
      </c>
      <c r="AM395" s="48"/>
      <c r="AN395" s="48"/>
      <c r="AO395" s="48"/>
      <c r="AP395" s="44">
        <v>253</v>
      </c>
      <c r="AQ395" s="44">
        <v>466</v>
      </c>
      <c r="AR395" s="51"/>
      <c r="AS395" s="51"/>
      <c r="AT395" s="51"/>
      <c r="AU395" s="51"/>
      <c r="AV395" s="51"/>
      <c r="AW395" s="43">
        <v>233</v>
      </c>
      <c r="AX395" s="43">
        <v>480</v>
      </c>
      <c r="AY395" s="50"/>
      <c r="AZ395" s="50"/>
      <c r="BA395" s="50"/>
      <c r="BB395" s="50"/>
      <c r="BC395" s="50"/>
      <c r="BD395" s="50"/>
      <c r="BE395" s="43">
        <v>399</v>
      </c>
      <c r="BF395" s="43">
        <v>324</v>
      </c>
      <c r="BG395" s="43">
        <v>483</v>
      </c>
      <c r="BH395" s="43">
        <v>256</v>
      </c>
      <c r="BI395" s="43">
        <v>520</v>
      </c>
      <c r="BJ395" s="43">
        <v>200</v>
      </c>
      <c r="BK395" s="43">
        <v>230</v>
      </c>
      <c r="BL395" s="43">
        <v>494</v>
      </c>
      <c r="BM395" s="43">
        <v>333</v>
      </c>
      <c r="BN395" s="43">
        <v>383</v>
      </c>
      <c r="BO395" s="43">
        <v>218</v>
      </c>
      <c r="BP395" s="43">
        <v>487</v>
      </c>
      <c r="BQ395" s="43">
        <v>511</v>
      </c>
      <c r="BR395" s="43">
        <v>201</v>
      </c>
      <c r="BS395" s="43">
        <v>556</v>
      </c>
      <c r="BT395" s="43">
        <v>372</v>
      </c>
      <c r="BU395" s="43">
        <v>332</v>
      </c>
      <c r="BV395" s="43">
        <v>517</v>
      </c>
      <c r="BW395" s="43">
        <v>352</v>
      </c>
      <c r="BX395" s="43">
        <v>246</v>
      </c>
      <c r="BY395" s="43">
        <v>480</v>
      </c>
      <c r="BZ395" s="43">
        <v>171</v>
      </c>
      <c r="CA395" s="43">
        <v>481</v>
      </c>
      <c r="CB395" s="43">
        <v>356</v>
      </c>
      <c r="CC395" s="43">
        <v>232</v>
      </c>
      <c r="CD395" s="43">
        <v>451</v>
      </c>
      <c r="CE395" s="43">
        <v>192</v>
      </c>
      <c r="CF395" s="43">
        <v>433</v>
      </c>
      <c r="CG395" s="43">
        <v>372</v>
      </c>
      <c r="CH395" s="43">
        <v>202</v>
      </c>
      <c r="CI395" s="43">
        <v>115</v>
      </c>
      <c r="CJ395" s="43">
        <v>472</v>
      </c>
      <c r="CK395" s="43">
        <v>360</v>
      </c>
      <c r="CL395" s="43">
        <v>238</v>
      </c>
      <c r="CM395" s="43">
        <v>472</v>
      </c>
      <c r="CN395" s="43">
        <v>459</v>
      </c>
      <c r="CO395" s="43">
        <v>172</v>
      </c>
      <c r="CP395" s="43">
        <v>438</v>
      </c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43">
        <v>485</v>
      </c>
      <c r="FD395" s="43">
        <v>253</v>
      </c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53"/>
      <c r="FZ395" s="53"/>
      <c r="GA395" s="53"/>
      <c r="GB395" s="53"/>
      <c r="GC395" s="53"/>
      <c r="GD395" s="53"/>
      <c r="GE395" s="53"/>
      <c r="GF395" s="53"/>
      <c r="GG395" s="53"/>
      <c r="GH395" s="53"/>
      <c r="GI395" s="43"/>
      <c r="GJ395" s="43"/>
      <c r="GK395" s="43"/>
      <c r="GL395" s="43"/>
      <c r="GM395" s="53"/>
      <c r="GN395" s="53"/>
      <c r="GO395" s="43">
        <v>469</v>
      </c>
      <c r="GP395" s="43">
        <v>257</v>
      </c>
      <c r="GQ395" s="43">
        <v>454</v>
      </c>
      <c r="GR395" s="43">
        <v>269</v>
      </c>
    </row>
    <row r="396" spans="1:200">
      <c r="A396" s="7">
        <v>6502</v>
      </c>
      <c r="B396" s="1" t="s">
        <v>524</v>
      </c>
      <c r="C396" s="33">
        <v>1086</v>
      </c>
      <c r="D396" s="34">
        <v>755</v>
      </c>
      <c r="E396" s="19">
        <f t="shared" si="6"/>
        <v>0.69521178637200731</v>
      </c>
      <c r="F396" s="62">
        <v>259</v>
      </c>
      <c r="G396" s="43">
        <v>1</v>
      </c>
      <c r="H396" s="43">
        <v>25</v>
      </c>
      <c r="I396" s="43">
        <v>6</v>
      </c>
      <c r="J396" s="55">
        <v>454</v>
      </c>
      <c r="K396" s="6">
        <v>0</v>
      </c>
      <c r="L396" s="6">
        <v>0</v>
      </c>
      <c r="M396" s="43">
        <v>0</v>
      </c>
      <c r="N396" s="25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  <c r="V396" s="43">
        <v>0</v>
      </c>
      <c r="W396" s="43">
        <v>2</v>
      </c>
      <c r="X396" s="43">
        <v>0</v>
      </c>
      <c r="Y396" s="43">
        <v>0</v>
      </c>
      <c r="Z396" s="43">
        <v>0</v>
      </c>
      <c r="AA396" s="44">
        <v>0</v>
      </c>
      <c r="AB396" s="44">
        <v>0</v>
      </c>
      <c r="AC396" s="44">
        <v>11</v>
      </c>
      <c r="AD396" s="44">
        <v>18</v>
      </c>
      <c r="AE396" s="44">
        <v>496</v>
      </c>
      <c r="AF396" s="44">
        <v>17</v>
      </c>
      <c r="AG396" s="44">
        <v>0</v>
      </c>
      <c r="AH396" s="44">
        <v>192</v>
      </c>
      <c r="AI396" s="44">
        <v>499</v>
      </c>
      <c r="AJ396" s="44">
        <v>0</v>
      </c>
      <c r="AK396" s="44">
        <v>0</v>
      </c>
      <c r="AL396" s="44">
        <v>231</v>
      </c>
      <c r="AM396" s="48"/>
      <c r="AN396" s="48"/>
      <c r="AO396" s="48"/>
      <c r="AP396" s="44">
        <v>265</v>
      </c>
      <c r="AQ396" s="44">
        <v>427</v>
      </c>
      <c r="AR396" s="51"/>
      <c r="AS396" s="51"/>
      <c r="AT396" s="51"/>
      <c r="AU396" s="51"/>
      <c r="AV396" s="51"/>
      <c r="AW396" s="43">
        <v>237</v>
      </c>
      <c r="AX396" s="43">
        <v>452</v>
      </c>
      <c r="AY396" s="50"/>
      <c r="AZ396" s="50"/>
      <c r="BA396" s="50"/>
      <c r="BB396" s="50"/>
      <c r="BC396" s="50"/>
      <c r="BD396" s="50"/>
      <c r="BE396" s="43">
        <v>361</v>
      </c>
      <c r="BF396" s="43">
        <v>341</v>
      </c>
      <c r="BG396" s="43">
        <v>452</v>
      </c>
      <c r="BH396" s="43">
        <v>257</v>
      </c>
      <c r="BI396" s="43">
        <v>508</v>
      </c>
      <c r="BJ396" s="43">
        <v>199</v>
      </c>
      <c r="BK396" s="43">
        <v>260</v>
      </c>
      <c r="BL396" s="43">
        <v>443</v>
      </c>
      <c r="BM396" s="43">
        <v>293</v>
      </c>
      <c r="BN396" s="43">
        <v>411</v>
      </c>
      <c r="BO396" s="43">
        <v>219</v>
      </c>
      <c r="BP396" s="43">
        <v>457</v>
      </c>
      <c r="BQ396" s="43">
        <v>476</v>
      </c>
      <c r="BR396" s="43">
        <v>218</v>
      </c>
      <c r="BS396" s="43">
        <v>520</v>
      </c>
      <c r="BT396" s="43">
        <v>331</v>
      </c>
      <c r="BU396" s="43">
        <v>352</v>
      </c>
      <c r="BV396" s="43">
        <v>498</v>
      </c>
      <c r="BW396" s="43">
        <v>353</v>
      </c>
      <c r="BX396" s="43">
        <v>236</v>
      </c>
      <c r="BY396" s="43">
        <v>463</v>
      </c>
      <c r="BZ396" s="43">
        <v>170</v>
      </c>
      <c r="CA396" s="43">
        <v>463</v>
      </c>
      <c r="CB396" s="43">
        <v>359</v>
      </c>
      <c r="CC396" s="43">
        <v>211</v>
      </c>
      <c r="CD396" s="43">
        <v>435</v>
      </c>
      <c r="CE396" s="43">
        <v>203</v>
      </c>
      <c r="CF396" s="43">
        <v>404</v>
      </c>
      <c r="CG396" s="43">
        <v>371</v>
      </c>
      <c r="CH396" s="43">
        <v>179</v>
      </c>
      <c r="CI396" s="43">
        <v>126</v>
      </c>
      <c r="CJ396" s="43">
        <v>440</v>
      </c>
      <c r="CK396" s="43">
        <v>413</v>
      </c>
      <c r="CL396" s="43">
        <v>168</v>
      </c>
      <c r="CM396" s="43">
        <v>465</v>
      </c>
      <c r="CN396" s="43">
        <v>442</v>
      </c>
      <c r="CO396" s="43">
        <v>176</v>
      </c>
      <c r="CP396" s="43">
        <v>390</v>
      </c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43">
        <v>417</v>
      </c>
      <c r="FD396" s="43">
        <v>304</v>
      </c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43">
        <v>26</v>
      </c>
      <c r="FZ396" s="43">
        <v>33</v>
      </c>
      <c r="GA396" s="53"/>
      <c r="GB396" s="53"/>
      <c r="GC396" s="53"/>
      <c r="GD396" s="53"/>
      <c r="GE396" s="53"/>
      <c r="GF396" s="53"/>
      <c r="GG396" s="53"/>
      <c r="GH396" s="53"/>
      <c r="GI396" s="43"/>
      <c r="GJ396" s="43"/>
      <c r="GK396" s="43"/>
      <c r="GL396" s="43"/>
      <c r="GM396" s="53"/>
      <c r="GN396" s="53"/>
      <c r="GO396" s="43">
        <v>442</v>
      </c>
      <c r="GP396" s="43">
        <v>281</v>
      </c>
      <c r="GQ396" s="43">
        <v>451</v>
      </c>
      <c r="GR396" s="43">
        <v>270</v>
      </c>
    </row>
    <row r="397" spans="1:200">
      <c r="A397" s="7">
        <v>6503</v>
      </c>
      <c r="B397" s="1" t="s">
        <v>525</v>
      </c>
      <c r="C397" s="33">
        <v>1098</v>
      </c>
      <c r="D397" s="34">
        <v>916</v>
      </c>
      <c r="E397" s="19">
        <f t="shared" si="6"/>
        <v>0.83424408014571949</v>
      </c>
      <c r="F397" s="62">
        <v>219</v>
      </c>
      <c r="G397" s="43">
        <v>1</v>
      </c>
      <c r="H397" s="43">
        <v>35</v>
      </c>
      <c r="I397" s="43">
        <v>4</v>
      </c>
      <c r="J397" s="55">
        <v>629</v>
      </c>
      <c r="K397" s="6">
        <v>0</v>
      </c>
      <c r="L397" s="6">
        <v>0</v>
      </c>
      <c r="M397" s="43">
        <v>0</v>
      </c>
      <c r="N397" s="25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  <c r="V397" s="43">
        <v>0</v>
      </c>
      <c r="W397" s="43">
        <v>0</v>
      </c>
      <c r="X397" s="43">
        <v>0</v>
      </c>
      <c r="Y397" s="43">
        <v>0</v>
      </c>
      <c r="Z397" s="43">
        <v>0</v>
      </c>
      <c r="AA397" s="44">
        <v>0</v>
      </c>
      <c r="AB397" s="44">
        <v>0</v>
      </c>
      <c r="AC397" s="44">
        <v>14</v>
      </c>
      <c r="AD397" s="44">
        <v>12</v>
      </c>
      <c r="AE397" s="44">
        <v>696</v>
      </c>
      <c r="AF397" s="44">
        <v>7</v>
      </c>
      <c r="AG397" s="44">
        <v>0</v>
      </c>
      <c r="AH397" s="44">
        <v>162</v>
      </c>
      <c r="AI397" s="44">
        <v>699</v>
      </c>
      <c r="AJ397" s="44">
        <v>0</v>
      </c>
      <c r="AK397" s="44">
        <v>0</v>
      </c>
      <c r="AL397" s="44">
        <v>184</v>
      </c>
      <c r="AM397" s="48"/>
      <c r="AN397" s="48"/>
      <c r="AO397" s="48"/>
      <c r="AP397" s="44">
        <v>206</v>
      </c>
      <c r="AQ397" s="44">
        <v>629</v>
      </c>
      <c r="AR397" s="51"/>
      <c r="AS397" s="51"/>
      <c r="AT397" s="51"/>
      <c r="AU397" s="51"/>
      <c r="AV397" s="51"/>
      <c r="AW397" s="43">
        <v>182</v>
      </c>
      <c r="AX397" s="43">
        <v>645</v>
      </c>
      <c r="AY397" s="50"/>
      <c r="AZ397" s="50"/>
      <c r="BA397" s="50"/>
      <c r="BB397" s="50"/>
      <c r="BC397" s="50"/>
      <c r="BD397" s="50"/>
      <c r="BE397" s="43">
        <v>496</v>
      </c>
      <c r="BF397" s="43">
        <v>354</v>
      </c>
      <c r="BG397" s="43">
        <v>627</v>
      </c>
      <c r="BH397" s="43">
        <v>239</v>
      </c>
      <c r="BI397" s="43">
        <v>636</v>
      </c>
      <c r="BJ397" s="43">
        <v>207</v>
      </c>
      <c r="BK397" s="43">
        <v>271</v>
      </c>
      <c r="BL397" s="43">
        <v>581</v>
      </c>
      <c r="BM397" s="43">
        <v>426</v>
      </c>
      <c r="BN397" s="43">
        <v>434</v>
      </c>
      <c r="BO397" s="43">
        <v>203</v>
      </c>
      <c r="BP397" s="43">
        <v>625</v>
      </c>
      <c r="BQ397" s="43">
        <v>665</v>
      </c>
      <c r="BR397" s="43">
        <v>163</v>
      </c>
      <c r="BS397" s="43">
        <v>622</v>
      </c>
      <c r="BT397" s="43">
        <v>401</v>
      </c>
      <c r="BU397" s="43">
        <v>413</v>
      </c>
      <c r="BV397" s="43">
        <v>576</v>
      </c>
      <c r="BW397" s="43">
        <v>428</v>
      </c>
      <c r="BX397" s="43">
        <v>248</v>
      </c>
      <c r="BY397" s="43">
        <v>574</v>
      </c>
      <c r="BZ397" s="43">
        <v>186</v>
      </c>
      <c r="CA397" s="43">
        <v>514</v>
      </c>
      <c r="CB397" s="43">
        <v>461</v>
      </c>
      <c r="CC397" s="43">
        <v>188</v>
      </c>
      <c r="CD397" s="43">
        <v>510</v>
      </c>
      <c r="CE397" s="43">
        <v>173</v>
      </c>
      <c r="CF397" s="43">
        <v>554</v>
      </c>
      <c r="CG397" s="43">
        <v>446</v>
      </c>
      <c r="CH397" s="43">
        <v>196</v>
      </c>
      <c r="CI397" s="43">
        <v>117</v>
      </c>
      <c r="CJ397" s="43">
        <v>571</v>
      </c>
      <c r="CK397" s="43">
        <v>437</v>
      </c>
      <c r="CL397" s="43">
        <v>225</v>
      </c>
      <c r="CM397" s="43">
        <v>527</v>
      </c>
      <c r="CN397" s="43">
        <v>490</v>
      </c>
      <c r="CO397" s="43">
        <v>167</v>
      </c>
      <c r="CP397" s="43">
        <v>502</v>
      </c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43">
        <v>477</v>
      </c>
      <c r="FD397" s="43">
        <v>399</v>
      </c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53"/>
      <c r="FZ397" s="53"/>
      <c r="GA397" s="53"/>
      <c r="GB397" s="53"/>
      <c r="GC397" s="53"/>
      <c r="GD397" s="53"/>
      <c r="GE397" s="53"/>
      <c r="GF397" s="53"/>
      <c r="GG397" s="53"/>
      <c r="GH397" s="53"/>
      <c r="GI397" s="43"/>
      <c r="GJ397" s="43"/>
      <c r="GK397" s="43"/>
      <c r="GL397" s="43"/>
      <c r="GM397" s="53"/>
      <c r="GN397" s="53"/>
      <c r="GO397" s="43">
        <v>503</v>
      </c>
      <c r="GP397" s="43">
        <v>373</v>
      </c>
      <c r="GQ397" s="43">
        <v>561</v>
      </c>
      <c r="GR397" s="43">
        <v>305</v>
      </c>
    </row>
    <row r="398" spans="1:200">
      <c r="A398" s="7">
        <v>6504</v>
      </c>
      <c r="B398" s="1" t="s">
        <v>526</v>
      </c>
      <c r="C398" s="33">
        <v>913</v>
      </c>
      <c r="D398" s="34">
        <v>701</v>
      </c>
      <c r="E398" s="19">
        <f t="shared" si="6"/>
        <v>0.76779846659364737</v>
      </c>
      <c r="F398" s="62">
        <v>186</v>
      </c>
      <c r="G398" s="43">
        <v>3</v>
      </c>
      <c r="H398" s="43">
        <v>17</v>
      </c>
      <c r="I398" s="43">
        <v>6</v>
      </c>
      <c r="J398" s="55">
        <v>476</v>
      </c>
      <c r="K398" s="6">
        <v>0</v>
      </c>
      <c r="L398" s="6">
        <v>0</v>
      </c>
      <c r="M398" s="43">
        <v>0</v>
      </c>
      <c r="N398" s="25">
        <v>0</v>
      </c>
      <c r="O398" s="43">
        <v>0</v>
      </c>
      <c r="P398" s="43">
        <v>0</v>
      </c>
      <c r="Q398" s="43">
        <v>0</v>
      </c>
      <c r="R398" s="43">
        <v>1</v>
      </c>
      <c r="S398" s="43">
        <v>0</v>
      </c>
      <c r="T398" s="43">
        <v>0</v>
      </c>
      <c r="U398" s="43">
        <v>0</v>
      </c>
      <c r="V398" s="43">
        <v>0</v>
      </c>
      <c r="W398" s="43">
        <v>1</v>
      </c>
      <c r="X398" s="43">
        <v>0</v>
      </c>
      <c r="Y398" s="43">
        <v>0</v>
      </c>
      <c r="Z398" s="43">
        <v>0</v>
      </c>
      <c r="AA398" s="44">
        <v>0</v>
      </c>
      <c r="AB398" s="44">
        <v>0</v>
      </c>
      <c r="AC398" s="44">
        <v>5</v>
      </c>
      <c r="AD398" s="44">
        <v>13</v>
      </c>
      <c r="AE398" s="44">
        <v>517</v>
      </c>
      <c r="AF398" s="44">
        <v>6</v>
      </c>
      <c r="AG398" s="44">
        <v>0</v>
      </c>
      <c r="AH398" s="44">
        <v>140</v>
      </c>
      <c r="AI398" s="44">
        <v>526</v>
      </c>
      <c r="AJ398" s="44">
        <v>0</v>
      </c>
      <c r="AK398" s="44">
        <v>0</v>
      </c>
      <c r="AL398" s="44">
        <v>157</v>
      </c>
      <c r="AM398" s="48"/>
      <c r="AN398" s="48"/>
      <c r="AO398" s="48"/>
      <c r="AP398" s="44">
        <v>175</v>
      </c>
      <c r="AQ398" s="44">
        <v>487</v>
      </c>
      <c r="AR398" s="51"/>
      <c r="AS398" s="51"/>
      <c r="AT398" s="51"/>
      <c r="AU398" s="51"/>
      <c r="AV398" s="51"/>
      <c r="AW398" s="43">
        <v>172</v>
      </c>
      <c r="AX398" s="43">
        <v>482</v>
      </c>
      <c r="AY398" s="50"/>
      <c r="AZ398" s="50"/>
      <c r="BA398" s="50"/>
      <c r="BB398" s="50"/>
      <c r="BC398" s="50"/>
      <c r="BD398" s="50"/>
      <c r="BE398" s="43">
        <v>364</v>
      </c>
      <c r="BF398" s="43">
        <v>300</v>
      </c>
      <c r="BG398" s="43">
        <v>478</v>
      </c>
      <c r="BH398" s="43">
        <v>196</v>
      </c>
      <c r="BI398" s="43">
        <v>518</v>
      </c>
      <c r="BJ398" s="43">
        <v>140</v>
      </c>
      <c r="BK398" s="43">
        <v>206</v>
      </c>
      <c r="BL398" s="43">
        <v>461</v>
      </c>
      <c r="BM398" s="43">
        <v>322</v>
      </c>
      <c r="BN398" s="43">
        <v>345</v>
      </c>
      <c r="BO398" s="43">
        <v>168</v>
      </c>
      <c r="BP398" s="43">
        <v>483</v>
      </c>
      <c r="BQ398" s="43">
        <v>508</v>
      </c>
      <c r="BR398" s="43">
        <v>148</v>
      </c>
      <c r="BS398" s="43">
        <v>538</v>
      </c>
      <c r="BT398" s="43">
        <v>355</v>
      </c>
      <c r="BU398" s="43">
        <v>301</v>
      </c>
      <c r="BV398" s="43">
        <v>503</v>
      </c>
      <c r="BW398" s="43">
        <v>373</v>
      </c>
      <c r="BX398" s="43">
        <v>199</v>
      </c>
      <c r="BY398" s="43">
        <v>462</v>
      </c>
      <c r="BZ398" s="43">
        <v>152</v>
      </c>
      <c r="CA398" s="43">
        <v>468</v>
      </c>
      <c r="CB398" s="43">
        <v>389</v>
      </c>
      <c r="CC398" s="43">
        <v>165</v>
      </c>
      <c r="CD398" s="43">
        <v>436</v>
      </c>
      <c r="CE398" s="43">
        <v>145</v>
      </c>
      <c r="CF398" s="43">
        <v>441</v>
      </c>
      <c r="CG398" s="43">
        <v>400</v>
      </c>
      <c r="CH398" s="43">
        <v>134</v>
      </c>
      <c r="CI398" s="43">
        <v>108</v>
      </c>
      <c r="CJ398" s="43">
        <v>457</v>
      </c>
      <c r="CK398" s="43">
        <v>402</v>
      </c>
      <c r="CL398" s="43">
        <v>154</v>
      </c>
      <c r="CM398" s="43">
        <v>465</v>
      </c>
      <c r="CN398" s="43">
        <v>454</v>
      </c>
      <c r="CO398" s="43">
        <v>145</v>
      </c>
      <c r="CP398" s="43">
        <v>409</v>
      </c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43">
        <v>415</v>
      </c>
      <c r="FD398" s="43">
        <v>255</v>
      </c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53"/>
      <c r="FZ398" s="53"/>
      <c r="GA398" s="53"/>
      <c r="GB398" s="53"/>
      <c r="GC398" s="53"/>
      <c r="GD398" s="53"/>
      <c r="GE398" s="53"/>
      <c r="GF398" s="53"/>
      <c r="GG398" s="53"/>
      <c r="GH398" s="53"/>
      <c r="GI398" s="43"/>
      <c r="GJ398" s="43"/>
      <c r="GK398" s="43"/>
      <c r="GL398" s="43"/>
      <c r="GM398" s="53"/>
      <c r="GN398" s="53"/>
      <c r="GO398" s="43">
        <v>428</v>
      </c>
      <c r="GP398" s="43">
        <v>252</v>
      </c>
      <c r="GQ398" s="43">
        <v>445</v>
      </c>
      <c r="GR398" s="43">
        <v>228</v>
      </c>
    </row>
    <row r="399" spans="1:200">
      <c r="A399" s="7">
        <v>6505</v>
      </c>
      <c r="B399" s="1" t="s">
        <v>527</v>
      </c>
      <c r="C399" s="33">
        <v>988</v>
      </c>
      <c r="D399" s="34">
        <v>856</v>
      </c>
      <c r="E399" s="19">
        <f t="shared" si="6"/>
        <v>0.8663967611336032</v>
      </c>
      <c r="F399" s="62">
        <v>148</v>
      </c>
      <c r="G399" s="43">
        <v>4</v>
      </c>
      <c r="H399" s="43">
        <v>31</v>
      </c>
      <c r="I399" s="43">
        <v>8</v>
      </c>
      <c r="J399" s="55">
        <v>640</v>
      </c>
      <c r="K399" s="6">
        <v>0</v>
      </c>
      <c r="L399" s="6">
        <v>0</v>
      </c>
      <c r="M399" s="43">
        <v>0</v>
      </c>
      <c r="N399" s="25">
        <v>0</v>
      </c>
      <c r="O399" s="43">
        <v>1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  <c r="V399" s="43">
        <v>0</v>
      </c>
      <c r="W399" s="43">
        <v>2</v>
      </c>
      <c r="X399" s="43">
        <v>0</v>
      </c>
      <c r="Y399" s="43">
        <v>0</v>
      </c>
      <c r="Z399" s="43">
        <v>0</v>
      </c>
      <c r="AA399" s="44">
        <v>0</v>
      </c>
      <c r="AB399" s="44">
        <v>0</v>
      </c>
      <c r="AC399" s="44">
        <v>16</v>
      </c>
      <c r="AD399" s="44">
        <v>9</v>
      </c>
      <c r="AE399" s="44">
        <v>698</v>
      </c>
      <c r="AF399" s="44">
        <v>6</v>
      </c>
      <c r="AG399" s="44">
        <v>0</v>
      </c>
      <c r="AH399" s="44">
        <v>91</v>
      </c>
      <c r="AI399" s="44">
        <v>710</v>
      </c>
      <c r="AJ399" s="44">
        <v>0</v>
      </c>
      <c r="AK399" s="44">
        <v>0</v>
      </c>
      <c r="AL399" s="44">
        <v>114</v>
      </c>
      <c r="AM399" s="48"/>
      <c r="AN399" s="48"/>
      <c r="AO399" s="48"/>
      <c r="AP399" s="44">
        <v>137</v>
      </c>
      <c r="AQ399" s="44">
        <v>638</v>
      </c>
      <c r="AR399" s="51"/>
      <c r="AS399" s="51"/>
      <c r="AT399" s="51"/>
      <c r="AU399" s="51"/>
      <c r="AV399" s="51"/>
      <c r="AW399" s="43">
        <v>109</v>
      </c>
      <c r="AX399" s="43">
        <v>674</v>
      </c>
      <c r="AY399" s="50"/>
      <c r="AZ399" s="50"/>
      <c r="BA399" s="50"/>
      <c r="BB399" s="50"/>
      <c r="BC399" s="50"/>
      <c r="BD399" s="50"/>
      <c r="BE399" s="43">
        <v>545</v>
      </c>
      <c r="BF399" s="43">
        <v>248</v>
      </c>
      <c r="BG399" s="43">
        <v>657</v>
      </c>
      <c r="BH399" s="43">
        <v>152</v>
      </c>
      <c r="BI399" s="43">
        <v>672</v>
      </c>
      <c r="BJ399" s="43">
        <v>122</v>
      </c>
      <c r="BK399" s="43">
        <v>170</v>
      </c>
      <c r="BL399" s="43">
        <v>624</v>
      </c>
      <c r="BM399" s="43">
        <v>426</v>
      </c>
      <c r="BN399" s="43">
        <v>367</v>
      </c>
      <c r="BO399" s="43">
        <v>127</v>
      </c>
      <c r="BP399" s="43">
        <v>646</v>
      </c>
      <c r="BQ399" s="43">
        <v>673</v>
      </c>
      <c r="BR399" s="43">
        <v>103</v>
      </c>
      <c r="BS399" s="43">
        <v>639</v>
      </c>
      <c r="BT399" s="43">
        <v>423</v>
      </c>
      <c r="BU399" s="43">
        <v>333</v>
      </c>
      <c r="BV399" s="43">
        <v>553</v>
      </c>
      <c r="BW399" s="43">
        <v>438</v>
      </c>
      <c r="BX399" s="43">
        <v>191</v>
      </c>
      <c r="BY399" s="43">
        <v>568</v>
      </c>
      <c r="BZ399" s="43">
        <v>125</v>
      </c>
      <c r="CA399" s="43">
        <v>511</v>
      </c>
      <c r="CB399" s="43">
        <v>481</v>
      </c>
      <c r="CC399" s="43">
        <v>124</v>
      </c>
      <c r="CD399" s="43">
        <v>431</v>
      </c>
      <c r="CE399" s="43">
        <v>133</v>
      </c>
      <c r="CF399" s="43">
        <v>550</v>
      </c>
      <c r="CG399" s="43">
        <v>463</v>
      </c>
      <c r="CH399" s="43">
        <v>144</v>
      </c>
      <c r="CI399" s="43">
        <v>80</v>
      </c>
      <c r="CJ399" s="43">
        <v>550</v>
      </c>
      <c r="CK399" s="43">
        <v>476</v>
      </c>
      <c r="CL399" s="43">
        <v>162</v>
      </c>
      <c r="CM399" s="43">
        <v>499</v>
      </c>
      <c r="CN399" s="43">
        <v>484</v>
      </c>
      <c r="CO399" s="43">
        <v>117</v>
      </c>
      <c r="CP399" s="43">
        <v>497</v>
      </c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43">
        <v>424</v>
      </c>
      <c r="FD399" s="43">
        <v>373</v>
      </c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43">
        <v>2</v>
      </c>
      <c r="FZ399" s="43">
        <v>29</v>
      </c>
      <c r="GA399" s="53"/>
      <c r="GB399" s="53"/>
      <c r="GC399" s="53"/>
      <c r="GD399" s="53"/>
      <c r="GE399" s="53"/>
      <c r="GF399" s="53"/>
      <c r="GG399" s="53"/>
      <c r="GH399" s="53"/>
      <c r="GI399" s="43"/>
      <c r="GJ399" s="43"/>
      <c r="GK399" s="43"/>
      <c r="GL399" s="43"/>
      <c r="GM399" s="53"/>
      <c r="GN399" s="53"/>
      <c r="GO399" s="43">
        <v>499</v>
      </c>
      <c r="GP399" s="43">
        <v>321</v>
      </c>
      <c r="GQ399" s="43">
        <v>509</v>
      </c>
      <c r="GR399" s="43">
        <v>307</v>
      </c>
    </row>
    <row r="400" spans="1:200">
      <c r="A400" s="7">
        <v>6506</v>
      </c>
      <c r="B400" s="1" t="s">
        <v>528</v>
      </c>
      <c r="C400" s="33">
        <v>1376</v>
      </c>
      <c r="D400" s="34">
        <v>1080</v>
      </c>
      <c r="E400" s="19">
        <f t="shared" si="6"/>
        <v>0.78488372093023251</v>
      </c>
      <c r="F400" s="62">
        <v>280</v>
      </c>
      <c r="G400" s="43">
        <v>2</v>
      </c>
      <c r="H400" s="43">
        <v>41</v>
      </c>
      <c r="I400" s="43">
        <v>9</v>
      </c>
      <c r="J400" s="55">
        <v>714</v>
      </c>
      <c r="K400" s="6">
        <v>0</v>
      </c>
      <c r="L400" s="6">
        <v>0</v>
      </c>
      <c r="M400" s="43">
        <v>0</v>
      </c>
      <c r="N400" s="25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  <c r="V400" s="43">
        <v>0</v>
      </c>
      <c r="W400" s="43">
        <v>7</v>
      </c>
      <c r="X400" s="43">
        <v>0</v>
      </c>
      <c r="Y400" s="43">
        <v>0</v>
      </c>
      <c r="Z400" s="43">
        <v>0</v>
      </c>
      <c r="AA400" s="44">
        <v>0</v>
      </c>
      <c r="AB400" s="44">
        <v>0</v>
      </c>
      <c r="AC400" s="44">
        <v>12</v>
      </c>
      <c r="AD400" s="44">
        <v>17</v>
      </c>
      <c r="AE400" s="44">
        <v>807</v>
      </c>
      <c r="AF400" s="44">
        <v>10</v>
      </c>
      <c r="AG400" s="44">
        <v>0</v>
      </c>
      <c r="AH400" s="44">
        <v>188</v>
      </c>
      <c r="AI400" s="44">
        <v>797</v>
      </c>
      <c r="AJ400" s="44">
        <v>0</v>
      </c>
      <c r="AK400" s="44">
        <v>0</v>
      </c>
      <c r="AL400" s="44">
        <v>244</v>
      </c>
      <c r="AM400" s="48"/>
      <c r="AN400" s="48"/>
      <c r="AO400" s="48"/>
      <c r="AP400" s="44">
        <v>250</v>
      </c>
      <c r="AQ400" s="44">
        <v>724</v>
      </c>
      <c r="AR400" s="51"/>
      <c r="AS400" s="51"/>
      <c r="AT400" s="51"/>
      <c r="AU400" s="51"/>
      <c r="AV400" s="51"/>
      <c r="AW400" s="43">
        <v>235</v>
      </c>
      <c r="AX400" s="43">
        <v>743</v>
      </c>
      <c r="AY400" s="50"/>
      <c r="AZ400" s="50"/>
      <c r="BA400" s="50"/>
      <c r="BB400" s="50"/>
      <c r="BC400" s="50"/>
      <c r="BD400" s="50"/>
      <c r="BE400" s="43">
        <v>601</v>
      </c>
      <c r="BF400" s="43">
        <v>396</v>
      </c>
      <c r="BG400" s="43">
        <v>731</v>
      </c>
      <c r="BH400" s="43">
        <v>289</v>
      </c>
      <c r="BI400" s="43">
        <v>779</v>
      </c>
      <c r="BJ400" s="43">
        <v>217</v>
      </c>
      <c r="BK400" s="43">
        <v>309</v>
      </c>
      <c r="BL400" s="43">
        <v>690</v>
      </c>
      <c r="BM400" s="43">
        <v>532</v>
      </c>
      <c r="BN400" s="43">
        <v>472</v>
      </c>
      <c r="BO400" s="43">
        <v>249</v>
      </c>
      <c r="BP400" s="43">
        <v>721</v>
      </c>
      <c r="BQ400" s="43">
        <v>799</v>
      </c>
      <c r="BR400" s="43">
        <v>178</v>
      </c>
      <c r="BS400" s="43">
        <v>770</v>
      </c>
      <c r="BT400" s="43">
        <v>526</v>
      </c>
      <c r="BU400" s="43">
        <v>431</v>
      </c>
      <c r="BV400" s="43">
        <v>693</v>
      </c>
      <c r="BW400" s="43">
        <v>564</v>
      </c>
      <c r="BX400" s="43">
        <v>235</v>
      </c>
      <c r="BY400" s="43">
        <v>673</v>
      </c>
      <c r="BZ400" s="43">
        <v>200</v>
      </c>
      <c r="CA400" s="43">
        <v>640</v>
      </c>
      <c r="CB400" s="43">
        <v>525</v>
      </c>
      <c r="CC400" s="43">
        <v>233</v>
      </c>
      <c r="CD400" s="43">
        <v>578</v>
      </c>
      <c r="CE400" s="43">
        <v>223</v>
      </c>
      <c r="CF400" s="43">
        <v>609</v>
      </c>
      <c r="CG400" s="43">
        <v>546</v>
      </c>
      <c r="CH400" s="43">
        <v>194</v>
      </c>
      <c r="CI400" s="43">
        <v>139</v>
      </c>
      <c r="CJ400" s="43">
        <v>632</v>
      </c>
      <c r="CK400" s="43">
        <v>580</v>
      </c>
      <c r="CL400" s="43">
        <v>203</v>
      </c>
      <c r="CM400" s="43">
        <v>630</v>
      </c>
      <c r="CN400" s="43">
        <v>615</v>
      </c>
      <c r="CO400" s="43">
        <v>196</v>
      </c>
      <c r="CP400" s="43">
        <v>573</v>
      </c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43">
        <v>550</v>
      </c>
      <c r="FD400" s="43">
        <v>473</v>
      </c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53"/>
      <c r="FZ400" s="53"/>
      <c r="GA400" s="53"/>
      <c r="GB400" s="53"/>
      <c r="GC400" s="53"/>
      <c r="GD400" s="53"/>
      <c r="GE400" s="53"/>
      <c r="GF400" s="53"/>
      <c r="GG400" s="53"/>
      <c r="GH400" s="53"/>
      <c r="GI400" s="43"/>
      <c r="GJ400" s="43"/>
      <c r="GK400" s="43"/>
      <c r="GL400" s="43"/>
      <c r="GM400" s="53"/>
      <c r="GN400" s="53"/>
      <c r="GO400" s="43">
        <v>617</v>
      </c>
      <c r="GP400" s="43">
        <v>410</v>
      </c>
      <c r="GQ400" s="43">
        <v>636</v>
      </c>
      <c r="GR400" s="43">
        <v>393</v>
      </c>
    </row>
    <row r="401" spans="1:200">
      <c r="A401" s="7">
        <v>6507</v>
      </c>
      <c r="B401" s="1" t="s">
        <v>529</v>
      </c>
      <c r="C401" s="33">
        <v>1108</v>
      </c>
      <c r="D401" s="34">
        <v>933</v>
      </c>
      <c r="E401" s="19">
        <f t="shared" si="6"/>
        <v>0.84205776173285196</v>
      </c>
      <c r="F401" s="62">
        <v>197</v>
      </c>
      <c r="G401" s="43">
        <v>6</v>
      </c>
      <c r="H401" s="43">
        <v>19</v>
      </c>
      <c r="I401" s="43">
        <v>5</v>
      </c>
      <c r="J401" s="55">
        <v>678</v>
      </c>
      <c r="K401" s="6">
        <v>0</v>
      </c>
      <c r="L401" s="6">
        <v>0</v>
      </c>
      <c r="M401" s="43">
        <v>0</v>
      </c>
      <c r="N401" s="25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  <c r="V401" s="43">
        <v>0</v>
      </c>
      <c r="W401" s="43">
        <v>1</v>
      </c>
      <c r="X401" s="43">
        <v>0</v>
      </c>
      <c r="Y401" s="43">
        <v>0</v>
      </c>
      <c r="Z401" s="43">
        <v>0</v>
      </c>
      <c r="AA401" s="44">
        <v>0</v>
      </c>
      <c r="AB401" s="44">
        <v>0</v>
      </c>
      <c r="AC401" s="44">
        <v>5</v>
      </c>
      <c r="AD401" s="44">
        <v>18</v>
      </c>
      <c r="AE401" s="44">
        <v>738</v>
      </c>
      <c r="AF401" s="44">
        <v>13</v>
      </c>
      <c r="AG401" s="44">
        <v>0</v>
      </c>
      <c r="AH401" s="44">
        <v>124</v>
      </c>
      <c r="AI401" s="44">
        <v>745</v>
      </c>
      <c r="AJ401" s="44">
        <v>0</v>
      </c>
      <c r="AK401" s="44">
        <v>0</v>
      </c>
      <c r="AL401" s="44">
        <v>147</v>
      </c>
      <c r="AM401" s="48"/>
      <c r="AN401" s="48"/>
      <c r="AO401" s="48"/>
      <c r="AP401" s="44">
        <v>181</v>
      </c>
      <c r="AQ401" s="44">
        <v>678</v>
      </c>
      <c r="AR401" s="51"/>
      <c r="AS401" s="51"/>
      <c r="AT401" s="51"/>
      <c r="AU401" s="51"/>
      <c r="AV401" s="51"/>
      <c r="AW401" s="43">
        <v>151</v>
      </c>
      <c r="AX401" s="43">
        <v>704</v>
      </c>
      <c r="AY401" s="50"/>
      <c r="AZ401" s="50"/>
      <c r="BA401" s="50"/>
      <c r="BB401" s="50"/>
      <c r="BC401" s="50"/>
      <c r="BD401" s="50"/>
      <c r="BE401" s="43">
        <v>556</v>
      </c>
      <c r="BF401" s="43">
        <v>305</v>
      </c>
      <c r="BG401" s="43">
        <v>681</v>
      </c>
      <c r="BH401" s="43">
        <v>197</v>
      </c>
      <c r="BI401" s="43">
        <v>679</v>
      </c>
      <c r="BJ401" s="43">
        <v>167</v>
      </c>
      <c r="BK401" s="43">
        <v>210</v>
      </c>
      <c r="BL401" s="43">
        <v>666</v>
      </c>
      <c r="BM401" s="43">
        <v>478</v>
      </c>
      <c r="BN401" s="43">
        <v>383</v>
      </c>
      <c r="BO401" s="43">
        <v>170</v>
      </c>
      <c r="BP401" s="43">
        <v>674</v>
      </c>
      <c r="BQ401" s="43">
        <v>719</v>
      </c>
      <c r="BR401" s="43">
        <v>128</v>
      </c>
      <c r="BS401" s="43">
        <v>665</v>
      </c>
      <c r="BT401" s="43">
        <v>457</v>
      </c>
      <c r="BU401" s="43">
        <v>379</v>
      </c>
      <c r="BV401" s="43">
        <v>605</v>
      </c>
      <c r="BW401" s="43">
        <v>496</v>
      </c>
      <c r="BX401" s="43">
        <v>193</v>
      </c>
      <c r="BY401" s="43">
        <v>608</v>
      </c>
      <c r="BZ401" s="43">
        <v>151</v>
      </c>
      <c r="CA401" s="43">
        <v>557</v>
      </c>
      <c r="CB401" s="43">
        <v>527</v>
      </c>
      <c r="CC401" s="43">
        <v>157</v>
      </c>
      <c r="CD401" s="43">
        <v>481</v>
      </c>
      <c r="CE401" s="43">
        <v>158</v>
      </c>
      <c r="CF401" s="43">
        <v>582</v>
      </c>
      <c r="CG401" s="43">
        <v>535</v>
      </c>
      <c r="CH401" s="43">
        <v>130</v>
      </c>
      <c r="CI401" s="43">
        <v>80</v>
      </c>
      <c r="CJ401" s="43">
        <v>608</v>
      </c>
      <c r="CK401" s="43">
        <v>498</v>
      </c>
      <c r="CL401" s="43">
        <v>184</v>
      </c>
      <c r="CM401" s="43">
        <v>567</v>
      </c>
      <c r="CN401" s="43">
        <v>531</v>
      </c>
      <c r="CO401" s="43">
        <v>131</v>
      </c>
      <c r="CP401" s="43">
        <v>551</v>
      </c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43">
        <v>451</v>
      </c>
      <c r="FD401" s="43">
        <v>422</v>
      </c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53"/>
      <c r="FZ401" s="53"/>
      <c r="GA401" s="53"/>
      <c r="GB401" s="53"/>
      <c r="GC401" s="53"/>
      <c r="GD401" s="53"/>
      <c r="GE401" s="53"/>
      <c r="GF401" s="53"/>
      <c r="GG401" s="53"/>
      <c r="GH401" s="53"/>
      <c r="GI401" s="43"/>
      <c r="GJ401" s="43"/>
      <c r="GK401" s="43"/>
      <c r="GL401" s="43"/>
      <c r="GM401" s="53"/>
      <c r="GN401" s="53"/>
      <c r="GO401" s="43">
        <v>519</v>
      </c>
      <c r="GP401" s="43">
        <v>363</v>
      </c>
      <c r="GQ401" s="43">
        <v>573</v>
      </c>
      <c r="GR401" s="43">
        <v>314</v>
      </c>
    </row>
    <row r="402" spans="1:200">
      <c r="A402" s="7">
        <v>6508</v>
      </c>
      <c r="B402" s="1" t="s">
        <v>530</v>
      </c>
      <c r="C402" s="33">
        <v>1262</v>
      </c>
      <c r="D402" s="34">
        <v>1044</v>
      </c>
      <c r="E402" s="19">
        <f t="shared" si="6"/>
        <v>0.82725832012678291</v>
      </c>
      <c r="F402" s="62">
        <v>225</v>
      </c>
      <c r="G402" s="43">
        <v>6</v>
      </c>
      <c r="H402" s="43">
        <v>41</v>
      </c>
      <c r="I402" s="43">
        <v>12</v>
      </c>
      <c r="J402" s="55">
        <v>743</v>
      </c>
      <c r="K402" s="6">
        <v>0</v>
      </c>
      <c r="L402" s="6">
        <v>0</v>
      </c>
      <c r="M402" s="43">
        <v>0</v>
      </c>
      <c r="N402" s="25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  <c r="V402" s="43">
        <v>0</v>
      </c>
      <c r="W402" s="43">
        <v>2</v>
      </c>
      <c r="X402" s="43">
        <v>0</v>
      </c>
      <c r="Y402" s="43">
        <v>0</v>
      </c>
      <c r="Z402" s="43">
        <v>0</v>
      </c>
      <c r="AA402" s="44">
        <v>0</v>
      </c>
      <c r="AB402" s="44">
        <v>0</v>
      </c>
      <c r="AC402" s="44">
        <v>12</v>
      </c>
      <c r="AD402" s="44">
        <v>18</v>
      </c>
      <c r="AE402" s="44">
        <v>790</v>
      </c>
      <c r="AF402" s="44">
        <v>18</v>
      </c>
      <c r="AG402" s="44">
        <v>0</v>
      </c>
      <c r="AH402" s="44">
        <v>162</v>
      </c>
      <c r="AI402" s="44">
        <v>802</v>
      </c>
      <c r="AJ402" s="44">
        <v>0</v>
      </c>
      <c r="AK402" s="44">
        <v>0</v>
      </c>
      <c r="AL402" s="44">
        <v>207</v>
      </c>
      <c r="AM402" s="48"/>
      <c r="AN402" s="48"/>
      <c r="AO402" s="48"/>
      <c r="AP402" s="44">
        <v>231</v>
      </c>
      <c r="AQ402" s="44">
        <v>719</v>
      </c>
      <c r="AR402" s="51"/>
      <c r="AS402" s="51"/>
      <c r="AT402" s="51"/>
      <c r="AU402" s="51"/>
      <c r="AV402" s="51"/>
      <c r="AW402" s="43">
        <v>208</v>
      </c>
      <c r="AX402" s="43">
        <v>741</v>
      </c>
      <c r="AY402" s="50"/>
      <c r="AZ402" s="50"/>
      <c r="BA402" s="50"/>
      <c r="BB402" s="50"/>
      <c r="BC402" s="50"/>
      <c r="BD402" s="50"/>
      <c r="BE402" s="43">
        <v>592</v>
      </c>
      <c r="BF402" s="43">
        <v>367</v>
      </c>
      <c r="BG402" s="43">
        <v>721</v>
      </c>
      <c r="BH402" s="43">
        <v>256</v>
      </c>
      <c r="BI402" s="43">
        <v>729</v>
      </c>
      <c r="BJ402" s="43">
        <v>217</v>
      </c>
      <c r="BK402" s="43">
        <v>253</v>
      </c>
      <c r="BL402" s="43">
        <v>708</v>
      </c>
      <c r="BM402" s="43">
        <v>490</v>
      </c>
      <c r="BN402" s="43">
        <v>476</v>
      </c>
      <c r="BO402" s="43">
        <v>225</v>
      </c>
      <c r="BP402" s="43">
        <v>705</v>
      </c>
      <c r="BQ402" s="43">
        <v>761</v>
      </c>
      <c r="BR402" s="43">
        <v>181</v>
      </c>
      <c r="BS402" s="43">
        <v>758</v>
      </c>
      <c r="BT402" s="43">
        <v>473</v>
      </c>
      <c r="BU402" s="43">
        <v>452</v>
      </c>
      <c r="BV402" s="43">
        <v>680</v>
      </c>
      <c r="BW402" s="43">
        <v>548</v>
      </c>
      <c r="BX402" s="43">
        <v>255</v>
      </c>
      <c r="BY402" s="43">
        <v>686</v>
      </c>
      <c r="BZ402" s="43">
        <v>186</v>
      </c>
      <c r="CA402" s="43">
        <v>647</v>
      </c>
      <c r="CB402" s="43">
        <v>564</v>
      </c>
      <c r="CC402" s="43">
        <v>211</v>
      </c>
      <c r="CD402" s="43">
        <v>606</v>
      </c>
      <c r="CE402" s="43">
        <v>194</v>
      </c>
      <c r="CF402" s="43">
        <v>637</v>
      </c>
      <c r="CG402" s="43">
        <v>564</v>
      </c>
      <c r="CH402" s="43">
        <v>194</v>
      </c>
      <c r="CI402" s="43">
        <v>130</v>
      </c>
      <c r="CJ402" s="43">
        <v>664</v>
      </c>
      <c r="CK402" s="43">
        <v>582</v>
      </c>
      <c r="CL402" s="43">
        <v>204</v>
      </c>
      <c r="CM402" s="43">
        <v>642</v>
      </c>
      <c r="CN402" s="43">
        <v>621</v>
      </c>
      <c r="CO402" s="43">
        <v>177</v>
      </c>
      <c r="CP402" s="43">
        <v>595</v>
      </c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43">
        <v>527</v>
      </c>
      <c r="FD402" s="43">
        <v>465</v>
      </c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53"/>
      <c r="FZ402" s="53"/>
      <c r="GA402" s="53"/>
      <c r="GB402" s="53"/>
      <c r="GC402" s="53"/>
      <c r="GD402" s="53"/>
      <c r="GE402" s="53"/>
      <c r="GF402" s="53"/>
      <c r="GG402" s="53"/>
      <c r="GH402" s="53"/>
      <c r="GI402" s="43"/>
      <c r="GJ402" s="43"/>
      <c r="GK402" s="43"/>
      <c r="GL402" s="43"/>
      <c r="GM402" s="53"/>
      <c r="GN402" s="53"/>
      <c r="GO402" s="43">
        <v>570</v>
      </c>
      <c r="GP402" s="43">
        <v>433</v>
      </c>
      <c r="GQ402" s="43">
        <v>621</v>
      </c>
      <c r="GR402" s="43">
        <v>365</v>
      </c>
    </row>
    <row r="403" spans="1:200">
      <c r="A403" s="7">
        <v>6509</v>
      </c>
      <c r="B403" s="1" t="s">
        <v>531</v>
      </c>
      <c r="C403" s="33">
        <v>609</v>
      </c>
      <c r="D403" s="34">
        <v>469</v>
      </c>
      <c r="E403" s="19">
        <f t="shared" si="6"/>
        <v>0.77011494252873558</v>
      </c>
      <c r="F403" s="62">
        <v>118</v>
      </c>
      <c r="G403" s="43">
        <v>5</v>
      </c>
      <c r="H403" s="43">
        <v>14</v>
      </c>
      <c r="I403" s="43">
        <v>4</v>
      </c>
      <c r="J403" s="55">
        <v>318</v>
      </c>
      <c r="K403" s="6">
        <v>0</v>
      </c>
      <c r="L403" s="6">
        <v>0</v>
      </c>
      <c r="M403" s="43">
        <v>0</v>
      </c>
      <c r="N403" s="25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  <c r="V403" s="43">
        <v>1</v>
      </c>
      <c r="W403" s="43">
        <v>3</v>
      </c>
      <c r="X403" s="43">
        <v>0</v>
      </c>
      <c r="Y403" s="43">
        <v>0</v>
      </c>
      <c r="Z403" s="43">
        <v>0</v>
      </c>
      <c r="AA403" s="44">
        <v>0</v>
      </c>
      <c r="AB403" s="44">
        <v>0</v>
      </c>
      <c r="AC403" s="44">
        <v>5</v>
      </c>
      <c r="AD403" s="44">
        <v>5</v>
      </c>
      <c r="AE403" s="44">
        <v>349</v>
      </c>
      <c r="AF403" s="44">
        <v>5</v>
      </c>
      <c r="AG403" s="44">
        <v>0</v>
      </c>
      <c r="AH403" s="44">
        <v>89</v>
      </c>
      <c r="AI403" s="44">
        <v>352</v>
      </c>
      <c r="AJ403" s="44">
        <v>0</v>
      </c>
      <c r="AK403" s="44">
        <v>0</v>
      </c>
      <c r="AL403" s="44">
        <v>103</v>
      </c>
      <c r="AM403" s="48"/>
      <c r="AN403" s="48"/>
      <c r="AO403" s="48"/>
      <c r="AP403" s="44">
        <v>114</v>
      </c>
      <c r="AQ403" s="44">
        <v>319</v>
      </c>
      <c r="AR403" s="51"/>
      <c r="AS403" s="51"/>
      <c r="AT403" s="51"/>
      <c r="AU403" s="51"/>
      <c r="AV403" s="51"/>
      <c r="AW403" s="43">
        <v>102</v>
      </c>
      <c r="AX403" s="43">
        <v>331</v>
      </c>
      <c r="AY403" s="50"/>
      <c r="AZ403" s="50"/>
      <c r="BA403" s="50"/>
      <c r="BB403" s="50"/>
      <c r="BC403" s="50"/>
      <c r="BD403" s="50"/>
      <c r="BE403" s="43">
        <v>250</v>
      </c>
      <c r="BF403" s="43">
        <v>192</v>
      </c>
      <c r="BG403" s="43">
        <v>314</v>
      </c>
      <c r="BH403" s="43">
        <v>132</v>
      </c>
      <c r="BI403" s="43">
        <v>355</v>
      </c>
      <c r="BJ403" s="43">
        <v>87</v>
      </c>
      <c r="BK403" s="43">
        <v>118</v>
      </c>
      <c r="BL403" s="43">
        <v>311</v>
      </c>
      <c r="BM403" s="43">
        <v>209</v>
      </c>
      <c r="BN403" s="43">
        <v>226</v>
      </c>
      <c r="BO403" s="43">
        <v>97</v>
      </c>
      <c r="BP403" s="43">
        <v>322</v>
      </c>
      <c r="BQ403" s="43">
        <v>338</v>
      </c>
      <c r="BR403" s="43">
        <v>83</v>
      </c>
      <c r="BS403" s="43">
        <v>345</v>
      </c>
      <c r="BT403" s="43">
        <v>198</v>
      </c>
      <c r="BU403" s="43">
        <v>222</v>
      </c>
      <c r="BV403" s="43">
        <v>299</v>
      </c>
      <c r="BW403" s="43">
        <v>199</v>
      </c>
      <c r="BX403" s="43">
        <v>145</v>
      </c>
      <c r="BY403" s="43">
        <v>290</v>
      </c>
      <c r="BZ403" s="43">
        <v>97</v>
      </c>
      <c r="CA403" s="43">
        <v>277</v>
      </c>
      <c r="CB403" s="43">
        <v>225</v>
      </c>
      <c r="CC403" s="43">
        <v>97</v>
      </c>
      <c r="CD403" s="43">
        <v>267</v>
      </c>
      <c r="CE403" s="43">
        <v>87</v>
      </c>
      <c r="CF403" s="43">
        <v>280</v>
      </c>
      <c r="CG403" s="43">
        <v>221</v>
      </c>
      <c r="CH403" s="43">
        <v>105</v>
      </c>
      <c r="CI403" s="43">
        <v>67</v>
      </c>
      <c r="CJ403" s="43">
        <v>274</v>
      </c>
      <c r="CK403" s="43">
        <v>235</v>
      </c>
      <c r="CL403" s="43">
        <v>103</v>
      </c>
      <c r="CM403" s="43">
        <v>283</v>
      </c>
      <c r="CN403" s="43">
        <v>267</v>
      </c>
      <c r="CO403" s="43">
        <v>80</v>
      </c>
      <c r="CP403" s="43">
        <v>257</v>
      </c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43">
        <v>265</v>
      </c>
      <c r="FD403" s="43">
        <v>190</v>
      </c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53"/>
      <c r="FZ403" s="53"/>
      <c r="GA403" s="53"/>
      <c r="GB403" s="53"/>
      <c r="GC403" s="53"/>
      <c r="GD403" s="53"/>
      <c r="GE403" s="53"/>
      <c r="GF403" s="53"/>
      <c r="GG403" s="53"/>
      <c r="GH403" s="53"/>
      <c r="GI403" s="43"/>
      <c r="GJ403" s="43"/>
      <c r="GK403" s="43"/>
      <c r="GL403" s="43"/>
      <c r="GM403" s="53"/>
      <c r="GN403" s="53"/>
      <c r="GO403" s="43">
        <v>284</v>
      </c>
      <c r="GP403" s="43">
        <v>171</v>
      </c>
      <c r="GQ403" s="43">
        <v>304</v>
      </c>
      <c r="GR403" s="43">
        <v>157</v>
      </c>
    </row>
    <row r="404" spans="1:200">
      <c r="A404" s="7">
        <v>6510</v>
      </c>
      <c r="B404" s="1" t="s">
        <v>532</v>
      </c>
      <c r="C404" s="33">
        <v>1355</v>
      </c>
      <c r="D404" s="34">
        <v>1032</v>
      </c>
      <c r="E404" s="19">
        <f t="shared" si="6"/>
        <v>0.76162361623616237</v>
      </c>
      <c r="F404" s="62">
        <v>280</v>
      </c>
      <c r="G404" s="43">
        <v>9</v>
      </c>
      <c r="H404" s="43">
        <v>45</v>
      </c>
      <c r="I404" s="43">
        <v>8</v>
      </c>
      <c r="J404" s="55">
        <v>671</v>
      </c>
      <c r="K404" s="6">
        <v>0</v>
      </c>
      <c r="L404" s="6">
        <v>0</v>
      </c>
      <c r="M404" s="43">
        <v>0</v>
      </c>
      <c r="N404" s="25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  <c r="V404" s="43">
        <v>0</v>
      </c>
      <c r="W404" s="43">
        <v>2</v>
      </c>
      <c r="X404" s="43">
        <v>0</v>
      </c>
      <c r="Y404" s="43">
        <v>0</v>
      </c>
      <c r="Z404" s="43">
        <v>0</v>
      </c>
      <c r="AA404" s="44">
        <v>0</v>
      </c>
      <c r="AB404" s="44">
        <v>0</v>
      </c>
      <c r="AC404" s="44">
        <v>19</v>
      </c>
      <c r="AD404" s="44">
        <v>18</v>
      </c>
      <c r="AE404" s="44">
        <v>746</v>
      </c>
      <c r="AF404" s="44">
        <v>9</v>
      </c>
      <c r="AG404" s="44">
        <v>0</v>
      </c>
      <c r="AH404" s="44">
        <v>205</v>
      </c>
      <c r="AI404" s="44">
        <v>743</v>
      </c>
      <c r="AJ404" s="44">
        <v>0</v>
      </c>
      <c r="AK404" s="44">
        <v>0</v>
      </c>
      <c r="AL404" s="44">
        <v>262</v>
      </c>
      <c r="AM404" s="48"/>
      <c r="AN404" s="48"/>
      <c r="AO404" s="48"/>
      <c r="AP404" s="44">
        <v>274</v>
      </c>
      <c r="AQ404" s="44">
        <v>680</v>
      </c>
      <c r="AR404" s="51"/>
      <c r="AS404" s="51"/>
      <c r="AT404" s="51"/>
      <c r="AU404" s="51"/>
      <c r="AV404" s="51"/>
      <c r="AW404" s="43">
        <v>244</v>
      </c>
      <c r="AX404" s="43">
        <v>712</v>
      </c>
      <c r="AY404" s="50"/>
      <c r="AZ404" s="50"/>
      <c r="BA404" s="50"/>
      <c r="BB404" s="50"/>
      <c r="BC404" s="50"/>
      <c r="BD404" s="50"/>
      <c r="BE404" s="43">
        <v>572</v>
      </c>
      <c r="BF404" s="43">
        <v>387</v>
      </c>
      <c r="BG404" s="43">
        <v>688</v>
      </c>
      <c r="BH404" s="43">
        <v>285</v>
      </c>
      <c r="BI404" s="43">
        <v>721</v>
      </c>
      <c r="BJ404" s="43">
        <v>233</v>
      </c>
      <c r="BK404" s="43">
        <v>292</v>
      </c>
      <c r="BL404" s="43">
        <v>673</v>
      </c>
      <c r="BM404" s="43">
        <v>491</v>
      </c>
      <c r="BN404" s="43">
        <v>474</v>
      </c>
      <c r="BO404" s="43">
        <v>252</v>
      </c>
      <c r="BP404" s="43">
        <v>691</v>
      </c>
      <c r="BQ404" s="43">
        <v>729</v>
      </c>
      <c r="BR404" s="43">
        <v>221</v>
      </c>
      <c r="BS404" s="43">
        <v>738</v>
      </c>
      <c r="BT404" s="43">
        <v>510</v>
      </c>
      <c r="BU404" s="43">
        <v>415</v>
      </c>
      <c r="BV404" s="43">
        <v>682</v>
      </c>
      <c r="BW404" s="43">
        <v>533</v>
      </c>
      <c r="BX404" s="43">
        <v>252</v>
      </c>
      <c r="BY404" s="43">
        <v>630</v>
      </c>
      <c r="BZ404" s="43">
        <v>217</v>
      </c>
      <c r="CA404" s="43">
        <v>627</v>
      </c>
      <c r="CB404" s="43">
        <v>532</v>
      </c>
      <c r="CC404" s="43">
        <v>229</v>
      </c>
      <c r="CD404" s="43">
        <v>555</v>
      </c>
      <c r="CE404" s="43">
        <v>226</v>
      </c>
      <c r="CF404" s="43">
        <v>593</v>
      </c>
      <c r="CG404" s="43">
        <v>527</v>
      </c>
      <c r="CH404" s="43">
        <v>202</v>
      </c>
      <c r="CI404" s="43">
        <v>138</v>
      </c>
      <c r="CJ404" s="43">
        <v>638</v>
      </c>
      <c r="CK404" s="43">
        <v>556</v>
      </c>
      <c r="CL404" s="43">
        <v>204</v>
      </c>
      <c r="CM404" s="43">
        <v>619</v>
      </c>
      <c r="CN404" s="43">
        <v>595</v>
      </c>
      <c r="CO404" s="43">
        <v>192</v>
      </c>
      <c r="CP404" s="43">
        <v>579</v>
      </c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43">
        <v>562</v>
      </c>
      <c r="FD404" s="43">
        <v>417</v>
      </c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53"/>
      <c r="FZ404" s="53"/>
      <c r="GA404" s="53"/>
      <c r="GB404" s="53"/>
      <c r="GC404" s="53"/>
      <c r="GD404" s="53"/>
      <c r="GE404" s="53"/>
      <c r="GF404" s="53"/>
      <c r="GG404" s="53"/>
      <c r="GH404" s="53"/>
      <c r="GI404" s="43"/>
      <c r="GJ404" s="43"/>
      <c r="GK404" s="43"/>
      <c r="GL404" s="43"/>
      <c r="GM404" s="53"/>
      <c r="GN404" s="53"/>
      <c r="GO404" s="43">
        <v>629</v>
      </c>
      <c r="GP404" s="43">
        <v>359</v>
      </c>
      <c r="GQ404" s="43">
        <v>625</v>
      </c>
      <c r="GR404" s="43">
        <v>357</v>
      </c>
    </row>
    <row r="405" spans="1:200">
      <c r="A405" s="7">
        <v>6511</v>
      </c>
      <c r="B405" s="1" t="s">
        <v>533</v>
      </c>
      <c r="C405" s="33">
        <v>787</v>
      </c>
      <c r="D405" s="34">
        <v>663</v>
      </c>
      <c r="E405" s="19">
        <f t="shared" si="6"/>
        <v>0.84243964421855144</v>
      </c>
      <c r="F405" s="62">
        <v>178</v>
      </c>
      <c r="G405" s="43">
        <v>2</v>
      </c>
      <c r="H405" s="43">
        <v>22</v>
      </c>
      <c r="I405" s="43">
        <v>6</v>
      </c>
      <c r="J405" s="55">
        <v>442</v>
      </c>
      <c r="K405" s="6">
        <v>0</v>
      </c>
      <c r="L405" s="6">
        <v>0</v>
      </c>
      <c r="M405" s="43">
        <v>0</v>
      </c>
      <c r="N405" s="25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  <c r="V405" s="43">
        <v>0</v>
      </c>
      <c r="W405" s="43">
        <v>0</v>
      </c>
      <c r="X405" s="43">
        <v>0</v>
      </c>
      <c r="Y405" s="43">
        <v>0</v>
      </c>
      <c r="Z405" s="43">
        <v>0</v>
      </c>
      <c r="AA405" s="44">
        <v>0</v>
      </c>
      <c r="AB405" s="44">
        <v>0</v>
      </c>
      <c r="AC405" s="44">
        <v>9</v>
      </c>
      <c r="AD405" s="44">
        <v>6</v>
      </c>
      <c r="AE405" s="44">
        <v>512</v>
      </c>
      <c r="AF405" s="44">
        <v>5</v>
      </c>
      <c r="AG405" s="44">
        <v>0</v>
      </c>
      <c r="AH405" s="44">
        <v>110</v>
      </c>
      <c r="AI405" s="44">
        <v>511</v>
      </c>
      <c r="AJ405" s="44">
        <v>0</v>
      </c>
      <c r="AK405" s="44">
        <v>0</v>
      </c>
      <c r="AL405" s="44">
        <v>133</v>
      </c>
      <c r="AM405" s="48"/>
      <c r="AN405" s="48"/>
      <c r="AO405" s="48"/>
      <c r="AP405" s="44">
        <v>148</v>
      </c>
      <c r="AQ405" s="44">
        <v>459</v>
      </c>
      <c r="AR405" s="51"/>
      <c r="AS405" s="51"/>
      <c r="AT405" s="51"/>
      <c r="AU405" s="51"/>
      <c r="AV405" s="51"/>
      <c r="AW405" s="43">
        <v>129</v>
      </c>
      <c r="AX405" s="43">
        <v>470</v>
      </c>
      <c r="AY405" s="50"/>
      <c r="AZ405" s="50"/>
      <c r="BA405" s="50"/>
      <c r="BB405" s="50"/>
      <c r="BC405" s="50"/>
      <c r="BD405" s="50"/>
      <c r="BE405" s="43">
        <v>355</v>
      </c>
      <c r="BF405" s="43">
        <v>254</v>
      </c>
      <c r="BG405" s="43">
        <v>459</v>
      </c>
      <c r="BH405" s="43">
        <v>158</v>
      </c>
      <c r="BI405" s="43">
        <v>484</v>
      </c>
      <c r="BJ405" s="43">
        <v>121</v>
      </c>
      <c r="BK405" s="43">
        <v>171</v>
      </c>
      <c r="BL405" s="43">
        <v>448</v>
      </c>
      <c r="BM405" s="43">
        <v>280</v>
      </c>
      <c r="BN405" s="43">
        <v>339</v>
      </c>
      <c r="BO405" s="43">
        <v>129</v>
      </c>
      <c r="BP405" s="43">
        <v>473</v>
      </c>
      <c r="BQ405" s="43">
        <v>495</v>
      </c>
      <c r="BR405" s="43">
        <v>110</v>
      </c>
      <c r="BS405" s="43">
        <v>501</v>
      </c>
      <c r="BT405" s="43">
        <v>274</v>
      </c>
      <c r="BU405" s="43">
        <v>322</v>
      </c>
      <c r="BV405" s="43">
        <v>464</v>
      </c>
      <c r="BW405" s="43">
        <v>327</v>
      </c>
      <c r="BX405" s="43">
        <v>177</v>
      </c>
      <c r="BY405" s="43">
        <v>420</v>
      </c>
      <c r="BZ405" s="43">
        <v>126</v>
      </c>
      <c r="CA405" s="43">
        <v>434</v>
      </c>
      <c r="CB405" s="43">
        <v>340</v>
      </c>
      <c r="CC405" s="43">
        <v>151</v>
      </c>
      <c r="CD405" s="43">
        <v>419</v>
      </c>
      <c r="CE405" s="43">
        <v>123</v>
      </c>
      <c r="CF405" s="43">
        <v>420</v>
      </c>
      <c r="CG405" s="43">
        <v>345</v>
      </c>
      <c r="CH405" s="43">
        <v>142</v>
      </c>
      <c r="CI405" s="43">
        <v>84</v>
      </c>
      <c r="CJ405" s="43">
        <v>410</v>
      </c>
      <c r="CK405" s="43">
        <v>333</v>
      </c>
      <c r="CL405" s="43">
        <v>175</v>
      </c>
      <c r="CM405" s="43">
        <v>445</v>
      </c>
      <c r="CN405" s="43">
        <v>421</v>
      </c>
      <c r="CO405" s="43">
        <v>136</v>
      </c>
      <c r="CP405" s="43">
        <v>369</v>
      </c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43">
        <v>393</v>
      </c>
      <c r="FD405" s="43">
        <v>248</v>
      </c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53"/>
      <c r="FZ405" s="53"/>
      <c r="GA405" s="53"/>
      <c r="GB405" s="53"/>
      <c r="GC405" s="53"/>
      <c r="GD405" s="53"/>
      <c r="GE405" s="53"/>
      <c r="GF405" s="53"/>
      <c r="GG405" s="53"/>
      <c r="GH405" s="53"/>
      <c r="GI405" s="43"/>
      <c r="GJ405" s="43"/>
      <c r="GK405" s="43"/>
      <c r="GL405" s="43"/>
      <c r="GM405" s="53"/>
      <c r="GN405" s="53"/>
      <c r="GO405" s="43">
        <v>382</v>
      </c>
      <c r="GP405" s="43">
        <v>262</v>
      </c>
      <c r="GQ405" s="43">
        <v>401</v>
      </c>
      <c r="GR405" s="43">
        <v>238</v>
      </c>
    </row>
    <row r="406" spans="1:200">
      <c r="A406" s="7">
        <v>6512</v>
      </c>
      <c r="B406" s="1" t="s">
        <v>534</v>
      </c>
      <c r="C406" s="33">
        <v>800</v>
      </c>
      <c r="D406" s="34">
        <v>675</v>
      </c>
      <c r="E406" s="19">
        <f t="shared" si="6"/>
        <v>0.84375</v>
      </c>
      <c r="F406" s="62">
        <v>171</v>
      </c>
      <c r="G406" s="43">
        <v>3</v>
      </c>
      <c r="H406" s="43">
        <v>22</v>
      </c>
      <c r="I406" s="43">
        <v>6</v>
      </c>
      <c r="J406" s="55">
        <v>457</v>
      </c>
      <c r="K406" s="6">
        <v>0</v>
      </c>
      <c r="L406" s="6">
        <v>0</v>
      </c>
      <c r="M406" s="43">
        <v>0</v>
      </c>
      <c r="N406" s="25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  <c r="V406" s="43">
        <v>0</v>
      </c>
      <c r="W406" s="43">
        <v>0</v>
      </c>
      <c r="X406" s="43">
        <v>0</v>
      </c>
      <c r="Y406" s="43">
        <v>1</v>
      </c>
      <c r="Z406" s="43">
        <v>0</v>
      </c>
      <c r="AA406" s="44">
        <v>0</v>
      </c>
      <c r="AB406" s="44">
        <v>0</v>
      </c>
      <c r="AC406" s="44">
        <v>5</v>
      </c>
      <c r="AD406" s="44">
        <v>6</v>
      </c>
      <c r="AE406" s="44">
        <v>506</v>
      </c>
      <c r="AF406" s="44">
        <v>10</v>
      </c>
      <c r="AG406" s="44">
        <v>0</v>
      </c>
      <c r="AH406" s="44">
        <v>127</v>
      </c>
      <c r="AI406" s="44">
        <v>506</v>
      </c>
      <c r="AJ406" s="44">
        <v>0</v>
      </c>
      <c r="AK406" s="44">
        <v>0</v>
      </c>
      <c r="AL406" s="44">
        <v>151</v>
      </c>
      <c r="AM406" s="48"/>
      <c r="AN406" s="48"/>
      <c r="AO406" s="48"/>
      <c r="AP406" s="44">
        <v>168</v>
      </c>
      <c r="AQ406" s="44">
        <v>456</v>
      </c>
      <c r="AR406" s="51"/>
      <c r="AS406" s="51"/>
      <c r="AT406" s="51"/>
      <c r="AU406" s="51"/>
      <c r="AV406" s="51"/>
      <c r="AW406" s="43">
        <v>141</v>
      </c>
      <c r="AX406" s="43">
        <v>479</v>
      </c>
      <c r="AY406" s="50"/>
      <c r="AZ406" s="50"/>
      <c r="BA406" s="50"/>
      <c r="BB406" s="50"/>
      <c r="BC406" s="50"/>
      <c r="BD406" s="50"/>
      <c r="BE406" s="43">
        <v>364</v>
      </c>
      <c r="BF406" s="43">
        <v>256</v>
      </c>
      <c r="BG406" s="43">
        <v>458</v>
      </c>
      <c r="BH406" s="43">
        <v>186</v>
      </c>
      <c r="BI406" s="43">
        <v>493</v>
      </c>
      <c r="BJ406" s="43">
        <v>121</v>
      </c>
      <c r="BK406" s="43">
        <v>201</v>
      </c>
      <c r="BL406" s="43">
        <v>429</v>
      </c>
      <c r="BM406" s="43">
        <v>361</v>
      </c>
      <c r="BN406" s="43">
        <v>274</v>
      </c>
      <c r="BO406" s="43">
        <v>162</v>
      </c>
      <c r="BP406" s="43">
        <v>440</v>
      </c>
      <c r="BQ406" s="43">
        <v>493</v>
      </c>
      <c r="BR406" s="43">
        <v>117</v>
      </c>
      <c r="BS406" s="43">
        <v>456</v>
      </c>
      <c r="BT406" s="43">
        <v>294</v>
      </c>
      <c r="BU406" s="43">
        <v>295</v>
      </c>
      <c r="BV406" s="43">
        <v>407</v>
      </c>
      <c r="BW406" s="43">
        <v>358</v>
      </c>
      <c r="BX406" s="43">
        <v>157</v>
      </c>
      <c r="BY406" s="43">
        <v>428</v>
      </c>
      <c r="BZ406" s="43">
        <v>118</v>
      </c>
      <c r="CA406" s="43">
        <v>368</v>
      </c>
      <c r="CB406" s="43">
        <v>350</v>
      </c>
      <c r="CC406" s="43">
        <v>127</v>
      </c>
      <c r="CD406" s="43">
        <v>350</v>
      </c>
      <c r="CE406" s="43">
        <v>133</v>
      </c>
      <c r="CF406" s="43">
        <v>399</v>
      </c>
      <c r="CG406" s="43">
        <v>360</v>
      </c>
      <c r="CH406" s="43">
        <v>114</v>
      </c>
      <c r="CI406" s="43">
        <v>87</v>
      </c>
      <c r="CJ406" s="43">
        <v>414</v>
      </c>
      <c r="CK406" s="43">
        <v>327</v>
      </c>
      <c r="CL406" s="43">
        <v>159</v>
      </c>
      <c r="CM406" s="43">
        <v>350</v>
      </c>
      <c r="CN406" s="43">
        <v>334</v>
      </c>
      <c r="CO406" s="43">
        <v>121</v>
      </c>
      <c r="CP406" s="43">
        <v>354</v>
      </c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43">
        <v>330</v>
      </c>
      <c r="FD406" s="43">
        <v>306</v>
      </c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53"/>
      <c r="FZ406" s="53"/>
      <c r="GA406" s="53"/>
      <c r="GB406" s="53"/>
      <c r="GC406" s="53"/>
      <c r="GD406" s="53"/>
      <c r="GE406" s="53"/>
      <c r="GF406" s="53"/>
      <c r="GG406" s="53"/>
      <c r="GH406" s="53"/>
      <c r="GI406" s="43"/>
      <c r="GJ406" s="43"/>
      <c r="GK406" s="43"/>
      <c r="GL406" s="43"/>
      <c r="GM406" s="53"/>
      <c r="GN406" s="53"/>
      <c r="GO406" s="43">
        <v>359</v>
      </c>
      <c r="GP406" s="43">
        <v>275</v>
      </c>
      <c r="GQ406" s="43">
        <v>380</v>
      </c>
      <c r="GR406" s="43">
        <v>246</v>
      </c>
    </row>
    <row r="407" spans="1:200">
      <c r="A407" s="7">
        <v>6513</v>
      </c>
      <c r="B407" s="1" t="s">
        <v>535</v>
      </c>
      <c r="C407" s="33">
        <v>1045</v>
      </c>
      <c r="D407" s="34">
        <v>825</v>
      </c>
      <c r="E407" s="19">
        <f t="shared" si="6"/>
        <v>0.78947368421052633</v>
      </c>
      <c r="F407" s="62">
        <v>197</v>
      </c>
      <c r="G407" s="43">
        <v>0</v>
      </c>
      <c r="H407" s="43">
        <v>33</v>
      </c>
      <c r="I407" s="43">
        <v>6</v>
      </c>
      <c r="J407" s="55">
        <v>577</v>
      </c>
      <c r="K407" s="6">
        <v>0</v>
      </c>
      <c r="L407" s="6">
        <v>0</v>
      </c>
      <c r="M407" s="43">
        <v>0</v>
      </c>
      <c r="N407" s="25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  <c r="V407" s="43">
        <v>0</v>
      </c>
      <c r="W407" s="43">
        <v>2</v>
      </c>
      <c r="X407" s="43">
        <v>0</v>
      </c>
      <c r="Y407" s="43">
        <v>0</v>
      </c>
      <c r="Z407" s="43">
        <v>0</v>
      </c>
      <c r="AA407" s="44">
        <v>0</v>
      </c>
      <c r="AB407" s="44">
        <v>0</v>
      </c>
      <c r="AC407" s="44">
        <v>4</v>
      </c>
      <c r="AD407" s="44">
        <v>5</v>
      </c>
      <c r="AE407" s="44">
        <v>613</v>
      </c>
      <c r="AF407" s="44">
        <v>18</v>
      </c>
      <c r="AG407" s="44">
        <v>0</v>
      </c>
      <c r="AH407" s="44">
        <v>158</v>
      </c>
      <c r="AI407" s="44">
        <v>615</v>
      </c>
      <c r="AJ407" s="44">
        <v>0</v>
      </c>
      <c r="AK407" s="44">
        <v>0</v>
      </c>
      <c r="AL407" s="44">
        <v>184</v>
      </c>
      <c r="AM407" s="48"/>
      <c r="AN407" s="48"/>
      <c r="AO407" s="48"/>
      <c r="AP407" s="44">
        <v>208</v>
      </c>
      <c r="AQ407" s="44">
        <v>551</v>
      </c>
      <c r="AR407" s="51"/>
      <c r="AS407" s="51"/>
      <c r="AT407" s="51"/>
      <c r="AU407" s="51"/>
      <c r="AV407" s="51"/>
      <c r="AW407" s="43">
        <v>197</v>
      </c>
      <c r="AX407" s="43">
        <v>567</v>
      </c>
      <c r="AY407" s="50"/>
      <c r="AZ407" s="50"/>
      <c r="BA407" s="50"/>
      <c r="BB407" s="50"/>
      <c r="BC407" s="50"/>
      <c r="BD407" s="50"/>
      <c r="BE407" s="43">
        <v>465</v>
      </c>
      <c r="BF407" s="43">
        <v>312</v>
      </c>
      <c r="BG407" s="43">
        <v>548</v>
      </c>
      <c r="BH407" s="43">
        <v>231</v>
      </c>
      <c r="BI407" s="43">
        <v>593</v>
      </c>
      <c r="BJ407" s="43">
        <v>189</v>
      </c>
      <c r="BK407" s="43">
        <v>226</v>
      </c>
      <c r="BL407" s="43">
        <v>558</v>
      </c>
      <c r="BM407" s="43">
        <v>388</v>
      </c>
      <c r="BN407" s="43">
        <v>401</v>
      </c>
      <c r="BO407" s="43">
        <v>197</v>
      </c>
      <c r="BP407" s="43">
        <v>563</v>
      </c>
      <c r="BQ407" s="43">
        <v>584</v>
      </c>
      <c r="BR407" s="43">
        <v>177</v>
      </c>
      <c r="BS407" s="43">
        <v>610</v>
      </c>
      <c r="BT407" s="43">
        <v>386</v>
      </c>
      <c r="BU407" s="43">
        <v>348</v>
      </c>
      <c r="BV407" s="43">
        <v>567</v>
      </c>
      <c r="BW407" s="43">
        <v>383</v>
      </c>
      <c r="BX407" s="43">
        <v>249</v>
      </c>
      <c r="BY407" s="43">
        <v>512</v>
      </c>
      <c r="BZ407" s="43">
        <v>178</v>
      </c>
      <c r="CA407" s="43">
        <v>532</v>
      </c>
      <c r="CB407" s="43">
        <v>419</v>
      </c>
      <c r="CC407" s="43">
        <v>195</v>
      </c>
      <c r="CD407" s="43">
        <v>498</v>
      </c>
      <c r="CE407" s="43">
        <v>170</v>
      </c>
      <c r="CF407" s="43">
        <v>489</v>
      </c>
      <c r="CG407" s="43">
        <v>422</v>
      </c>
      <c r="CH407" s="43">
        <v>179</v>
      </c>
      <c r="CI407" s="43">
        <v>108</v>
      </c>
      <c r="CJ407" s="43">
        <v>510</v>
      </c>
      <c r="CK407" s="43">
        <v>421</v>
      </c>
      <c r="CL407" s="43">
        <v>206</v>
      </c>
      <c r="CM407" s="43">
        <v>524</v>
      </c>
      <c r="CN407" s="43">
        <v>508</v>
      </c>
      <c r="CO407" s="43">
        <v>159</v>
      </c>
      <c r="CP407" s="43">
        <v>463</v>
      </c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43">
        <v>477</v>
      </c>
      <c r="FD407" s="43">
        <v>318</v>
      </c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53"/>
      <c r="FZ407" s="53"/>
      <c r="GA407" s="53"/>
      <c r="GB407" s="53"/>
      <c r="GC407" s="53"/>
      <c r="GD407" s="53"/>
      <c r="GE407" s="53"/>
      <c r="GF407" s="53"/>
      <c r="GG407" s="53"/>
      <c r="GH407" s="53"/>
      <c r="GI407" s="43"/>
      <c r="GJ407" s="43"/>
      <c r="GK407" s="43"/>
      <c r="GL407" s="43"/>
      <c r="GM407" s="53"/>
      <c r="GN407" s="53"/>
      <c r="GO407" s="43">
        <v>479</v>
      </c>
      <c r="GP407" s="43">
        <v>312</v>
      </c>
      <c r="GQ407" s="43">
        <v>474</v>
      </c>
      <c r="GR407" s="43">
        <v>310</v>
      </c>
    </row>
    <row r="408" spans="1:200">
      <c r="A408" s="7">
        <v>6514</v>
      </c>
      <c r="B408" s="1" t="s">
        <v>536</v>
      </c>
      <c r="C408" s="33">
        <v>585</v>
      </c>
      <c r="D408" s="34">
        <v>458</v>
      </c>
      <c r="E408" s="19">
        <f t="shared" si="6"/>
        <v>0.7829059829059829</v>
      </c>
      <c r="F408" s="62">
        <v>135</v>
      </c>
      <c r="G408" s="43">
        <v>4</v>
      </c>
      <c r="H408" s="43">
        <v>22</v>
      </c>
      <c r="I408" s="43">
        <v>7</v>
      </c>
      <c r="J408" s="55">
        <v>277</v>
      </c>
      <c r="K408" s="6">
        <v>0</v>
      </c>
      <c r="L408" s="6">
        <v>0</v>
      </c>
      <c r="M408" s="43">
        <v>0</v>
      </c>
      <c r="N408" s="25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  <c r="V408" s="43">
        <v>0</v>
      </c>
      <c r="W408" s="43">
        <v>1</v>
      </c>
      <c r="X408" s="43">
        <v>0</v>
      </c>
      <c r="Y408" s="43">
        <v>0</v>
      </c>
      <c r="Z408" s="43">
        <v>0</v>
      </c>
      <c r="AA408" s="44">
        <v>0</v>
      </c>
      <c r="AB408" s="44">
        <v>0</v>
      </c>
      <c r="AC408" s="44">
        <v>12</v>
      </c>
      <c r="AD408" s="44">
        <v>4</v>
      </c>
      <c r="AE408" s="44">
        <v>295</v>
      </c>
      <c r="AF408" s="44">
        <v>5</v>
      </c>
      <c r="AG408" s="44">
        <v>0</v>
      </c>
      <c r="AH408" s="44">
        <v>121</v>
      </c>
      <c r="AI408" s="44">
        <v>321</v>
      </c>
      <c r="AJ408" s="44">
        <v>0</v>
      </c>
      <c r="AK408" s="44">
        <v>0</v>
      </c>
      <c r="AL408" s="44">
        <v>122</v>
      </c>
      <c r="AM408" s="48"/>
      <c r="AN408" s="48"/>
      <c r="AO408" s="48"/>
      <c r="AP408" s="44">
        <v>140</v>
      </c>
      <c r="AQ408" s="44">
        <v>278</v>
      </c>
      <c r="AR408" s="51"/>
      <c r="AS408" s="51"/>
      <c r="AT408" s="51"/>
      <c r="AU408" s="51"/>
      <c r="AV408" s="51"/>
      <c r="AW408" s="43">
        <v>128</v>
      </c>
      <c r="AX408" s="43">
        <v>283</v>
      </c>
      <c r="AY408" s="50"/>
      <c r="AZ408" s="50"/>
      <c r="BA408" s="50"/>
      <c r="BB408" s="50"/>
      <c r="BC408" s="50"/>
      <c r="BD408" s="50"/>
      <c r="BE408" s="43">
        <v>221</v>
      </c>
      <c r="BF408" s="43">
        <v>196</v>
      </c>
      <c r="BG408" s="43">
        <v>265</v>
      </c>
      <c r="BH408" s="43">
        <v>160</v>
      </c>
      <c r="BI408" s="43">
        <v>314</v>
      </c>
      <c r="BJ408" s="43">
        <v>106</v>
      </c>
      <c r="BK408" s="43">
        <v>137</v>
      </c>
      <c r="BL408" s="43">
        <v>280</v>
      </c>
      <c r="BM408" s="43">
        <v>196</v>
      </c>
      <c r="BN408" s="43">
        <v>224</v>
      </c>
      <c r="BO408" s="43">
        <v>119</v>
      </c>
      <c r="BP408" s="43">
        <v>286</v>
      </c>
      <c r="BQ408" s="43">
        <v>300</v>
      </c>
      <c r="BR408" s="43">
        <v>112</v>
      </c>
      <c r="BS408" s="43">
        <v>316</v>
      </c>
      <c r="BT408" s="43">
        <v>197</v>
      </c>
      <c r="BU408" s="43">
        <v>201</v>
      </c>
      <c r="BV408" s="43">
        <v>292</v>
      </c>
      <c r="BW408" s="43">
        <v>215</v>
      </c>
      <c r="BX408" s="43">
        <v>141</v>
      </c>
      <c r="BY408" s="43">
        <v>286</v>
      </c>
      <c r="BZ408" s="43">
        <v>97</v>
      </c>
      <c r="CA408" s="43">
        <v>281</v>
      </c>
      <c r="CB408" s="43">
        <v>233</v>
      </c>
      <c r="CC408" s="43">
        <v>109</v>
      </c>
      <c r="CD408" s="43">
        <v>264</v>
      </c>
      <c r="CE408" s="43">
        <v>97</v>
      </c>
      <c r="CF408" s="43">
        <v>257</v>
      </c>
      <c r="CG408" s="43">
        <v>222</v>
      </c>
      <c r="CH408" s="43">
        <v>112</v>
      </c>
      <c r="CI408" s="43">
        <v>73</v>
      </c>
      <c r="CJ408" s="43">
        <v>280</v>
      </c>
      <c r="CK408" s="43">
        <v>230</v>
      </c>
      <c r="CL408" s="43">
        <v>116</v>
      </c>
      <c r="CM408" s="43">
        <v>285</v>
      </c>
      <c r="CN408" s="43">
        <v>275</v>
      </c>
      <c r="CO408" s="43">
        <v>97</v>
      </c>
      <c r="CP408" s="43">
        <v>246</v>
      </c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43">
        <v>248</v>
      </c>
      <c r="FD408" s="43">
        <v>189</v>
      </c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53"/>
      <c r="FZ408" s="53"/>
      <c r="GA408" s="53"/>
      <c r="GB408" s="53"/>
      <c r="GC408" s="53"/>
      <c r="GD408" s="53"/>
      <c r="GE408" s="53"/>
      <c r="GF408" s="53"/>
      <c r="GG408" s="53"/>
      <c r="GH408" s="53"/>
      <c r="GI408" s="43"/>
      <c r="GJ408" s="43"/>
      <c r="GK408" s="43"/>
      <c r="GL408" s="43"/>
      <c r="GM408" s="53"/>
      <c r="GN408" s="53"/>
      <c r="GO408" s="43">
        <v>253</v>
      </c>
      <c r="GP408" s="43">
        <v>185</v>
      </c>
      <c r="GQ408" s="43">
        <v>278</v>
      </c>
      <c r="GR408" s="43">
        <v>157</v>
      </c>
    </row>
    <row r="409" spans="1:200">
      <c r="A409" s="7">
        <v>6515</v>
      </c>
      <c r="B409" s="1" t="s">
        <v>537</v>
      </c>
      <c r="C409" s="33">
        <v>1193</v>
      </c>
      <c r="D409" s="34">
        <v>980</v>
      </c>
      <c r="E409" s="19">
        <f t="shared" si="6"/>
        <v>0.82145850796311815</v>
      </c>
      <c r="F409" s="62">
        <v>229</v>
      </c>
      <c r="G409" s="43">
        <v>3</v>
      </c>
      <c r="H409" s="43">
        <v>40</v>
      </c>
      <c r="I409" s="43">
        <v>5</v>
      </c>
      <c r="J409" s="55">
        <v>685</v>
      </c>
      <c r="K409" s="6">
        <v>0</v>
      </c>
      <c r="L409" s="6">
        <v>0</v>
      </c>
      <c r="M409" s="43">
        <v>0</v>
      </c>
      <c r="N409" s="25">
        <v>0</v>
      </c>
      <c r="O409" s="43">
        <v>0</v>
      </c>
      <c r="P409" s="43">
        <v>0</v>
      </c>
      <c r="Q409" s="43">
        <v>0</v>
      </c>
      <c r="R409" s="43">
        <v>0</v>
      </c>
      <c r="S409" s="43">
        <v>0</v>
      </c>
      <c r="T409" s="43">
        <v>0</v>
      </c>
      <c r="U409" s="43">
        <v>0</v>
      </c>
      <c r="V409" s="43">
        <v>2</v>
      </c>
      <c r="W409" s="43">
        <v>3</v>
      </c>
      <c r="X409" s="43">
        <v>0</v>
      </c>
      <c r="Y409" s="43">
        <v>0</v>
      </c>
      <c r="Z409" s="43">
        <v>0</v>
      </c>
      <c r="AA409" s="44">
        <v>0</v>
      </c>
      <c r="AB409" s="44">
        <v>0</v>
      </c>
      <c r="AC409" s="44">
        <v>14</v>
      </c>
      <c r="AD409" s="44">
        <v>16</v>
      </c>
      <c r="AE409" s="44">
        <v>749</v>
      </c>
      <c r="AF409" s="44">
        <v>10</v>
      </c>
      <c r="AG409" s="44">
        <v>0</v>
      </c>
      <c r="AH409" s="44">
        <v>165</v>
      </c>
      <c r="AI409" s="44">
        <v>746</v>
      </c>
      <c r="AJ409" s="44">
        <v>1</v>
      </c>
      <c r="AK409" s="44">
        <v>0</v>
      </c>
      <c r="AL409" s="44">
        <v>208</v>
      </c>
      <c r="AM409" s="48"/>
      <c r="AN409" s="48"/>
      <c r="AO409" s="48"/>
      <c r="AP409" s="44">
        <v>225</v>
      </c>
      <c r="AQ409" s="44">
        <v>683</v>
      </c>
      <c r="AR409" s="51"/>
      <c r="AS409" s="51"/>
      <c r="AT409" s="51"/>
      <c r="AU409" s="51"/>
      <c r="AV409" s="51"/>
      <c r="AW409" s="43">
        <v>202</v>
      </c>
      <c r="AX409" s="43">
        <v>698</v>
      </c>
      <c r="AY409" s="50"/>
      <c r="AZ409" s="50"/>
      <c r="BA409" s="50"/>
      <c r="BB409" s="50"/>
      <c r="BC409" s="50"/>
      <c r="BD409" s="50"/>
      <c r="BE409" s="43">
        <v>568</v>
      </c>
      <c r="BF409" s="43">
        <v>355</v>
      </c>
      <c r="BG409" s="43">
        <v>686</v>
      </c>
      <c r="BH409" s="43">
        <v>247</v>
      </c>
      <c r="BI409" s="43">
        <v>715</v>
      </c>
      <c r="BJ409" s="43">
        <v>202</v>
      </c>
      <c r="BK409" s="43">
        <v>267</v>
      </c>
      <c r="BL409" s="43">
        <v>662</v>
      </c>
      <c r="BM409" s="43">
        <v>463</v>
      </c>
      <c r="BN409" s="43">
        <v>457</v>
      </c>
      <c r="BO409" s="43">
        <v>216</v>
      </c>
      <c r="BP409" s="43">
        <v>693</v>
      </c>
      <c r="BQ409" s="43">
        <v>724</v>
      </c>
      <c r="BR409" s="43">
        <v>175</v>
      </c>
      <c r="BS409" s="43">
        <v>693</v>
      </c>
      <c r="BT409" s="43">
        <v>463</v>
      </c>
      <c r="BU409" s="43">
        <v>436</v>
      </c>
      <c r="BV409" s="43">
        <v>630</v>
      </c>
      <c r="BW409" s="43">
        <v>489</v>
      </c>
      <c r="BX409" s="43">
        <v>252</v>
      </c>
      <c r="BY409" s="43">
        <v>603</v>
      </c>
      <c r="BZ409" s="43">
        <v>214</v>
      </c>
      <c r="CA409" s="43">
        <v>581</v>
      </c>
      <c r="CB409" s="43">
        <v>495</v>
      </c>
      <c r="CC409" s="43">
        <v>218</v>
      </c>
      <c r="CD409" s="43">
        <v>545</v>
      </c>
      <c r="CE409" s="43">
        <v>195</v>
      </c>
      <c r="CF409" s="43">
        <v>597</v>
      </c>
      <c r="CG409" s="43">
        <v>489</v>
      </c>
      <c r="CH409" s="43">
        <v>219</v>
      </c>
      <c r="CI409" s="43">
        <v>131</v>
      </c>
      <c r="CJ409" s="43">
        <v>603</v>
      </c>
      <c r="CK409" s="43">
        <v>482</v>
      </c>
      <c r="CL409" s="43">
        <v>234</v>
      </c>
      <c r="CM409" s="43">
        <v>588</v>
      </c>
      <c r="CN409" s="43">
        <v>553</v>
      </c>
      <c r="CO409" s="43">
        <v>184</v>
      </c>
      <c r="CP409" s="43">
        <v>540</v>
      </c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43">
        <v>566</v>
      </c>
      <c r="FD409" s="43">
        <v>384</v>
      </c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53"/>
      <c r="FZ409" s="53"/>
      <c r="GA409" s="53"/>
      <c r="GB409" s="53"/>
      <c r="GC409" s="53"/>
      <c r="GD409" s="53"/>
      <c r="GE409" s="53"/>
      <c r="GF409" s="53"/>
      <c r="GG409" s="53"/>
      <c r="GH409" s="53"/>
      <c r="GI409" s="43"/>
      <c r="GJ409" s="43"/>
      <c r="GK409" s="43"/>
      <c r="GL409" s="43"/>
      <c r="GM409" s="53"/>
      <c r="GN409" s="53"/>
      <c r="GO409" s="43">
        <v>570</v>
      </c>
      <c r="GP409" s="43">
        <v>381</v>
      </c>
      <c r="GQ409" s="43">
        <v>605</v>
      </c>
      <c r="GR409" s="43">
        <v>345</v>
      </c>
    </row>
    <row r="410" spans="1:200">
      <c r="A410" s="7">
        <v>6516</v>
      </c>
      <c r="B410" s="1" t="s">
        <v>538</v>
      </c>
      <c r="C410" s="33">
        <v>1028</v>
      </c>
      <c r="D410" s="34">
        <v>806</v>
      </c>
      <c r="E410" s="19">
        <f t="shared" si="6"/>
        <v>0.78404669260700388</v>
      </c>
      <c r="F410" s="62">
        <v>180</v>
      </c>
      <c r="G410" s="43">
        <v>3</v>
      </c>
      <c r="H410" s="43">
        <v>21</v>
      </c>
      <c r="I410" s="43">
        <v>4</v>
      </c>
      <c r="J410" s="55">
        <v>571</v>
      </c>
      <c r="K410" s="6">
        <v>0</v>
      </c>
      <c r="L410" s="6">
        <v>0</v>
      </c>
      <c r="M410" s="43">
        <v>0</v>
      </c>
      <c r="N410" s="25">
        <v>0</v>
      </c>
      <c r="O410" s="43">
        <v>0</v>
      </c>
      <c r="P410" s="43">
        <v>0</v>
      </c>
      <c r="Q410" s="43">
        <v>0</v>
      </c>
      <c r="R410" s="43">
        <v>0</v>
      </c>
      <c r="S410" s="43">
        <v>0</v>
      </c>
      <c r="T410" s="43">
        <v>0</v>
      </c>
      <c r="U410" s="43">
        <v>0</v>
      </c>
      <c r="V410" s="43">
        <v>0</v>
      </c>
      <c r="W410" s="43">
        <v>4</v>
      </c>
      <c r="X410" s="43">
        <v>0</v>
      </c>
      <c r="Y410" s="43">
        <v>0</v>
      </c>
      <c r="Z410" s="43">
        <v>0</v>
      </c>
      <c r="AA410" s="44">
        <v>0</v>
      </c>
      <c r="AB410" s="44">
        <v>0</v>
      </c>
      <c r="AC410" s="44">
        <v>6</v>
      </c>
      <c r="AD410" s="44">
        <v>15</v>
      </c>
      <c r="AE410" s="44">
        <v>624</v>
      </c>
      <c r="AF410" s="44">
        <v>7</v>
      </c>
      <c r="AG410" s="44">
        <v>0</v>
      </c>
      <c r="AH410" s="44">
        <v>131</v>
      </c>
      <c r="AI410" s="44">
        <v>630</v>
      </c>
      <c r="AJ410" s="44">
        <v>0</v>
      </c>
      <c r="AK410" s="44">
        <v>0</v>
      </c>
      <c r="AL410" s="44">
        <v>150</v>
      </c>
      <c r="AM410" s="48"/>
      <c r="AN410" s="48"/>
      <c r="AO410" s="48"/>
      <c r="AP410" s="44">
        <v>159</v>
      </c>
      <c r="AQ410" s="44">
        <v>579</v>
      </c>
      <c r="AR410" s="51"/>
      <c r="AS410" s="51"/>
      <c r="AT410" s="51"/>
      <c r="AU410" s="51"/>
      <c r="AV410" s="51"/>
      <c r="AW410" s="43">
        <v>144</v>
      </c>
      <c r="AX410" s="43">
        <v>596</v>
      </c>
      <c r="AY410" s="50"/>
      <c r="AZ410" s="50"/>
      <c r="BA410" s="50"/>
      <c r="BB410" s="50"/>
      <c r="BC410" s="50"/>
      <c r="BD410" s="50"/>
      <c r="BE410" s="43">
        <v>479</v>
      </c>
      <c r="BF410" s="43">
        <v>274</v>
      </c>
      <c r="BG410" s="43">
        <v>577</v>
      </c>
      <c r="BH410" s="43">
        <v>190</v>
      </c>
      <c r="BI410" s="43">
        <v>583</v>
      </c>
      <c r="BJ410" s="43">
        <v>165</v>
      </c>
      <c r="BK410" s="43">
        <v>220</v>
      </c>
      <c r="BL410" s="43">
        <v>535</v>
      </c>
      <c r="BM410" s="43">
        <v>404</v>
      </c>
      <c r="BN410" s="43">
        <v>353</v>
      </c>
      <c r="BO410" s="43">
        <v>180</v>
      </c>
      <c r="BP410" s="43">
        <v>552</v>
      </c>
      <c r="BQ410" s="43">
        <v>611</v>
      </c>
      <c r="BR410" s="43">
        <v>136</v>
      </c>
      <c r="BS410" s="43">
        <v>591</v>
      </c>
      <c r="BT410" s="43">
        <v>379</v>
      </c>
      <c r="BU410" s="43">
        <v>359</v>
      </c>
      <c r="BV410" s="43">
        <v>533</v>
      </c>
      <c r="BW410" s="43">
        <v>411</v>
      </c>
      <c r="BX410" s="43">
        <v>202</v>
      </c>
      <c r="BY410" s="43">
        <v>538</v>
      </c>
      <c r="BZ410" s="43">
        <v>139</v>
      </c>
      <c r="CA410" s="43">
        <v>495</v>
      </c>
      <c r="CB410" s="43">
        <v>445</v>
      </c>
      <c r="CC410" s="43">
        <v>153</v>
      </c>
      <c r="CD410" s="43">
        <v>463</v>
      </c>
      <c r="CE410" s="43">
        <v>178</v>
      </c>
      <c r="CF410" s="43">
        <v>470</v>
      </c>
      <c r="CG410" s="43">
        <v>446</v>
      </c>
      <c r="CH410" s="43">
        <v>142</v>
      </c>
      <c r="CI410" s="43">
        <v>118</v>
      </c>
      <c r="CJ410" s="43">
        <v>490</v>
      </c>
      <c r="CK410" s="43">
        <v>416</v>
      </c>
      <c r="CL410" s="43">
        <v>195</v>
      </c>
      <c r="CM410" s="43">
        <v>489</v>
      </c>
      <c r="CN410" s="43">
        <v>462</v>
      </c>
      <c r="CO410" s="43">
        <v>178</v>
      </c>
      <c r="CP410" s="43">
        <v>419</v>
      </c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43">
        <v>404</v>
      </c>
      <c r="FD410" s="43">
        <v>362</v>
      </c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43">
        <v>7</v>
      </c>
      <c r="FZ410" s="43">
        <v>19</v>
      </c>
      <c r="GA410" s="53"/>
      <c r="GB410" s="53"/>
      <c r="GC410" s="53"/>
      <c r="GD410" s="53"/>
      <c r="GE410" s="53"/>
      <c r="GF410" s="53"/>
      <c r="GG410" s="53"/>
      <c r="GH410" s="53"/>
      <c r="GI410" s="43"/>
      <c r="GJ410" s="43"/>
      <c r="GK410" s="43"/>
      <c r="GL410" s="43"/>
      <c r="GM410" s="53"/>
      <c r="GN410" s="53"/>
      <c r="GO410" s="43">
        <v>427</v>
      </c>
      <c r="GP410" s="43">
        <v>352</v>
      </c>
      <c r="GQ410" s="43">
        <v>469</v>
      </c>
      <c r="GR410" s="43">
        <v>303</v>
      </c>
    </row>
    <row r="411" spans="1:200">
      <c r="A411" s="7">
        <v>6517</v>
      </c>
      <c r="B411" s="1" t="s">
        <v>539</v>
      </c>
      <c r="C411" s="33">
        <v>1152</v>
      </c>
      <c r="D411" s="34">
        <v>1010</v>
      </c>
      <c r="E411" s="19">
        <f t="shared" si="6"/>
        <v>0.87673611111111116</v>
      </c>
      <c r="F411" s="62">
        <v>216</v>
      </c>
      <c r="G411" s="43">
        <v>3</v>
      </c>
      <c r="H411" s="43">
        <v>29</v>
      </c>
      <c r="I411" s="43">
        <v>7</v>
      </c>
      <c r="J411" s="55">
        <v>724</v>
      </c>
      <c r="K411" s="6">
        <v>0</v>
      </c>
      <c r="L411" s="6">
        <v>0</v>
      </c>
      <c r="M411" s="43">
        <v>0</v>
      </c>
      <c r="N411" s="25">
        <v>0</v>
      </c>
      <c r="O411" s="43">
        <v>0</v>
      </c>
      <c r="P411" s="43">
        <v>0</v>
      </c>
      <c r="Q411" s="43">
        <v>0</v>
      </c>
      <c r="R411" s="43">
        <v>0</v>
      </c>
      <c r="S411" s="43">
        <v>0</v>
      </c>
      <c r="T411" s="43">
        <v>0</v>
      </c>
      <c r="U411" s="43">
        <v>0</v>
      </c>
      <c r="V411" s="43">
        <v>0</v>
      </c>
      <c r="W411" s="43">
        <v>1</v>
      </c>
      <c r="X411" s="43">
        <v>0</v>
      </c>
      <c r="Y411" s="43">
        <v>0</v>
      </c>
      <c r="Z411" s="43">
        <v>0</v>
      </c>
      <c r="AA411" s="44">
        <v>0</v>
      </c>
      <c r="AB411" s="44">
        <v>0</v>
      </c>
      <c r="AC411" s="44">
        <v>5</v>
      </c>
      <c r="AD411" s="44">
        <v>11</v>
      </c>
      <c r="AE411" s="44">
        <v>846</v>
      </c>
      <c r="AF411" s="44">
        <v>10</v>
      </c>
      <c r="AG411" s="44">
        <v>0</v>
      </c>
      <c r="AH411" s="44">
        <v>110</v>
      </c>
      <c r="AI411" s="44">
        <v>842</v>
      </c>
      <c r="AJ411" s="44">
        <v>0</v>
      </c>
      <c r="AK411" s="44">
        <v>0</v>
      </c>
      <c r="AL411" s="44">
        <v>151</v>
      </c>
      <c r="AM411" s="48"/>
      <c r="AN411" s="48"/>
      <c r="AO411" s="48"/>
      <c r="AP411" s="44">
        <v>188</v>
      </c>
      <c r="AQ411" s="44">
        <v>764</v>
      </c>
      <c r="AR411" s="51"/>
      <c r="AS411" s="51"/>
      <c r="AT411" s="51"/>
      <c r="AU411" s="51"/>
      <c r="AV411" s="51"/>
      <c r="AW411" s="43">
        <v>131</v>
      </c>
      <c r="AX411" s="43">
        <v>810</v>
      </c>
      <c r="AY411" s="50"/>
      <c r="AZ411" s="50"/>
      <c r="BA411" s="50"/>
      <c r="BB411" s="50"/>
      <c r="BC411" s="50"/>
      <c r="BD411" s="50"/>
      <c r="BE411" s="43">
        <v>634</v>
      </c>
      <c r="BF411" s="43">
        <v>304</v>
      </c>
      <c r="BG411" s="43">
        <v>764</v>
      </c>
      <c r="BH411" s="43">
        <v>203</v>
      </c>
      <c r="BI411" s="43">
        <v>780</v>
      </c>
      <c r="BJ411" s="43">
        <v>163</v>
      </c>
      <c r="BK411" s="43">
        <v>208</v>
      </c>
      <c r="BL411" s="43">
        <v>746</v>
      </c>
      <c r="BM411" s="43">
        <v>555</v>
      </c>
      <c r="BN411" s="43">
        <v>382</v>
      </c>
      <c r="BO411" s="43">
        <v>170</v>
      </c>
      <c r="BP411" s="43">
        <v>748</v>
      </c>
      <c r="BQ411" s="43">
        <v>815</v>
      </c>
      <c r="BR411" s="43">
        <v>121</v>
      </c>
      <c r="BS411" s="43">
        <v>754</v>
      </c>
      <c r="BT411" s="43">
        <v>493</v>
      </c>
      <c r="BU411" s="43">
        <v>412</v>
      </c>
      <c r="BV411" s="43">
        <v>661</v>
      </c>
      <c r="BW411" s="43">
        <v>551</v>
      </c>
      <c r="BX411" s="43">
        <v>215</v>
      </c>
      <c r="BY411" s="43">
        <v>664</v>
      </c>
      <c r="BZ411" s="43">
        <v>175</v>
      </c>
      <c r="CA411" s="43">
        <v>629</v>
      </c>
      <c r="CB411" s="43">
        <v>616</v>
      </c>
      <c r="CC411" s="43">
        <v>163</v>
      </c>
      <c r="CD411" s="43">
        <v>517</v>
      </c>
      <c r="CE411" s="43">
        <v>138</v>
      </c>
      <c r="CF411" s="43">
        <v>682</v>
      </c>
      <c r="CG411" s="43">
        <v>578</v>
      </c>
      <c r="CH411" s="43">
        <v>167</v>
      </c>
      <c r="CI411" s="43">
        <v>80</v>
      </c>
      <c r="CJ411" s="43">
        <v>689</v>
      </c>
      <c r="CK411" s="43">
        <v>581</v>
      </c>
      <c r="CL411" s="43">
        <v>193</v>
      </c>
      <c r="CM411" s="43">
        <v>620</v>
      </c>
      <c r="CN411" s="43">
        <v>575</v>
      </c>
      <c r="CO411" s="43">
        <v>127</v>
      </c>
      <c r="CP411" s="43">
        <v>645</v>
      </c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43">
        <v>487</v>
      </c>
      <c r="FD411" s="43">
        <v>484</v>
      </c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43">
        <v>3</v>
      </c>
      <c r="FZ411" s="43">
        <v>29</v>
      </c>
      <c r="GA411" s="53"/>
      <c r="GB411" s="53"/>
      <c r="GC411" s="53"/>
      <c r="GD411" s="53"/>
      <c r="GE411" s="53"/>
      <c r="GF411" s="53"/>
      <c r="GG411" s="53"/>
      <c r="GH411" s="53"/>
      <c r="GI411" s="43"/>
      <c r="GJ411" s="43"/>
      <c r="GK411" s="43"/>
      <c r="GL411" s="43"/>
      <c r="GM411" s="53"/>
      <c r="GN411" s="53"/>
      <c r="GO411" s="43">
        <v>547</v>
      </c>
      <c r="GP411" s="43">
        <v>421</v>
      </c>
      <c r="GQ411" s="43">
        <v>609</v>
      </c>
      <c r="GR411" s="43">
        <v>355</v>
      </c>
    </row>
    <row r="412" spans="1:200">
      <c r="A412" s="7">
        <v>6518</v>
      </c>
      <c r="B412" s="1" t="s">
        <v>540</v>
      </c>
      <c r="C412" s="33">
        <v>949</v>
      </c>
      <c r="D412" s="34">
        <v>713</v>
      </c>
      <c r="E412" s="19">
        <f t="shared" si="6"/>
        <v>0.75131717597471026</v>
      </c>
      <c r="F412" s="62">
        <v>249</v>
      </c>
      <c r="G412" s="43">
        <v>2</v>
      </c>
      <c r="H412" s="43">
        <v>11</v>
      </c>
      <c r="I412" s="43">
        <v>7</v>
      </c>
      <c r="J412" s="55">
        <v>418</v>
      </c>
      <c r="K412" s="6">
        <v>0</v>
      </c>
      <c r="L412" s="6">
        <v>0</v>
      </c>
      <c r="M412" s="43">
        <v>0</v>
      </c>
      <c r="N412" s="25">
        <v>0</v>
      </c>
      <c r="O412" s="43">
        <v>0</v>
      </c>
      <c r="P412" s="43">
        <v>0</v>
      </c>
      <c r="Q412" s="43">
        <v>0</v>
      </c>
      <c r="R412" s="43">
        <v>0</v>
      </c>
      <c r="S412" s="43">
        <v>0</v>
      </c>
      <c r="T412" s="43">
        <v>0</v>
      </c>
      <c r="U412" s="43">
        <v>0</v>
      </c>
      <c r="V412" s="43">
        <v>0</v>
      </c>
      <c r="W412" s="43">
        <v>2</v>
      </c>
      <c r="X412" s="43">
        <v>0</v>
      </c>
      <c r="Y412" s="43">
        <v>0</v>
      </c>
      <c r="Z412" s="43">
        <v>0</v>
      </c>
      <c r="AA412" s="44">
        <v>0</v>
      </c>
      <c r="AB412" s="44">
        <v>0</v>
      </c>
      <c r="AC412" s="44">
        <v>7</v>
      </c>
      <c r="AD412" s="44">
        <v>6</v>
      </c>
      <c r="AE412" s="44">
        <v>501</v>
      </c>
      <c r="AF412" s="44">
        <v>8</v>
      </c>
      <c r="AG412" s="44">
        <v>0</v>
      </c>
      <c r="AH412" s="44">
        <v>161</v>
      </c>
      <c r="AI412" s="44">
        <v>500</v>
      </c>
      <c r="AJ412" s="44">
        <v>1</v>
      </c>
      <c r="AK412" s="44">
        <v>0</v>
      </c>
      <c r="AL412" s="44">
        <v>186</v>
      </c>
      <c r="AM412" s="48"/>
      <c r="AN412" s="48"/>
      <c r="AO412" s="48"/>
      <c r="AP412" s="44">
        <v>209</v>
      </c>
      <c r="AQ412" s="44">
        <v>427</v>
      </c>
      <c r="AR412" s="51"/>
      <c r="AS412" s="51"/>
      <c r="AT412" s="51"/>
      <c r="AU412" s="51"/>
      <c r="AV412" s="51"/>
      <c r="AW412" s="43">
        <v>189</v>
      </c>
      <c r="AX412" s="43">
        <v>449</v>
      </c>
      <c r="AY412" s="50"/>
      <c r="AZ412" s="50"/>
      <c r="BA412" s="50"/>
      <c r="BB412" s="50"/>
      <c r="BC412" s="50"/>
      <c r="BD412" s="50"/>
      <c r="BE412" s="43">
        <v>341</v>
      </c>
      <c r="BF412" s="43">
        <v>299</v>
      </c>
      <c r="BG412" s="43">
        <v>434</v>
      </c>
      <c r="BH412" s="43">
        <v>231</v>
      </c>
      <c r="BI412" s="43">
        <v>480</v>
      </c>
      <c r="BJ412" s="43">
        <v>173</v>
      </c>
      <c r="BK412" s="43">
        <v>228</v>
      </c>
      <c r="BL412" s="43">
        <v>417</v>
      </c>
      <c r="BM412" s="43">
        <v>306</v>
      </c>
      <c r="BN412" s="43">
        <v>335</v>
      </c>
      <c r="BO412" s="43">
        <v>187</v>
      </c>
      <c r="BP412" s="43">
        <v>446</v>
      </c>
      <c r="BQ412" s="43">
        <v>470</v>
      </c>
      <c r="BR412" s="43">
        <v>165</v>
      </c>
      <c r="BS412" s="43">
        <v>482</v>
      </c>
      <c r="BT412" s="43">
        <v>291</v>
      </c>
      <c r="BU412" s="43">
        <v>326</v>
      </c>
      <c r="BV412" s="43">
        <v>480</v>
      </c>
      <c r="BW412" s="43">
        <v>320</v>
      </c>
      <c r="BX412" s="43">
        <v>207</v>
      </c>
      <c r="BY412" s="43">
        <v>449</v>
      </c>
      <c r="BZ412" s="43">
        <v>136</v>
      </c>
      <c r="CA412" s="43">
        <v>430</v>
      </c>
      <c r="CB412" s="43">
        <v>351</v>
      </c>
      <c r="CC412" s="43">
        <v>157</v>
      </c>
      <c r="CD412" s="43">
        <v>435</v>
      </c>
      <c r="CE412" s="43">
        <v>165</v>
      </c>
      <c r="CF412" s="43">
        <v>408</v>
      </c>
      <c r="CG412" s="43">
        <v>381</v>
      </c>
      <c r="CH412" s="43">
        <v>131</v>
      </c>
      <c r="CI412" s="43">
        <v>90</v>
      </c>
      <c r="CJ412" s="43">
        <v>432</v>
      </c>
      <c r="CK412" s="43">
        <v>353</v>
      </c>
      <c r="CL412" s="43">
        <v>168</v>
      </c>
      <c r="CM412" s="43">
        <v>430</v>
      </c>
      <c r="CN412" s="43">
        <v>414</v>
      </c>
      <c r="CO412" s="43">
        <v>146</v>
      </c>
      <c r="CP412" s="43">
        <v>363</v>
      </c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43">
        <v>413</v>
      </c>
      <c r="FD412" s="43">
        <v>246</v>
      </c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43">
        <v>19</v>
      </c>
      <c r="FZ412" s="43">
        <v>7</v>
      </c>
      <c r="GA412" s="53"/>
      <c r="GB412" s="53"/>
      <c r="GC412" s="53"/>
      <c r="GD412" s="53"/>
      <c r="GE412" s="53"/>
      <c r="GF412" s="53"/>
      <c r="GG412" s="53"/>
      <c r="GH412" s="53"/>
      <c r="GI412" s="43"/>
      <c r="GJ412" s="43"/>
      <c r="GK412" s="43"/>
      <c r="GL412" s="43"/>
      <c r="GM412" s="53"/>
      <c r="GN412" s="53"/>
      <c r="GO412" s="43">
        <v>443</v>
      </c>
      <c r="GP412" s="43">
        <v>216</v>
      </c>
      <c r="GQ412" s="43">
        <v>473</v>
      </c>
      <c r="GR412" s="43">
        <v>186</v>
      </c>
    </row>
    <row r="413" spans="1:200">
      <c r="A413" s="7">
        <v>6519</v>
      </c>
      <c r="B413" s="1" t="s">
        <v>541</v>
      </c>
      <c r="C413" s="33">
        <v>1115</v>
      </c>
      <c r="D413" s="34">
        <v>918</v>
      </c>
      <c r="E413" s="19">
        <f t="shared" si="6"/>
        <v>0.82331838565022419</v>
      </c>
      <c r="F413" s="62">
        <v>222</v>
      </c>
      <c r="G413" s="43">
        <v>3</v>
      </c>
      <c r="H413" s="43">
        <v>29</v>
      </c>
      <c r="I413" s="43">
        <v>3</v>
      </c>
      <c r="J413" s="55">
        <v>637</v>
      </c>
      <c r="K413" s="6">
        <v>0</v>
      </c>
      <c r="L413" s="6">
        <v>0</v>
      </c>
      <c r="M413" s="43">
        <v>0</v>
      </c>
      <c r="N413" s="25">
        <v>0</v>
      </c>
      <c r="O413" s="43">
        <v>0</v>
      </c>
      <c r="P413" s="43">
        <v>0</v>
      </c>
      <c r="Q413" s="43">
        <v>0</v>
      </c>
      <c r="R413" s="43">
        <v>0</v>
      </c>
      <c r="S413" s="43">
        <v>0</v>
      </c>
      <c r="T413" s="43">
        <v>0</v>
      </c>
      <c r="U413" s="43">
        <v>0</v>
      </c>
      <c r="V413" s="43">
        <v>0</v>
      </c>
      <c r="W413" s="43">
        <v>0</v>
      </c>
      <c r="X413" s="43">
        <v>0</v>
      </c>
      <c r="Y413" s="43">
        <v>0</v>
      </c>
      <c r="Z413" s="43">
        <v>0</v>
      </c>
      <c r="AA413" s="44">
        <v>0</v>
      </c>
      <c r="AB413" s="44">
        <v>0</v>
      </c>
      <c r="AC413" s="44">
        <v>11</v>
      </c>
      <c r="AD413" s="44">
        <v>5</v>
      </c>
      <c r="AE413" s="44">
        <v>691</v>
      </c>
      <c r="AF413" s="44">
        <v>6</v>
      </c>
      <c r="AG413" s="44">
        <v>0</v>
      </c>
      <c r="AH413" s="44">
        <v>169</v>
      </c>
      <c r="AI413" s="44">
        <v>712</v>
      </c>
      <c r="AJ413" s="44">
        <v>0</v>
      </c>
      <c r="AK413" s="44">
        <v>0</v>
      </c>
      <c r="AL413" s="44">
        <v>177</v>
      </c>
      <c r="AM413" s="48"/>
      <c r="AN413" s="48"/>
      <c r="AO413" s="48"/>
      <c r="AP413" s="44">
        <v>201</v>
      </c>
      <c r="AQ413" s="44">
        <v>624</v>
      </c>
      <c r="AR413" s="51"/>
      <c r="AS413" s="51"/>
      <c r="AT413" s="51"/>
      <c r="AU413" s="51"/>
      <c r="AV413" s="51"/>
      <c r="AW413" s="43">
        <v>169</v>
      </c>
      <c r="AX413" s="43">
        <v>656</v>
      </c>
      <c r="AY413" s="50"/>
      <c r="AZ413" s="50"/>
      <c r="BA413" s="50"/>
      <c r="BB413" s="50"/>
      <c r="BC413" s="50"/>
      <c r="BD413" s="50"/>
      <c r="BE413" s="43">
        <v>529</v>
      </c>
      <c r="BF413" s="43">
        <v>310</v>
      </c>
      <c r="BG413" s="43">
        <v>644</v>
      </c>
      <c r="BH413" s="43">
        <v>209</v>
      </c>
      <c r="BI413" s="43">
        <v>673</v>
      </c>
      <c r="BJ413" s="43">
        <v>167</v>
      </c>
      <c r="BK413" s="43">
        <v>233</v>
      </c>
      <c r="BL413" s="43">
        <v>616</v>
      </c>
      <c r="BM413" s="43">
        <v>434</v>
      </c>
      <c r="BN413" s="43">
        <v>416</v>
      </c>
      <c r="BO413" s="43">
        <v>183</v>
      </c>
      <c r="BP413" s="43">
        <v>647</v>
      </c>
      <c r="BQ413" s="43">
        <v>662</v>
      </c>
      <c r="BR413" s="43">
        <v>165</v>
      </c>
      <c r="BS413" s="43">
        <v>672</v>
      </c>
      <c r="BT413" s="43">
        <v>444</v>
      </c>
      <c r="BU413" s="43">
        <v>366</v>
      </c>
      <c r="BV413" s="43">
        <v>633</v>
      </c>
      <c r="BW413" s="43">
        <v>445</v>
      </c>
      <c r="BX413" s="43">
        <v>246</v>
      </c>
      <c r="BY413" s="43">
        <v>597</v>
      </c>
      <c r="BZ413" s="43">
        <v>148</v>
      </c>
      <c r="CA413" s="43">
        <v>563</v>
      </c>
      <c r="CB413" s="43">
        <v>447</v>
      </c>
      <c r="CC413" s="43">
        <v>203</v>
      </c>
      <c r="CD413" s="43">
        <v>528</v>
      </c>
      <c r="CE413" s="43">
        <v>180</v>
      </c>
      <c r="CF413" s="43">
        <v>547</v>
      </c>
      <c r="CG413" s="43">
        <v>450</v>
      </c>
      <c r="CH413" s="43">
        <v>192</v>
      </c>
      <c r="CI413" s="43">
        <v>111</v>
      </c>
      <c r="CJ413" s="43">
        <v>572</v>
      </c>
      <c r="CK413" s="43">
        <v>489</v>
      </c>
      <c r="CL413" s="43">
        <v>198</v>
      </c>
      <c r="CM413" s="43">
        <v>559</v>
      </c>
      <c r="CN413" s="43">
        <v>549</v>
      </c>
      <c r="CO413" s="43">
        <v>138</v>
      </c>
      <c r="CP413" s="43">
        <v>529</v>
      </c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43">
        <v>514</v>
      </c>
      <c r="FD413" s="43">
        <v>368</v>
      </c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53"/>
      <c r="FZ413" s="53"/>
      <c r="GA413" s="53"/>
      <c r="GB413" s="53"/>
      <c r="GC413" s="53"/>
      <c r="GD413" s="53"/>
      <c r="GE413" s="53"/>
      <c r="GF413" s="53"/>
      <c r="GG413" s="53"/>
      <c r="GH413" s="53"/>
      <c r="GI413" s="43"/>
      <c r="GJ413" s="43"/>
      <c r="GK413" s="43"/>
      <c r="GL413" s="43"/>
      <c r="GM413" s="53"/>
      <c r="GN413" s="53"/>
      <c r="GO413" s="43">
        <v>544</v>
      </c>
      <c r="GP413" s="43">
        <v>335</v>
      </c>
      <c r="GQ413" s="43">
        <v>569</v>
      </c>
      <c r="GR413" s="43">
        <v>299</v>
      </c>
    </row>
    <row r="414" spans="1:200">
      <c r="A414" s="7">
        <v>6701</v>
      </c>
      <c r="B414" s="1" t="s">
        <v>542</v>
      </c>
      <c r="C414" s="33">
        <v>1276</v>
      </c>
      <c r="D414" s="34">
        <v>630</v>
      </c>
      <c r="E414" s="19">
        <f t="shared" si="6"/>
        <v>0.49373040752351099</v>
      </c>
      <c r="F414" s="62">
        <v>264</v>
      </c>
      <c r="G414" s="43">
        <v>5</v>
      </c>
      <c r="H414" s="43">
        <v>17</v>
      </c>
      <c r="I414" s="43">
        <v>8</v>
      </c>
      <c r="J414" s="55">
        <v>316</v>
      </c>
      <c r="K414" s="6">
        <v>0</v>
      </c>
      <c r="L414" s="6">
        <v>0</v>
      </c>
      <c r="M414" s="43">
        <v>0</v>
      </c>
      <c r="N414" s="25">
        <v>0</v>
      </c>
      <c r="O414" s="43">
        <v>0</v>
      </c>
      <c r="P414" s="43">
        <v>0</v>
      </c>
      <c r="Q414" s="43">
        <v>0</v>
      </c>
      <c r="R414" s="43">
        <v>0</v>
      </c>
      <c r="S414" s="43">
        <v>0</v>
      </c>
      <c r="T414" s="43">
        <v>0</v>
      </c>
      <c r="U414" s="43">
        <v>0</v>
      </c>
      <c r="V414" s="43">
        <v>0</v>
      </c>
      <c r="W414" s="43">
        <v>0</v>
      </c>
      <c r="X414" s="43">
        <v>0</v>
      </c>
      <c r="Y414" s="43">
        <v>0</v>
      </c>
      <c r="Z414" s="43">
        <v>0</v>
      </c>
      <c r="AA414" s="44">
        <v>0</v>
      </c>
      <c r="AB414" s="44">
        <v>0</v>
      </c>
      <c r="AC414" s="44">
        <v>26</v>
      </c>
      <c r="AD414" s="44">
        <v>12</v>
      </c>
      <c r="AE414" s="44">
        <v>342</v>
      </c>
      <c r="AF414" s="44">
        <v>5</v>
      </c>
      <c r="AG414" s="44">
        <v>0</v>
      </c>
      <c r="AH414" s="44">
        <v>206</v>
      </c>
      <c r="AI414" s="44">
        <v>346</v>
      </c>
      <c r="AJ414" s="44">
        <v>0</v>
      </c>
      <c r="AK414" s="44">
        <v>0</v>
      </c>
      <c r="AL414" s="44">
        <v>242</v>
      </c>
      <c r="AM414" s="48"/>
      <c r="AN414" s="48"/>
      <c r="AO414" s="48"/>
      <c r="AP414" s="44"/>
      <c r="AQ414" s="44"/>
      <c r="AR414" s="51"/>
      <c r="AS414" s="51"/>
      <c r="AT414" s="51"/>
      <c r="AU414" s="51"/>
      <c r="AV414" s="51"/>
      <c r="AW414" s="50"/>
      <c r="AX414" s="50"/>
      <c r="AY414" s="50"/>
      <c r="AZ414" s="50"/>
      <c r="BA414" s="50"/>
      <c r="BB414" s="50"/>
      <c r="BC414" s="43">
        <v>310</v>
      </c>
      <c r="BD414" s="43">
        <v>277</v>
      </c>
      <c r="BE414" s="43">
        <v>258</v>
      </c>
      <c r="BF414" s="43">
        <v>321</v>
      </c>
      <c r="BG414" s="43">
        <v>332</v>
      </c>
      <c r="BH414" s="43">
        <v>254</v>
      </c>
      <c r="BI414" s="43">
        <v>352</v>
      </c>
      <c r="BJ414" s="43">
        <v>229</v>
      </c>
      <c r="BK414" s="43">
        <v>270</v>
      </c>
      <c r="BL414" s="43">
        <v>297</v>
      </c>
      <c r="BM414" s="43">
        <v>219</v>
      </c>
      <c r="BN414" s="43">
        <v>361</v>
      </c>
      <c r="BO414" s="43">
        <v>243</v>
      </c>
      <c r="BP414" s="43">
        <v>327</v>
      </c>
      <c r="BQ414" s="43">
        <v>337</v>
      </c>
      <c r="BR414" s="43">
        <v>241</v>
      </c>
      <c r="BS414" s="43">
        <v>393</v>
      </c>
      <c r="BT414" s="43">
        <v>257</v>
      </c>
      <c r="BU414" s="43">
        <v>314</v>
      </c>
      <c r="BV414" s="43">
        <v>376</v>
      </c>
      <c r="BW414" s="43">
        <v>243</v>
      </c>
      <c r="BX414" s="43">
        <v>197</v>
      </c>
      <c r="BY414" s="43">
        <v>349</v>
      </c>
      <c r="BZ414" s="43">
        <v>156</v>
      </c>
      <c r="CA414" s="43">
        <v>338</v>
      </c>
      <c r="CB414" s="43">
        <v>230</v>
      </c>
      <c r="CC414" s="43">
        <v>202</v>
      </c>
      <c r="CD414" s="43">
        <v>324</v>
      </c>
      <c r="CE414" s="43">
        <v>202</v>
      </c>
      <c r="CF414" s="43">
        <v>251</v>
      </c>
      <c r="CG414" s="43">
        <v>251</v>
      </c>
      <c r="CH414" s="43">
        <v>161</v>
      </c>
      <c r="CI414" s="43">
        <v>144</v>
      </c>
      <c r="CJ414" s="43">
        <v>285</v>
      </c>
      <c r="CK414" s="43">
        <v>261</v>
      </c>
      <c r="CL414" s="43">
        <v>181</v>
      </c>
      <c r="CM414" s="43">
        <v>323</v>
      </c>
      <c r="CN414" s="43">
        <v>335</v>
      </c>
      <c r="CO414" s="43">
        <v>179</v>
      </c>
      <c r="CP414" s="43">
        <v>258</v>
      </c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53"/>
      <c r="FZ414" s="53"/>
      <c r="GA414" s="53"/>
      <c r="GB414" s="53"/>
      <c r="GC414" s="53"/>
      <c r="GD414" s="53"/>
      <c r="GE414" s="53"/>
      <c r="GF414" s="53"/>
      <c r="GG414" s="43">
        <v>343</v>
      </c>
      <c r="GH414" s="43">
        <v>249</v>
      </c>
      <c r="GI414" s="43"/>
      <c r="GJ414" s="43"/>
      <c r="GK414" s="43"/>
      <c r="GL414" s="43"/>
      <c r="GM414" s="53"/>
      <c r="GN414" s="43"/>
      <c r="GO414" s="43">
        <v>350</v>
      </c>
      <c r="GP414" s="43">
        <v>233</v>
      </c>
      <c r="GQ414" s="43">
        <v>364</v>
      </c>
      <c r="GR414" s="43">
        <v>219</v>
      </c>
    </row>
    <row r="415" spans="1:200">
      <c r="A415" s="7">
        <v>6801</v>
      </c>
      <c r="B415" s="1" t="s">
        <v>543</v>
      </c>
      <c r="C415" s="33">
        <v>1150</v>
      </c>
      <c r="D415" s="34">
        <v>979</v>
      </c>
      <c r="E415" s="19">
        <f t="shared" si="6"/>
        <v>0.85130434782608699</v>
      </c>
      <c r="F415" s="62">
        <v>425</v>
      </c>
      <c r="G415" s="43">
        <v>0</v>
      </c>
      <c r="H415" s="43">
        <v>28</v>
      </c>
      <c r="I415" s="43">
        <v>6</v>
      </c>
      <c r="J415" s="55">
        <v>494</v>
      </c>
      <c r="K415" s="6">
        <v>0</v>
      </c>
      <c r="L415" s="6">
        <v>0</v>
      </c>
      <c r="M415" s="43">
        <v>2</v>
      </c>
      <c r="N415" s="25">
        <v>0</v>
      </c>
      <c r="O415" s="43">
        <v>0</v>
      </c>
      <c r="P415" s="43">
        <v>0</v>
      </c>
      <c r="Q415" s="43">
        <v>0</v>
      </c>
      <c r="R415" s="43">
        <v>0</v>
      </c>
      <c r="S415" s="43">
        <v>0</v>
      </c>
      <c r="T415" s="43">
        <v>0</v>
      </c>
      <c r="U415" s="43">
        <v>0</v>
      </c>
      <c r="V415" s="43">
        <v>0</v>
      </c>
      <c r="W415" s="43">
        <v>5</v>
      </c>
      <c r="X415" s="43">
        <v>0</v>
      </c>
      <c r="Y415" s="43">
        <v>0</v>
      </c>
      <c r="Z415" s="43">
        <v>0</v>
      </c>
      <c r="AA415" s="44">
        <v>0</v>
      </c>
      <c r="AB415" s="44">
        <v>0</v>
      </c>
      <c r="AC415" s="44">
        <v>2</v>
      </c>
      <c r="AD415" s="44">
        <v>12</v>
      </c>
      <c r="AE415" s="44">
        <v>623</v>
      </c>
      <c r="AF415" s="44">
        <v>6</v>
      </c>
      <c r="AG415" s="44">
        <v>0</v>
      </c>
      <c r="AH415" s="44">
        <v>315</v>
      </c>
      <c r="AI415" s="44">
        <v>601</v>
      </c>
      <c r="AJ415" s="44">
        <v>0</v>
      </c>
      <c r="AK415" s="44">
        <v>0</v>
      </c>
      <c r="AL415" s="44">
        <v>356</v>
      </c>
      <c r="AM415" s="48"/>
      <c r="AN415" s="48"/>
      <c r="AO415" s="48"/>
      <c r="AP415" s="44">
        <v>363</v>
      </c>
      <c r="AQ415" s="44">
        <v>552</v>
      </c>
      <c r="AR415" s="50"/>
      <c r="AS415" s="50"/>
      <c r="AT415" s="43">
        <v>596</v>
      </c>
      <c r="AU415" s="43">
        <v>342</v>
      </c>
      <c r="AV415" s="50"/>
      <c r="AW415" s="50"/>
      <c r="AX415" s="50"/>
      <c r="AY415" s="50"/>
      <c r="AZ415" s="50"/>
      <c r="BA415" s="50"/>
      <c r="BB415" s="50"/>
      <c r="BC415" s="50"/>
      <c r="BD415" s="50"/>
      <c r="BE415" s="43">
        <v>465</v>
      </c>
      <c r="BF415" s="43">
        <v>461</v>
      </c>
      <c r="BG415" s="43">
        <v>560</v>
      </c>
      <c r="BH415" s="43">
        <v>376</v>
      </c>
      <c r="BI415" s="43">
        <v>596</v>
      </c>
      <c r="BJ415" s="43">
        <v>332</v>
      </c>
      <c r="BK415" s="43">
        <v>414</v>
      </c>
      <c r="BL415" s="43">
        <v>516</v>
      </c>
      <c r="BM415" s="43">
        <v>454</v>
      </c>
      <c r="BN415" s="43">
        <v>467</v>
      </c>
      <c r="BO415" s="43">
        <v>378</v>
      </c>
      <c r="BP415" s="43">
        <v>534</v>
      </c>
      <c r="BQ415" s="43">
        <v>614</v>
      </c>
      <c r="BR415" s="43">
        <v>309</v>
      </c>
      <c r="BS415" s="43">
        <v>630</v>
      </c>
      <c r="BT415" s="43">
        <v>405</v>
      </c>
      <c r="BU415" s="43">
        <v>492</v>
      </c>
      <c r="BV415" s="43">
        <v>624</v>
      </c>
      <c r="BW415" s="43">
        <v>465</v>
      </c>
      <c r="BX415" s="43">
        <v>311</v>
      </c>
      <c r="BY415" s="43">
        <v>504</v>
      </c>
      <c r="BZ415" s="43">
        <v>332</v>
      </c>
      <c r="CA415" s="43">
        <v>552</v>
      </c>
      <c r="CB415" s="43">
        <v>438</v>
      </c>
      <c r="CC415" s="43">
        <v>319</v>
      </c>
      <c r="CD415" s="43">
        <v>558</v>
      </c>
      <c r="CE415" s="43">
        <v>322</v>
      </c>
      <c r="CF415" s="43">
        <v>457</v>
      </c>
      <c r="CG415" s="43">
        <v>448</v>
      </c>
      <c r="CH415" s="43">
        <v>284</v>
      </c>
      <c r="CI415" s="43">
        <v>218</v>
      </c>
      <c r="CJ415" s="43">
        <v>536</v>
      </c>
      <c r="CK415" s="43">
        <v>447</v>
      </c>
      <c r="CL415" s="43">
        <v>304</v>
      </c>
      <c r="CM415" s="43">
        <v>515</v>
      </c>
      <c r="CN415" s="43">
        <v>531</v>
      </c>
      <c r="CO415" s="43">
        <v>274</v>
      </c>
      <c r="CP415" s="43">
        <v>472</v>
      </c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43">
        <v>561</v>
      </c>
      <c r="DN415" s="43">
        <v>308</v>
      </c>
      <c r="DO415" s="43">
        <v>812</v>
      </c>
      <c r="DP415" s="43">
        <v>87</v>
      </c>
      <c r="DQ415" s="43">
        <v>714</v>
      </c>
      <c r="DR415" s="43">
        <v>161</v>
      </c>
      <c r="DS415" s="43">
        <v>704</v>
      </c>
      <c r="DT415" s="43">
        <v>167</v>
      </c>
      <c r="DU415" s="43">
        <v>705</v>
      </c>
      <c r="DV415" s="43">
        <v>148</v>
      </c>
      <c r="DW415" s="43">
        <v>476</v>
      </c>
      <c r="DX415" s="43">
        <v>404</v>
      </c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53"/>
      <c r="FZ415" s="53"/>
      <c r="GA415" s="53"/>
      <c r="GB415" s="53"/>
      <c r="GC415" s="53"/>
      <c r="GD415" s="53"/>
      <c r="GE415" s="53"/>
      <c r="GF415" s="53"/>
      <c r="GG415" s="53"/>
      <c r="GH415" s="53"/>
      <c r="GI415" s="43"/>
      <c r="GJ415" s="43"/>
      <c r="GK415" s="43"/>
      <c r="GL415" s="43"/>
      <c r="GM415" s="53"/>
      <c r="GN415" s="53"/>
      <c r="GO415" s="43">
        <v>666</v>
      </c>
      <c r="GP415" s="43">
        <v>277</v>
      </c>
      <c r="GQ415" s="43">
        <v>687</v>
      </c>
      <c r="GR415" s="43">
        <v>253</v>
      </c>
    </row>
    <row r="416" spans="1:200">
      <c r="A416" s="7">
        <v>6802</v>
      </c>
      <c r="B416" s="1" t="s">
        <v>544</v>
      </c>
      <c r="C416" s="33">
        <v>949</v>
      </c>
      <c r="D416" s="34">
        <v>789</v>
      </c>
      <c r="E416" s="19">
        <f t="shared" si="6"/>
        <v>0.83140147523709163</v>
      </c>
      <c r="F416" s="62">
        <v>224</v>
      </c>
      <c r="G416" s="43">
        <v>5</v>
      </c>
      <c r="H416" s="43">
        <v>21</v>
      </c>
      <c r="I416" s="43">
        <v>8</v>
      </c>
      <c r="J416" s="55">
        <v>512</v>
      </c>
      <c r="K416" s="6">
        <v>0</v>
      </c>
      <c r="L416" s="6">
        <v>0</v>
      </c>
      <c r="M416" s="43">
        <v>1</v>
      </c>
      <c r="N416" s="25">
        <v>0</v>
      </c>
      <c r="O416" s="43">
        <v>0</v>
      </c>
      <c r="P416" s="43">
        <v>0</v>
      </c>
      <c r="Q416" s="43">
        <v>0</v>
      </c>
      <c r="R416" s="43">
        <v>0</v>
      </c>
      <c r="S416" s="43">
        <v>0</v>
      </c>
      <c r="T416" s="43">
        <v>0</v>
      </c>
      <c r="U416" s="43">
        <v>0</v>
      </c>
      <c r="V416" s="43">
        <v>0</v>
      </c>
      <c r="W416" s="43">
        <v>8</v>
      </c>
      <c r="X416" s="43">
        <v>0</v>
      </c>
      <c r="Y416" s="43">
        <v>0</v>
      </c>
      <c r="Z416" s="43">
        <v>0</v>
      </c>
      <c r="AA416" s="44">
        <v>0</v>
      </c>
      <c r="AB416" s="44">
        <v>0</v>
      </c>
      <c r="AC416" s="44">
        <v>7</v>
      </c>
      <c r="AD416" s="44">
        <v>7</v>
      </c>
      <c r="AE416" s="44">
        <v>607</v>
      </c>
      <c r="AF416" s="44">
        <v>7</v>
      </c>
      <c r="AG416" s="44">
        <v>0</v>
      </c>
      <c r="AH416" s="44">
        <v>142</v>
      </c>
      <c r="AI416" s="44">
        <v>602</v>
      </c>
      <c r="AJ416" s="44">
        <v>0</v>
      </c>
      <c r="AK416" s="44">
        <v>0</v>
      </c>
      <c r="AL416" s="44">
        <v>165</v>
      </c>
      <c r="AM416" s="48"/>
      <c r="AN416" s="48"/>
      <c r="AO416" s="48"/>
      <c r="AP416" s="44">
        <v>177</v>
      </c>
      <c r="AQ416" s="44">
        <v>541</v>
      </c>
      <c r="AR416" s="50"/>
      <c r="AS416" s="50"/>
      <c r="AT416" s="43">
        <v>592</v>
      </c>
      <c r="AU416" s="43">
        <v>153</v>
      </c>
      <c r="AV416" s="50"/>
      <c r="AW416" s="50"/>
      <c r="AX416" s="50"/>
      <c r="AY416" s="50"/>
      <c r="AZ416" s="50"/>
      <c r="BA416" s="50"/>
      <c r="BB416" s="50"/>
      <c r="BC416" s="50"/>
      <c r="BD416" s="50"/>
      <c r="BE416" s="43">
        <v>489</v>
      </c>
      <c r="BF416" s="43">
        <v>253</v>
      </c>
      <c r="BG416" s="43">
        <v>557</v>
      </c>
      <c r="BH416" s="43">
        <v>192</v>
      </c>
      <c r="BI416" s="43">
        <v>586</v>
      </c>
      <c r="BJ416" s="43">
        <v>152</v>
      </c>
      <c r="BK416" s="43">
        <v>225</v>
      </c>
      <c r="BL416" s="43">
        <v>516</v>
      </c>
      <c r="BM416" s="43">
        <v>462</v>
      </c>
      <c r="BN416" s="43">
        <v>262</v>
      </c>
      <c r="BO416" s="43">
        <v>190</v>
      </c>
      <c r="BP416" s="43">
        <v>538</v>
      </c>
      <c r="BQ416" s="43">
        <v>587</v>
      </c>
      <c r="BR416" s="43">
        <v>144</v>
      </c>
      <c r="BS416" s="43">
        <v>580</v>
      </c>
      <c r="BT416" s="43">
        <v>421</v>
      </c>
      <c r="BU416" s="43">
        <v>287</v>
      </c>
      <c r="BV416" s="43">
        <v>546</v>
      </c>
      <c r="BW416" s="43">
        <v>430</v>
      </c>
      <c r="BX416" s="43">
        <v>191</v>
      </c>
      <c r="BY416" s="43">
        <v>504</v>
      </c>
      <c r="BZ416" s="43">
        <v>170</v>
      </c>
      <c r="CA416" s="43">
        <v>488</v>
      </c>
      <c r="CB416" s="43">
        <v>443</v>
      </c>
      <c r="CC416" s="43">
        <v>161</v>
      </c>
      <c r="CD416" s="43">
        <v>420</v>
      </c>
      <c r="CE416" s="43">
        <v>171</v>
      </c>
      <c r="CF416" s="43">
        <v>446</v>
      </c>
      <c r="CG416" s="43">
        <v>427</v>
      </c>
      <c r="CH416" s="43">
        <v>142</v>
      </c>
      <c r="CI416" s="43">
        <v>124</v>
      </c>
      <c r="CJ416" s="43">
        <v>472</v>
      </c>
      <c r="CK416" s="43">
        <v>397</v>
      </c>
      <c r="CL416" s="43">
        <v>201</v>
      </c>
      <c r="CM416" s="43">
        <v>459</v>
      </c>
      <c r="CN416" s="43">
        <v>453</v>
      </c>
      <c r="CO416" s="43">
        <v>192</v>
      </c>
      <c r="CP416" s="43">
        <v>393</v>
      </c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43">
        <v>454</v>
      </c>
      <c r="DN416" s="43">
        <v>260</v>
      </c>
      <c r="DO416" s="43">
        <v>631</v>
      </c>
      <c r="DP416" s="43">
        <v>93</v>
      </c>
      <c r="DQ416" s="43">
        <v>554</v>
      </c>
      <c r="DR416" s="43">
        <v>144</v>
      </c>
      <c r="DS416" s="43">
        <v>565</v>
      </c>
      <c r="DT416" s="43">
        <v>136</v>
      </c>
      <c r="DU416" s="43">
        <v>565</v>
      </c>
      <c r="DV416" s="43">
        <v>127</v>
      </c>
      <c r="DW416" s="43">
        <v>368</v>
      </c>
      <c r="DX416" s="43">
        <v>333</v>
      </c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53"/>
      <c r="FZ416" s="53"/>
      <c r="GA416" s="53"/>
      <c r="GB416" s="53"/>
      <c r="GC416" s="53"/>
      <c r="GD416" s="53"/>
      <c r="GE416" s="53"/>
      <c r="GF416" s="53"/>
      <c r="GG416" s="53"/>
      <c r="GH416" s="53"/>
      <c r="GI416" s="43"/>
      <c r="GJ416" s="43"/>
      <c r="GK416" s="43"/>
      <c r="GL416" s="43"/>
      <c r="GM416" s="53"/>
      <c r="GN416" s="53"/>
      <c r="GO416" s="43">
        <v>524</v>
      </c>
      <c r="GP416" s="43">
        <v>236</v>
      </c>
      <c r="GQ416" s="43">
        <v>525</v>
      </c>
      <c r="GR416" s="43">
        <v>235</v>
      </c>
    </row>
    <row r="417" spans="1:200">
      <c r="A417" s="7">
        <v>6803</v>
      </c>
      <c r="B417" s="1" t="s">
        <v>545</v>
      </c>
      <c r="C417" s="33">
        <v>241</v>
      </c>
      <c r="D417" s="34">
        <v>196</v>
      </c>
      <c r="E417" s="19">
        <f t="shared" si="6"/>
        <v>0.81327800829875518</v>
      </c>
      <c r="F417" s="62">
        <v>103</v>
      </c>
      <c r="G417" s="43">
        <v>0</v>
      </c>
      <c r="H417" s="43">
        <v>10</v>
      </c>
      <c r="I417" s="43">
        <v>1</v>
      </c>
      <c r="J417" s="55">
        <v>73</v>
      </c>
      <c r="K417" s="6">
        <v>0</v>
      </c>
      <c r="L417" s="6">
        <v>0</v>
      </c>
      <c r="M417" s="43">
        <v>0</v>
      </c>
      <c r="N417" s="25">
        <v>0</v>
      </c>
      <c r="O417" s="43">
        <v>0</v>
      </c>
      <c r="P417" s="43">
        <v>0</v>
      </c>
      <c r="Q417" s="43">
        <v>0</v>
      </c>
      <c r="R417" s="43">
        <v>0</v>
      </c>
      <c r="S417" s="43">
        <v>0</v>
      </c>
      <c r="T417" s="43">
        <v>0</v>
      </c>
      <c r="U417" s="43">
        <v>0</v>
      </c>
      <c r="V417" s="43">
        <v>0</v>
      </c>
      <c r="W417" s="43">
        <v>0</v>
      </c>
      <c r="X417" s="43">
        <v>0</v>
      </c>
      <c r="Y417" s="43">
        <v>0</v>
      </c>
      <c r="Z417" s="43">
        <v>0</v>
      </c>
      <c r="AA417" s="44">
        <v>0</v>
      </c>
      <c r="AB417" s="44">
        <v>0</v>
      </c>
      <c r="AC417" s="44">
        <v>2</v>
      </c>
      <c r="AD417" s="44">
        <v>3</v>
      </c>
      <c r="AE417" s="44">
        <v>123</v>
      </c>
      <c r="AF417" s="44">
        <v>0</v>
      </c>
      <c r="AG417" s="44">
        <v>0</v>
      </c>
      <c r="AH417" s="44">
        <v>67</v>
      </c>
      <c r="AI417" s="44">
        <v>103</v>
      </c>
      <c r="AJ417" s="44">
        <v>0</v>
      </c>
      <c r="AK417" s="44">
        <v>0</v>
      </c>
      <c r="AL417" s="44">
        <v>88</v>
      </c>
      <c r="AM417" s="48"/>
      <c r="AN417" s="48"/>
      <c r="AO417" s="48"/>
      <c r="AP417" s="44">
        <v>84</v>
      </c>
      <c r="AQ417" s="44">
        <v>93</v>
      </c>
      <c r="AR417" s="50"/>
      <c r="AS417" s="50"/>
      <c r="AT417" s="43">
        <v>105</v>
      </c>
      <c r="AU417" s="43">
        <v>76</v>
      </c>
      <c r="AV417" s="50"/>
      <c r="AW417" s="50"/>
      <c r="AX417" s="50"/>
      <c r="AY417" s="50"/>
      <c r="AZ417" s="50"/>
      <c r="BA417" s="50"/>
      <c r="BB417" s="50"/>
      <c r="BC417" s="50"/>
      <c r="BD417" s="50"/>
      <c r="BE417" s="43">
        <v>85</v>
      </c>
      <c r="BF417" s="43">
        <v>99</v>
      </c>
      <c r="BG417" s="43">
        <v>97</v>
      </c>
      <c r="BH417" s="43">
        <v>88</v>
      </c>
      <c r="BI417" s="43">
        <v>110</v>
      </c>
      <c r="BJ417" s="43">
        <v>67</v>
      </c>
      <c r="BK417" s="43">
        <v>90</v>
      </c>
      <c r="BL417" s="43">
        <v>85</v>
      </c>
      <c r="BM417" s="43">
        <v>80</v>
      </c>
      <c r="BN417" s="43">
        <v>93</v>
      </c>
      <c r="BO417" s="43">
        <v>85</v>
      </c>
      <c r="BP417" s="43">
        <v>88</v>
      </c>
      <c r="BQ417" s="43">
        <v>109</v>
      </c>
      <c r="BR417" s="43">
        <v>65</v>
      </c>
      <c r="BS417" s="43">
        <v>115</v>
      </c>
      <c r="BT417" s="43">
        <v>64</v>
      </c>
      <c r="BU417" s="43">
        <v>107</v>
      </c>
      <c r="BV417" s="43">
        <v>119</v>
      </c>
      <c r="BW417" s="43">
        <v>81</v>
      </c>
      <c r="BX417" s="43">
        <v>62</v>
      </c>
      <c r="BY417" s="43">
        <v>80</v>
      </c>
      <c r="BZ417" s="43">
        <v>74</v>
      </c>
      <c r="CA417" s="43">
        <v>109</v>
      </c>
      <c r="CB417" s="43">
        <v>95</v>
      </c>
      <c r="CC417" s="43">
        <v>58</v>
      </c>
      <c r="CD417" s="43">
        <v>98</v>
      </c>
      <c r="CE417" s="43">
        <v>65</v>
      </c>
      <c r="CF417" s="43">
        <v>82</v>
      </c>
      <c r="CG417" s="43">
        <v>82</v>
      </c>
      <c r="CH417" s="43">
        <v>58</v>
      </c>
      <c r="CI417" s="43">
        <v>40</v>
      </c>
      <c r="CJ417" s="43">
        <v>95</v>
      </c>
      <c r="CK417" s="43">
        <v>79</v>
      </c>
      <c r="CL417" s="43">
        <v>64</v>
      </c>
      <c r="CM417" s="43">
        <v>96</v>
      </c>
      <c r="CN417" s="43">
        <v>96</v>
      </c>
      <c r="CO417" s="43">
        <v>49</v>
      </c>
      <c r="CP417" s="43">
        <v>91</v>
      </c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43">
        <v>121</v>
      </c>
      <c r="DN417" s="43">
        <v>44</v>
      </c>
      <c r="DO417" s="43">
        <v>153</v>
      </c>
      <c r="DP417" s="43">
        <v>12</v>
      </c>
      <c r="DQ417" s="43">
        <v>139</v>
      </c>
      <c r="DR417" s="43">
        <v>24</v>
      </c>
      <c r="DS417" s="43">
        <v>140</v>
      </c>
      <c r="DT417" s="43">
        <v>21</v>
      </c>
      <c r="DU417" s="43">
        <v>128</v>
      </c>
      <c r="DV417" s="43">
        <v>25</v>
      </c>
      <c r="DW417" s="43">
        <v>103</v>
      </c>
      <c r="DX417" s="43">
        <v>54</v>
      </c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53"/>
      <c r="FZ417" s="53"/>
      <c r="GA417" s="53"/>
      <c r="GB417" s="53"/>
      <c r="GC417" s="53"/>
      <c r="GD417" s="53"/>
      <c r="GE417" s="53"/>
      <c r="GF417" s="53"/>
      <c r="GG417" s="53"/>
      <c r="GH417" s="53"/>
      <c r="GI417" s="43">
        <v>141</v>
      </c>
      <c r="GJ417" s="43">
        <v>50</v>
      </c>
      <c r="GK417" s="43"/>
      <c r="GL417" s="43"/>
      <c r="GM417" s="53"/>
      <c r="GN417" s="53"/>
      <c r="GO417" s="43">
        <v>153</v>
      </c>
      <c r="GP417" s="43">
        <v>31</v>
      </c>
      <c r="GQ417" s="43">
        <v>151</v>
      </c>
      <c r="GR417" s="43">
        <v>34</v>
      </c>
    </row>
    <row r="418" spans="1:200">
      <c r="A418" s="7">
        <v>6901</v>
      </c>
      <c r="B418" s="1" t="s">
        <v>546</v>
      </c>
      <c r="C418" s="33">
        <v>1235</v>
      </c>
      <c r="D418" s="34">
        <v>927</v>
      </c>
      <c r="E418" s="19">
        <f t="shared" si="6"/>
        <v>0.75060728744939276</v>
      </c>
      <c r="F418" s="62">
        <v>357</v>
      </c>
      <c r="G418" s="43">
        <v>2</v>
      </c>
      <c r="H418" s="43">
        <v>35</v>
      </c>
      <c r="I418" s="43">
        <v>10</v>
      </c>
      <c r="J418" s="55">
        <v>496</v>
      </c>
      <c r="K418" s="6">
        <v>0</v>
      </c>
      <c r="L418" s="6">
        <v>0</v>
      </c>
      <c r="M418" s="43">
        <v>0</v>
      </c>
      <c r="N418" s="25">
        <v>0</v>
      </c>
      <c r="O418" s="43">
        <v>0</v>
      </c>
      <c r="P418" s="43">
        <v>0</v>
      </c>
      <c r="Q418" s="43">
        <v>0</v>
      </c>
      <c r="R418" s="43">
        <v>0</v>
      </c>
      <c r="S418" s="43">
        <v>0</v>
      </c>
      <c r="T418" s="43">
        <v>0</v>
      </c>
      <c r="U418" s="43">
        <v>0</v>
      </c>
      <c r="V418" s="43">
        <v>0</v>
      </c>
      <c r="W418" s="43">
        <v>4</v>
      </c>
      <c r="X418" s="43">
        <v>0</v>
      </c>
      <c r="Y418" s="43">
        <v>0</v>
      </c>
      <c r="Z418" s="43">
        <v>0</v>
      </c>
      <c r="AA418" s="44">
        <v>0</v>
      </c>
      <c r="AB418" s="44">
        <v>0</v>
      </c>
      <c r="AC418" s="44">
        <v>10</v>
      </c>
      <c r="AD418" s="44">
        <v>16</v>
      </c>
      <c r="AE418" s="44">
        <v>590</v>
      </c>
      <c r="AF418" s="44">
        <v>9</v>
      </c>
      <c r="AG418" s="44">
        <v>0</v>
      </c>
      <c r="AH418" s="44">
        <v>261</v>
      </c>
      <c r="AI418" s="32"/>
      <c r="AJ418" s="32"/>
      <c r="AK418" s="32"/>
      <c r="AL418" s="32"/>
      <c r="AM418" s="44">
        <v>38</v>
      </c>
      <c r="AN418" s="44">
        <v>267</v>
      </c>
      <c r="AO418" s="44">
        <v>548</v>
      </c>
      <c r="AP418" s="44"/>
      <c r="AQ418" s="44"/>
      <c r="AR418" s="43">
        <v>548</v>
      </c>
      <c r="AS418" s="43">
        <v>290</v>
      </c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43">
        <v>424</v>
      </c>
      <c r="BF418" s="43">
        <v>411</v>
      </c>
      <c r="BG418" s="43">
        <v>523</v>
      </c>
      <c r="BH418" s="43">
        <v>326</v>
      </c>
      <c r="BI418" s="43">
        <v>542</v>
      </c>
      <c r="BJ418" s="43">
        <v>298</v>
      </c>
      <c r="BK418" s="43">
        <v>382</v>
      </c>
      <c r="BL418" s="43">
        <v>459</v>
      </c>
      <c r="BM418" s="43">
        <v>375</v>
      </c>
      <c r="BN418" s="43">
        <v>460</v>
      </c>
      <c r="BO418" s="43">
        <v>312</v>
      </c>
      <c r="BP418" s="43">
        <v>503</v>
      </c>
      <c r="BQ418" s="43">
        <v>541</v>
      </c>
      <c r="BR418" s="43">
        <v>274</v>
      </c>
      <c r="BS418" s="43">
        <v>576</v>
      </c>
      <c r="BT418" s="43">
        <v>379</v>
      </c>
      <c r="BU418" s="43">
        <v>445</v>
      </c>
      <c r="BV418" s="43">
        <v>549</v>
      </c>
      <c r="BW418" s="43">
        <v>366</v>
      </c>
      <c r="BX418" s="43">
        <v>288</v>
      </c>
      <c r="BY418" s="43">
        <v>454</v>
      </c>
      <c r="BZ418" s="43">
        <v>272</v>
      </c>
      <c r="CA418" s="43">
        <v>492</v>
      </c>
      <c r="CB418" s="43">
        <v>394</v>
      </c>
      <c r="CC418" s="43">
        <v>269</v>
      </c>
      <c r="CD418" s="43">
        <v>494</v>
      </c>
      <c r="CE418" s="43">
        <v>311</v>
      </c>
      <c r="CF418" s="43">
        <v>353</v>
      </c>
      <c r="CG418" s="43">
        <v>387</v>
      </c>
      <c r="CH418" s="43">
        <v>246</v>
      </c>
      <c r="CI418" s="43">
        <v>186</v>
      </c>
      <c r="CJ418" s="43">
        <v>464</v>
      </c>
      <c r="CK418" s="43">
        <v>342</v>
      </c>
      <c r="CL418" s="43">
        <v>291</v>
      </c>
      <c r="CM418" s="43">
        <v>476</v>
      </c>
      <c r="CN418" s="43">
        <v>473</v>
      </c>
      <c r="CO418" s="43">
        <v>262</v>
      </c>
      <c r="CP418" s="43">
        <v>384</v>
      </c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43">
        <v>448</v>
      </c>
      <c r="DZ418" s="43">
        <v>427</v>
      </c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43">
        <v>0</v>
      </c>
      <c r="FZ418" s="43">
        <v>0</v>
      </c>
      <c r="GA418" s="53"/>
      <c r="GB418" s="53"/>
      <c r="GC418" s="53"/>
      <c r="GD418" s="53"/>
      <c r="GE418" s="53"/>
      <c r="GF418" s="53"/>
      <c r="GG418" s="53"/>
      <c r="GH418" s="53"/>
      <c r="GI418" s="43"/>
      <c r="GJ418" s="43"/>
      <c r="GK418" s="43"/>
      <c r="GL418" s="43"/>
      <c r="GM418" s="53"/>
      <c r="GN418" s="53"/>
      <c r="GO418" s="43">
        <v>599</v>
      </c>
      <c r="GP418" s="43">
        <v>287</v>
      </c>
      <c r="GQ418" s="43">
        <v>576</v>
      </c>
      <c r="GR418" s="43">
        <v>303</v>
      </c>
    </row>
    <row r="419" spans="1:200">
      <c r="A419" s="7">
        <v>7001</v>
      </c>
      <c r="B419" s="1" t="s">
        <v>547</v>
      </c>
      <c r="C419" s="33">
        <v>887</v>
      </c>
      <c r="D419" s="34">
        <v>740</v>
      </c>
      <c r="E419" s="19">
        <f t="shared" si="6"/>
        <v>0.8342728297632469</v>
      </c>
      <c r="F419" s="62">
        <v>315</v>
      </c>
      <c r="G419" s="43">
        <v>4</v>
      </c>
      <c r="H419" s="43">
        <v>22</v>
      </c>
      <c r="I419" s="43">
        <v>7</v>
      </c>
      <c r="J419" s="55">
        <v>373</v>
      </c>
      <c r="K419" s="6">
        <v>0</v>
      </c>
      <c r="L419" s="6">
        <v>0</v>
      </c>
      <c r="M419" s="43">
        <v>0</v>
      </c>
      <c r="N419" s="25">
        <v>0</v>
      </c>
      <c r="O419" s="43">
        <v>0</v>
      </c>
      <c r="P419" s="43">
        <v>0</v>
      </c>
      <c r="Q419" s="43">
        <v>0</v>
      </c>
      <c r="R419" s="43">
        <v>0</v>
      </c>
      <c r="S419" s="43">
        <v>0</v>
      </c>
      <c r="T419" s="43">
        <v>0</v>
      </c>
      <c r="U419" s="43">
        <v>0</v>
      </c>
      <c r="V419" s="43">
        <v>0</v>
      </c>
      <c r="W419" s="43">
        <v>5</v>
      </c>
      <c r="X419" s="43">
        <v>0</v>
      </c>
      <c r="Y419" s="43">
        <v>0</v>
      </c>
      <c r="Z419" s="43">
        <v>0</v>
      </c>
      <c r="AA419" s="44">
        <v>0</v>
      </c>
      <c r="AB419" s="44">
        <v>0</v>
      </c>
      <c r="AC419" s="44">
        <v>9</v>
      </c>
      <c r="AD419" s="44">
        <v>10</v>
      </c>
      <c r="AE419" s="44">
        <v>456</v>
      </c>
      <c r="AF419" s="44">
        <v>7</v>
      </c>
      <c r="AG419" s="44">
        <v>0</v>
      </c>
      <c r="AH419" s="44">
        <v>237</v>
      </c>
      <c r="AI419" s="44">
        <v>439</v>
      </c>
      <c r="AJ419" s="44">
        <v>0</v>
      </c>
      <c r="AK419" s="44">
        <v>0</v>
      </c>
      <c r="AL419" s="44">
        <v>274</v>
      </c>
      <c r="AM419" s="48"/>
      <c r="AN419" s="48"/>
      <c r="AO419" s="48"/>
      <c r="AP419" s="44">
        <v>270</v>
      </c>
      <c r="AQ419" s="44">
        <v>419</v>
      </c>
      <c r="AR419" s="50"/>
      <c r="AS419" s="50"/>
      <c r="AT419" s="43">
        <v>441</v>
      </c>
      <c r="AU419" s="43">
        <v>258</v>
      </c>
      <c r="AV419" s="50"/>
      <c r="AW419" s="50"/>
      <c r="AX419" s="50"/>
      <c r="AY419" s="50"/>
      <c r="AZ419" s="50"/>
      <c r="BA419" s="50"/>
      <c r="BB419" s="50"/>
      <c r="BC419" s="50"/>
      <c r="BD419" s="50"/>
      <c r="BE419" s="43">
        <v>354</v>
      </c>
      <c r="BF419" s="43">
        <v>340</v>
      </c>
      <c r="BG419" s="43">
        <v>423</v>
      </c>
      <c r="BH419" s="43">
        <v>278</v>
      </c>
      <c r="BI419" s="43">
        <v>441</v>
      </c>
      <c r="BJ419" s="43">
        <v>250</v>
      </c>
      <c r="BK419" s="43">
        <v>312</v>
      </c>
      <c r="BL419" s="43">
        <v>384</v>
      </c>
      <c r="BM419" s="43">
        <v>354</v>
      </c>
      <c r="BN419" s="43">
        <v>328</v>
      </c>
      <c r="BO419" s="43">
        <v>282</v>
      </c>
      <c r="BP419" s="43">
        <v>401</v>
      </c>
      <c r="BQ419" s="43">
        <v>452</v>
      </c>
      <c r="BR419" s="43">
        <v>234</v>
      </c>
      <c r="BS419" s="43">
        <v>510</v>
      </c>
      <c r="BT419" s="43">
        <v>322</v>
      </c>
      <c r="BU419" s="43">
        <v>348</v>
      </c>
      <c r="BV419" s="43">
        <v>480</v>
      </c>
      <c r="BW419" s="43">
        <v>316</v>
      </c>
      <c r="BX419" s="43">
        <v>244</v>
      </c>
      <c r="BY419" s="43">
        <v>360</v>
      </c>
      <c r="BZ419" s="43">
        <v>253</v>
      </c>
      <c r="CA419" s="43">
        <v>427</v>
      </c>
      <c r="CB419" s="43">
        <v>288</v>
      </c>
      <c r="CC419" s="43">
        <v>246</v>
      </c>
      <c r="CD419" s="43">
        <v>404</v>
      </c>
      <c r="CE419" s="43">
        <v>258</v>
      </c>
      <c r="CF419" s="43">
        <v>321</v>
      </c>
      <c r="CG419" s="43">
        <v>284</v>
      </c>
      <c r="CH419" s="43">
        <v>317</v>
      </c>
      <c r="CI419" s="43">
        <v>164</v>
      </c>
      <c r="CJ419" s="43">
        <v>388</v>
      </c>
      <c r="CK419" s="43">
        <v>300</v>
      </c>
      <c r="CL419" s="43">
        <v>244</v>
      </c>
      <c r="CM419" s="43">
        <v>404</v>
      </c>
      <c r="CN419" s="43">
        <v>408</v>
      </c>
      <c r="CO419" s="43">
        <v>226</v>
      </c>
      <c r="CP419" s="43">
        <v>315</v>
      </c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43">
        <v>505</v>
      </c>
      <c r="EB419" s="43">
        <v>205</v>
      </c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53"/>
      <c r="FZ419" s="53"/>
      <c r="GA419" s="53"/>
      <c r="GB419" s="53"/>
      <c r="GC419" s="53"/>
      <c r="GD419" s="53"/>
      <c r="GE419" s="53"/>
      <c r="GF419" s="53"/>
      <c r="GG419" s="53"/>
      <c r="GH419" s="53"/>
      <c r="GI419" s="43"/>
      <c r="GJ419" s="43"/>
      <c r="GK419" s="43"/>
      <c r="GL419" s="43"/>
      <c r="GM419" s="53"/>
      <c r="GN419" s="53"/>
      <c r="GO419" s="43">
        <v>528</v>
      </c>
      <c r="GP419" s="43">
        <v>193</v>
      </c>
      <c r="GQ419" s="43">
        <v>533</v>
      </c>
      <c r="GR419" s="43">
        <v>183</v>
      </c>
    </row>
    <row r="420" spans="1:200">
      <c r="A420" s="7">
        <v>7002</v>
      </c>
      <c r="B420" s="1" t="s">
        <v>548</v>
      </c>
      <c r="C420" s="33">
        <v>1030</v>
      </c>
      <c r="D420" s="34">
        <v>873</v>
      </c>
      <c r="E420" s="19">
        <f t="shared" si="6"/>
        <v>0.84757281553398056</v>
      </c>
      <c r="F420" s="62">
        <v>419</v>
      </c>
      <c r="G420" s="43">
        <v>3</v>
      </c>
      <c r="H420" s="43">
        <v>21</v>
      </c>
      <c r="I420" s="43">
        <v>2</v>
      </c>
      <c r="J420" s="55">
        <v>407</v>
      </c>
      <c r="K420" s="6">
        <v>0</v>
      </c>
      <c r="L420" s="6">
        <v>0</v>
      </c>
      <c r="M420" s="43">
        <v>0</v>
      </c>
      <c r="N420" s="25">
        <v>0</v>
      </c>
      <c r="O420" s="43">
        <v>0</v>
      </c>
      <c r="P420" s="43">
        <v>0</v>
      </c>
      <c r="Q420" s="43">
        <v>0</v>
      </c>
      <c r="R420" s="43">
        <v>0</v>
      </c>
      <c r="S420" s="43">
        <v>0</v>
      </c>
      <c r="T420" s="43">
        <v>0</v>
      </c>
      <c r="U420" s="43">
        <v>0</v>
      </c>
      <c r="V420" s="43">
        <v>0</v>
      </c>
      <c r="W420" s="43">
        <v>6</v>
      </c>
      <c r="X420" s="43">
        <v>0</v>
      </c>
      <c r="Y420" s="43">
        <v>0</v>
      </c>
      <c r="Z420" s="43">
        <v>0</v>
      </c>
      <c r="AA420" s="44">
        <v>0</v>
      </c>
      <c r="AB420" s="44">
        <v>0</v>
      </c>
      <c r="AC420" s="44">
        <v>5</v>
      </c>
      <c r="AD420" s="44">
        <v>15</v>
      </c>
      <c r="AE420" s="44">
        <v>514</v>
      </c>
      <c r="AF420" s="44">
        <v>8</v>
      </c>
      <c r="AG420" s="44">
        <v>0</v>
      </c>
      <c r="AH420" s="44">
        <v>314</v>
      </c>
      <c r="AI420" s="44">
        <v>478</v>
      </c>
      <c r="AJ420" s="44">
        <v>0</v>
      </c>
      <c r="AK420" s="44">
        <v>0</v>
      </c>
      <c r="AL420" s="44">
        <v>369</v>
      </c>
      <c r="AM420" s="48"/>
      <c r="AN420" s="48"/>
      <c r="AO420" s="48"/>
      <c r="AP420" s="44">
        <v>358</v>
      </c>
      <c r="AQ420" s="44">
        <v>448</v>
      </c>
      <c r="AR420" s="50"/>
      <c r="AS420" s="50"/>
      <c r="AT420" s="43">
        <v>479</v>
      </c>
      <c r="AU420" s="43">
        <v>348</v>
      </c>
      <c r="AV420" s="50"/>
      <c r="AW420" s="50"/>
      <c r="AX420" s="50"/>
      <c r="AY420" s="50"/>
      <c r="AZ420" s="50"/>
      <c r="BA420" s="50"/>
      <c r="BB420" s="50"/>
      <c r="BC420" s="50"/>
      <c r="BD420" s="50"/>
      <c r="BE420" s="43">
        <v>416</v>
      </c>
      <c r="BF420" s="43">
        <v>420</v>
      </c>
      <c r="BG420" s="43">
        <v>468</v>
      </c>
      <c r="BH420" s="43">
        <v>374</v>
      </c>
      <c r="BI420" s="43">
        <v>506</v>
      </c>
      <c r="BJ420" s="43">
        <v>315</v>
      </c>
      <c r="BK420" s="43">
        <v>383</v>
      </c>
      <c r="BL420" s="43">
        <v>452</v>
      </c>
      <c r="BM420" s="43">
        <v>399</v>
      </c>
      <c r="BN420" s="43">
        <v>425</v>
      </c>
      <c r="BO420" s="43">
        <v>377</v>
      </c>
      <c r="BP420" s="43">
        <v>438</v>
      </c>
      <c r="BQ420" s="43">
        <v>520</v>
      </c>
      <c r="BR420" s="43">
        <v>309</v>
      </c>
      <c r="BS420" s="43">
        <v>578</v>
      </c>
      <c r="BT420" s="43">
        <v>368</v>
      </c>
      <c r="BU420" s="43">
        <v>450</v>
      </c>
      <c r="BV420" s="43">
        <v>551</v>
      </c>
      <c r="BW420" s="43">
        <v>396</v>
      </c>
      <c r="BX420" s="43">
        <v>294</v>
      </c>
      <c r="BY420" s="43">
        <v>432</v>
      </c>
      <c r="BZ420" s="43">
        <v>319</v>
      </c>
      <c r="CA420" s="43">
        <v>497</v>
      </c>
      <c r="CB420" s="43">
        <v>335</v>
      </c>
      <c r="CC420" s="43">
        <v>331</v>
      </c>
      <c r="CD420" s="43">
        <v>508</v>
      </c>
      <c r="CE420" s="43">
        <v>327</v>
      </c>
      <c r="CF420" s="43">
        <v>361</v>
      </c>
      <c r="CG420" s="43">
        <v>329</v>
      </c>
      <c r="CH420" s="43">
        <v>380</v>
      </c>
      <c r="CI420" s="43">
        <v>214</v>
      </c>
      <c r="CJ420" s="43">
        <v>448</v>
      </c>
      <c r="CK420" s="43">
        <v>365</v>
      </c>
      <c r="CL420" s="43">
        <v>291</v>
      </c>
      <c r="CM420" s="43">
        <v>472</v>
      </c>
      <c r="CN420" s="43">
        <v>472</v>
      </c>
      <c r="CO420" s="43">
        <v>269</v>
      </c>
      <c r="CP420" s="43">
        <v>382</v>
      </c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43">
        <v>585</v>
      </c>
      <c r="EB420" s="43">
        <v>256</v>
      </c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53"/>
      <c r="FZ420" s="53"/>
      <c r="GA420" s="53"/>
      <c r="GB420" s="53"/>
      <c r="GC420" s="53"/>
      <c r="GD420" s="53"/>
      <c r="GE420" s="53"/>
      <c r="GF420" s="53"/>
      <c r="GG420" s="53"/>
      <c r="GH420" s="53"/>
      <c r="GI420" s="43"/>
      <c r="GJ420" s="43"/>
      <c r="GK420" s="43"/>
      <c r="GL420" s="43"/>
      <c r="GM420" s="53"/>
      <c r="GN420" s="53"/>
      <c r="GO420" s="43">
        <v>604</v>
      </c>
      <c r="GP420" s="43">
        <v>242</v>
      </c>
      <c r="GQ420" s="43">
        <v>591</v>
      </c>
      <c r="GR420" s="43">
        <v>250</v>
      </c>
    </row>
    <row r="421" spans="1:200">
      <c r="A421" s="7">
        <v>7101</v>
      </c>
      <c r="B421" s="1" t="s">
        <v>549</v>
      </c>
      <c r="C421" s="33">
        <v>1406</v>
      </c>
      <c r="D421" s="34">
        <v>1009</v>
      </c>
      <c r="E421" s="19">
        <f t="shared" si="6"/>
        <v>0.71763869132290181</v>
      </c>
      <c r="F421" s="62">
        <v>783</v>
      </c>
      <c r="G421" s="43">
        <v>4</v>
      </c>
      <c r="H421" s="43">
        <v>14</v>
      </c>
      <c r="I421" s="43">
        <v>10</v>
      </c>
      <c r="J421" s="55">
        <v>173</v>
      </c>
      <c r="K421" s="6">
        <v>0</v>
      </c>
      <c r="L421" s="6">
        <v>0</v>
      </c>
      <c r="M421" s="43">
        <v>0</v>
      </c>
      <c r="N421" s="25">
        <v>0</v>
      </c>
      <c r="O421" s="43">
        <v>0</v>
      </c>
      <c r="P421" s="43">
        <v>0</v>
      </c>
      <c r="Q421" s="43">
        <v>0</v>
      </c>
      <c r="R421" s="43">
        <v>0</v>
      </c>
      <c r="S421" s="43">
        <v>0</v>
      </c>
      <c r="T421" s="43">
        <v>0</v>
      </c>
      <c r="U421" s="43">
        <v>0</v>
      </c>
      <c r="V421" s="43">
        <v>0</v>
      </c>
      <c r="W421" s="43">
        <v>5</v>
      </c>
      <c r="X421" s="43">
        <v>0</v>
      </c>
      <c r="Y421" s="43">
        <v>0</v>
      </c>
      <c r="Z421" s="43">
        <v>0</v>
      </c>
      <c r="AA421" s="44">
        <v>0</v>
      </c>
      <c r="AB421" s="44">
        <v>0</v>
      </c>
      <c r="AC421" s="44">
        <v>11</v>
      </c>
      <c r="AD421" s="44">
        <v>18</v>
      </c>
      <c r="AE421" s="44">
        <v>267</v>
      </c>
      <c r="AF421" s="44">
        <v>4</v>
      </c>
      <c r="AG421" s="44">
        <v>0</v>
      </c>
      <c r="AH421" s="44">
        <v>661</v>
      </c>
      <c r="AI421" s="32"/>
      <c r="AJ421" s="32"/>
      <c r="AK421" s="32"/>
      <c r="AL421" s="32"/>
      <c r="AM421" s="44">
        <v>30</v>
      </c>
      <c r="AN421" s="44">
        <v>675</v>
      </c>
      <c r="AO421" s="44">
        <v>224</v>
      </c>
      <c r="AP421" s="44"/>
      <c r="AQ421" s="44"/>
      <c r="AR421" s="51"/>
      <c r="AS421" s="51"/>
      <c r="AT421" s="51"/>
      <c r="AU421" s="51"/>
      <c r="AV421" s="51"/>
      <c r="AW421" s="50"/>
      <c r="AX421" s="50"/>
      <c r="AY421" s="50"/>
      <c r="AZ421" s="50"/>
      <c r="BA421" s="50"/>
      <c r="BB421" s="50"/>
      <c r="BC421" s="43">
        <v>192</v>
      </c>
      <c r="BD421" s="43">
        <v>777</v>
      </c>
      <c r="BE421" s="43">
        <v>169</v>
      </c>
      <c r="BF421" s="43">
        <v>772</v>
      </c>
      <c r="BG421" s="43">
        <v>203</v>
      </c>
      <c r="BH421" s="43">
        <v>738</v>
      </c>
      <c r="BI421" s="43">
        <v>246</v>
      </c>
      <c r="BJ421" s="43">
        <v>692</v>
      </c>
      <c r="BK421" s="43">
        <v>696</v>
      </c>
      <c r="BL421" s="43">
        <v>239</v>
      </c>
      <c r="BM421" s="43">
        <v>162</v>
      </c>
      <c r="BN421" s="43">
        <v>773</v>
      </c>
      <c r="BO421" s="43">
        <v>701</v>
      </c>
      <c r="BP421" s="43">
        <v>224</v>
      </c>
      <c r="BQ421" s="43">
        <v>240</v>
      </c>
      <c r="BR421" s="43">
        <v>688</v>
      </c>
      <c r="BS421" s="43">
        <v>410</v>
      </c>
      <c r="BT421" s="43">
        <v>140</v>
      </c>
      <c r="BU421" s="43">
        <v>793</v>
      </c>
      <c r="BV421" s="43">
        <v>517</v>
      </c>
      <c r="BW421" s="43">
        <v>307</v>
      </c>
      <c r="BX421" s="43">
        <v>481</v>
      </c>
      <c r="BY421" s="43">
        <v>300</v>
      </c>
      <c r="BZ421" s="43">
        <v>538</v>
      </c>
      <c r="CA421" s="43">
        <v>439</v>
      </c>
      <c r="CB421" s="43">
        <v>206</v>
      </c>
      <c r="CC421" s="43">
        <v>575</v>
      </c>
      <c r="CD421" s="43">
        <v>563</v>
      </c>
      <c r="CE421" s="43">
        <v>542</v>
      </c>
      <c r="CF421" s="43">
        <v>228</v>
      </c>
      <c r="CG421" s="43">
        <v>257</v>
      </c>
      <c r="CH421" s="43">
        <v>474</v>
      </c>
      <c r="CI421" s="43">
        <v>422</v>
      </c>
      <c r="CJ421" s="43">
        <v>333</v>
      </c>
      <c r="CK421" s="43">
        <v>332</v>
      </c>
      <c r="CL421" s="43">
        <v>444</v>
      </c>
      <c r="CM421" s="43">
        <v>407</v>
      </c>
      <c r="CN421" s="43">
        <v>466</v>
      </c>
      <c r="CO421" s="43">
        <v>485</v>
      </c>
      <c r="CP421" s="43">
        <v>300</v>
      </c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43">
        <v>650</v>
      </c>
      <c r="ED421" s="43">
        <v>290</v>
      </c>
      <c r="EE421" s="43">
        <v>682</v>
      </c>
      <c r="EF421" s="43">
        <v>254</v>
      </c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43">
        <v>616</v>
      </c>
      <c r="FZ421" s="43">
        <v>329</v>
      </c>
      <c r="GA421" s="53"/>
      <c r="GB421" s="53"/>
      <c r="GC421" s="53"/>
      <c r="GD421" s="53"/>
      <c r="GE421" s="53"/>
      <c r="GF421" s="53"/>
      <c r="GG421" s="53"/>
      <c r="GH421" s="53"/>
      <c r="GI421" s="43"/>
      <c r="GJ421" s="43"/>
      <c r="GK421" s="43"/>
      <c r="GL421" s="43"/>
      <c r="GM421" s="53"/>
      <c r="GN421" s="53"/>
      <c r="GO421" s="43">
        <v>646</v>
      </c>
      <c r="GP421" s="43">
        <v>284</v>
      </c>
      <c r="GQ421" s="43">
        <v>689</v>
      </c>
      <c r="GR421" s="43">
        <v>237</v>
      </c>
    </row>
    <row r="422" spans="1:200">
      <c r="A422" s="7">
        <v>7102</v>
      </c>
      <c r="B422" s="1" t="s">
        <v>550</v>
      </c>
      <c r="C422" s="33">
        <v>1290</v>
      </c>
      <c r="D422" s="34">
        <v>900</v>
      </c>
      <c r="E422" s="19">
        <f t="shared" si="6"/>
        <v>0.69767441860465118</v>
      </c>
      <c r="F422" s="62">
        <v>789</v>
      </c>
      <c r="G422" s="43">
        <v>1</v>
      </c>
      <c r="H422" s="43">
        <v>15</v>
      </c>
      <c r="I422" s="43">
        <v>12</v>
      </c>
      <c r="J422" s="55">
        <v>65</v>
      </c>
      <c r="K422" s="6">
        <v>0</v>
      </c>
      <c r="L422" s="6">
        <v>0</v>
      </c>
      <c r="M422" s="43">
        <v>0</v>
      </c>
      <c r="N422" s="25">
        <v>0</v>
      </c>
      <c r="O422" s="43">
        <v>0</v>
      </c>
      <c r="P422" s="43">
        <v>0</v>
      </c>
      <c r="Q422" s="43">
        <v>0</v>
      </c>
      <c r="R422" s="43">
        <v>0</v>
      </c>
      <c r="S422" s="43">
        <v>0</v>
      </c>
      <c r="T422" s="43">
        <v>0</v>
      </c>
      <c r="U422" s="43">
        <v>0</v>
      </c>
      <c r="V422" s="43">
        <v>0</v>
      </c>
      <c r="W422" s="43">
        <v>3</v>
      </c>
      <c r="X422" s="43">
        <v>0</v>
      </c>
      <c r="Y422" s="43">
        <v>0</v>
      </c>
      <c r="Z422" s="43">
        <v>0</v>
      </c>
      <c r="AA422" s="44">
        <v>0</v>
      </c>
      <c r="AB422" s="44">
        <v>0</v>
      </c>
      <c r="AC422" s="44">
        <v>9</v>
      </c>
      <c r="AD422" s="44">
        <v>15</v>
      </c>
      <c r="AE422" s="44">
        <v>135</v>
      </c>
      <c r="AF422" s="44">
        <v>8</v>
      </c>
      <c r="AG422" s="44">
        <v>0</v>
      </c>
      <c r="AH422" s="44">
        <v>697</v>
      </c>
      <c r="AI422" s="32"/>
      <c r="AJ422" s="32"/>
      <c r="AK422" s="32"/>
      <c r="AL422" s="32"/>
      <c r="AM422" s="44">
        <v>35</v>
      </c>
      <c r="AN422" s="44">
        <v>701</v>
      </c>
      <c r="AO422" s="44">
        <v>108</v>
      </c>
      <c r="AP422" s="44"/>
      <c r="AQ422" s="44"/>
      <c r="AR422" s="51"/>
      <c r="AS422" s="51"/>
      <c r="AT422" s="51"/>
      <c r="AU422" s="51"/>
      <c r="AV422" s="51"/>
      <c r="AW422" s="50"/>
      <c r="AX422" s="50"/>
      <c r="AY422" s="50"/>
      <c r="AZ422" s="50"/>
      <c r="BA422" s="50"/>
      <c r="BB422" s="50"/>
      <c r="BC422" s="43">
        <v>89</v>
      </c>
      <c r="BD422" s="43">
        <v>778</v>
      </c>
      <c r="BE422" s="43">
        <v>73</v>
      </c>
      <c r="BF422" s="43">
        <v>781</v>
      </c>
      <c r="BG422" s="43">
        <v>109</v>
      </c>
      <c r="BH422" s="43">
        <v>748</v>
      </c>
      <c r="BI422" s="43">
        <v>146</v>
      </c>
      <c r="BJ422" s="43">
        <v>717</v>
      </c>
      <c r="BK422" s="43">
        <v>731</v>
      </c>
      <c r="BL422" s="43">
        <v>126</v>
      </c>
      <c r="BM422" s="43">
        <v>73</v>
      </c>
      <c r="BN422" s="43">
        <v>779</v>
      </c>
      <c r="BO422" s="43">
        <v>738</v>
      </c>
      <c r="BP422" s="43">
        <v>113</v>
      </c>
      <c r="BQ422" s="43">
        <v>138</v>
      </c>
      <c r="BR422" s="43">
        <v>714</v>
      </c>
      <c r="BS422" s="43">
        <v>326</v>
      </c>
      <c r="BT422" s="43">
        <v>80</v>
      </c>
      <c r="BU422" s="43">
        <v>786</v>
      </c>
      <c r="BV422" s="43">
        <v>448</v>
      </c>
      <c r="BW422" s="43">
        <v>234</v>
      </c>
      <c r="BX422" s="43">
        <v>492</v>
      </c>
      <c r="BY422" s="43">
        <v>236</v>
      </c>
      <c r="BZ422" s="43">
        <v>536</v>
      </c>
      <c r="CA422" s="43">
        <v>391</v>
      </c>
      <c r="CB422" s="43">
        <v>137</v>
      </c>
      <c r="CC422" s="43">
        <v>598</v>
      </c>
      <c r="CD422" s="43">
        <v>517</v>
      </c>
      <c r="CE422" s="43">
        <v>567</v>
      </c>
      <c r="CF422" s="43">
        <v>156</v>
      </c>
      <c r="CG422" s="43">
        <v>197</v>
      </c>
      <c r="CH422" s="43">
        <v>486</v>
      </c>
      <c r="CI422" s="43">
        <v>414</v>
      </c>
      <c r="CJ422" s="43">
        <v>271</v>
      </c>
      <c r="CK422" s="43">
        <v>266</v>
      </c>
      <c r="CL422" s="43">
        <v>458</v>
      </c>
      <c r="CM422" s="43">
        <v>371</v>
      </c>
      <c r="CN422" s="43">
        <v>421</v>
      </c>
      <c r="CO422" s="43">
        <v>478</v>
      </c>
      <c r="CP422" s="43">
        <v>262</v>
      </c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43">
        <v>564</v>
      </c>
      <c r="ED422" s="43">
        <v>283</v>
      </c>
      <c r="EE422" s="43">
        <v>616</v>
      </c>
      <c r="EF422" s="43">
        <v>225</v>
      </c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43">
        <v>586</v>
      </c>
      <c r="FZ422" s="43">
        <v>275</v>
      </c>
      <c r="GA422" s="53"/>
      <c r="GB422" s="53"/>
      <c r="GC422" s="53"/>
      <c r="GD422" s="53"/>
      <c r="GE422" s="53"/>
      <c r="GF422" s="53"/>
      <c r="GG422" s="53"/>
      <c r="GH422" s="53"/>
      <c r="GI422" s="43"/>
      <c r="GJ422" s="43"/>
      <c r="GK422" s="43"/>
      <c r="GL422" s="43"/>
      <c r="GM422" s="53"/>
      <c r="GN422" s="53"/>
      <c r="GO422" s="43">
        <v>577</v>
      </c>
      <c r="GP422" s="43">
        <v>262</v>
      </c>
      <c r="GQ422" s="43">
        <v>636</v>
      </c>
      <c r="GR422" s="43">
        <v>207</v>
      </c>
    </row>
    <row r="423" spans="1:200">
      <c r="A423" s="7">
        <v>7301</v>
      </c>
      <c r="B423" s="1" t="s">
        <v>551</v>
      </c>
      <c r="C423" s="33">
        <v>1135</v>
      </c>
      <c r="D423" s="34">
        <v>948</v>
      </c>
      <c r="E423" s="19">
        <f t="shared" si="6"/>
        <v>0.83524229074889866</v>
      </c>
      <c r="F423" s="62">
        <v>230</v>
      </c>
      <c r="G423" s="43">
        <v>0</v>
      </c>
      <c r="H423" s="43">
        <v>35</v>
      </c>
      <c r="I423" s="43">
        <v>6</v>
      </c>
      <c r="J423" s="55">
        <v>660</v>
      </c>
      <c r="K423" s="6">
        <v>0</v>
      </c>
      <c r="L423" s="6">
        <v>0</v>
      </c>
      <c r="M423" s="43">
        <v>0</v>
      </c>
      <c r="N423" s="25">
        <v>0</v>
      </c>
      <c r="O423" s="43">
        <v>0</v>
      </c>
      <c r="P423" s="43">
        <v>0</v>
      </c>
      <c r="Q423" s="43">
        <v>0</v>
      </c>
      <c r="R423" s="43">
        <v>0</v>
      </c>
      <c r="S423" s="43">
        <v>0</v>
      </c>
      <c r="T423" s="43">
        <v>0</v>
      </c>
      <c r="U423" s="43">
        <v>0</v>
      </c>
      <c r="V423" s="43">
        <v>0</v>
      </c>
      <c r="W423" s="43">
        <v>4</v>
      </c>
      <c r="X423" s="43">
        <v>0</v>
      </c>
      <c r="Y423" s="43">
        <v>0</v>
      </c>
      <c r="Z423" s="43">
        <v>0</v>
      </c>
      <c r="AA423" s="44">
        <v>0</v>
      </c>
      <c r="AB423" s="44">
        <v>0</v>
      </c>
      <c r="AC423" s="44">
        <v>8</v>
      </c>
      <c r="AD423" s="44">
        <v>16</v>
      </c>
      <c r="AE423" s="44">
        <v>710</v>
      </c>
      <c r="AF423" s="44">
        <v>8</v>
      </c>
      <c r="AG423" s="44">
        <v>0</v>
      </c>
      <c r="AH423" s="44">
        <v>168</v>
      </c>
      <c r="AI423" s="44">
        <v>725</v>
      </c>
      <c r="AJ423" s="44">
        <v>0</v>
      </c>
      <c r="AK423" s="44">
        <v>0</v>
      </c>
      <c r="AL423" s="44">
        <v>197</v>
      </c>
      <c r="AM423" s="48"/>
      <c r="AN423" s="48"/>
      <c r="AO423" s="48"/>
      <c r="AP423" s="44">
        <v>210</v>
      </c>
      <c r="AQ423" s="44">
        <v>657</v>
      </c>
      <c r="AR423" s="51"/>
      <c r="AS423" s="51"/>
      <c r="AT423" s="51"/>
      <c r="AU423" s="51"/>
      <c r="AV423" s="51"/>
      <c r="AW423" s="43">
        <v>185</v>
      </c>
      <c r="AX423" s="43">
        <v>681</v>
      </c>
      <c r="AY423" s="50"/>
      <c r="AZ423" s="50"/>
      <c r="BA423" s="50"/>
      <c r="BB423" s="50"/>
      <c r="BC423" s="50"/>
      <c r="BD423" s="50"/>
      <c r="BE423" s="43">
        <v>510</v>
      </c>
      <c r="BF423" s="43">
        <v>362</v>
      </c>
      <c r="BG423" s="43">
        <v>647</v>
      </c>
      <c r="BH423" s="43">
        <v>235</v>
      </c>
      <c r="BI423" s="43">
        <v>676</v>
      </c>
      <c r="BJ423" s="43">
        <v>193</v>
      </c>
      <c r="BK423" s="43">
        <v>270</v>
      </c>
      <c r="BL423" s="43">
        <v>621</v>
      </c>
      <c r="BM423" s="43">
        <v>459</v>
      </c>
      <c r="BN423" s="43">
        <v>422</v>
      </c>
      <c r="BO423" s="43">
        <v>199</v>
      </c>
      <c r="BP423" s="43">
        <v>650</v>
      </c>
      <c r="BQ423" s="43">
        <v>701</v>
      </c>
      <c r="BR423" s="43">
        <v>162</v>
      </c>
      <c r="BS423" s="43">
        <v>678</v>
      </c>
      <c r="BT423" s="43">
        <v>462</v>
      </c>
      <c r="BU423" s="43">
        <v>375</v>
      </c>
      <c r="BV423" s="43">
        <v>616</v>
      </c>
      <c r="BW423" s="43">
        <v>509</v>
      </c>
      <c r="BX423" s="43">
        <v>213</v>
      </c>
      <c r="BY423" s="43">
        <v>591</v>
      </c>
      <c r="BZ423" s="43">
        <v>176</v>
      </c>
      <c r="CA423" s="43">
        <v>565</v>
      </c>
      <c r="CB423" s="43">
        <v>524</v>
      </c>
      <c r="CC423" s="43">
        <v>177</v>
      </c>
      <c r="CD423" s="43">
        <v>492</v>
      </c>
      <c r="CE423" s="43">
        <v>179</v>
      </c>
      <c r="CF423" s="43">
        <v>558</v>
      </c>
      <c r="CG423" s="43">
        <v>504</v>
      </c>
      <c r="CH423" s="43">
        <v>179</v>
      </c>
      <c r="CI423" s="43">
        <v>106</v>
      </c>
      <c r="CJ423" s="43">
        <v>593</v>
      </c>
      <c r="CK423" s="43">
        <v>481</v>
      </c>
      <c r="CL423" s="43">
        <v>218</v>
      </c>
      <c r="CM423" s="43">
        <v>565</v>
      </c>
      <c r="CN423" s="43">
        <v>545</v>
      </c>
      <c r="CO423" s="43">
        <v>188</v>
      </c>
      <c r="CP423" s="43">
        <v>532</v>
      </c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43">
        <v>724</v>
      </c>
      <c r="FF423" s="43">
        <v>177</v>
      </c>
      <c r="FG423" s="43">
        <v>787</v>
      </c>
      <c r="FH423" s="43">
        <v>117</v>
      </c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53"/>
      <c r="FZ423" s="53"/>
      <c r="GA423" s="53"/>
      <c r="GB423" s="53"/>
      <c r="GC423" s="53"/>
      <c r="GD423" s="53"/>
      <c r="GE423" s="53"/>
      <c r="GF423" s="53"/>
      <c r="GG423" s="53"/>
      <c r="GH423" s="53"/>
      <c r="GI423" s="43"/>
      <c r="GJ423" s="43"/>
      <c r="GK423" s="43"/>
      <c r="GL423" s="43"/>
      <c r="GM423" s="53"/>
      <c r="GN423" s="53"/>
      <c r="GO423" s="43">
        <v>601</v>
      </c>
      <c r="GP423" s="43">
        <v>294</v>
      </c>
      <c r="GQ423" s="43">
        <v>646</v>
      </c>
      <c r="GR423" s="43">
        <v>247</v>
      </c>
    </row>
    <row r="424" spans="1:200">
      <c r="A424" s="7">
        <v>7302</v>
      </c>
      <c r="B424" s="1" t="s">
        <v>552</v>
      </c>
      <c r="C424" s="33">
        <v>1136</v>
      </c>
      <c r="D424" s="34">
        <v>927</v>
      </c>
      <c r="E424" s="19">
        <f t="shared" si="6"/>
        <v>0.81602112676056338</v>
      </c>
      <c r="F424" s="62">
        <v>313</v>
      </c>
      <c r="G424" s="43">
        <v>4</v>
      </c>
      <c r="H424" s="43">
        <v>29</v>
      </c>
      <c r="I424" s="43">
        <v>6</v>
      </c>
      <c r="J424" s="55">
        <v>551</v>
      </c>
      <c r="K424" s="6">
        <v>0</v>
      </c>
      <c r="L424" s="6">
        <v>0</v>
      </c>
      <c r="M424" s="43">
        <v>0</v>
      </c>
      <c r="N424" s="25">
        <v>0</v>
      </c>
      <c r="O424" s="43">
        <v>0</v>
      </c>
      <c r="P424" s="43">
        <v>0</v>
      </c>
      <c r="Q424" s="43">
        <v>0</v>
      </c>
      <c r="R424" s="43">
        <v>0</v>
      </c>
      <c r="S424" s="43">
        <v>0</v>
      </c>
      <c r="T424" s="43">
        <v>0</v>
      </c>
      <c r="U424" s="43">
        <v>0</v>
      </c>
      <c r="V424" s="43">
        <v>2</v>
      </c>
      <c r="W424" s="43">
        <v>4</v>
      </c>
      <c r="X424" s="43">
        <v>0</v>
      </c>
      <c r="Y424" s="43">
        <v>0</v>
      </c>
      <c r="Z424" s="43">
        <v>0</v>
      </c>
      <c r="AA424" s="44">
        <v>0</v>
      </c>
      <c r="AB424" s="44">
        <v>0</v>
      </c>
      <c r="AC424" s="44">
        <v>8</v>
      </c>
      <c r="AD424" s="44">
        <v>15</v>
      </c>
      <c r="AE424" s="44">
        <v>606</v>
      </c>
      <c r="AF424" s="44">
        <v>8</v>
      </c>
      <c r="AG424" s="44">
        <v>0</v>
      </c>
      <c r="AH424" s="44">
        <v>253</v>
      </c>
      <c r="AI424" s="44">
        <v>614</v>
      </c>
      <c r="AJ424" s="44">
        <v>1</v>
      </c>
      <c r="AK424" s="44">
        <v>0</v>
      </c>
      <c r="AL424" s="44">
        <v>281</v>
      </c>
      <c r="AM424" s="48"/>
      <c r="AN424" s="48"/>
      <c r="AO424" s="48"/>
      <c r="AP424" s="44">
        <v>284</v>
      </c>
      <c r="AQ424" s="44">
        <v>577</v>
      </c>
      <c r="AR424" s="51"/>
      <c r="AS424" s="51"/>
      <c r="AT424" s="51"/>
      <c r="AU424" s="51"/>
      <c r="AV424" s="51"/>
      <c r="AW424" s="43">
        <v>275</v>
      </c>
      <c r="AX424" s="43">
        <v>580</v>
      </c>
      <c r="AY424" s="50"/>
      <c r="AZ424" s="50"/>
      <c r="BA424" s="50"/>
      <c r="BB424" s="50"/>
      <c r="BC424" s="50"/>
      <c r="BD424" s="50"/>
      <c r="BE424" s="43">
        <v>452</v>
      </c>
      <c r="BF424" s="43">
        <v>413</v>
      </c>
      <c r="BG424" s="43">
        <v>544</v>
      </c>
      <c r="BH424" s="43">
        <v>329</v>
      </c>
      <c r="BI424" s="43">
        <v>590</v>
      </c>
      <c r="BJ424" s="43">
        <v>276</v>
      </c>
      <c r="BK424" s="43">
        <v>314</v>
      </c>
      <c r="BL424" s="43">
        <v>559</v>
      </c>
      <c r="BM424" s="43">
        <v>404</v>
      </c>
      <c r="BN424" s="43">
        <v>462</v>
      </c>
      <c r="BO424" s="43">
        <v>280</v>
      </c>
      <c r="BP424" s="43">
        <v>568</v>
      </c>
      <c r="BQ424" s="43">
        <v>598</v>
      </c>
      <c r="BR424" s="43">
        <v>245</v>
      </c>
      <c r="BS424" s="43">
        <v>650</v>
      </c>
      <c r="BT424" s="43">
        <v>385</v>
      </c>
      <c r="BU424" s="43">
        <v>448</v>
      </c>
      <c r="BV424" s="43">
        <v>620</v>
      </c>
      <c r="BW424" s="43">
        <v>451</v>
      </c>
      <c r="BX424" s="43">
        <v>250</v>
      </c>
      <c r="BY424" s="43">
        <v>520</v>
      </c>
      <c r="BZ424" s="43">
        <v>238</v>
      </c>
      <c r="CA424" s="43">
        <v>542</v>
      </c>
      <c r="CB424" s="43">
        <v>402</v>
      </c>
      <c r="CC424" s="43">
        <v>266</v>
      </c>
      <c r="CD424" s="43">
        <v>529</v>
      </c>
      <c r="CE424" s="43">
        <v>251</v>
      </c>
      <c r="CF424" s="43">
        <v>460</v>
      </c>
      <c r="CG424" s="43">
        <v>428</v>
      </c>
      <c r="CH424" s="43">
        <v>235</v>
      </c>
      <c r="CI424" s="43">
        <v>162</v>
      </c>
      <c r="CJ424" s="43">
        <v>515</v>
      </c>
      <c r="CK424" s="43">
        <v>419</v>
      </c>
      <c r="CL424" s="43">
        <v>258</v>
      </c>
      <c r="CM424" s="43">
        <v>551</v>
      </c>
      <c r="CN424" s="43">
        <v>529</v>
      </c>
      <c r="CO424" s="43">
        <v>239</v>
      </c>
      <c r="CP424" s="43">
        <v>431</v>
      </c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43">
        <v>657</v>
      </c>
      <c r="FF424" s="43">
        <v>229</v>
      </c>
      <c r="FG424" s="43">
        <v>725</v>
      </c>
      <c r="FH424" s="43">
        <v>165</v>
      </c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43">
        <v>255</v>
      </c>
      <c r="FZ424" s="43">
        <v>486</v>
      </c>
      <c r="GA424" s="53"/>
      <c r="GB424" s="53"/>
      <c r="GC424" s="53"/>
      <c r="GD424" s="53"/>
      <c r="GE424" s="53"/>
      <c r="GF424" s="53"/>
      <c r="GG424" s="53"/>
      <c r="GH424" s="53"/>
      <c r="GI424" s="43"/>
      <c r="GJ424" s="43"/>
      <c r="GK424" s="43"/>
      <c r="GL424" s="43"/>
      <c r="GM424" s="53"/>
      <c r="GN424" s="53"/>
      <c r="GO424" s="43">
        <v>582</v>
      </c>
      <c r="GP424" s="43">
        <v>306</v>
      </c>
      <c r="GQ424" s="43">
        <v>554</v>
      </c>
      <c r="GR424" s="43">
        <v>342</v>
      </c>
    </row>
    <row r="425" spans="1:200">
      <c r="A425" s="7">
        <v>7303</v>
      </c>
      <c r="B425" s="1" t="s">
        <v>553</v>
      </c>
      <c r="C425" s="33">
        <v>897</v>
      </c>
      <c r="D425" s="34">
        <v>722</v>
      </c>
      <c r="E425" s="19">
        <f t="shared" si="6"/>
        <v>0.80490523968784833</v>
      </c>
      <c r="F425" s="62">
        <v>277</v>
      </c>
      <c r="G425" s="43">
        <v>0</v>
      </c>
      <c r="H425" s="43">
        <v>40</v>
      </c>
      <c r="I425" s="43">
        <v>4</v>
      </c>
      <c r="J425" s="55">
        <v>380</v>
      </c>
      <c r="K425" s="6">
        <v>0</v>
      </c>
      <c r="L425" s="6">
        <v>0</v>
      </c>
      <c r="M425" s="43">
        <v>0</v>
      </c>
      <c r="N425" s="25">
        <v>0</v>
      </c>
      <c r="O425" s="43">
        <v>0</v>
      </c>
      <c r="P425" s="43">
        <v>0</v>
      </c>
      <c r="Q425" s="43">
        <v>0</v>
      </c>
      <c r="R425" s="43">
        <v>0</v>
      </c>
      <c r="S425" s="43">
        <v>0</v>
      </c>
      <c r="T425" s="43">
        <v>0</v>
      </c>
      <c r="U425" s="43">
        <v>0</v>
      </c>
      <c r="V425" s="43">
        <v>0</v>
      </c>
      <c r="W425" s="43">
        <v>8</v>
      </c>
      <c r="X425" s="43">
        <v>0</v>
      </c>
      <c r="Y425" s="43">
        <v>0</v>
      </c>
      <c r="Z425" s="43">
        <v>0</v>
      </c>
      <c r="AA425" s="44">
        <v>0</v>
      </c>
      <c r="AB425" s="44">
        <v>0</v>
      </c>
      <c r="AC425" s="44">
        <v>9</v>
      </c>
      <c r="AD425" s="44">
        <v>13</v>
      </c>
      <c r="AE425" s="44">
        <v>458</v>
      </c>
      <c r="AF425" s="44">
        <v>8</v>
      </c>
      <c r="AG425" s="44">
        <v>0</v>
      </c>
      <c r="AH425" s="44">
        <v>212</v>
      </c>
      <c r="AI425" s="44">
        <v>472</v>
      </c>
      <c r="AJ425" s="44">
        <v>2</v>
      </c>
      <c r="AK425" s="44">
        <v>0</v>
      </c>
      <c r="AL425" s="44">
        <v>227</v>
      </c>
      <c r="AM425" s="48"/>
      <c r="AN425" s="48"/>
      <c r="AO425" s="48"/>
      <c r="AP425" s="44">
        <v>250</v>
      </c>
      <c r="AQ425" s="44">
        <v>426</v>
      </c>
      <c r="AR425" s="51"/>
      <c r="AS425" s="51"/>
      <c r="AT425" s="51"/>
      <c r="AU425" s="51"/>
      <c r="AV425" s="51"/>
      <c r="AW425" s="43">
        <v>238</v>
      </c>
      <c r="AX425" s="43">
        <v>430</v>
      </c>
      <c r="AY425" s="50"/>
      <c r="AZ425" s="50"/>
      <c r="BA425" s="50"/>
      <c r="BB425" s="50"/>
      <c r="BC425" s="50"/>
      <c r="BD425" s="50"/>
      <c r="BE425" s="43">
        <v>350</v>
      </c>
      <c r="BF425" s="43">
        <v>328</v>
      </c>
      <c r="BG425" s="43">
        <v>432</v>
      </c>
      <c r="BH425" s="43">
        <v>255</v>
      </c>
      <c r="BI425" s="43">
        <v>430</v>
      </c>
      <c r="BJ425" s="43">
        <v>245</v>
      </c>
      <c r="BK425" s="43">
        <v>277</v>
      </c>
      <c r="BL425" s="43">
        <v>403</v>
      </c>
      <c r="BM425" s="43">
        <v>328</v>
      </c>
      <c r="BN425" s="43">
        <v>343</v>
      </c>
      <c r="BO425" s="43">
        <v>253</v>
      </c>
      <c r="BP425" s="43">
        <v>411</v>
      </c>
      <c r="BQ425" s="43">
        <v>451</v>
      </c>
      <c r="BR425" s="43">
        <v>215</v>
      </c>
      <c r="BS425" s="43">
        <v>472</v>
      </c>
      <c r="BT425" s="43">
        <v>302</v>
      </c>
      <c r="BU425" s="43">
        <v>362</v>
      </c>
      <c r="BV425" s="43">
        <v>456</v>
      </c>
      <c r="BW425" s="43">
        <v>337</v>
      </c>
      <c r="BX425" s="43">
        <v>229</v>
      </c>
      <c r="BY425" s="43">
        <v>386</v>
      </c>
      <c r="BZ425" s="43">
        <v>212</v>
      </c>
      <c r="CA425" s="43">
        <v>420</v>
      </c>
      <c r="CB425" s="43">
        <v>324</v>
      </c>
      <c r="CC425" s="43">
        <v>220</v>
      </c>
      <c r="CD425" s="43">
        <v>403</v>
      </c>
      <c r="CE425" s="43">
        <v>215</v>
      </c>
      <c r="CF425" s="43">
        <v>347</v>
      </c>
      <c r="CG425" s="43">
        <v>320</v>
      </c>
      <c r="CH425" s="43">
        <v>212</v>
      </c>
      <c r="CI425" s="43">
        <v>150</v>
      </c>
      <c r="CJ425" s="43">
        <v>387</v>
      </c>
      <c r="CK425" s="43">
        <v>323</v>
      </c>
      <c r="CL425" s="43">
        <v>222</v>
      </c>
      <c r="CM425" s="43">
        <v>400</v>
      </c>
      <c r="CN425" s="43">
        <v>400</v>
      </c>
      <c r="CO425" s="43">
        <v>183</v>
      </c>
      <c r="CP425" s="43">
        <v>365</v>
      </c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43">
        <v>537</v>
      </c>
      <c r="FF425" s="43">
        <v>152</v>
      </c>
      <c r="FG425" s="43">
        <v>588</v>
      </c>
      <c r="FH425" s="43">
        <v>104</v>
      </c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43">
        <v>11</v>
      </c>
      <c r="FZ425" s="43">
        <v>19</v>
      </c>
      <c r="GA425" s="53"/>
      <c r="GB425" s="53"/>
      <c r="GC425" s="53"/>
      <c r="GD425" s="53"/>
      <c r="GE425" s="53"/>
      <c r="GF425" s="53"/>
      <c r="GG425" s="53"/>
      <c r="GH425" s="53"/>
      <c r="GI425" s="43"/>
      <c r="GJ425" s="43"/>
      <c r="GK425" s="43"/>
      <c r="GL425" s="43"/>
      <c r="GM425" s="53"/>
      <c r="GN425" s="53"/>
      <c r="GO425" s="43">
        <v>467</v>
      </c>
      <c r="GP425" s="43">
        <v>220</v>
      </c>
      <c r="GQ425" s="43">
        <v>487</v>
      </c>
      <c r="GR425" s="43">
        <v>199</v>
      </c>
    </row>
    <row r="426" spans="1:200">
      <c r="A426" s="7">
        <v>7304</v>
      </c>
      <c r="B426" s="1" t="s">
        <v>554</v>
      </c>
      <c r="C426" s="33">
        <v>1263</v>
      </c>
      <c r="D426" s="34">
        <v>1017</v>
      </c>
      <c r="E426" s="19">
        <f t="shared" si="6"/>
        <v>0.80522565320665085</v>
      </c>
      <c r="F426" s="62">
        <v>256</v>
      </c>
      <c r="G426" s="43">
        <v>1</v>
      </c>
      <c r="H426" s="43">
        <v>27</v>
      </c>
      <c r="I426" s="43">
        <v>5</v>
      </c>
      <c r="J426" s="55">
        <v>710</v>
      </c>
      <c r="K426" s="6">
        <v>0</v>
      </c>
      <c r="L426" s="6">
        <v>0</v>
      </c>
      <c r="M426" s="43">
        <v>0</v>
      </c>
      <c r="N426" s="25">
        <v>0</v>
      </c>
      <c r="O426" s="43">
        <v>0</v>
      </c>
      <c r="P426" s="43">
        <v>0</v>
      </c>
      <c r="Q426" s="43">
        <v>0</v>
      </c>
      <c r="R426" s="43">
        <v>0</v>
      </c>
      <c r="S426" s="43">
        <v>0</v>
      </c>
      <c r="T426" s="43">
        <v>0</v>
      </c>
      <c r="U426" s="43">
        <v>0</v>
      </c>
      <c r="V426" s="43">
        <v>0</v>
      </c>
      <c r="W426" s="43">
        <v>3</v>
      </c>
      <c r="X426" s="43">
        <v>0</v>
      </c>
      <c r="Y426" s="43">
        <v>0</v>
      </c>
      <c r="Z426" s="43">
        <v>0</v>
      </c>
      <c r="AA426" s="44">
        <v>0</v>
      </c>
      <c r="AB426" s="44">
        <v>0</v>
      </c>
      <c r="AC426" s="44">
        <v>10</v>
      </c>
      <c r="AD426" s="44">
        <v>15</v>
      </c>
      <c r="AE426" s="44">
        <v>770</v>
      </c>
      <c r="AF426" s="44">
        <v>16</v>
      </c>
      <c r="AG426" s="44">
        <v>0</v>
      </c>
      <c r="AH426" s="44">
        <v>183</v>
      </c>
      <c r="AI426" s="44">
        <v>781</v>
      </c>
      <c r="AJ426" s="44">
        <v>0</v>
      </c>
      <c r="AK426" s="44">
        <v>0</v>
      </c>
      <c r="AL426" s="44">
        <v>211</v>
      </c>
      <c r="AM426" s="48"/>
      <c r="AN426" s="48"/>
      <c r="AO426" s="48"/>
      <c r="AP426" s="44">
        <v>226</v>
      </c>
      <c r="AQ426" s="44">
        <v>726</v>
      </c>
      <c r="AR426" s="51"/>
      <c r="AS426" s="51"/>
      <c r="AT426" s="51"/>
      <c r="AU426" s="51"/>
      <c r="AV426" s="51"/>
      <c r="AW426" s="43">
        <v>217</v>
      </c>
      <c r="AX426" s="43">
        <v>732</v>
      </c>
      <c r="AY426" s="50"/>
      <c r="AZ426" s="50"/>
      <c r="BA426" s="50"/>
      <c r="BB426" s="50"/>
      <c r="BC426" s="50"/>
      <c r="BD426" s="50"/>
      <c r="BE426" s="43">
        <v>581</v>
      </c>
      <c r="BF426" s="43">
        <v>380</v>
      </c>
      <c r="BG426" s="43">
        <v>725</v>
      </c>
      <c r="BH426" s="43">
        <v>249</v>
      </c>
      <c r="BI426" s="43">
        <v>751</v>
      </c>
      <c r="BJ426" s="43">
        <v>207</v>
      </c>
      <c r="BK426" s="43">
        <v>279</v>
      </c>
      <c r="BL426" s="43">
        <v>692</v>
      </c>
      <c r="BM426" s="43">
        <v>496</v>
      </c>
      <c r="BN426" s="43">
        <v>459</v>
      </c>
      <c r="BO426" s="43">
        <v>226</v>
      </c>
      <c r="BP426" s="43">
        <v>715</v>
      </c>
      <c r="BQ426" s="43">
        <v>756</v>
      </c>
      <c r="BR426" s="43">
        <v>193</v>
      </c>
      <c r="BS426" s="43">
        <v>754</v>
      </c>
      <c r="BT426" s="43">
        <v>527</v>
      </c>
      <c r="BU426" s="43">
        <v>408</v>
      </c>
      <c r="BV426" s="43">
        <v>692</v>
      </c>
      <c r="BW426" s="43">
        <v>572</v>
      </c>
      <c r="BX426" s="43">
        <v>219</v>
      </c>
      <c r="BY426" s="43">
        <v>675</v>
      </c>
      <c r="BZ426" s="43">
        <v>180</v>
      </c>
      <c r="CA426" s="43">
        <v>629</v>
      </c>
      <c r="CB426" s="43">
        <v>572</v>
      </c>
      <c r="CC426" s="43">
        <v>193</v>
      </c>
      <c r="CD426" s="43">
        <v>559</v>
      </c>
      <c r="CE426" s="43">
        <v>187</v>
      </c>
      <c r="CF426" s="43">
        <v>626</v>
      </c>
      <c r="CG426" s="43">
        <v>560</v>
      </c>
      <c r="CH426" s="43">
        <v>181</v>
      </c>
      <c r="CI426" s="43">
        <v>136</v>
      </c>
      <c r="CJ426" s="43">
        <v>628</v>
      </c>
      <c r="CK426" s="43">
        <v>520</v>
      </c>
      <c r="CL426" s="43">
        <v>231</v>
      </c>
      <c r="CM426" s="43">
        <v>623</v>
      </c>
      <c r="CN426" s="43">
        <v>607</v>
      </c>
      <c r="CO426" s="43">
        <v>207</v>
      </c>
      <c r="CP426" s="43">
        <v>565</v>
      </c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43">
        <v>755</v>
      </c>
      <c r="FF426" s="43">
        <v>229</v>
      </c>
      <c r="FG426" s="43">
        <v>829</v>
      </c>
      <c r="FH426" s="43">
        <v>157</v>
      </c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53"/>
      <c r="FZ426" s="53"/>
      <c r="GA426" s="53"/>
      <c r="GB426" s="53"/>
      <c r="GC426" s="53"/>
      <c r="GD426" s="53"/>
      <c r="GE426" s="53"/>
      <c r="GF426" s="53"/>
      <c r="GG426" s="53"/>
      <c r="GH426" s="53"/>
      <c r="GI426" s="43"/>
      <c r="GJ426" s="43"/>
      <c r="GK426" s="43"/>
      <c r="GL426" s="43"/>
      <c r="GM426" s="53"/>
      <c r="GN426" s="53"/>
      <c r="GO426" s="43">
        <v>669</v>
      </c>
      <c r="GP426" s="43">
        <v>309</v>
      </c>
      <c r="GQ426" s="43">
        <v>675</v>
      </c>
      <c r="GR426" s="43">
        <v>299</v>
      </c>
    </row>
    <row r="427" spans="1:200">
      <c r="A427" s="7">
        <v>7305</v>
      </c>
      <c r="B427" s="1" t="s">
        <v>555</v>
      </c>
      <c r="C427" s="33">
        <v>1232</v>
      </c>
      <c r="D427" s="34">
        <v>1068</v>
      </c>
      <c r="E427" s="19">
        <f t="shared" si="6"/>
        <v>0.86688311688311692</v>
      </c>
      <c r="F427" s="62">
        <v>239</v>
      </c>
      <c r="G427" s="43">
        <v>4</v>
      </c>
      <c r="H427" s="43">
        <v>31</v>
      </c>
      <c r="I427" s="43">
        <v>9</v>
      </c>
      <c r="J427" s="55">
        <v>753</v>
      </c>
      <c r="K427" s="6">
        <v>0</v>
      </c>
      <c r="L427" s="6">
        <v>0</v>
      </c>
      <c r="M427" s="43">
        <v>0</v>
      </c>
      <c r="N427" s="25">
        <v>0</v>
      </c>
      <c r="O427" s="43">
        <v>0</v>
      </c>
      <c r="P427" s="43">
        <v>0</v>
      </c>
      <c r="Q427" s="43">
        <v>0</v>
      </c>
      <c r="R427" s="43">
        <v>0</v>
      </c>
      <c r="S427" s="43">
        <v>0</v>
      </c>
      <c r="T427" s="43">
        <v>0</v>
      </c>
      <c r="U427" s="43">
        <v>0</v>
      </c>
      <c r="V427" s="43">
        <v>0</v>
      </c>
      <c r="W427" s="43">
        <v>1</v>
      </c>
      <c r="X427" s="43">
        <v>0</v>
      </c>
      <c r="Y427" s="43">
        <v>0</v>
      </c>
      <c r="Z427" s="43">
        <v>0</v>
      </c>
      <c r="AA427" s="44">
        <v>0</v>
      </c>
      <c r="AB427" s="44">
        <v>0</v>
      </c>
      <c r="AC427" s="44">
        <v>10</v>
      </c>
      <c r="AD427" s="44">
        <v>6</v>
      </c>
      <c r="AE427" s="44">
        <v>829</v>
      </c>
      <c r="AF427" s="44">
        <v>8</v>
      </c>
      <c r="AG427" s="44">
        <v>0</v>
      </c>
      <c r="AH427" s="44">
        <v>174</v>
      </c>
      <c r="AI427" s="44">
        <v>842</v>
      </c>
      <c r="AJ427" s="44">
        <v>0</v>
      </c>
      <c r="AK427" s="44">
        <v>0</v>
      </c>
      <c r="AL427" s="44">
        <v>201</v>
      </c>
      <c r="AM427" s="48"/>
      <c r="AN427" s="48"/>
      <c r="AO427" s="48"/>
      <c r="AP427" s="44">
        <v>221</v>
      </c>
      <c r="AQ427" s="44">
        <v>781</v>
      </c>
      <c r="AR427" s="51"/>
      <c r="AS427" s="51"/>
      <c r="AT427" s="51"/>
      <c r="AU427" s="51"/>
      <c r="AV427" s="51"/>
      <c r="AW427" s="43">
        <v>194</v>
      </c>
      <c r="AX427" s="43">
        <v>804</v>
      </c>
      <c r="AY427" s="50"/>
      <c r="AZ427" s="50"/>
      <c r="BA427" s="50"/>
      <c r="BB427" s="50"/>
      <c r="BC427" s="50"/>
      <c r="BD427" s="50"/>
      <c r="BE427" s="43">
        <v>623</v>
      </c>
      <c r="BF427" s="43">
        <v>371</v>
      </c>
      <c r="BG427" s="43">
        <v>755</v>
      </c>
      <c r="BH427" s="43">
        <v>267</v>
      </c>
      <c r="BI427" s="43">
        <v>804</v>
      </c>
      <c r="BJ427" s="43">
        <v>194</v>
      </c>
      <c r="BK427" s="43">
        <v>229</v>
      </c>
      <c r="BL427" s="43">
        <v>773</v>
      </c>
      <c r="BM427" s="43">
        <v>548</v>
      </c>
      <c r="BN427" s="43">
        <v>457</v>
      </c>
      <c r="BO427" s="43">
        <v>206</v>
      </c>
      <c r="BP427" s="43">
        <v>777</v>
      </c>
      <c r="BQ427" s="43">
        <v>830</v>
      </c>
      <c r="BR427" s="43">
        <v>158</v>
      </c>
      <c r="BS427" s="43">
        <v>808</v>
      </c>
      <c r="BT427" s="43">
        <v>521</v>
      </c>
      <c r="BU427" s="43">
        <v>452</v>
      </c>
      <c r="BV427" s="43">
        <v>737</v>
      </c>
      <c r="BW427" s="43">
        <v>628</v>
      </c>
      <c r="BX427" s="43">
        <v>223</v>
      </c>
      <c r="BY427" s="43">
        <v>700</v>
      </c>
      <c r="BZ427" s="43">
        <v>211</v>
      </c>
      <c r="CA427" s="43">
        <v>681</v>
      </c>
      <c r="CB427" s="43">
        <v>656</v>
      </c>
      <c r="CC427" s="43">
        <v>171</v>
      </c>
      <c r="CD427" s="43">
        <v>585</v>
      </c>
      <c r="CE427" s="43">
        <v>180</v>
      </c>
      <c r="CF427" s="43">
        <v>706</v>
      </c>
      <c r="CG427" s="43">
        <v>625</v>
      </c>
      <c r="CH427" s="43">
        <v>181</v>
      </c>
      <c r="CI427" s="43">
        <v>118</v>
      </c>
      <c r="CJ427" s="43">
        <v>719</v>
      </c>
      <c r="CK427" s="43">
        <v>584</v>
      </c>
      <c r="CL427" s="43">
        <v>239</v>
      </c>
      <c r="CM427" s="43">
        <v>666</v>
      </c>
      <c r="CN427" s="43">
        <v>641</v>
      </c>
      <c r="CO427" s="43">
        <v>157</v>
      </c>
      <c r="CP427" s="43">
        <v>675</v>
      </c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43">
        <v>807</v>
      </c>
      <c r="FF427" s="43">
        <v>212</v>
      </c>
      <c r="FG427" s="43">
        <v>859</v>
      </c>
      <c r="FH427" s="43">
        <v>159</v>
      </c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43">
        <v>84</v>
      </c>
      <c r="FZ427" s="43">
        <v>218</v>
      </c>
      <c r="GA427" s="53"/>
      <c r="GB427" s="53"/>
      <c r="GC427" s="53"/>
      <c r="GD427" s="53"/>
      <c r="GE427" s="53"/>
      <c r="GF427" s="53"/>
      <c r="GG427" s="53"/>
      <c r="GH427" s="53"/>
      <c r="GI427" s="43"/>
      <c r="GJ427" s="43"/>
      <c r="GK427" s="43"/>
      <c r="GL427" s="43"/>
      <c r="GM427" s="53"/>
      <c r="GN427" s="53"/>
      <c r="GO427" s="43">
        <v>676</v>
      </c>
      <c r="GP427" s="43">
        <v>337</v>
      </c>
      <c r="GQ427" s="43">
        <v>689</v>
      </c>
      <c r="GR427" s="43">
        <v>321</v>
      </c>
    </row>
    <row r="428" spans="1:200">
      <c r="A428" s="7">
        <v>7306</v>
      </c>
      <c r="B428" s="1" t="s">
        <v>556</v>
      </c>
      <c r="C428" s="33">
        <v>1092</v>
      </c>
      <c r="D428" s="34">
        <v>873</v>
      </c>
      <c r="E428" s="19">
        <f t="shared" si="6"/>
        <v>0.7994505494505495</v>
      </c>
      <c r="F428" s="62">
        <v>182</v>
      </c>
      <c r="G428" s="43">
        <v>4</v>
      </c>
      <c r="H428" s="43">
        <v>37</v>
      </c>
      <c r="I428" s="43">
        <v>1</v>
      </c>
      <c r="J428" s="55">
        <v>639</v>
      </c>
      <c r="K428" s="6">
        <v>0</v>
      </c>
      <c r="L428" s="6">
        <v>0</v>
      </c>
      <c r="M428" s="43">
        <v>0</v>
      </c>
      <c r="N428" s="25">
        <v>0</v>
      </c>
      <c r="O428" s="43">
        <v>0</v>
      </c>
      <c r="P428" s="43">
        <v>0</v>
      </c>
      <c r="Q428" s="43">
        <v>0</v>
      </c>
      <c r="R428" s="43">
        <v>0</v>
      </c>
      <c r="S428" s="43">
        <v>0</v>
      </c>
      <c r="T428" s="43">
        <v>0</v>
      </c>
      <c r="U428" s="43">
        <v>0</v>
      </c>
      <c r="V428" s="43">
        <v>0</v>
      </c>
      <c r="W428" s="43">
        <v>0</v>
      </c>
      <c r="X428" s="43">
        <v>0</v>
      </c>
      <c r="Y428" s="43">
        <v>0</v>
      </c>
      <c r="Z428" s="43">
        <v>0</v>
      </c>
      <c r="AA428" s="44">
        <v>0</v>
      </c>
      <c r="AB428" s="44">
        <v>0</v>
      </c>
      <c r="AC428" s="44">
        <v>4</v>
      </c>
      <c r="AD428" s="44">
        <v>15</v>
      </c>
      <c r="AE428" s="44">
        <v>682</v>
      </c>
      <c r="AF428" s="44">
        <v>10</v>
      </c>
      <c r="AG428" s="44">
        <v>0</v>
      </c>
      <c r="AH428" s="44">
        <v>121</v>
      </c>
      <c r="AI428" s="44">
        <v>702</v>
      </c>
      <c r="AJ428" s="44">
        <v>0</v>
      </c>
      <c r="AK428" s="44">
        <v>0</v>
      </c>
      <c r="AL428" s="44">
        <v>145</v>
      </c>
      <c r="AM428" s="48"/>
      <c r="AN428" s="48"/>
      <c r="AO428" s="48"/>
      <c r="AP428" s="44">
        <v>178</v>
      </c>
      <c r="AQ428" s="44">
        <v>633</v>
      </c>
      <c r="AR428" s="51"/>
      <c r="AS428" s="51"/>
      <c r="AT428" s="51"/>
      <c r="AU428" s="51"/>
      <c r="AV428" s="51"/>
      <c r="AW428" s="43">
        <v>154</v>
      </c>
      <c r="AX428" s="43">
        <v>654</v>
      </c>
      <c r="AY428" s="50"/>
      <c r="AZ428" s="50"/>
      <c r="BA428" s="50"/>
      <c r="BB428" s="50"/>
      <c r="BC428" s="50"/>
      <c r="BD428" s="50"/>
      <c r="BE428" s="43">
        <v>532</v>
      </c>
      <c r="BF428" s="43">
        <v>275</v>
      </c>
      <c r="BG428" s="43">
        <v>650</v>
      </c>
      <c r="BH428" s="43">
        <v>175</v>
      </c>
      <c r="BI428" s="43">
        <v>665</v>
      </c>
      <c r="BJ428" s="43">
        <v>145</v>
      </c>
      <c r="BK428" s="43">
        <v>206</v>
      </c>
      <c r="BL428" s="43">
        <v>620</v>
      </c>
      <c r="BM428" s="43">
        <v>492</v>
      </c>
      <c r="BN428" s="43">
        <v>334</v>
      </c>
      <c r="BO428" s="43">
        <v>147</v>
      </c>
      <c r="BP428" s="43">
        <v>646</v>
      </c>
      <c r="BQ428" s="43">
        <v>687</v>
      </c>
      <c r="BR428" s="43">
        <v>117</v>
      </c>
      <c r="BS428" s="43">
        <v>681</v>
      </c>
      <c r="BT428" s="43">
        <v>511</v>
      </c>
      <c r="BU428" s="43">
        <v>278</v>
      </c>
      <c r="BV428" s="43">
        <v>603</v>
      </c>
      <c r="BW428" s="43">
        <v>436</v>
      </c>
      <c r="BX428" s="43">
        <v>217</v>
      </c>
      <c r="BY428" s="43">
        <v>567</v>
      </c>
      <c r="BZ428" s="43">
        <v>137</v>
      </c>
      <c r="CA428" s="43">
        <v>543</v>
      </c>
      <c r="CB428" s="43">
        <v>476</v>
      </c>
      <c r="CC428" s="43">
        <v>146</v>
      </c>
      <c r="CD428" s="43">
        <v>473</v>
      </c>
      <c r="CE428" s="43">
        <v>145</v>
      </c>
      <c r="CF428" s="43">
        <v>513</v>
      </c>
      <c r="CG428" s="43">
        <v>442</v>
      </c>
      <c r="CH428" s="43">
        <v>157</v>
      </c>
      <c r="CI428" s="43">
        <v>88</v>
      </c>
      <c r="CJ428" s="43">
        <v>541</v>
      </c>
      <c r="CK428" s="43">
        <v>454</v>
      </c>
      <c r="CL428" s="43">
        <v>160</v>
      </c>
      <c r="CM428" s="43">
        <v>542</v>
      </c>
      <c r="CN428" s="43">
        <v>528</v>
      </c>
      <c r="CO428" s="43">
        <v>133</v>
      </c>
      <c r="CP428" s="43">
        <v>500</v>
      </c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43">
        <v>632</v>
      </c>
      <c r="FF428" s="43">
        <v>196</v>
      </c>
      <c r="FG428" s="43">
        <v>700</v>
      </c>
      <c r="FH428" s="43">
        <v>139</v>
      </c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53"/>
      <c r="FZ428" s="53"/>
      <c r="GA428" s="53"/>
      <c r="GB428" s="53"/>
      <c r="GC428" s="53"/>
      <c r="GD428" s="53"/>
      <c r="GE428" s="53"/>
      <c r="GF428" s="53"/>
      <c r="GG428" s="53"/>
      <c r="GH428" s="53"/>
      <c r="GI428" s="43"/>
      <c r="GJ428" s="43"/>
      <c r="GK428" s="43"/>
      <c r="GL428" s="43"/>
      <c r="GM428" s="53"/>
      <c r="GN428" s="53"/>
      <c r="GO428" s="43">
        <v>553</v>
      </c>
      <c r="GP428" s="43">
        <v>282</v>
      </c>
      <c r="GQ428" s="43">
        <v>554</v>
      </c>
      <c r="GR428" s="43">
        <v>279</v>
      </c>
    </row>
    <row r="429" spans="1:200">
      <c r="A429" s="7">
        <v>7307</v>
      </c>
      <c r="B429" s="1" t="s">
        <v>557</v>
      </c>
      <c r="C429" s="33">
        <v>807</v>
      </c>
      <c r="D429" s="34">
        <v>716</v>
      </c>
      <c r="E429" s="19">
        <f t="shared" si="6"/>
        <v>0.88723667905824044</v>
      </c>
      <c r="F429" s="62">
        <v>143</v>
      </c>
      <c r="G429" s="43">
        <v>2</v>
      </c>
      <c r="H429" s="43">
        <v>20</v>
      </c>
      <c r="I429" s="43">
        <v>6</v>
      </c>
      <c r="J429" s="55">
        <v>517</v>
      </c>
      <c r="K429" s="6">
        <v>0</v>
      </c>
      <c r="L429" s="6">
        <v>0</v>
      </c>
      <c r="M429" s="43">
        <v>0</v>
      </c>
      <c r="N429" s="25">
        <v>0</v>
      </c>
      <c r="O429" s="43">
        <v>0</v>
      </c>
      <c r="P429" s="43">
        <v>0</v>
      </c>
      <c r="Q429" s="43">
        <v>0</v>
      </c>
      <c r="R429" s="43">
        <v>0</v>
      </c>
      <c r="S429" s="43">
        <v>0</v>
      </c>
      <c r="T429" s="43">
        <v>0</v>
      </c>
      <c r="U429" s="43">
        <v>0</v>
      </c>
      <c r="V429" s="43">
        <v>0</v>
      </c>
      <c r="W429" s="43">
        <v>2</v>
      </c>
      <c r="X429" s="43">
        <v>0</v>
      </c>
      <c r="Y429" s="43">
        <v>0</v>
      </c>
      <c r="Z429" s="43">
        <v>0</v>
      </c>
      <c r="AA429" s="44">
        <v>0</v>
      </c>
      <c r="AB429" s="44">
        <v>1</v>
      </c>
      <c r="AC429" s="44">
        <v>10</v>
      </c>
      <c r="AD429" s="44">
        <v>10</v>
      </c>
      <c r="AE429" s="44">
        <v>572</v>
      </c>
      <c r="AF429" s="44">
        <v>5</v>
      </c>
      <c r="AG429" s="44">
        <v>0</v>
      </c>
      <c r="AH429" s="44">
        <v>91</v>
      </c>
      <c r="AI429" s="44">
        <v>589</v>
      </c>
      <c r="AJ429" s="44">
        <v>0</v>
      </c>
      <c r="AK429" s="44">
        <v>0</v>
      </c>
      <c r="AL429" s="44">
        <v>109</v>
      </c>
      <c r="AM429" s="48"/>
      <c r="AN429" s="48"/>
      <c r="AO429" s="48"/>
      <c r="AP429" s="44">
        <v>140</v>
      </c>
      <c r="AQ429" s="44">
        <v>517</v>
      </c>
      <c r="AR429" s="51"/>
      <c r="AS429" s="51"/>
      <c r="AT429" s="51"/>
      <c r="AU429" s="51"/>
      <c r="AV429" s="51"/>
      <c r="AW429" s="43">
        <v>96</v>
      </c>
      <c r="AX429" s="43">
        <v>553</v>
      </c>
      <c r="AY429" s="50"/>
      <c r="AZ429" s="50"/>
      <c r="BA429" s="50"/>
      <c r="BB429" s="50"/>
      <c r="BC429" s="50"/>
      <c r="BD429" s="50"/>
      <c r="BE429" s="43">
        <v>434</v>
      </c>
      <c r="BF429" s="43">
        <v>228</v>
      </c>
      <c r="BG429" s="43">
        <v>512</v>
      </c>
      <c r="BH429" s="43">
        <v>161</v>
      </c>
      <c r="BI429" s="43">
        <v>525</v>
      </c>
      <c r="BJ429" s="43">
        <v>125</v>
      </c>
      <c r="BK429" s="43">
        <v>155</v>
      </c>
      <c r="BL429" s="43">
        <v>511</v>
      </c>
      <c r="BM429" s="43">
        <v>347</v>
      </c>
      <c r="BN429" s="43">
        <v>309</v>
      </c>
      <c r="BO429" s="43">
        <v>113</v>
      </c>
      <c r="BP429" s="43">
        <v>536</v>
      </c>
      <c r="BQ429" s="43">
        <v>555</v>
      </c>
      <c r="BR429" s="43">
        <v>99</v>
      </c>
      <c r="BS429" s="43">
        <v>515</v>
      </c>
      <c r="BT429" s="43">
        <v>344</v>
      </c>
      <c r="BU429" s="43">
        <v>283</v>
      </c>
      <c r="BV429" s="43">
        <v>459</v>
      </c>
      <c r="BW429" s="43">
        <v>370</v>
      </c>
      <c r="BX429" s="43">
        <v>151</v>
      </c>
      <c r="BY429" s="43">
        <v>473</v>
      </c>
      <c r="BZ429" s="43">
        <v>107</v>
      </c>
      <c r="CA429" s="43">
        <v>411</v>
      </c>
      <c r="CB429" s="43">
        <v>414</v>
      </c>
      <c r="CC429" s="43">
        <v>106</v>
      </c>
      <c r="CD429" s="43">
        <v>352</v>
      </c>
      <c r="CE429" s="43">
        <v>100</v>
      </c>
      <c r="CF429" s="43">
        <v>459</v>
      </c>
      <c r="CG429" s="43">
        <v>381</v>
      </c>
      <c r="CH429" s="43">
        <v>104</v>
      </c>
      <c r="CI429" s="43">
        <v>50</v>
      </c>
      <c r="CJ429" s="43">
        <v>464</v>
      </c>
      <c r="CK429" s="43">
        <v>360</v>
      </c>
      <c r="CL429" s="43">
        <v>147</v>
      </c>
      <c r="CM429" s="43">
        <v>416</v>
      </c>
      <c r="CN429" s="43">
        <v>391</v>
      </c>
      <c r="CO429" s="43">
        <v>89</v>
      </c>
      <c r="CP429" s="43">
        <v>416</v>
      </c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43">
        <v>533</v>
      </c>
      <c r="FF429" s="43">
        <v>155</v>
      </c>
      <c r="FG429" s="43">
        <v>572</v>
      </c>
      <c r="FH429" s="43">
        <v>119</v>
      </c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53"/>
      <c r="FZ429" s="53"/>
      <c r="GA429" s="53"/>
      <c r="GB429" s="53"/>
      <c r="GC429" s="53"/>
      <c r="GD429" s="53"/>
      <c r="GE429" s="53"/>
      <c r="GF429" s="53"/>
      <c r="GG429" s="53"/>
      <c r="GH429" s="53"/>
      <c r="GI429" s="43"/>
      <c r="GJ429" s="43"/>
      <c r="GK429" s="43"/>
      <c r="GL429" s="43"/>
      <c r="GM429" s="53"/>
      <c r="GN429" s="53"/>
      <c r="GO429" s="43">
        <v>452</v>
      </c>
      <c r="GP429" s="43">
        <v>234</v>
      </c>
      <c r="GQ429" s="43">
        <v>458</v>
      </c>
      <c r="GR429" s="43">
        <v>226</v>
      </c>
    </row>
    <row r="430" spans="1:200">
      <c r="A430" s="7">
        <v>7308</v>
      </c>
      <c r="B430" s="1" t="s">
        <v>558</v>
      </c>
      <c r="C430" s="33">
        <v>772</v>
      </c>
      <c r="D430" s="34">
        <v>610</v>
      </c>
      <c r="E430" s="19">
        <f t="shared" si="6"/>
        <v>0.7901554404145078</v>
      </c>
      <c r="F430" s="62">
        <v>240</v>
      </c>
      <c r="G430" s="43">
        <v>2</v>
      </c>
      <c r="H430" s="43">
        <v>20</v>
      </c>
      <c r="I430" s="43">
        <v>5</v>
      </c>
      <c r="J430" s="55">
        <v>334</v>
      </c>
      <c r="K430" s="6">
        <v>0</v>
      </c>
      <c r="L430" s="6">
        <v>0</v>
      </c>
      <c r="M430" s="43">
        <v>0</v>
      </c>
      <c r="N430" s="25">
        <v>0</v>
      </c>
      <c r="O430" s="43">
        <v>0</v>
      </c>
      <c r="P430" s="43">
        <v>0</v>
      </c>
      <c r="Q430" s="43">
        <v>0</v>
      </c>
      <c r="R430" s="43">
        <v>0</v>
      </c>
      <c r="S430" s="43">
        <v>0</v>
      </c>
      <c r="T430" s="43">
        <v>0</v>
      </c>
      <c r="U430" s="43">
        <v>0</v>
      </c>
      <c r="V430" s="43">
        <v>0</v>
      </c>
      <c r="W430" s="43">
        <v>1</v>
      </c>
      <c r="X430" s="43">
        <v>0</v>
      </c>
      <c r="Y430" s="43">
        <v>0</v>
      </c>
      <c r="Z430" s="43">
        <v>0</v>
      </c>
      <c r="AA430" s="44">
        <v>0</v>
      </c>
      <c r="AB430" s="44">
        <v>0</v>
      </c>
      <c r="AC430" s="44">
        <v>6</v>
      </c>
      <c r="AD430" s="44">
        <v>11</v>
      </c>
      <c r="AE430" s="44">
        <v>378</v>
      </c>
      <c r="AF430" s="44">
        <v>3</v>
      </c>
      <c r="AG430" s="44">
        <v>0</v>
      </c>
      <c r="AH430" s="44">
        <v>195</v>
      </c>
      <c r="AI430" s="44">
        <v>368</v>
      </c>
      <c r="AJ430" s="44">
        <v>0</v>
      </c>
      <c r="AK430" s="44">
        <v>0</v>
      </c>
      <c r="AL430" s="44">
        <v>225</v>
      </c>
      <c r="AM430" s="48"/>
      <c r="AN430" s="48"/>
      <c r="AO430" s="48"/>
      <c r="AP430" s="44">
        <v>229</v>
      </c>
      <c r="AQ430" s="44">
        <v>331</v>
      </c>
      <c r="AR430" s="51"/>
      <c r="AS430" s="51"/>
      <c r="AT430" s="51"/>
      <c r="AU430" s="51"/>
      <c r="AV430" s="51"/>
      <c r="AW430" s="43">
        <v>213</v>
      </c>
      <c r="AX430" s="43">
        <v>354</v>
      </c>
      <c r="AY430" s="50"/>
      <c r="AZ430" s="50"/>
      <c r="BA430" s="50"/>
      <c r="BB430" s="50"/>
      <c r="BC430" s="50"/>
      <c r="BD430" s="50"/>
      <c r="BE430" s="43">
        <v>270</v>
      </c>
      <c r="BF430" s="43">
        <v>297</v>
      </c>
      <c r="BG430" s="43">
        <v>328</v>
      </c>
      <c r="BH430" s="43">
        <v>251</v>
      </c>
      <c r="BI430" s="43">
        <v>382</v>
      </c>
      <c r="BJ430" s="43">
        <v>184</v>
      </c>
      <c r="BK430" s="43">
        <v>246</v>
      </c>
      <c r="BL430" s="43">
        <v>325</v>
      </c>
      <c r="BM430" s="43">
        <v>246</v>
      </c>
      <c r="BN430" s="43">
        <v>326</v>
      </c>
      <c r="BO430" s="43">
        <v>209</v>
      </c>
      <c r="BP430" s="43">
        <v>339</v>
      </c>
      <c r="BQ430" s="43">
        <v>356</v>
      </c>
      <c r="BR430" s="43">
        <v>195</v>
      </c>
      <c r="BS430" s="43">
        <v>374</v>
      </c>
      <c r="BT430" s="43">
        <v>227</v>
      </c>
      <c r="BU430" s="43">
        <v>325</v>
      </c>
      <c r="BV430" s="43">
        <v>362</v>
      </c>
      <c r="BW430" s="43">
        <v>266</v>
      </c>
      <c r="BX430" s="43">
        <v>167</v>
      </c>
      <c r="BY430" s="43">
        <v>322</v>
      </c>
      <c r="BZ430" s="43">
        <v>166</v>
      </c>
      <c r="CA430" s="43">
        <v>322</v>
      </c>
      <c r="CB430" s="43">
        <v>263</v>
      </c>
      <c r="CC430" s="43">
        <v>179</v>
      </c>
      <c r="CD430" s="43">
        <v>309</v>
      </c>
      <c r="CE430" s="43">
        <v>159</v>
      </c>
      <c r="CF430" s="43">
        <v>314</v>
      </c>
      <c r="CG430" s="43">
        <v>296</v>
      </c>
      <c r="CH430" s="43">
        <v>125</v>
      </c>
      <c r="CI430" s="43">
        <v>116</v>
      </c>
      <c r="CJ430" s="43">
        <v>326</v>
      </c>
      <c r="CK430" s="43">
        <v>301</v>
      </c>
      <c r="CL430" s="43">
        <v>147</v>
      </c>
      <c r="CM430" s="43">
        <v>331</v>
      </c>
      <c r="CN430" s="43">
        <v>316</v>
      </c>
      <c r="CO430" s="43">
        <v>140</v>
      </c>
      <c r="CP430" s="43">
        <v>309</v>
      </c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43">
        <v>418</v>
      </c>
      <c r="FF430" s="43">
        <v>152</v>
      </c>
      <c r="FG430" s="43">
        <v>453</v>
      </c>
      <c r="FH430" s="43">
        <v>123</v>
      </c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43">
        <v>230</v>
      </c>
      <c r="FZ430" s="43">
        <v>347</v>
      </c>
      <c r="GA430" s="53"/>
      <c r="GB430" s="53"/>
      <c r="GC430" s="53"/>
      <c r="GD430" s="53"/>
      <c r="GE430" s="53"/>
      <c r="GF430" s="53"/>
      <c r="GG430" s="53"/>
      <c r="GH430" s="53"/>
      <c r="GI430" s="43"/>
      <c r="GJ430" s="43"/>
      <c r="GK430" s="43"/>
      <c r="GL430" s="43"/>
      <c r="GM430" s="53"/>
      <c r="GN430" s="53"/>
      <c r="GO430" s="43">
        <v>376</v>
      </c>
      <c r="GP430" s="43">
        <v>202</v>
      </c>
      <c r="GQ430" s="43">
        <v>385</v>
      </c>
      <c r="GR430" s="43">
        <v>199</v>
      </c>
    </row>
    <row r="431" spans="1:200">
      <c r="A431" s="7">
        <v>7309</v>
      </c>
      <c r="B431" s="1" t="s">
        <v>559</v>
      </c>
      <c r="C431" s="33">
        <v>1119</v>
      </c>
      <c r="D431" s="34">
        <v>848</v>
      </c>
      <c r="E431" s="19">
        <f t="shared" si="6"/>
        <v>0.75781948168007152</v>
      </c>
      <c r="F431" s="62">
        <v>238</v>
      </c>
      <c r="G431" s="43">
        <v>5</v>
      </c>
      <c r="H431" s="43">
        <v>45</v>
      </c>
      <c r="I431" s="43">
        <v>7</v>
      </c>
      <c r="J431" s="55">
        <v>543</v>
      </c>
      <c r="K431" s="6">
        <v>0</v>
      </c>
      <c r="L431" s="6">
        <v>0</v>
      </c>
      <c r="M431" s="43">
        <v>0</v>
      </c>
      <c r="N431" s="25">
        <v>0</v>
      </c>
      <c r="O431" s="43">
        <v>0</v>
      </c>
      <c r="P431" s="43">
        <v>0</v>
      </c>
      <c r="Q431" s="43">
        <v>0</v>
      </c>
      <c r="R431" s="43">
        <v>0</v>
      </c>
      <c r="S431" s="43">
        <v>0</v>
      </c>
      <c r="T431" s="43">
        <v>0</v>
      </c>
      <c r="U431" s="43">
        <v>0</v>
      </c>
      <c r="V431" s="43">
        <v>0</v>
      </c>
      <c r="W431" s="43">
        <v>1</v>
      </c>
      <c r="X431" s="43">
        <v>0</v>
      </c>
      <c r="Y431" s="43">
        <v>0</v>
      </c>
      <c r="Z431" s="43">
        <v>0</v>
      </c>
      <c r="AA431" s="44">
        <v>0</v>
      </c>
      <c r="AB431" s="44">
        <v>0</v>
      </c>
      <c r="AC431" s="44">
        <v>3</v>
      </c>
      <c r="AD431" s="44">
        <v>23</v>
      </c>
      <c r="AE431" s="44">
        <v>602</v>
      </c>
      <c r="AF431" s="44">
        <v>23</v>
      </c>
      <c r="AG431" s="44">
        <v>0</v>
      </c>
      <c r="AH431" s="44">
        <v>162</v>
      </c>
      <c r="AI431" s="44">
        <v>630</v>
      </c>
      <c r="AJ431" s="44">
        <v>1</v>
      </c>
      <c r="AK431" s="44">
        <v>0</v>
      </c>
      <c r="AL431" s="44">
        <v>194</v>
      </c>
      <c r="AM431" s="48"/>
      <c r="AN431" s="48"/>
      <c r="AO431" s="48"/>
      <c r="AP431" s="44">
        <v>250</v>
      </c>
      <c r="AQ431" s="44">
        <v>546</v>
      </c>
      <c r="AR431" s="51"/>
      <c r="AS431" s="51"/>
      <c r="AT431" s="51"/>
      <c r="AU431" s="51"/>
      <c r="AV431" s="51"/>
      <c r="AW431" s="43">
        <v>226</v>
      </c>
      <c r="AX431" s="43">
        <v>551</v>
      </c>
      <c r="AY431" s="50"/>
      <c r="AZ431" s="50"/>
      <c r="BA431" s="50"/>
      <c r="BB431" s="50"/>
      <c r="BC431" s="50"/>
      <c r="BD431" s="50"/>
      <c r="BE431" s="43">
        <v>436</v>
      </c>
      <c r="BF431" s="43">
        <v>361</v>
      </c>
      <c r="BG431" s="43">
        <v>555</v>
      </c>
      <c r="BH431" s="43">
        <v>240</v>
      </c>
      <c r="BI431" s="43">
        <v>629</v>
      </c>
      <c r="BJ431" s="43">
        <v>168</v>
      </c>
      <c r="BK431" s="43">
        <v>217</v>
      </c>
      <c r="BL431" s="43">
        <v>580</v>
      </c>
      <c r="BM431" s="43">
        <v>392</v>
      </c>
      <c r="BN431" s="43">
        <v>413</v>
      </c>
      <c r="BO431" s="43">
        <v>212</v>
      </c>
      <c r="BP431" s="43">
        <v>563</v>
      </c>
      <c r="BQ431" s="43">
        <v>605</v>
      </c>
      <c r="BR431" s="43">
        <v>178</v>
      </c>
      <c r="BS431" s="43">
        <v>614</v>
      </c>
      <c r="BT431" s="43">
        <v>409</v>
      </c>
      <c r="BU431" s="43">
        <v>366</v>
      </c>
      <c r="BV431" s="43">
        <v>588</v>
      </c>
      <c r="BW431" s="43">
        <v>420</v>
      </c>
      <c r="BX431" s="43">
        <v>251</v>
      </c>
      <c r="BY431" s="43">
        <v>541</v>
      </c>
      <c r="BZ431" s="43">
        <v>174</v>
      </c>
      <c r="CA431" s="43">
        <v>540</v>
      </c>
      <c r="CB431" s="43">
        <v>430</v>
      </c>
      <c r="CC431" s="43">
        <v>216</v>
      </c>
      <c r="CD431" s="43">
        <v>490</v>
      </c>
      <c r="CE431" s="43">
        <v>174</v>
      </c>
      <c r="CF431" s="43">
        <v>504</v>
      </c>
      <c r="CG431" s="43">
        <v>428</v>
      </c>
      <c r="CH431" s="43">
        <v>195</v>
      </c>
      <c r="CI431" s="43">
        <v>103</v>
      </c>
      <c r="CJ431" s="43">
        <v>544</v>
      </c>
      <c r="CK431" s="43">
        <v>440</v>
      </c>
      <c r="CL431" s="43">
        <v>207</v>
      </c>
      <c r="CM431" s="43">
        <v>519</v>
      </c>
      <c r="CN431" s="43">
        <v>508</v>
      </c>
      <c r="CO431" s="43">
        <v>159</v>
      </c>
      <c r="CP431" s="43">
        <v>493</v>
      </c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43">
        <v>599</v>
      </c>
      <c r="FF431" s="43">
        <v>208</v>
      </c>
      <c r="FG431" s="43">
        <v>673</v>
      </c>
      <c r="FH431" s="43">
        <v>142</v>
      </c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53"/>
      <c r="FZ431" s="53"/>
      <c r="GA431" s="53"/>
      <c r="GB431" s="53"/>
      <c r="GC431" s="53"/>
      <c r="GD431" s="53"/>
      <c r="GE431" s="53"/>
      <c r="GF431" s="53"/>
      <c r="GG431" s="53"/>
      <c r="GH431" s="53"/>
      <c r="GI431" s="43"/>
      <c r="GJ431" s="43"/>
      <c r="GK431" s="43"/>
      <c r="GL431" s="43"/>
      <c r="GM431" s="53"/>
      <c r="GN431" s="53"/>
      <c r="GO431" s="43">
        <v>559</v>
      </c>
      <c r="GP431" s="43">
        <v>249</v>
      </c>
      <c r="GQ431" s="43">
        <v>558</v>
      </c>
      <c r="GR431" s="43">
        <v>252</v>
      </c>
    </row>
    <row r="432" spans="1:200">
      <c r="A432" s="7">
        <v>7310</v>
      </c>
      <c r="B432" s="1" t="s">
        <v>560</v>
      </c>
      <c r="C432" s="33">
        <v>887</v>
      </c>
      <c r="D432" s="34">
        <v>764</v>
      </c>
      <c r="E432" s="19">
        <f t="shared" si="6"/>
        <v>0.86133032694475764</v>
      </c>
      <c r="F432" s="62">
        <v>187</v>
      </c>
      <c r="G432" s="43">
        <v>4</v>
      </c>
      <c r="H432" s="43">
        <v>24</v>
      </c>
      <c r="I432" s="43">
        <v>3</v>
      </c>
      <c r="J432" s="55">
        <v>530</v>
      </c>
      <c r="K432" s="6">
        <v>0</v>
      </c>
      <c r="L432" s="6">
        <v>0</v>
      </c>
      <c r="M432" s="43">
        <v>0</v>
      </c>
      <c r="N432" s="25">
        <v>0</v>
      </c>
      <c r="O432" s="43">
        <v>0</v>
      </c>
      <c r="P432" s="43">
        <v>0</v>
      </c>
      <c r="Q432" s="43">
        <v>0</v>
      </c>
      <c r="R432" s="43">
        <v>0</v>
      </c>
      <c r="S432" s="43">
        <v>0</v>
      </c>
      <c r="T432" s="43">
        <v>0</v>
      </c>
      <c r="U432" s="43">
        <v>0</v>
      </c>
      <c r="V432" s="43">
        <v>0</v>
      </c>
      <c r="W432" s="43">
        <v>2</v>
      </c>
      <c r="X432" s="43">
        <v>0</v>
      </c>
      <c r="Y432" s="43">
        <v>0</v>
      </c>
      <c r="Z432" s="43">
        <v>0</v>
      </c>
      <c r="AA432" s="44">
        <v>0</v>
      </c>
      <c r="AB432" s="44">
        <v>0</v>
      </c>
      <c r="AC432" s="44">
        <v>8</v>
      </c>
      <c r="AD432" s="44">
        <v>3</v>
      </c>
      <c r="AE432" s="44">
        <v>604</v>
      </c>
      <c r="AF432" s="44">
        <v>11</v>
      </c>
      <c r="AG432" s="44">
        <v>0</v>
      </c>
      <c r="AH432" s="44">
        <v>113</v>
      </c>
      <c r="AI432" s="44">
        <v>596</v>
      </c>
      <c r="AJ432" s="44">
        <v>0</v>
      </c>
      <c r="AK432" s="44">
        <v>0</v>
      </c>
      <c r="AL432" s="44">
        <v>148</v>
      </c>
      <c r="AM432" s="48"/>
      <c r="AN432" s="48"/>
      <c r="AO432" s="48"/>
      <c r="AP432" s="44">
        <v>143</v>
      </c>
      <c r="AQ432" s="44">
        <v>570</v>
      </c>
      <c r="AR432" s="51"/>
      <c r="AS432" s="51"/>
      <c r="AT432" s="51"/>
      <c r="AU432" s="51"/>
      <c r="AV432" s="51"/>
      <c r="AW432" s="43">
        <v>132</v>
      </c>
      <c r="AX432" s="43">
        <v>574</v>
      </c>
      <c r="AY432" s="50"/>
      <c r="AZ432" s="50"/>
      <c r="BA432" s="50"/>
      <c r="BB432" s="50"/>
      <c r="BC432" s="50"/>
      <c r="BD432" s="50"/>
      <c r="BE432" s="43">
        <v>461</v>
      </c>
      <c r="BF432" s="43">
        <v>253</v>
      </c>
      <c r="BG432" s="43">
        <v>543</v>
      </c>
      <c r="BH432" s="43">
        <v>186</v>
      </c>
      <c r="BI432" s="43">
        <v>558</v>
      </c>
      <c r="BJ432" s="43">
        <v>161</v>
      </c>
      <c r="BK432" s="43">
        <v>185</v>
      </c>
      <c r="BL432" s="43">
        <v>537</v>
      </c>
      <c r="BM432" s="43">
        <v>403</v>
      </c>
      <c r="BN432" s="43">
        <v>319</v>
      </c>
      <c r="BO432" s="43">
        <v>151</v>
      </c>
      <c r="BP432" s="43">
        <v>556</v>
      </c>
      <c r="BQ432" s="43">
        <v>587</v>
      </c>
      <c r="BR432" s="43">
        <v>122</v>
      </c>
      <c r="BS432" s="43">
        <v>591</v>
      </c>
      <c r="BT432" s="43">
        <v>411</v>
      </c>
      <c r="BU432" s="43">
        <v>280</v>
      </c>
      <c r="BV432" s="43">
        <v>526</v>
      </c>
      <c r="BW432" s="43">
        <v>455</v>
      </c>
      <c r="BX432" s="43">
        <v>151</v>
      </c>
      <c r="BY432" s="43">
        <v>492</v>
      </c>
      <c r="BZ432" s="43">
        <v>151</v>
      </c>
      <c r="CA432" s="43">
        <v>468</v>
      </c>
      <c r="CB432" s="43">
        <v>449</v>
      </c>
      <c r="CC432" s="43">
        <v>137</v>
      </c>
      <c r="CD432" s="43">
        <v>394</v>
      </c>
      <c r="CE432" s="43">
        <v>142</v>
      </c>
      <c r="CF432" s="43">
        <v>471</v>
      </c>
      <c r="CG432" s="43">
        <v>455</v>
      </c>
      <c r="CH432" s="43">
        <v>118</v>
      </c>
      <c r="CI432" s="43">
        <v>78</v>
      </c>
      <c r="CJ432" s="43">
        <v>514</v>
      </c>
      <c r="CK432" s="43">
        <v>432</v>
      </c>
      <c r="CL432" s="43">
        <v>142</v>
      </c>
      <c r="CM432" s="43">
        <v>466</v>
      </c>
      <c r="CN432" s="43">
        <v>455</v>
      </c>
      <c r="CO432" s="43">
        <v>131</v>
      </c>
      <c r="CP432" s="43">
        <v>454</v>
      </c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43">
        <v>549</v>
      </c>
      <c r="FF432" s="43">
        <v>180</v>
      </c>
      <c r="FG432" s="43">
        <v>595</v>
      </c>
      <c r="FH432" s="43">
        <v>138</v>
      </c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53"/>
      <c r="FZ432" s="53"/>
      <c r="GA432" s="53"/>
      <c r="GB432" s="53"/>
      <c r="GC432" s="53"/>
      <c r="GD432" s="53"/>
      <c r="GE432" s="53"/>
      <c r="GF432" s="53"/>
      <c r="GG432" s="53"/>
      <c r="GH432" s="53"/>
      <c r="GI432" s="43"/>
      <c r="GJ432" s="43"/>
      <c r="GK432" s="43"/>
      <c r="GL432" s="43"/>
      <c r="GM432" s="53"/>
      <c r="GN432" s="53"/>
      <c r="GO432" s="43">
        <v>468</v>
      </c>
      <c r="GP432" s="43">
        <v>257</v>
      </c>
      <c r="GQ432" s="43">
        <v>479</v>
      </c>
      <c r="GR432" s="43">
        <v>249</v>
      </c>
    </row>
    <row r="433" spans="1:200">
      <c r="A433" s="7">
        <v>7311</v>
      </c>
      <c r="B433" s="1" t="s">
        <v>561</v>
      </c>
      <c r="C433" s="33">
        <v>1195</v>
      </c>
      <c r="D433" s="34">
        <v>1008</v>
      </c>
      <c r="E433" s="19">
        <f t="shared" si="6"/>
        <v>0.84351464435146439</v>
      </c>
      <c r="F433" s="62">
        <v>220</v>
      </c>
      <c r="G433" s="43">
        <v>6</v>
      </c>
      <c r="H433" s="43">
        <v>32</v>
      </c>
      <c r="I433" s="43">
        <v>5</v>
      </c>
      <c r="J433" s="55">
        <v>706</v>
      </c>
      <c r="K433" s="6">
        <v>0</v>
      </c>
      <c r="L433" s="6">
        <v>0</v>
      </c>
      <c r="M433" s="43">
        <v>0</v>
      </c>
      <c r="N433" s="25">
        <v>0</v>
      </c>
      <c r="O433" s="43">
        <v>0</v>
      </c>
      <c r="P433" s="43">
        <v>0</v>
      </c>
      <c r="Q433" s="43">
        <v>0</v>
      </c>
      <c r="R433" s="43">
        <v>0</v>
      </c>
      <c r="S433" s="43">
        <v>0</v>
      </c>
      <c r="T433" s="43">
        <v>0</v>
      </c>
      <c r="U433" s="43">
        <v>0</v>
      </c>
      <c r="V433" s="43">
        <v>0</v>
      </c>
      <c r="W433" s="43">
        <v>3</v>
      </c>
      <c r="X433" s="43">
        <v>0</v>
      </c>
      <c r="Y433" s="43">
        <v>0</v>
      </c>
      <c r="Z433" s="43">
        <v>0</v>
      </c>
      <c r="AA433" s="44">
        <v>0</v>
      </c>
      <c r="AB433" s="44">
        <v>0</v>
      </c>
      <c r="AC433" s="44">
        <v>10</v>
      </c>
      <c r="AD433" s="44">
        <v>9</v>
      </c>
      <c r="AE433" s="44">
        <v>812</v>
      </c>
      <c r="AF433" s="44">
        <v>9</v>
      </c>
      <c r="AG433" s="44">
        <v>0</v>
      </c>
      <c r="AH433" s="44">
        <v>137</v>
      </c>
      <c r="AI433" s="44">
        <v>811</v>
      </c>
      <c r="AJ433" s="44">
        <v>0</v>
      </c>
      <c r="AK433" s="44">
        <v>0</v>
      </c>
      <c r="AL433" s="44">
        <v>169</v>
      </c>
      <c r="AM433" s="48"/>
      <c r="AN433" s="48"/>
      <c r="AO433" s="48"/>
      <c r="AP433" s="44">
        <v>186</v>
      </c>
      <c r="AQ433" s="44">
        <v>738</v>
      </c>
      <c r="AR433" s="51"/>
      <c r="AS433" s="51"/>
      <c r="AT433" s="51"/>
      <c r="AU433" s="51"/>
      <c r="AV433" s="51"/>
      <c r="AW433" s="43">
        <v>157</v>
      </c>
      <c r="AX433" s="43">
        <v>765</v>
      </c>
      <c r="AY433" s="50"/>
      <c r="AZ433" s="50"/>
      <c r="BA433" s="50"/>
      <c r="BB433" s="50"/>
      <c r="BC433" s="50"/>
      <c r="BD433" s="50"/>
      <c r="BE433" s="43">
        <v>590</v>
      </c>
      <c r="BF433" s="43">
        <v>346</v>
      </c>
      <c r="BG433" s="43">
        <v>742</v>
      </c>
      <c r="BH433" s="43">
        <v>208</v>
      </c>
      <c r="BI433" s="43">
        <v>757</v>
      </c>
      <c r="BJ433" s="43">
        <v>186</v>
      </c>
      <c r="BK433" s="43">
        <v>247</v>
      </c>
      <c r="BL433" s="43">
        <v>702</v>
      </c>
      <c r="BM433" s="43">
        <v>539</v>
      </c>
      <c r="BN433" s="43">
        <v>411</v>
      </c>
      <c r="BO433" s="43">
        <v>183</v>
      </c>
      <c r="BP433" s="43">
        <v>743</v>
      </c>
      <c r="BQ433" s="43">
        <v>798</v>
      </c>
      <c r="BR433" s="43">
        <v>136</v>
      </c>
      <c r="BS433" s="43">
        <v>761</v>
      </c>
      <c r="BT433" s="43">
        <v>499</v>
      </c>
      <c r="BU433" s="43">
        <v>408</v>
      </c>
      <c r="BV433" s="43">
        <v>686</v>
      </c>
      <c r="BW433" s="43">
        <v>512</v>
      </c>
      <c r="BX433" s="43">
        <v>259</v>
      </c>
      <c r="BY433" s="43">
        <v>685</v>
      </c>
      <c r="BZ433" s="43">
        <v>165</v>
      </c>
      <c r="CA433" s="43">
        <v>625</v>
      </c>
      <c r="CB433" s="43">
        <v>579</v>
      </c>
      <c r="CC433" s="43">
        <v>183</v>
      </c>
      <c r="CD433" s="43">
        <v>555</v>
      </c>
      <c r="CE433" s="43">
        <v>159</v>
      </c>
      <c r="CF433" s="43">
        <v>658</v>
      </c>
      <c r="CG433" s="43">
        <v>543</v>
      </c>
      <c r="CH433" s="43">
        <v>200</v>
      </c>
      <c r="CI433" s="43">
        <v>106</v>
      </c>
      <c r="CJ433" s="43">
        <v>656</v>
      </c>
      <c r="CK433" s="43">
        <v>483</v>
      </c>
      <c r="CL433" s="43">
        <v>251</v>
      </c>
      <c r="CM433" s="43">
        <v>612</v>
      </c>
      <c r="CN433" s="43">
        <v>585</v>
      </c>
      <c r="CO433" s="43">
        <v>164</v>
      </c>
      <c r="CP433" s="43">
        <v>589</v>
      </c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43">
        <v>741</v>
      </c>
      <c r="FF433" s="43">
        <v>220</v>
      </c>
      <c r="FG433" s="43">
        <v>814</v>
      </c>
      <c r="FH433" s="43">
        <v>153</v>
      </c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53"/>
      <c r="FZ433" s="53"/>
      <c r="GA433" s="53"/>
      <c r="GB433" s="53"/>
      <c r="GC433" s="53"/>
      <c r="GD433" s="53"/>
      <c r="GE433" s="53"/>
      <c r="GF433" s="53"/>
      <c r="GG433" s="53"/>
      <c r="GH433" s="53"/>
      <c r="GI433" s="43"/>
      <c r="GJ433" s="43"/>
      <c r="GK433" s="43"/>
      <c r="GL433" s="43"/>
      <c r="GM433" s="53"/>
      <c r="GN433" s="53"/>
      <c r="GO433" s="43">
        <v>663</v>
      </c>
      <c r="GP433" s="43">
        <v>300</v>
      </c>
      <c r="GQ433" s="43">
        <v>639</v>
      </c>
      <c r="GR433" s="43">
        <v>312</v>
      </c>
    </row>
    <row r="434" spans="1:200">
      <c r="A434" s="7">
        <v>7312</v>
      </c>
      <c r="B434" s="1" t="s">
        <v>562</v>
      </c>
      <c r="C434" s="33">
        <v>1273</v>
      </c>
      <c r="D434" s="34">
        <v>1037</v>
      </c>
      <c r="E434" s="19">
        <f t="shared" si="6"/>
        <v>0.81461115475255308</v>
      </c>
      <c r="F434" s="62">
        <v>299</v>
      </c>
      <c r="G434" s="43">
        <v>2</v>
      </c>
      <c r="H434" s="43">
        <v>23</v>
      </c>
      <c r="I434" s="43">
        <v>2</v>
      </c>
      <c r="J434" s="55">
        <v>689</v>
      </c>
      <c r="K434" s="6">
        <v>0</v>
      </c>
      <c r="L434" s="6">
        <v>0</v>
      </c>
      <c r="M434" s="43">
        <v>0</v>
      </c>
      <c r="N434" s="25">
        <v>0</v>
      </c>
      <c r="O434" s="43">
        <v>0</v>
      </c>
      <c r="P434" s="43">
        <v>0</v>
      </c>
      <c r="Q434" s="43">
        <v>0</v>
      </c>
      <c r="R434" s="43">
        <v>0</v>
      </c>
      <c r="S434" s="43">
        <v>0</v>
      </c>
      <c r="T434" s="43">
        <v>0</v>
      </c>
      <c r="U434" s="43">
        <v>0</v>
      </c>
      <c r="V434" s="43">
        <v>0</v>
      </c>
      <c r="W434" s="43">
        <v>5</v>
      </c>
      <c r="X434" s="43">
        <v>0</v>
      </c>
      <c r="Y434" s="43">
        <v>0</v>
      </c>
      <c r="Z434" s="43">
        <v>0</v>
      </c>
      <c r="AA434" s="44">
        <v>0</v>
      </c>
      <c r="AB434" s="44">
        <v>0</v>
      </c>
      <c r="AC434" s="44">
        <v>7</v>
      </c>
      <c r="AD434" s="44">
        <v>14</v>
      </c>
      <c r="AE434" s="44">
        <v>771</v>
      </c>
      <c r="AF434" s="44">
        <v>9</v>
      </c>
      <c r="AG434" s="44">
        <v>0</v>
      </c>
      <c r="AH434" s="44">
        <v>200</v>
      </c>
      <c r="AI434" s="44">
        <v>765</v>
      </c>
      <c r="AJ434" s="44">
        <v>0</v>
      </c>
      <c r="AK434" s="44">
        <v>0</v>
      </c>
      <c r="AL434" s="44">
        <v>243</v>
      </c>
      <c r="AM434" s="48"/>
      <c r="AN434" s="48"/>
      <c r="AO434" s="48"/>
      <c r="AP434" s="44">
        <v>237</v>
      </c>
      <c r="AQ434" s="44">
        <v>715</v>
      </c>
      <c r="AR434" s="51"/>
      <c r="AS434" s="51"/>
      <c r="AT434" s="51"/>
      <c r="AU434" s="51"/>
      <c r="AV434" s="51"/>
      <c r="AW434" s="43">
        <v>228</v>
      </c>
      <c r="AX434" s="43">
        <v>741</v>
      </c>
      <c r="AY434" s="50"/>
      <c r="AZ434" s="50"/>
      <c r="BA434" s="50"/>
      <c r="BB434" s="50"/>
      <c r="BC434" s="50"/>
      <c r="BD434" s="50"/>
      <c r="BE434" s="43">
        <v>573</v>
      </c>
      <c r="BF434" s="43">
        <v>401</v>
      </c>
      <c r="BG434" s="43">
        <v>704</v>
      </c>
      <c r="BH434" s="43">
        <v>280</v>
      </c>
      <c r="BI434" s="43">
        <v>734</v>
      </c>
      <c r="BJ434" s="43">
        <v>233</v>
      </c>
      <c r="BK434" s="43">
        <v>305</v>
      </c>
      <c r="BL434" s="43">
        <v>673</v>
      </c>
      <c r="BM434" s="43">
        <v>509</v>
      </c>
      <c r="BN434" s="43">
        <v>464</v>
      </c>
      <c r="BO434" s="43">
        <v>271</v>
      </c>
      <c r="BP434" s="43">
        <v>674</v>
      </c>
      <c r="BQ434" s="43">
        <v>750</v>
      </c>
      <c r="BR434" s="43">
        <v>212</v>
      </c>
      <c r="BS434" s="43">
        <v>786</v>
      </c>
      <c r="BT434" s="43">
        <v>506</v>
      </c>
      <c r="BU434" s="43">
        <v>444</v>
      </c>
      <c r="BV434" s="43">
        <v>744</v>
      </c>
      <c r="BW434" s="43">
        <v>540</v>
      </c>
      <c r="BX434" s="43">
        <v>287</v>
      </c>
      <c r="BY434" s="43">
        <v>671</v>
      </c>
      <c r="BZ434" s="43">
        <v>211</v>
      </c>
      <c r="CA434" s="43">
        <v>691</v>
      </c>
      <c r="CB434" s="43">
        <v>569</v>
      </c>
      <c r="CC434" s="43">
        <v>228</v>
      </c>
      <c r="CD434" s="43">
        <v>634</v>
      </c>
      <c r="CE434" s="43">
        <v>226</v>
      </c>
      <c r="CF434" s="43">
        <v>632</v>
      </c>
      <c r="CG434" s="43">
        <v>564</v>
      </c>
      <c r="CH434" s="43">
        <v>222</v>
      </c>
      <c r="CI434" s="43">
        <v>125</v>
      </c>
      <c r="CJ434" s="43">
        <v>684</v>
      </c>
      <c r="CK434" s="43">
        <v>566</v>
      </c>
      <c r="CL434" s="43">
        <v>250</v>
      </c>
      <c r="CM434" s="43">
        <v>661</v>
      </c>
      <c r="CN434" s="43">
        <v>659</v>
      </c>
      <c r="CO434" s="43">
        <v>210</v>
      </c>
      <c r="CP434" s="43">
        <v>591</v>
      </c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43">
        <v>798</v>
      </c>
      <c r="FF434" s="43">
        <v>192</v>
      </c>
      <c r="FG434" s="43">
        <v>868</v>
      </c>
      <c r="FH434" s="43">
        <v>133</v>
      </c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53"/>
      <c r="FZ434" s="53"/>
      <c r="GA434" s="53"/>
      <c r="GB434" s="53"/>
      <c r="GC434" s="53"/>
      <c r="GD434" s="53"/>
      <c r="GE434" s="53"/>
      <c r="GF434" s="53"/>
      <c r="GG434" s="53"/>
      <c r="GH434" s="53"/>
      <c r="GI434" s="43"/>
      <c r="GJ434" s="43"/>
      <c r="GK434" s="43"/>
      <c r="GL434" s="43"/>
      <c r="GM434" s="53"/>
      <c r="GN434" s="53"/>
      <c r="GO434" s="43">
        <v>714</v>
      </c>
      <c r="GP434" s="43">
        <v>283</v>
      </c>
      <c r="GQ434" s="43">
        <v>732</v>
      </c>
      <c r="GR434" s="43">
        <v>264</v>
      </c>
    </row>
    <row r="435" spans="1:200">
      <c r="A435" s="7">
        <v>7313</v>
      </c>
      <c r="B435" s="1" t="s">
        <v>563</v>
      </c>
      <c r="C435" s="33">
        <v>766</v>
      </c>
      <c r="D435" s="34">
        <v>655</v>
      </c>
      <c r="E435" s="19">
        <f t="shared" si="6"/>
        <v>0.85509138381201044</v>
      </c>
      <c r="F435" s="62">
        <v>129</v>
      </c>
      <c r="G435" s="43">
        <v>4</v>
      </c>
      <c r="H435" s="43">
        <v>23</v>
      </c>
      <c r="I435" s="43">
        <v>1</v>
      </c>
      <c r="J435" s="55">
        <v>482</v>
      </c>
      <c r="K435" s="6">
        <v>0</v>
      </c>
      <c r="L435" s="6">
        <v>0</v>
      </c>
      <c r="M435" s="43">
        <v>0</v>
      </c>
      <c r="N435" s="25">
        <v>0</v>
      </c>
      <c r="O435" s="43">
        <v>0</v>
      </c>
      <c r="P435" s="43">
        <v>0</v>
      </c>
      <c r="Q435" s="43">
        <v>0</v>
      </c>
      <c r="R435" s="43">
        <v>0</v>
      </c>
      <c r="S435" s="43">
        <v>0</v>
      </c>
      <c r="T435" s="43">
        <v>0</v>
      </c>
      <c r="U435" s="43">
        <v>0</v>
      </c>
      <c r="V435" s="43">
        <v>0</v>
      </c>
      <c r="W435" s="43">
        <v>5</v>
      </c>
      <c r="X435" s="43">
        <v>0</v>
      </c>
      <c r="Y435" s="43">
        <v>0</v>
      </c>
      <c r="Z435" s="43">
        <v>0</v>
      </c>
      <c r="AA435" s="44">
        <v>0</v>
      </c>
      <c r="AB435" s="44">
        <v>0</v>
      </c>
      <c r="AC435" s="44">
        <v>6</v>
      </c>
      <c r="AD435" s="44">
        <v>3</v>
      </c>
      <c r="AE435" s="44">
        <v>544</v>
      </c>
      <c r="AF435" s="44">
        <v>2</v>
      </c>
      <c r="AG435" s="44">
        <v>0</v>
      </c>
      <c r="AH435" s="44">
        <v>79</v>
      </c>
      <c r="AI435" s="44">
        <v>543</v>
      </c>
      <c r="AJ435" s="44">
        <v>0</v>
      </c>
      <c r="AK435" s="44">
        <v>0</v>
      </c>
      <c r="AL435" s="44">
        <v>95</v>
      </c>
      <c r="AM435" s="48"/>
      <c r="AN435" s="48"/>
      <c r="AO435" s="48"/>
      <c r="AP435" s="44">
        <v>115</v>
      </c>
      <c r="AQ435" s="44">
        <v>506</v>
      </c>
      <c r="AR435" s="51"/>
      <c r="AS435" s="51"/>
      <c r="AT435" s="51"/>
      <c r="AU435" s="51"/>
      <c r="AV435" s="51"/>
      <c r="AW435" s="43">
        <v>92</v>
      </c>
      <c r="AX435" s="43">
        <v>519</v>
      </c>
      <c r="AY435" s="50"/>
      <c r="AZ435" s="50"/>
      <c r="BA435" s="50"/>
      <c r="BB435" s="50"/>
      <c r="BC435" s="50"/>
      <c r="BD435" s="50"/>
      <c r="BE435" s="43">
        <v>432</v>
      </c>
      <c r="BF435" s="43">
        <v>189</v>
      </c>
      <c r="BG435" s="43">
        <v>497</v>
      </c>
      <c r="BH435" s="43">
        <v>125</v>
      </c>
      <c r="BI435" s="43">
        <v>523</v>
      </c>
      <c r="BJ435" s="43">
        <v>84</v>
      </c>
      <c r="BK435" s="43">
        <v>137</v>
      </c>
      <c r="BL435" s="43">
        <v>480</v>
      </c>
      <c r="BM435" s="43">
        <v>384</v>
      </c>
      <c r="BN435" s="43">
        <v>233</v>
      </c>
      <c r="BO435" s="43">
        <v>99</v>
      </c>
      <c r="BP435" s="43">
        <v>497</v>
      </c>
      <c r="BQ435" s="43">
        <v>530</v>
      </c>
      <c r="BR435" s="43">
        <v>83</v>
      </c>
      <c r="BS435" s="43">
        <v>505</v>
      </c>
      <c r="BT435" s="43">
        <v>359</v>
      </c>
      <c r="BU435" s="43">
        <v>234</v>
      </c>
      <c r="BV435" s="43">
        <v>448</v>
      </c>
      <c r="BW435" s="43">
        <v>371</v>
      </c>
      <c r="BX435" s="43">
        <v>130</v>
      </c>
      <c r="BY435" s="43">
        <v>453</v>
      </c>
      <c r="BZ435" s="43">
        <v>90</v>
      </c>
      <c r="CA435" s="43">
        <v>408</v>
      </c>
      <c r="CB435" s="43">
        <v>391</v>
      </c>
      <c r="CC435" s="43">
        <v>101</v>
      </c>
      <c r="CD435" s="43">
        <v>357</v>
      </c>
      <c r="CE435" s="43">
        <v>96</v>
      </c>
      <c r="CF435" s="43">
        <v>432</v>
      </c>
      <c r="CG435" s="43">
        <v>369</v>
      </c>
      <c r="CH435" s="43">
        <v>96</v>
      </c>
      <c r="CI435" s="43">
        <v>58</v>
      </c>
      <c r="CJ435" s="43">
        <v>439</v>
      </c>
      <c r="CK435" s="43">
        <v>367</v>
      </c>
      <c r="CL435" s="43">
        <v>120</v>
      </c>
      <c r="CM435" s="43">
        <v>399</v>
      </c>
      <c r="CN435" s="43">
        <v>384</v>
      </c>
      <c r="CO435" s="43">
        <v>87</v>
      </c>
      <c r="CP435" s="43">
        <v>401</v>
      </c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43">
        <v>465</v>
      </c>
      <c r="FF435" s="43">
        <v>157</v>
      </c>
      <c r="FG435" s="43">
        <v>492</v>
      </c>
      <c r="FH435" s="43">
        <v>130</v>
      </c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53"/>
      <c r="FZ435" s="53"/>
      <c r="GA435" s="53"/>
      <c r="GB435" s="53"/>
      <c r="GC435" s="53"/>
      <c r="GD435" s="53"/>
      <c r="GE435" s="53"/>
      <c r="GF435" s="53"/>
      <c r="GG435" s="53"/>
      <c r="GH435" s="53"/>
      <c r="GI435" s="43"/>
      <c r="GJ435" s="43"/>
      <c r="GK435" s="43"/>
      <c r="GL435" s="43"/>
      <c r="GM435" s="53"/>
      <c r="GN435" s="53"/>
      <c r="GO435" s="43">
        <v>383</v>
      </c>
      <c r="GP435" s="43">
        <v>229</v>
      </c>
      <c r="GQ435" s="43">
        <v>393</v>
      </c>
      <c r="GR435" s="43">
        <v>223</v>
      </c>
    </row>
    <row r="436" spans="1:200">
      <c r="A436" s="7">
        <v>7314</v>
      </c>
      <c r="B436" s="1" t="s">
        <v>564</v>
      </c>
      <c r="C436" s="33">
        <v>1239</v>
      </c>
      <c r="D436" s="34">
        <v>954</v>
      </c>
      <c r="E436" s="19">
        <f t="shared" si="6"/>
        <v>0.76997578692493951</v>
      </c>
      <c r="F436" s="62">
        <v>227</v>
      </c>
      <c r="G436" s="43">
        <v>2</v>
      </c>
      <c r="H436" s="43">
        <v>47</v>
      </c>
      <c r="I436" s="43">
        <v>8</v>
      </c>
      <c r="J436" s="55">
        <v>650</v>
      </c>
      <c r="K436" s="6">
        <v>0</v>
      </c>
      <c r="L436" s="6">
        <v>0</v>
      </c>
      <c r="M436" s="43">
        <v>0</v>
      </c>
      <c r="N436" s="25">
        <v>0</v>
      </c>
      <c r="O436" s="43">
        <v>0</v>
      </c>
      <c r="P436" s="43">
        <v>0</v>
      </c>
      <c r="Q436" s="43">
        <v>0</v>
      </c>
      <c r="R436" s="43">
        <v>0</v>
      </c>
      <c r="S436" s="43">
        <v>0</v>
      </c>
      <c r="T436" s="43">
        <v>0</v>
      </c>
      <c r="U436" s="43">
        <v>0</v>
      </c>
      <c r="V436" s="43">
        <v>0</v>
      </c>
      <c r="W436" s="43">
        <v>2</v>
      </c>
      <c r="X436" s="43">
        <v>0</v>
      </c>
      <c r="Y436" s="43">
        <v>0</v>
      </c>
      <c r="Z436" s="43">
        <v>0</v>
      </c>
      <c r="AA436" s="44">
        <v>0</v>
      </c>
      <c r="AB436" s="44">
        <v>0</v>
      </c>
      <c r="AC436" s="44">
        <v>14</v>
      </c>
      <c r="AD436" s="44">
        <v>7</v>
      </c>
      <c r="AE436" s="44">
        <v>698</v>
      </c>
      <c r="AF436" s="44">
        <v>16</v>
      </c>
      <c r="AG436" s="44">
        <v>0</v>
      </c>
      <c r="AH436" s="44">
        <v>168</v>
      </c>
      <c r="AI436" s="44">
        <v>728</v>
      </c>
      <c r="AJ436" s="44">
        <v>0</v>
      </c>
      <c r="AK436" s="44">
        <v>0</v>
      </c>
      <c r="AL436" s="44">
        <v>177</v>
      </c>
      <c r="AM436" s="48"/>
      <c r="AN436" s="48"/>
      <c r="AO436" s="48"/>
      <c r="AP436" s="44">
        <v>229</v>
      </c>
      <c r="AQ436" s="44">
        <v>641</v>
      </c>
      <c r="AR436" s="51"/>
      <c r="AS436" s="51"/>
      <c r="AT436" s="51"/>
      <c r="AU436" s="51"/>
      <c r="AV436" s="51"/>
      <c r="AW436" s="43">
        <v>202</v>
      </c>
      <c r="AX436" s="43">
        <v>652</v>
      </c>
      <c r="AY436" s="50"/>
      <c r="AZ436" s="50"/>
      <c r="BA436" s="50"/>
      <c r="BB436" s="50"/>
      <c r="BC436" s="50"/>
      <c r="BD436" s="50"/>
      <c r="BE436" s="43">
        <v>528</v>
      </c>
      <c r="BF436" s="43">
        <v>334</v>
      </c>
      <c r="BG436" s="43">
        <v>643</v>
      </c>
      <c r="BH436" s="43">
        <v>235</v>
      </c>
      <c r="BI436" s="43">
        <v>679</v>
      </c>
      <c r="BJ436" s="43">
        <v>186</v>
      </c>
      <c r="BK436" s="43">
        <v>237</v>
      </c>
      <c r="BL436" s="43">
        <v>639</v>
      </c>
      <c r="BM436" s="43">
        <v>448</v>
      </c>
      <c r="BN436" s="43">
        <v>427</v>
      </c>
      <c r="BO436" s="43">
        <v>193</v>
      </c>
      <c r="BP436" s="43">
        <v>649</v>
      </c>
      <c r="BQ436" s="43">
        <v>663</v>
      </c>
      <c r="BR436" s="43">
        <v>184</v>
      </c>
      <c r="BS436" s="43">
        <v>682</v>
      </c>
      <c r="BT436" s="43">
        <v>465</v>
      </c>
      <c r="BU436" s="43">
        <v>360</v>
      </c>
      <c r="BV436" s="43">
        <v>636</v>
      </c>
      <c r="BW436" s="43">
        <v>491</v>
      </c>
      <c r="BX436" s="43">
        <v>216</v>
      </c>
      <c r="BY436" s="43">
        <v>625</v>
      </c>
      <c r="BZ436" s="43">
        <v>136</v>
      </c>
      <c r="CA436" s="43">
        <v>600</v>
      </c>
      <c r="CB436" s="43">
        <v>507</v>
      </c>
      <c r="CC436" s="43">
        <v>174</v>
      </c>
      <c r="CD436" s="43">
        <v>517</v>
      </c>
      <c r="CE436" s="43">
        <v>171</v>
      </c>
      <c r="CF436" s="43">
        <v>539</v>
      </c>
      <c r="CG436" s="43">
        <v>506</v>
      </c>
      <c r="CH436" s="43">
        <v>160</v>
      </c>
      <c r="CI436" s="43">
        <v>92</v>
      </c>
      <c r="CJ436" s="43">
        <v>608</v>
      </c>
      <c r="CK436" s="43">
        <v>516</v>
      </c>
      <c r="CL436" s="43">
        <v>179</v>
      </c>
      <c r="CM436" s="43">
        <v>589</v>
      </c>
      <c r="CN436" s="43">
        <v>574</v>
      </c>
      <c r="CO436" s="43">
        <v>161</v>
      </c>
      <c r="CP436" s="43">
        <v>539</v>
      </c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43">
        <v>684</v>
      </c>
      <c r="FF436" s="43">
        <v>209</v>
      </c>
      <c r="FG436" s="43">
        <v>756</v>
      </c>
      <c r="FH436" s="43">
        <v>147</v>
      </c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53"/>
      <c r="FZ436" s="53"/>
      <c r="GA436" s="53"/>
      <c r="GB436" s="53"/>
      <c r="GC436" s="53"/>
      <c r="GD436" s="53"/>
      <c r="GE436" s="53"/>
      <c r="GF436" s="53"/>
      <c r="GG436" s="53"/>
      <c r="GH436" s="53"/>
      <c r="GI436" s="43"/>
      <c r="GJ436" s="43"/>
      <c r="GK436" s="43"/>
      <c r="GL436" s="43"/>
      <c r="GM436" s="53"/>
      <c r="GN436" s="53"/>
      <c r="GO436" s="43">
        <v>603</v>
      </c>
      <c r="GP436" s="43">
        <v>293</v>
      </c>
      <c r="GQ436" s="43">
        <v>614</v>
      </c>
      <c r="GR436" s="43">
        <v>275</v>
      </c>
    </row>
    <row r="437" spans="1:200">
      <c r="A437" s="7">
        <v>7315</v>
      </c>
      <c r="B437" s="1" t="s">
        <v>565</v>
      </c>
      <c r="C437" s="33">
        <v>1206</v>
      </c>
      <c r="D437" s="34">
        <v>972</v>
      </c>
      <c r="E437" s="19">
        <f t="shared" si="6"/>
        <v>0.80597014925373134</v>
      </c>
      <c r="F437" s="62">
        <v>345</v>
      </c>
      <c r="G437" s="43">
        <v>2</v>
      </c>
      <c r="H437" s="43">
        <v>43</v>
      </c>
      <c r="I437" s="43">
        <v>10</v>
      </c>
      <c r="J437" s="55">
        <v>552</v>
      </c>
      <c r="K437" s="6">
        <v>0</v>
      </c>
      <c r="L437" s="6">
        <v>0</v>
      </c>
      <c r="M437" s="43">
        <v>0</v>
      </c>
      <c r="N437" s="25">
        <v>0</v>
      </c>
      <c r="O437" s="43">
        <v>0</v>
      </c>
      <c r="P437" s="43">
        <v>0</v>
      </c>
      <c r="Q437" s="43">
        <v>0</v>
      </c>
      <c r="R437" s="43">
        <v>0</v>
      </c>
      <c r="S437" s="43">
        <v>0</v>
      </c>
      <c r="T437" s="43">
        <v>0</v>
      </c>
      <c r="U437" s="43">
        <v>0</v>
      </c>
      <c r="V437" s="43">
        <v>0</v>
      </c>
      <c r="W437" s="43">
        <v>8</v>
      </c>
      <c r="X437" s="43">
        <v>0</v>
      </c>
      <c r="Y437" s="43">
        <v>0</v>
      </c>
      <c r="Z437" s="43">
        <v>0</v>
      </c>
      <c r="AA437" s="44">
        <v>0</v>
      </c>
      <c r="AB437" s="44">
        <v>0</v>
      </c>
      <c r="AC437" s="44">
        <v>13</v>
      </c>
      <c r="AD437" s="44">
        <v>13</v>
      </c>
      <c r="AE437" s="44">
        <v>628</v>
      </c>
      <c r="AF437" s="44">
        <v>10</v>
      </c>
      <c r="AG437" s="44">
        <v>0</v>
      </c>
      <c r="AH437" s="44">
        <v>273</v>
      </c>
      <c r="AI437" s="44">
        <v>640</v>
      </c>
      <c r="AJ437" s="44">
        <v>0</v>
      </c>
      <c r="AK437" s="44">
        <v>0</v>
      </c>
      <c r="AL437" s="44">
        <v>296</v>
      </c>
      <c r="AM437" s="48"/>
      <c r="AN437" s="48"/>
      <c r="AO437" s="48"/>
      <c r="AP437" s="44">
        <v>299</v>
      </c>
      <c r="AQ437" s="44">
        <v>576</v>
      </c>
      <c r="AR437" s="51"/>
      <c r="AS437" s="51"/>
      <c r="AT437" s="51"/>
      <c r="AU437" s="51"/>
      <c r="AV437" s="51"/>
      <c r="AW437" s="43">
        <v>280</v>
      </c>
      <c r="AX437" s="43">
        <v>588</v>
      </c>
      <c r="AY437" s="50"/>
      <c r="AZ437" s="50"/>
      <c r="BA437" s="50"/>
      <c r="BB437" s="50"/>
      <c r="BC437" s="50"/>
      <c r="BD437" s="50"/>
      <c r="BE437" s="43">
        <v>457</v>
      </c>
      <c r="BF437" s="43">
        <v>434</v>
      </c>
      <c r="BG437" s="43">
        <v>588</v>
      </c>
      <c r="BH437" s="43">
        <v>315</v>
      </c>
      <c r="BI437" s="43">
        <v>592</v>
      </c>
      <c r="BJ437" s="43">
        <v>304</v>
      </c>
      <c r="BK437" s="43">
        <v>357</v>
      </c>
      <c r="BL437" s="43">
        <v>548</v>
      </c>
      <c r="BM437" s="43">
        <v>394</v>
      </c>
      <c r="BN437" s="43">
        <v>506</v>
      </c>
      <c r="BO437" s="43">
        <v>305</v>
      </c>
      <c r="BP437" s="43">
        <v>565</v>
      </c>
      <c r="BQ437" s="43">
        <v>604</v>
      </c>
      <c r="BR437" s="43">
        <v>272</v>
      </c>
      <c r="BS437" s="43">
        <v>651</v>
      </c>
      <c r="BT437" s="43">
        <v>387</v>
      </c>
      <c r="BU437" s="43">
        <v>488</v>
      </c>
      <c r="BV437" s="43">
        <v>616</v>
      </c>
      <c r="BW437" s="43">
        <v>444</v>
      </c>
      <c r="BX437" s="43">
        <v>278</v>
      </c>
      <c r="BY437" s="43">
        <v>520</v>
      </c>
      <c r="BZ437" s="43">
        <v>256</v>
      </c>
      <c r="CA437" s="43">
        <v>564</v>
      </c>
      <c r="CB437" s="43">
        <v>373</v>
      </c>
      <c r="CC437" s="43">
        <v>339</v>
      </c>
      <c r="CD437" s="43">
        <v>546</v>
      </c>
      <c r="CE437" s="43">
        <v>254</v>
      </c>
      <c r="CF437" s="43">
        <v>462</v>
      </c>
      <c r="CG437" s="43">
        <v>410</v>
      </c>
      <c r="CH437" s="43">
        <v>253</v>
      </c>
      <c r="CI437" s="43">
        <v>158</v>
      </c>
      <c r="CJ437" s="43">
        <v>550</v>
      </c>
      <c r="CK437" s="43">
        <v>419</v>
      </c>
      <c r="CL437" s="43">
        <v>262</v>
      </c>
      <c r="CM437" s="43">
        <v>550</v>
      </c>
      <c r="CN437" s="43">
        <v>540</v>
      </c>
      <c r="CO437" s="43">
        <v>197</v>
      </c>
      <c r="CP437" s="43">
        <v>496</v>
      </c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43">
        <v>690</v>
      </c>
      <c r="FF437" s="43">
        <v>236</v>
      </c>
      <c r="FG437" s="43">
        <v>747</v>
      </c>
      <c r="FH437" s="43">
        <v>182</v>
      </c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53"/>
      <c r="FZ437" s="53"/>
      <c r="GA437" s="53"/>
      <c r="GB437" s="53"/>
      <c r="GC437" s="53"/>
      <c r="GD437" s="53"/>
      <c r="GE437" s="53"/>
      <c r="GF437" s="53"/>
      <c r="GG437" s="53"/>
      <c r="GH437" s="53"/>
      <c r="GI437" s="43"/>
      <c r="GJ437" s="43"/>
      <c r="GK437" s="43"/>
      <c r="GL437" s="43"/>
      <c r="GM437" s="53"/>
      <c r="GN437" s="53"/>
      <c r="GO437" s="43">
        <v>622</v>
      </c>
      <c r="GP437" s="43">
        <v>309</v>
      </c>
      <c r="GQ437" s="43">
        <v>615</v>
      </c>
      <c r="GR437" s="43">
        <v>311</v>
      </c>
    </row>
    <row r="438" spans="1:200">
      <c r="A438" s="7">
        <v>7316</v>
      </c>
      <c r="B438" s="1" t="s">
        <v>566</v>
      </c>
      <c r="C438" s="33">
        <v>1044</v>
      </c>
      <c r="D438" s="34">
        <v>875</v>
      </c>
      <c r="E438" s="19">
        <f t="shared" si="6"/>
        <v>0.83812260536398464</v>
      </c>
      <c r="F438" s="62">
        <v>181</v>
      </c>
      <c r="G438" s="43">
        <v>2</v>
      </c>
      <c r="H438" s="43">
        <v>17</v>
      </c>
      <c r="I438" s="43">
        <v>1</v>
      </c>
      <c r="J438" s="55">
        <v>644</v>
      </c>
      <c r="K438" s="6">
        <v>0</v>
      </c>
      <c r="L438" s="6">
        <v>0</v>
      </c>
      <c r="M438" s="43">
        <v>0</v>
      </c>
      <c r="N438" s="25">
        <v>0</v>
      </c>
      <c r="O438" s="43">
        <v>0</v>
      </c>
      <c r="P438" s="43">
        <v>0</v>
      </c>
      <c r="Q438" s="43">
        <v>0</v>
      </c>
      <c r="R438" s="43">
        <v>0</v>
      </c>
      <c r="S438" s="43">
        <v>0</v>
      </c>
      <c r="T438" s="43">
        <v>0</v>
      </c>
      <c r="U438" s="43">
        <v>0</v>
      </c>
      <c r="V438" s="43">
        <v>0</v>
      </c>
      <c r="W438" s="43">
        <v>6</v>
      </c>
      <c r="X438" s="43">
        <v>0</v>
      </c>
      <c r="Y438" s="43">
        <v>0</v>
      </c>
      <c r="Z438" s="43">
        <v>0</v>
      </c>
      <c r="AA438" s="44">
        <v>0</v>
      </c>
      <c r="AB438" s="44">
        <v>0</v>
      </c>
      <c r="AC438" s="44">
        <v>7</v>
      </c>
      <c r="AD438" s="44">
        <v>8</v>
      </c>
      <c r="AE438" s="44">
        <v>710</v>
      </c>
      <c r="AF438" s="44">
        <v>5</v>
      </c>
      <c r="AG438" s="44">
        <v>0</v>
      </c>
      <c r="AH438" s="44">
        <v>122</v>
      </c>
      <c r="AI438" s="44">
        <v>723</v>
      </c>
      <c r="AJ438" s="44">
        <v>0</v>
      </c>
      <c r="AK438" s="44">
        <v>0</v>
      </c>
      <c r="AL438" s="44">
        <v>139</v>
      </c>
      <c r="AM438" s="48"/>
      <c r="AN438" s="48"/>
      <c r="AO438" s="48"/>
      <c r="AP438" s="44">
        <v>142</v>
      </c>
      <c r="AQ438" s="44">
        <v>665</v>
      </c>
      <c r="AR438" s="51"/>
      <c r="AS438" s="51"/>
      <c r="AT438" s="51"/>
      <c r="AU438" s="51"/>
      <c r="AV438" s="51"/>
      <c r="AW438" s="43">
        <v>131</v>
      </c>
      <c r="AX438" s="43">
        <v>674</v>
      </c>
      <c r="AY438" s="50"/>
      <c r="AZ438" s="50"/>
      <c r="BA438" s="50"/>
      <c r="BB438" s="50"/>
      <c r="BC438" s="50"/>
      <c r="BD438" s="50"/>
      <c r="BE438" s="43">
        <v>544</v>
      </c>
      <c r="BF438" s="43">
        <v>274</v>
      </c>
      <c r="BG438" s="43">
        <v>678</v>
      </c>
      <c r="BH438" s="43">
        <v>158</v>
      </c>
      <c r="BI438" s="43">
        <v>658</v>
      </c>
      <c r="BJ438" s="43">
        <v>162</v>
      </c>
      <c r="BK438" s="43">
        <v>224</v>
      </c>
      <c r="BL438" s="43">
        <v>612</v>
      </c>
      <c r="BM438" s="43">
        <v>442</v>
      </c>
      <c r="BN438" s="43">
        <v>383</v>
      </c>
      <c r="BO438" s="43">
        <v>158</v>
      </c>
      <c r="BP438" s="43">
        <v>643</v>
      </c>
      <c r="BQ438" s="43">
        <v>693</v>
      </c>
      <c r="BR438" s="43">
        <v>121</v>
      </c>
      <c r="BS438" s="43">
        <v>661</v>
      </c>
      <c r="BT438" s="43">
        <v>444</v>
      </c>
      <c r="BU438" s="43">
        <v>341</v>
      </c>
      <c r="BV438" s="43">
        <v>568</v>
      </c>
      <c r="BW438" s="43">
        <v>479</v>
      </c>
      <c r="BX438" s="43">
        <v>185</v>
      </c>
      <c r="BY438" s="43">
        <v>576</v>
      </c>
      <c r="BZ438" s="43">
        <v>149</v>
      </c>
      <c r="CA438" s="43">
        <v>515</v>
      </c>
      <c r="CB438" s="43">
        <v>492</v>
      </c>
      <c r="CC438" s="43">
        <v>158</v>
      </c>
      <c r="CD438" s="43">
        <v>447</v>
      </c>
      <c r="CE438" s="43">
        <v>163</v>
      </c>
      <c r="CF438" s="43">
        <v>529</v>
      </c>
      <c r="CG438" s="43">
        <v>463</v>
      </c>
      <c r="CH438" s="43">
        <v>152</v>
      </c>
      <c r="CI438" s="43">
        <v>103</v>
      </c>
      <c r="CJ438" s="43">
        <v>547</v>
      </c>
      <c r="CK438" s="43">
        <v>475</v>
      </c>
      <c r="CL438" s="43">
        <v>165</v>
      </c>
      <c r="CM438" s="43">
        <v>511</v>
      </c>
      <c r="CN438" s="43">
        <v>501</v>
      </c>
      <c r="CO438" s="43">
        <v>145</v>
      </c>
      <c r="CP438" s="43">
        <v>491</v>
      </c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43">
        <v>597</v>
      </c>
      <c r="FF438" s="43">
        <v>229</v>
      </c>
      <c r="FG438" s="43">
        <v>670</v>
      </c>
      <c r="FH438" s="43">
        <v>172</v>
      </c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53"/>
      <c r="FZ438" s="53"/>
      <c r="GA438" s="53"/>
      <c r="GB438" s="53"/>
      <c r="GC438" s="53"/>
      <c r="GD438" s="53"/>
      <c r="GE438" s="53"/>
      <c r="GF438" s="53"/>
      <c r="GG438" s="53"/>
      <c r="GH438" s="53"/>
      <c r="GI438" s="43"/>
      <c r="GJ438" s="43"/>
      <c r="GK438" s="43"/>
      <c r="GL438" s="43"/>
      <c r="GM438" s="53"/>
      <c r="GN438" s="53"/>
      <c r="GO438" s="43">
        <v>529</v>
      </c>
      <c r="GP438" s="43">
        <v>305</v>
      </c>
      <c r="GQ438" s="43">
        <v>509</v>
      </c>
      <c r="GR438" s="43">
        <v>325</v>
      </c>
    </row>
    <row r="439" spans="1:200">
      <c r="A439" s="7">
        <v>7317</v>
      </c>
      <c r="B439" s="1" t="s">
        <v>567</v>
      </c>
      <c r="C439" s="33">
        <v>1131</v>
      </c>
      <c r="D439" s="34">
        <v>985</v>
      </c>
      <c r="E439" s="19">
        <f t="shared" si="6"/>
        <v>0.87091069849690539</v>
      </c>
      <c r="F439" s="62">
        <v>189</v>
      </c>
      <c r="G439" s="43">
        <v>4</v>
      </c>
      <c r="H439" s="43">
        <v>27</v>
      </c>
      <c r="I439" s="43">
        <v>7</v>
      </c>
      <c r="J439" s="55">
        <v>727</v>
      </c>
      <c r="K439" s="6">
        <v>0</v>
      </c>
      <c r="L439" s="6">
        <v>0</v>
      </c>
      <c r="M439" s="43">
        <v>2</v>
      </c>
      <c r="N439" s="25">
        <v>0</v>
      </c>
      <c r="O439" s="43">
        <v>0</v>
      </c>
      <c r="P439" s="43">
        <v>0</v>
      </c>
      <c r="Q439" s="43">
        <v>0</v>
      </c>
      <c r="R439" s="43">
        <v>0</v>
      </c>
      <c r="S439" s="43">
        <v>0</v>
      </c>
      <c r="T439" s="43">
        <v>0</v>
      </c>
      <c r="U439" s="43">
        <v>0</v>
      </c>
      <c r="V439" s="43">
        <v>1</v>
      </c>
      <c r="W439" s="43">
        <v>4</v>
      </c>
      <c r="X439" s="43">
        <v>0</v>
      </c>
      <c r="Y439" s="43">
        <v>0</v>
      </c>
      <c r="Z439" s="43">
        <v>0</v>
      </c>
      <c r="AA439" s="44">
        <v>0</v>
      </c>
      <c r="AB439" s="44">
        <v>0</v>
      </c>
      <c r="AC439" s="44">
        <v>6</v>
      </c>
      <c r="AD439" s="44">
        <v>8</v>
      </c>
      <c r="AE439" s="44">
        <v>822</v>
      </c>
      <c r="AF439" s="44">
        <v>12</v>
      </c>
      <c r="AG439" s="44">
        <v>0</v>
      </c>
      <c r="AH439" s="44">
        <v>107</v>
      </c>
      <c r="AI439" s="44">
        <v>821</v>
      </c>
      <c r="AJ439" s="44">
        <v>0</v>
      </c>
      <c r="AK439" s="44">
        <v>0</v>
      </c>
      <c r="AL439" s="44">
        <v>144</v>
      </c>
      <c r="AM439" s="48"/>
      <c r="AN439" s="48"/>
      <c r="AO439" s="48"/>
      <c r="AP439" s="44">
        <v>150</v>
      </c>
      <c r="AQ439" s="44">
        <v>770</v>
      </c>
      <c r="AR439" s="51"/>
      <c r="AS439" s="51"/>
      <c r="AT439" s="51"/>
      <c r="AU439" s="51"/>
      <c r="AV439" s="51"/>
      <c r="AW439" s="43">
        <v>133</v>
      </c>
      <c r="AX439" s="43">
        <v>781</v>
      </c>
      <c r="AY439" s="50"/>
      <c r="AZ439" s="50"/>
      <c r="BA439" s="50"/>
      <c r="BB439" s="50"/>
      <c r="BC439" s="50"/>
      <c r="BD439" s="50"/>
      <c r="BE439" s="43">
        <v>630</v>
      </c>
      <c r="BF439" s="43">
        <v>293</v>
      </c>
      <c r="BG439" s="43">
        <v>747</v>
      </c>
      <c r="BH439" s="43">
        <v>201</v>
      </c>
      <c r="BI439" s="43">
        <v>758</v>
      </c>
      <c r="BJ439" s="43">
        <v>156</v>
      </c>
      <c r="BK439" s="43">
        <v>215</v>
      </c>
      <c r="BL439" s="43">
        <v>710</v>
      </c>
      <c r="BM439" s="43">
        <v>526</v>
      </c>
      <c r="BN439" s="43">
        <v>404</v>
      </c>
      <c r="BO439" s="43">
        <v>173</v>
      </c>
      <c r="BP439" s="43">
        <v>734</v>
      </c>
      <c r="BQ439" s="43">
        <v>791</v>
      </c>
      <c r="BR439" s="43">
        <v>117</v>
      </c>
      <c r="BS439" s="43">
        <v>716</v>
      </c>
      <c r="BT439" s="43">
        <v>498</v>
      </c>
      <c r="BU439" s="43">
        <v>392</v>
      </c>
      <c r="BV439" s="43">
        <v>633</v>
      </c>
      <c r="BW439" s="43">
        <v>526</v>
      </c>
      <c r="BX439" s="43">
        <v>222</v>
      </c>
      <c r="BY439" s="43">
        <v>681</v>
      </c>
      <c r="BZ439" s="43">
        <v>144</v>
      </c>
      <c r="CA439" s="43">
        <v>584</v>
      </c>
      <c r="CB439" s="43">
        <v>610</v>
      </c>
      <c r="CC439" s="43">
        <v>143</v>
      </c>
      <c r="CD439" s="43">
        <v>496</v>
      </c>
      <c r="CE439" s="43">
        <v>124</v>
      </c>
      <c r="CF439" s="43">
        <v>670</v>
      </c>
      <c r="CG439" s="43">
        <v>578</v>
      </c>
      <c r="CH439" s="43">
        <v>148</v>
      </c>
      <c r="CI439" s="43">
        <v>91</v>
      </c>
      <c r="CJ439" s="43">
        <v>649</v>
      </c>
      <c r="CK439" s="43">
        <v>553</v>
      </c>
      <c r="CL439" s="43">
        <v>190</v>
      </c>
      <c r="CM439" s="43">
        <v>582</v>
      </c>
      <c r="CN439" s="43">
        <v>556</v>
      </c>
      <c r="CO439" s="43">
        <v>127</v>
      </c>
      <c r="CP439" s="43">
        <v>602</v>
      </c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43">
        <v>698</v>
      </c>
      <c r="FF439" s="43">
        <v>253</v>
      </c>
      <c r="FG439" s="43">
        <v>772</v>
      </c>
      <c r="FH439" s="43">
        <v>184</v>
      </c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53"/>
      <c r="FZ439" s="53"/>
      <c r="GA439" s="53"/>
      <c r="GB439" s="53"/>
      <c r="GC439" s="53"/>
      <c r="GD439" s="53"/>
      <c r="GE439" s="53"/>
      <c r="GF439" s="53"/>
      <c r="GG439" s="53"/>
      <c r="GH439" s="53"/>
      <c r="GI439" s="43"/>
      <c r="GJ439" s="43"/>
      <c r="GK439" s="43"/>
      <c r="GL439" s="43"/>
      <c r="GM439" s="53"/>
      <c r="GN439" s="53"/>
      <c r="GO439" s="43">
        <v>582</v>
      </c>
      <c r="GP439" s="43">
        <v>362</v>
      </c>
      <c r="GQ439" s="43">
        <v>592</v>
      </c>
      <c r="GR439" s="43">
        <v>349</v>
      </c>
    </row>
    <row r="440" spans="1:200">
      <c r="A440" s="7">
        <v>7318</v>
      </c>
      <c r="B440" s="1" t="s">
        <v>568</v>
      </c>
      <c r="C440" s="33">
        <v>688</v>
      </c>
      <c r="D440" s="34">
        <v>572</v>
      </c>
      <c r="E440" s="19">
        <f t="shared" si="6"/>
        <v>0.83139534883720934</v>
      </c>
      <c r="F440" s="62">
        <v>101</v>
      </c>
      <c r="G440" s="43">
        <v>2</v>
      </c>
      <c r="H440" s="43">
        <v>10</v>
      </c>
      <c r="I440" s="43">
        <v>7</v>
      </c>
      <c r="J440" s="55">
        <v>434</v>
      </c>
      <c r="K440" s="6">
        <v>0</v>
      </c>
      <c r="L440" s="6">
        <v>0</v>
      </c>
      <c r="M440" s="43">
        <v>0</v>
      </c>
      <c r="N440" s="25">
        <v>0</v>
      </c>
      <c r="O440" s="43">
        <v>0</v>
      </c>
      <c r="P440" s="43">
        <v>1</v>
      </c>
      <c r="Q440" s="43">
        <v>0</v>
      </c>
      <c r="R440" s="43">
        <v>0</v>
      </c>
      <c r="S440" s="43">
        <v>0</v>
      </c>
      <c r="T440" s="43">
        <v>0</v>
      </c>
      <c r="U440" s="43">
        <v>0</v>
      </c>
      <c r="V440" s="43">
        <v>0</v>
      </c>
      <c r="W440" s="43">
        <v>1</v>
      </c>
      <c r="X440" s="43">
        <v>0</v>
      </c>
      <c r="Y440" s="43">
        <v>0</v>
      </c>
      <c r="Z440" s="43">
        <v>0</v>
      </c>
      <c r="AA440" s="44">
        <v>0</v>
      </c>
      <c r="AB440" s="44">
        <v>0</v>
      </c>
      <c r="AC440" s="44">
        <v>4</v>
      </c>
      <c r="AD440" s="44">
        <v>8</v>
      </c>
      <c r="AE440" s="44">
        <v>458</v>
      </c>
      <c r="AF440" s="44">
        <v>5</v>
      </c>
      <c r="AG440" s="44">
        <v>0</v>
      </c>
      <c r="AH440" s="44">
        <v>79</v>
      </c>
      <c r="AI440" s="44">
        <v>463</v>
      </c>
      <c r="AJ440" s="44">
        <v>0</v>
      </c>
      <c r="AK440" s="44">
        <v>0</v>
      </c>
      <c r="AL440" s="44">
        <v>97</v>
      </c>
      <c r="AM440" s="48"/>
      <c r="AN440" s="48"/>
      <c r="AO440" s="48"/>
      <c r="AP440" s="44">
        <v>102</v>
      </c>
      <c r="AQ440" s="44">
        <v>426</v>
      </c>
      <c r="AR440" s="51"/>
      <c r="AS440" s="51"/>
      <c r="AT440" s="51"/>
      <c r="AU440" s="51"/>
      <c r="AV440" s="51"/>
      <c r="AW440" s="43">
        <v>98</v>
      </c>
      <c r="AX440" s="43">
        <v>434</v>
      </c>
      <c r="AY440" s="50"/>
      <c r="AZ440" s="50"/>
      <c r="BA440" s="50"/>
      <c r="BB440" s="50"/>
      <c r="BC440" s="50"/>
      <c r="BD440" s="50"/>
      <c r="BE440" s="43">
        <v>317</v>
      </c>
      <c r="BF440" s="43">
        <v>209</v>
      </c>
      <c r="BG440" s="43">
        <v>426</v>
      </c>
      <c r="BH440" s="43">
        <v>114</v>
      </c>
      <c r="BI440" s="43">
        <v>419</v>
      </c>
      <c r="BJ440" s="43">
        <v>109</v>
      </c>
      <c r="BK440" s="43">
        <v>148</v>
      </c>
      <c r="BL440" s="43">
        <v>385</v>
      </c>
      <c r="BM440" s="43">
        <v>285</v>
      </c>
      <c r="BN440" s="43">
        <v>248</v>
      </c>
      <c r="BO440" s="43">
        <v>105</v>
      </c>
      <c r="BP440" s="43">
        <v>404</v>
      </c>
      <c r="BQ440" s="43">
        <v>446</v>
      </c>
      <c r="BR440" s="43">
        <v>79</v>
      </c>
      <c r="BS440" s="43">
        <v>414</v>
      </c>
      <c r="BT440" s="43">
        <v>295</v>
      </c>
      <c r="BU440" s="43">
        <v>199</v>
      </c>
      <c r="BV440" s="43">
        <v>352</v>
      </c>
      <c r="BW440" s="43">
        <v>283</v>
      </c>
      <c r="BX440" s="43">
        <v>125</v>
      </c>
      <c r="BY440" s="43">
        <v>378</v>
      </c>
      <c r="BZ440" s="43">
        <v>84</v>
      </c>
      <c r="CA440" s="43">
        <v>324</v>
      </c>
      <c r="CB440" s="43">
        <v>294</v>
      </c>
      <c r="CC440" s="43">
        <v>105</v>
      </c>
      <c r="CD440" s="43">
        <v>299</v>
      </c>
      <c r="CE440" s="43">
        <v>87</v>
      </c>
      <c r="CF440" s="43">
        <v>357</v>
      </c>
      <c r="CG440" s="43">
        <v>280</v>
      </c>
      <c r="CH440" s="43">
        <v>90</v>
      </c>
      <c r="CI440" s="43">
        <v>66</v>
      </c>
      <c r="CJ440" s="43">
        <v>335</v>
      </c>
      <c r="CK440" s="43">
        <v>296</v>
      </c>
      <c r="CL440" s="43">
        <v>114</v>
      </c>
      <c r="CM440" s="43">
        <v>315</v>
      </c>
      <c r="CN440" s="43">
        <v>296</v>
      </c>
      <c r="CO440" s="43">
        <v>100</v>
      </c>
      <c r="CP440" s="43">
        <v>289</v>
      </c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43">
        <v>394</v>
      </c>
      <c r="FF440" s="43">
        <v>147</v>
      </c>
      <c r="FG440" s="43">
        <v>441</v>
      </c>
      <c r="FH440" s="43">
        <v>102</v>
      </c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53"/>
      <c r="FZ440" s="53"/>
      <c r="GA440" s="53"/>
      <c r="GB440" s="53"/>
      <c r="GC440" s="53"/>
      <c r="GD440" s="53"/>
      <c r="GE440" s="53"/>
      <c r="GF440" s="53"/>
      <c r="GG440" s="53"/>
      <c r="GH440" s="53"/>
      <c r="GI440" s="43"/>
      <c r="GJ440" s="43"/>
      <c r="GK440" s="43"/>
      <c r="GL440" s="43"/>
      <c r="GM440" s="53"/>
      <c r="GN440" s="53"/>
      <c r="GO440" s="43">
        <v>338</v>
      </c>
      <c r="GP440" s="43">
        <v>201</v>
      </c>
      <c r="GQ440" s="43">
        <v>327</v>
      </c>
      <c r="GR440" s="43">
        <v>210</v>
      </c>
    </row>
    <row r="441" spans="1:200">
      <c r="A441" s="7">
        <v>7319</v>
      </c>
      <c r="B441" s="1" t="s">
        <v>569</v>
      </c>
      <c r="C441" s="33">
        <v>1204</v>
      </c>
      <c r="D441" s="34">
        <v>936</v>
      </c>
      <c r="E441" s="19">
        <f t="shared" si="6"/>
        <v>0.77740863787375414</v>
      </c>
      <c r="F441" s="62">
        <v>227</v>
      </c>
      <c r="G441" s="43">
        <v>1</v>
      </c>
      <c r="H441" s="43">
        <v>37</v>
      </c>
      <c r="I441" s="43">
        <v>6</v>
      </c>
      <c r="J441" s="55">
        <v>646</v>
      </c>
      <c r="K441" s="6">
        <v>0</v>
      </c>
      <c r="L441" s="6">
        <v>0</v>
      </c>
      <c r="M441" s="43">
        <v>0</v>
      </c>
      <c r="N441" s="25">
        <v>0</v>
      </c>
      <c r="O441" s="43">
        <v>0</v>
      </c>
      <c r="P441" s="43">
        <v>0</v>
      </c>
      <c r="Q441" s="43">
        <v>0</v>
      </c>
      <c r="R441" s="43">
        <v>0</v>
      </c>
      <c r="S441" s="43">
        <v>0</v>
      </c>
      <c r="T441" s="43">
        <v>0</v>
      </c>
      <c r="U441" s="43">
        <v>0</v>
      </c>
      <c r="V441" s="43">
        <v>0</v>
      </c>
      <c r="W441" s="43">
        <v>2</v>
      </c>
      <c r="X441" s="43">
        <v>0</v>
      </c>
      <c r="Y441" s="43">
        <v>0</v>
      </c>
      <c r="Z441" s="43">
        <v>0</v>
      </c>
      <c r="AA441" s="44">
        <v>1</v>
      </c>
      <c r="AB441" s="44">
        <v>0</v>
      </c>
      <c r="AC441" s="44">
        <v>8</v>
      </c>
      <c r="AD441" s="44">
        <v>12</v>
      </c>
      <c r="AE441" s="44">
        <v>700</v>
      </c>
      <c r="AF441" s="44">
        <v>10</v>
      </c>
      <c r="AG441" s="44">
        <v>0</v>
      </c>
      <c r="AH441" s="44">
        <v>173</v>
      </c>
      <c r="AI441" s="44">
        <v>700</v>
      </c>
      <c r="AJ441" s="44">
        <v>0</v>
      </c>
      <c r="AK441" s="44">
        <v>0</v>
      </c>
      <c r="AL441" s="44">
        <v>205</v>
      </c>
      <c r="AM441" s="48"/>
      <c r="AN441" s="48"/>
      <c r="AO441" s="48"/>
      <c r="AP441" s="44">
        <v>242</v>
      </c>
      <c r="AQ441" s="44">
        <v>612</v>
      </c>
      <c r="AR441" s="51"/>
      <c r="AS441" s="51"/>
      <c r="AT441" s="51"/>
      <c r="AU441" s="51"/>
      <c r="AV441" s="51"/>
      <c r="AW441" s="43">
        <v>204</v>
      </c>
      <c r="AX441" s="43">
        <v>632</v>
      </c>
      <c r="AY441" s="50"/>
      <c r="AZ441" s="50"/>
      <c r="BA441" s="50"/>
      <c r="BB441" s="50"/>
      <c r="BC441" s="50"/>
      <c r="BD441" s="50"/>
      <c r="BE441" s="43">
        <v>494</v>
      </c>
      <c r="BF441" s="43">
        <v>373</v>
      </c>
      <c r="BG441" s="43">
        <v>628</v>
      </c>
      <c r="BH441" s="43">
        <v>243</v>
      </c>
      <c r="BI441" s="43">
        <v>641</v>
      </c>
      <c r="BJ441" s="43">
        <v>201</v>
      </c>
      <c r="BK441" s="43">
        <v>247</v>
      </c>
      <c r="BL441" s="43">
        <v>612</v>
      </c>
      <c r="BM441" s="43">
        <v>431</v>
      </c>
      <c r="BN441" s="43">
        <v>439</v>
      </c>
      <c r="BO441" s="43">
        <v>223</v>
      </c>
      <c r="BP441" s="43">
        <v>616</v>
      </c>
      <c r="BQ441" s="43">
        <v>662</v>
      </c>
      <c r="BR441" s="43">
        <v>179</v>
      </c>
      <c r="BS441" s="43">
        <v>687</v>
      </c>
      <c r="BT441" s="43">
        <v>444</v>
      </c>
      <c r="BU441" s="43">
        <v>390</v>
      </c>
      <c r="BV441" s="43">
        <v>625</v>
      </c>
      <c r="BW441" s="43">
        <v>458</v>
      </c>
      <c r="BX441" s="43">
        <v>240</v>
      </c>
      <c r="BY441" s="43">
        <v>576</v>
      </c>
      <c r="BZ441" s="43">
        <v>184</v>
      </c>
      <c r="CA441" s="43">
        <v>575</v>
      </c>
      <c r="CB441" s="43">
        <v>465</v>
      </c>
      <c r="CC441" s="43">
        <v>200</v>
      </c>
      <c r="CD441" s="43">
        <v>509</v>
      </c>
      <c r="CE441" s="43">
        <v>161</v>
      </c>
      <c r="CF441" s="43">
        <v>555</v>
      </c>
      <c r="CG441" s="43">
        <v>437</v>
      </c>
      <c r="CH441" s="43">
        <v>222</v>
      </c>
      <c r="CI441" s="43">
        <v>113</v>
      </c>
      <c r="CJ441" s="43">
        <v>571</v>
      </c>
      <c r="CK441" s="43">
        <v>442</v>
      </c>
      <c r="CL441" s="43">
        <v>237</v>
      </c>
      <c r="CM441" s="43">
        <v>558</v>
      </c>
      <c r="CN441" s="43">
        <v>544</v>
      </c>
      <c r="CO441" s="43">
        <v>166</v>
      </c>
      <c r="CP441" s="43">
        <v>512</v>
      </c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43">
        <v>673</v>
      </c>
      <c r="FF441" s="43">
        <v>221</v>
      </c>
      <c r="FG441" s="43">
        <v>735</v>
      </c>
      <c r="FH441" s="43">
        <v>167</v>
      </c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53"/>
      <c r="FZ441" s="53"/>
      <c r="GA441" s="53"/>
      <c r="GB441" s="53"/>
      <c r="GC441" s="53"/>
      <c r="GD441" s="53"/>
      <c r="GE441" s="53"/>
      <c r="GF441" s="53"/>
      <c r="GG441" s="53"/>
      <c r="GH441" s="53"/>
      <c r="GI441" s="43"/>
      <c r="GJ441" s="43"/>
      <c r="GK441" s="43"/>
      <c r="GL441" s="43"/>
      <c r="GM441" s="53"/>
      <c r="GN441" s="53"/>
      <c r="GO441" s="43">
        <v>611</v>
      </c>
      <c r="GP441" s="43">
        <v>292</v>
      </c>
      <c r="GQ441" s="43">
        <v>602</v>
      </c>
      <c r="GR441" s="43">
        <v>288</v>
      </c>
    </row>
    <row r="442" spans="1:200">
      <c r="A442" s="7">
        <v>7320</v>
      </c>
      <c r="B442" s="1" t="s">
        <v>570</v>
      </c>
      <c r="C442" s="33">
        <v>556</v>
      </c>
      <c r="D442" s="34">
        <v>409</v>
      </c>
      <c r="E442" s="19">
        <f t="shared" si="6"/>
        <v>0.73561151079136688</v>
      </c>
      <c r="F442" s="62">
        <v>120</v>
      </c>
      <c r="G442" s="43">
        <v>1</v>
      </c>
      <c r="H442" s="43">
        <v>17</v>
      </c>
      <c r="I442" s="43">
        <v>3</v>
      </c>
      <c r="J442" s="55">
        <v>259</v>
      </c>
      <c r="K442" s="6">
        <v>0</v>
      </c>
      <c r="L442" s="6">
        <v>0</v>
      </c>
      <c r="M442" s="43">
        <v>0</v>
      </c>
      <c r="N442" s="25">
        <v>0</v>
      </c>
      <c r="O442" s="43">
        <v>0</v>
      </c>
      <c r="P442" s="43">
        <v>0</v>
      </c>
      <c r="Q442" s="43">
        <v>0</v>
      </c>
      <c r="R442" s="43">
        <v>0</v>
      </c>
      <c r="S442" s="43">
        <v>0</v>
      </c>
      <c r="T442" s="43">
        <v>0</v>
      </c>
      <c r="U442" s="43">
        <v>0</v>
      </c>
      <c r="V442" s="43">
        <v>0</v>
      </c>
      <c r="W442" s="43">
        <v>1</v>
      </c>
      <c r="X442" s="43">
        <v>0</v>
      </c>
      <c r="Y442" s="43">
        <v>0</v>
      </c>
      <c r="Z442" s="43">
        <v>0</v>
      </c>
      <c r="AA442" s="44">
        <v>0</v>
      </c>
      <c r="AB442" s="44">
        <v>0</v>
      </c>
      <c r="AC442" s="44">
        <v>9</v>
      </c>
      <c r="AD442" s="44">
        <v>4</v>
      </c>
      <c r="AE442" s="44">
        <v>280</v>
      </c>
      <c r="AF442" s="44">
        <v>8</v>
      </c>
      <c r="AG442" s="44">
        <v>0</v>
      </c>
      <c r="AH442" s="44">
        <v>95</v>
      </c>
      <c r="AI442" s="44">
        <v>299</v>
      </c>
      <c r="AJ442" s="44">
        <v>0</v>
      </c>
      <c r="AK442" s="44">
        <v>0</v>
      </c>
      <c r="AL442" s="44">
        <v>103</v>
      </c>
      <c r="AM442" s="48"/>
      <c r="AN442" s="48"/>
      <c r="AO442" s="48"/>
      <c r="AP442" s="44">
        <v>117</v>
      </c>
      <c r="AQ442" s="44">
        <v>268</v>
      </c>
      <c r="AR442" s="51"/>
      <c r="AS442" s="51"/>
      <c r="AT442" s="51"/>
      <c r="AU442" s="51"/>
      <c r="AV442" s="51"/>
      <c r="AW442" s="43">
        <v>111</v>
      </c>
      <c r="AX442" s="43">
        <v>270</v>
      </c>
      <c r="AY442" s="50"/>
      <c r="AZ442" s="50"/>
      <c r="BA442" s="50"/>
      <c r="BB442" s="50"/>
      <c r="BC442" s="50"/>
      <c r="BD442" s="50"/>
      <c r="BE442" s="43">
        <v>206</v>
      </c>
      <c r="BF442" s="43">
        <v>181</v>
      </c>
      <c r="BG442" s="43">
        <v>270</v>
      </c>
      <c r="BH442" s="43">
        <v>121</v>
      </c>
      <c r="BI442" s="43">
        <v>289</v>
      </c>
      <c r="BJ442" s="43">
        <v>97</v>
      </c>
      <c r="BK442" s="43">
        <v>115</v>
      </c>
      <c r="BL442" s="43">
        <v>271</v>
      </c>
      <c r="BM442" s="43">
        <v>185</v>
      </c>
      <c r="BN442" s="43">
        <v>202</v>
      </c>
      <c r="BO442" s="43">
        <v>106</v>
      </c>
      <c r="BP442" s="43">
        <v>273</v>
      </c>
      <c r="BQ442" s="43">
        <v>279</v>
      </c>
      <c r="BR442" s="43">
        <v>99</v>
      </c>
      <c r="BS442" s="43">
        <v>308</v>
      </c>
      <c r="BT442" s="43">
        <v>189</v>
      </c>
      <c r="BU442" s="43">
        <v>185</v>
      </c>
      <c r="BV442" s="43">
        <v>290</v>
      </c>
      <c r="BW442" s="43">
        <v>200</v>
      </c>
      <c r="BX442" s="43">
        <v>115</v>
      </c>
      <c r="BY442" s="43">
        <v>262</v>
      </c>
      <c r="BZ442" s="43">
        <v>87</v>
      </c>
      <c r="CA442" s="43">
        <v>273</v>
      </c>
      <c r="CB442" s="43">
        <v>211</v>
      </c>
      <c r="CC442" s="43">
        <v>100</v>
      </c>
      <c r="CD442" s="43">
        <v>256</v>
      </c>
      <c r="CE442" s="43">
        <v>93</v>
      </c>
      <c r="CF442" s="43">
        <v>238</v>
      </c>
      <c r="CG442" s="43">
        <v>210</v>
      </c>
      <c r="CH442" s="43">
        <v>99</v>
      </c>
      <c r="CI442" s="43">
        <v>58</v>
      </c>
      <c r="CJ442" s="43">
        <v>267</v>
      </c>
      <c r="CK442" s="43">
        <v>212</v>
      </c>
      <c r="CL442" s="43">
        <v>105</v>
      </c>
      <c r="CM442" s="43">
        <v>260</v>
      </c>
      <c r="CN442" s="43">
        <v>268</v>
      </c>
      <c r="CO442" s="43">
        <v>72</v>
      </c>
      <c r="CP442" s="43">
        <v>247</v>
      </c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43">
        <v>294</v>
      </c>
      <c r="FF442" s="43">
        <v>96</v>
      </c>
      <c r="FG442" s="43">
        <v>336</v>
      </c>
      <c r="FH442" s="43">
        <v>56</v>
      </c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53"/>
      <c r="FZ442" s="53"/>
      <c r="GA442" s="53"/>
      <c r="GB442" s="53"/>
      <c r="GC442" s="53"/>
      <c r="GD442" s="53"/>
      <c r="GE442" s="53"/>
      <c r="GF442" s="53"/>
      <c r="GG442" s="53"/>
      <c r="GH442" s="53"/>
      <c r="GI442" s="43"/>
      <c r="GJ442" s="43"/>
      <c r="GK442" s="43"/>
      <c r="GL442" s="43"/>
      <c r="GM442" s="53"/>
      <c r="GN442" s="53"/>
      <c r="GO442" s="43">
        <v>263</v>
      </c>
      <c r="GP442" s="43">
        <v>131</v>
      </c>
      <c r="GQ442" s="43">
        <v>292</v>
      </c>
      <c r="GR442" s="43">
        <v>99</v>
      </c>
    </row>
    <row r="443" spans="1:200">
      <c r="A443" s="7">
        <v>7321</v>
      </c>
      <c r="B443" s="1" t="s">
        <v>571</v>
      </c>
      <c r="C443" s="33">
        <v>666</v>
      </c>
      <c r="D443" s="34">
        <v>554</v>
      </c>
      <c r="E443" s="19">
        <f t="shared" si="6"/>
        <v>0.83183183183183185</v>
      </c>
      <c r="F443" s="62">
        <v>87</v>
      </c>
      <c r="G443" s="43">
        <v>2</v>
      </c>
      <c r="H443" s="43">
        <v>16</v>
      </c>
      <c r="I443" s="43">
        <v>3</v>
      </c>
      <c r="J443" s="55">
        <v>434</v>
      </c>
      <c r="K443" s="6">
        <v>0</v>
      </c>
      <c r="L443" s="6">
        <v>0</v>
      </c>
      <c r="M443" s="43">
        <v>0</v>
      </c>
      <c r="N443" s="25">
        <v>0</v>
      </c>
      <c r="O443" s="43">
        <v>0</v>
      </c>
      <c r="P443" s="43">
        <v>0</v>
      </c>
      <c r="Q443" s="43">
        <v>0</v>
      </c>
      <c r="R443" s="43">
        <v>0</v>
      </c>
      <c r="S443" s="43">
        <v>0</v>
      </c>
      <c r="T443" s="43">
        <v>0</v>
      </c>
      <c r="U443" s="43">
        <v>0</v>
      </c>
      <c r="V443" s="43">
        <v>0</v>
      </c>
      <c r="W443" s="43">
        <v>0</v>
      </c>
      <c r="X443" s="43">
        <v>0</v>
      </c>
      <c r="Y443" s="43">
        <v>0</v>
      </c>
      <c r="Z443" s="43">
        <v>0</v>
      </c>
      <c r="AA443" s="44">
        <v>0</v>
      </c>
      <c r="AB443" s="44">
        <v>0</v>
      </c>
      <c r="AC443" s="44">
        <v>5</v>
      </c>
      <c r="AD443" s="44">
        <v>3</v>
      </c>
      <c r="AE443" s="44">
        <v>462</v>
      </c>
      <c r="AF443" s="44">
        <v>8</v>
      </c>
      <c r="AG443" s="44">
        <v>0</v>
      </c>
      <c r="AH443" s="44">
        <v>50</v>
      </c>
      <c r="AI443" s="44">
        <v>462</v>
      </c>
      <c r="AJ443" s="44">
        <v>0</v>
      </c>
      <c r="AK443" s="44">
        <v>0</v>
      </c>
      <c r="AL443" s="44">
        <v>71</v>
      </c>
      <c r="AM443" s="48"/>
      <c r="AN443" s="48"/>
      <c r="AO443" s="48"/>
      <c r="AP443" s="44">
        <v>74</v>
      </c>
      <c r="AQ443" s="44">
        <v>426</v>
      </c>
      <c r="AR443" s="51"/>
      <c r="AS443" s="51"/>
      <c r="AT443" s="51"/>
      <c r="AU443" s="51"/>
      <c r="AV443" s="51"/>
      <c r="AW443" s="43">
        <v>56</v>
      </c>
      <c r="AX443" s="43">
        <v>446</v>
      </c>
      <c r="AY443" s="50"/>
      <c r="AZ443" s="50"/>
      <c r="BA443" s="50"/>
      <c r="BB443" s="50"/>
      <c r="BC443" s="50"/>
      <c r="BD443" s="50"/>
      <c r="BE443" s="43">
        <v>327</v>
      </c>
      <c r="BF443" s="43">
        <v>184</v>
      </c>
      <c r="BG443" s="43">
        <v>443</v>
      </c>
      <c r="BH443" s="43">
        <v>75</v>
      </c>
      <c r="BI443" s="43">
        <v>437</v>
      </c>
      <c r="BJ443" s="43">
        <v>73</v>
      </c>
      <c r="BK443" s="43">
        <v>107</v>
      </c>
      <c r="BL443" s="43">
        <v>405</v>
      </c>
      <c r="BM443" s="43">
        <v>309</v>
      </c>
      <c r="BN443" s="43">
        <v>202</v>
      </c>
      <c r="BO443" s="43">
        <v>84</v>
      </c>
      <c r="BP443" s="43">
        <v>405</v>
      </c>
      <c r="BQ443" s="43">
        <v>437</v>
      </c>
      <c r="BR443" s="43">
        <v>52</v>
      </c>
      <c r="BS443" s="43">
        <v>413</v>
      </c>
      <c r="BT443" s="43">
        <v>285</v>
      </c>
      <c r="BU443" s="43">
        <v>202</v>
      </c>
      <c r="BV443" s="43">
        <v>359</v>
      </c>
      <c r="BW443" s="43">
        <v>290</v>
      </c>
      <c r="BX443" s="43">
        <v>117</v>
      </c>
      <c r="BY443" s="43">
        <v>351</v>
      </c>
      <c r="BZ443" s="43">
        <v>90</v>
      </c>
      <c r="CA443" s="43">
        <v>332</v>
      </c>
      <c r="CB443" s="43">
        <v>306</v>
      </c>
      <c r="CC443" s="43">
        <v>84</v>
      </c>
      <c r="CD443" s="43">
        <v>266</v>
      </c>
      <c r="CE443" s="43">
        <v>74</v>
      </c>
      <c r="CF443" s="43">
        <v>348</v>
      </c>
      <c r="CG443" s="43">
        <v>288</v>
      </c>
      <c r="CH443" s="43">
        <v>88</v>
      </c>
      <c r="CI443" s="43">
        <v>49</v>
      </c>
      <c r="CJ443" s="43">
        <v>345</v>
      </c>
      <c r="CK443" s="43">
        <v>291</v>
      </c>
      <c r="CL443" s="43">
        <v>105</v>
      </c>
      <c r="CM443" s="43">
        <v>328</v>
      </c>
      <c r="CN443" s="43">
        <v>317</v>
      </c>
      <c r="CO443" s="43">
        <v>73</v>
      </c>
      <c r="CP443" s="43">
        <v>319</v>
      </c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43">
        <v>374</v>
      </c>
      <c r="FF443" s="43">
        <v>153</v>
      </c>
      <c r="FG443" s="43">
        <v>416</v>
      </c>
      <c r="FH443" s="43">
        <v>112</v>
      </c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53"/>
      <c r="FZ443" s="53"/>
      <c r="GA443" s="53"/>
      <c r="GB443" s="53"/>
      <c r="GC443" s="53"/>
      <c r="GD443" s="53"/>
      <c r="GE443" s="53"/>
      <c r="GF443" s="53"/>
      <c r="GG443" s="53"/>
      <c r="GH443" s="53"/>
      <c r="GI443" s="43"/>
      <c r="GJ443" s="43"/>
      <c r="GK443" s="43"/>
      <c r="GL443" s="43"/>
      <c r="GM443" s="53"/>
      <c r="GN443" s="53"/>
      <c r="GO443" s="43">
        <v>327</v>
      </c>
      <c r="GP443" s="43">
        <v>203</v>
      </c>
      <c r="GQ443" s="43">
        <v>323</v>
      </c>
      <c r="GR443" s="43">
        <v>201</v>
      </c>
    </row>
    <row r="444" spans="1:200">
      <c r="A444" s="7">
        <v>7322</v>
      </c>
      <c r="B444" s="1" t="s">
        <v>572</v>
      </c>
      <c r="C444" s="33">
        <v>1045</v>
      </c>
      <c r="D444" s="34">
        <v>826</v>
      </c>
      <c r="E444" s="19">
        <f t="shared" si="6"/>
        <v>0.79043062200956937</v>
      </c>
      <c r="F444" s="62">
        <v>249</v>
      </c>
      <c r="G444" s="43">
        <v>6</v>
      </c>
      <c r="H444" s="43">
        <v>27</v>
      </c>
      <c r="I444" s="43">
        <v>7</v>
      </c>
      <c r="J444" s="55">
        <v>512</v>
      </c>
      <c r="K444" s="6">
        <v>0</v>
      </c>
      <c r="L444" s="6">
        <v>0</v>
      </c>
      <c r="M444" s="43">
        <v>0</v>
      </c>
      <c r="N444" s="25">
        <v>0</v>
      </c>
      <c r="O444" s="43">
        <v>0</v>
      </c>
      <c r="P444" s="43">
        <v>0</v>
      </c>
      <c r="Q444" s="43">
        <v>0</v>
      </c>
      <c r="R444" s="43">
        <v>0</v>
      </c>
      <c r="S444" s="43">
        <v>0</v>
      </c>
      <c r="T444" s="43">
        <v>0</v>
      </c>
      <c r="U444" s="43">
        <v>0</v>
      </c>
      <c r="V444" s="43">
        <v>0</v>
      </c>
      <c r="W444" s="43">
        <v>1</v>
      </c>
      <c r="X444" s="43">
        <v>0</v>
      </c>
      <c r="Y444" s="43">
        <v>0</v>
      </c>
      <c r="Z444" s="43">
        <v>0</v>
      </c>
      <c r="AA444" s="44">
        <v>0</v>
      </c>
      <c r="AB444" s="44">
        <v>0</v>
      </c>
      <c r="AC444" s="44">
        <v>12</v>
      </c>
      <c r="AD444" s="44">
        <v>8</v>
      </c>
      <c r="AE444" s="44">
        <v>605</v>
      </c>
      <c r="AF444" s="44">
        <v>13</v>
      </c>
      <c r="AG444" s="44">
        <v>0</v>
      </c>
      <c r="AH444" s="44">
        <v>161</v>
      </c>
      <c r="AI444" s="44">
        <v>602</v>
      </c>
      <c r="AJ444" s="44">
        <v>0</v>
      </c>
      <c r="AK444" s="44">
        <v>0</v>
      </c>
      <c r="AL444" s="44">
        <v>200</v>
      </c>
      <c r="AM444" s="48"/>
      <c r="AN444" s="48"/>
      <c r="AO444" s="48"/>
      <c r="AP444" s="44">
        <v>206</v>
      </c>
      <c r="AQ444" s="44">
        <v>543</v>
      </c>
      <c r="AR444" s="51"/>
      <c r="AS444" s="51"/>
      <c r="AT444" s="51"/>
      <c r="AU444" s="51"/>
      <c r="AV444" s="51"/>
      <c r="AW444" s="43">
        <v>199</v>
      </c>
      <c r="AX444" s="43">
        <v>556</v>
      </c>
      <c r="AY444" s="50"/>
      <c r="AZ444" s="50"/>
      <c r="BA444" s="50"/>
      <c r="BB444" s="50"/>
      <c r="BC444" s="50"/>
      <c r="BD444" s="50"/>
      <c r="BE444" s="43">
        <v>430</v>
      </c>
      <c r="BF444" s="43">
        <v>332</v>
      </c>
      <c r="BG444" s="43">
        <v>565</v>
      </c>
      <c r="BH444" s="43">
        <v>217</v>
      </c>
      <c r="BI444" s="43">
        <v>568</v>
      </c>
      <c r="BJ444" s="43">
        <v>190</v>
      </c>
      <c r="BK444" s="43">
        <v>269</v>
      </c>
      <c r="BL444" s="43">
        <v>504</v>
      </c>
      <c r="BM444" s="43">
        <v>357</v>
      </c>
      <c r="BN444" s="43">
        <v>425</v>
      </c>
      <c r="BO444" s="43">
        <v>223</v>
      </c>
      <c r="BP444" s="43">
        <v>523</v>
      </c>
      <c r="BQ444" s="43">
        <v>577</v>
      </c>
      <c r="BR444" s="43">
        <v>181</v>
      </c>
      <c r="BS444" s="43">
        <v>575</v>
      </c>
      <c r="BT444" s="43">
        <v>378</v>
      </c>
      <c r="BU444" s="43">
        <v>370</v>
      </c>
      <c r="BV444" s="43">
        <v>515</v>
      </c>
      <c r="BW444" s="43">
        <v>402</v>
      </c>
      <c r="BX444" s="43">
        <v>207</v>
      </c>
      <c r="BY444" s="43">
        <v>511</v>
      </c>
      <c r="BZ444" s="43">
        <v>166</v>
      </c>
      <c r="CA444" s="43">
        <v>475</v>
      </c>
      <c r="CB444" s="43">
        <v>411</v>
      </c>
      <c r="CC444" s="43">
        <v>172</v>
      </c>
      <c r="CD444" s="43">
        <v>437</v>
      </c>
      <c r="CE444" s="43">
        <v>198</v>
      </c>
      <c r="CF444" s="43">
        <v>423</v>
      </c>
      <c r="CG444" s="43">
        <v>385</v>
      </c>
      <c r="CH444" s="43">
        <v>175</v>
      </c>
      <c r="CI444" s="43">
        <v>118</v>
      </c>
      <c r="CJ444" s="43">
        <v>474</v>
      </c>
      <c r="CK444" s="43">
        <v>367</v>
      </c>
      <c r="CL444" s="43">
        <v>209</v>
      </c>
      <c r="CM444" s="43">
        <v>468</v>
      </c>
      <c r="CN444" s="43">
        <v>458</v>
      </c>
      <c r="CO444" s="43">
        <v>164</v>
      </c>
      <c r="CP444" s="43">
        <v>432</v>
      </c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43">
        <v>585</v>
      </c>
      <c r="FF444" s="43">
        <v>190</v>
      </c>
      <c r="FG444" s="43">
        <v>644</v>
      </c>
      <c r="FH444" s="43">
        <v>138</v>
      </c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44"/>
      <c r="GA444" s="53"/>
      <c r="GB444" s="53"/>
      <c r="GC444" s="53"/>
      <c r="GD444" s="53"/>
      <c r="GE444" s="53"/>
      <c r="GF444" s="53"/>
      <c r="GG444" s="53"/>
      <c r="GH444" s="53"/>
      <c r="GI444" s="43"/>
      <c r="GJ444" s="43"/>
      <c r="GK444" s="43"/>
      <c r="GL444" s="43"/>
      <c r="GM444" s="53"/>
      <c r="GN444" s="53"/>
      <c r="GO444" s="43">
        <v>523</v>
      </c>
      <c r="GP444" s="43">
        <v>257</v>
      </c>
      <c r="GQ444" s="43">
        <v>528</v>
      </c>
      <c r="GR444" s="43">
        <v>240</v>
      </c>
    </row>
    <row r="445" spans="1:200">
      <c r="A445" s="7">
        <v>7323</v>
      </c>
      <c r="B445" s="1" t="s">
        <v>573</v>
      </c>
      <c r="C445" s="33">
        <v>1267</v>
      </c>
      <c r="D445" s="34">
        <v>1090</v>
      </c>
      <c r="E445" s="19">
        <f t="shared" si="6"/>
        <v>0.8602999210734017</v>
      </c>
      <c r="F445" s="62">
        <v>206</v>
      </c>
      <c r="G445" s="43">
        <v>4</v>
      </c>
      <c r="H445" s="43">
        <v>28</v>
      </c>
      <c r="I445" s="43">
        <v>3</v>
      </c>
      <c r="J445" s="55">
        <v>811</v>
      </c>
      <c r="K445" s="6">
        <v>0</v>
      </c>
      <c r="L445" s="6">
        <v>0</v>
      </c>
      <c r="M445" s="43">
        <v>1</v>
      </c>
      <c r="N445" s="25">
        <v>0</v>
      </c>
      <c r="O445" s="43">
        <v>0</v>
      </c>
      <c r="P445" s="43">
        <v>0</v>
      </c>
      <c r="Q445" s="43">
        <v>0</v>
      </c>
      <c r="R445" s="43">
        <v>0</v>
      </c>
      <c r="S445" s="43">
        <v>0</v>
      </c>
      <c r="T445" s="43">
        <v>0</v>
      </c>
      <c r="U445" s="43">
        <v>0</v>
      </c>
      <c r="V445" s="43">
        <v>0</v>
      </c>
      <c r="W445" s="43">
        <v>0</v>
      </c>
      <c r="X445" s="43">
        <v>0</v>
      </c>
      <c r="Y445" s="43">
        <v>0</v>
      </c>
      <c r="Z445" s="43">
        <v>0</v>
      </c>
      <c r="AA445" s="44">
        <v>0</v>
      </c>
      <c r="AB445" s="44">
        <v>0</v>
      </c>
      <c r="AC445" s="44">
        <v>9</v>
      </c>
      <c r="AD445" s="44">
        <v>7</v>
      </c>
      <c r="AE445" s="44">
        <v>900</v>
      </c>
      <c r="AF445" s="44">
        <v>5</v>
      </c>
      <c r="AG445" s="44">
        <v>0</v>
      </c>
      <c r="AH445" s="44">
        <v>130</v>
      </c>
      <c r="AI445" s="44">
        <v>894</v>
      </c>
      <c r="AJ445" s="44">
        <v>0</v>
      </c>
      <c r="AK445" s="44">
        <v>0</v>
      </c>
      <c r="AL445" s="44">
        <v>172</v>
      </c>
      <c r="AM445" s="48"/>
      <c r="AN445" s="48"/>
      <c r="AO445" s="48"/>
      <c r="AP445" s="44">
        <v>165</v>
      </c>
      <c r="AQ445" s="44">
        <v>857</v>
      </c>
      <c r="AR445" s="51"/>
      <c r="AS445" s="51"/>
      <c r="AT445" s="51"/>
      <c r="AU445" s="51"/>
      <c r="AV445" s="51"/>
      <c r="AW445" s="43">
        <v>157</v>
      </c>
      <c r="AX445" s="43">
        <v>873</v>
      </c>
      <c r="AY445" s="50"/>
      <c r="AZ445" s="50"/>
      <c r="BA445" s="50"/>
      <c r="BB445" s="50"/>
      <c r="BC445" s="50"/>
      <c r="BD445" s="50"/>
      <c r="BE445" s="43">
        <v>701</v>
      </c>
      <c r="BF445" s="43">
        <v>319</v>
      </c>
      <c r="BG445" s="43">
        <v>834</v>
      </c>
      <c r="BH445" s="43">
        <v>213</v>
      </c>
      <c r="BI445" s="43">
        <v>859</v>
      </c>
      <c r="BJ445" s="43">
        <v>159</v>
      </c>
      <c r="BK445" s="43">
        <v>223</v>
      </c>
      <c r="BL445" s="43">
        <v>811</v>
      </c>
      <c r="BM445" s="43">
        <v>610</v>
      </c>
      <c r="BN445" s="43">
        <v>412</v>
      </c>
      <c r="BO445" s="43">
        <v>173</v>
      </c>
      <c r="BP445" s="43">
        <v>828</v>
      </c>
      <c r="BQ445" s="43">
        <v>889</v>
      </c>
      <c r="BR445" s="43">
        <v>118</v>
      </c>
      <c r="BS445" s="43">
        <v>826</v>
      </c>
      <c r="BT445" s="43">
        <v>536</v>
      </c>
      <c r="BU445" s="43">
        <v>442</v>
      </c>
      <c r="BV445" s="43">
        <v>733</v>
      </c>
      <c r="BW445" s="43">
        <v>604</v>
      </c>
      <c r="BX445" s="43">
        <v>233</v>
      </c>
      <c r="BY445" s="43">
        <v>758</v>
      </c>
      <c r="BZ445" s="43">
        <v>161</v>
      </c>
      <c r="CA445" s="43">
        <v>670</v>
      </c>
      <c r="CB445" s="43">
        <v>699</v>
      </c>
      <c r="CC445" s="43">
        <v>138</v>
      </c>
      <c r="CD445" s="43">
        <v>538</v>
      </c>
      <c r="CE445" s="43">
        <v>137</v>
      </c>
      <c r="CF445" s="43">
        <v>766</v>
      </c>
      <c r="CG445" s="43">
        <v>653</v>
      </c>
      <c r="CH445" s="43">
        <v>154</v>
      </c>
      <c r="CI445" s="43">
        <v>111</v>
      </c>
      <c r="CJ445" s="43">
        <v>734</v>
      </c>
      <c r="CK445" s="43">
        <v>644</v>
      </c>
      <c r="CL445" s="43">
        <v>187</v>
      </c>
      <c r="CM445" s="43">
        <v>675</v>
      </c>
      <c r="CN445" s="43">
        <v>641</v>
      </c>
      <c r="CO445" s="43">
        <v>130</v>
      </c>
      <c r="CP445" s="43">
        <v>704</v>
      </c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43">
        <v>788</v>
      </c>
      <c r="FF445" s="43">
        <v>245</v>
      </c>
      <c r="FG445" s="43">
        <v>849</v>
      </c>
      <c r="FH445" s="43">
        <v>192</v>
      </c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43">
        <v>33</v>
      </c>
      <c r="FZ445" s="43">
        <v>111</v>
      </c>
      <c r="GA445" s="53"/>
      <c r="GB445" s="53"/>
      <c r="GC445" s="53"/>
      <c r="GD445" s="53"/>
      <c r="GE445" s="53"/>
      <c r="GF445" s="53"/>
      <c r="GG445" s="53"/>
      <c r="GH445" s="53"/>
      <c r="GI445" s="43"/>
      <c r="GJ445" s="43"/>
      <c r="GK445" s="43"/>
      <c r="GL445" s="43"/>
      <c r="GM445" s="53"/>
      <c r="GN445" s="53"/>
      <c r="GO445" s="43">
        <v>677</v>
      </c>
      <c r="GP445" s="43">
        <v>357</v>
      </c>
      <c r="GQ445" s="43">
        <v>712</v>
      </c>
      <c r="GR445" s="43">
        <v>324</v>
      </c>
    </row>
    <row r="446" spans="1:200">
      <c r="A446" s="7">
        <v>7324</v>
      </c>
      <c r="B446" s="1" t="s">
        <v>574</v>
      </c>
      <c r="C446" s="33">
        <v>1310</v>
      </c>
      <c r="D446" s="34">
        <v>1090</v>
      </c>
      <c r="E446" s="19">
        <f t="shared" si="6"/>
        <v>0.83206106870229013</v>
      </c>
      <c r="F446" s="62">
        <v>278</v>
      </c>
      <c r="G446" s="43">
        <v>2</v>
      </c>
      <c r="H446" s="43">
        <v>37</v>
      </c>
      <c r="I446" s="43">
        <v>15</v>
      </c>
      <c r="J446" s="55">
        <v>736</v>
      </c>
      <c r="K446" s="6">
        <v>0</v>
      </c>
      <c r="L446" s="6">
        <v>0</v>
      </c>
      <c r="M446" s="43">
        <v>0</v>
      </c>
      <c r="N446" s="25">
        <v>0</v>
      </c>
      <c r="O446" s="43">
        <v>0</v>
      </c>
      <c r="P446" s="43">
        <v>0</v>
      </c>
      <c r="Q446" s="43">
        <v>0</v>
      </c>
      <c r="R446" s="43">
        <v>0</v>
      </c>
      <c r="S446" s="43">
        <v>0</v>
      </c>
      <c r="T446" s="43">
        <v>0</v>
      </c>
      <c r="U446" s="43">
        <v>0</v>
      </c>
      <c r="V446" s="43">
        <v>0</v>
      </c>
      <c r="W446" s="43">
        <v>1</v>
      </c>
      <c r="X446" s="43">
        <v>0</v>
      </c>
      <c r="Y446" s="43">
        <v>0</v>
      </c>
      <c r="Z446" s="43">
        <v>0</v>
      </c>
      <c r="AA446" s="44">
        <v>0</v>
      </c>
      <c r="AB446" s="44">
        <v>0</v>
      </c>
      <c r="AC446" s="44">
        <v>11</v>
      </c>
      <c r="AD446" s="44">
        <v>15</v>
      </c>
      <c r="AE446" s="44">
        <v>841</v>
      </c>
      <c r="AF446" s="44">
        <v>16</v>
      </c>
      <c r="AG446" s="44">
        <v>0</v>
      </c>
      <c r="AH446" s="44">
        <v>177</v>
      </c>
      <c r="AI446" s="44">
        <v>838</v>
      </c>
      <c r="AJ446" s="44">
        <v>0</v>
      </c>
      <c r="AK446" s="44">
        <v>0</v>
      </c>
      <c r="AL446" s="44">
        <v>227</v>
      </c>
      <c r="AM446" s="48"/>
      <c r="AN446" s="48"/>
      <c r="AO446" s="48"/>
      <c r="AP446" s="44">
        <v>220</v>
      </c>
      <c r="AQ446" s="44">
        <v>790</v>
      </c>
      <c r="AR446" s="51"/>
      <c r="AS446" s="51"/>
      <c r="AT446" s="51"/>
      <c r="AU446" s="51"/>
      <c r="AV446" s="51"/>
      <c r="AW446" s="43">
        <v>226</v>
      </c>
      <c r="AX446" s="43">
        <v>784</v>
      </c>
      <c r="AY446" s="50"/>
      <c r="AZ446" s="50"/>
      <c r="BA446" s="50"/>
      <c r="BB446" s="50"/>
      <c r="BC446" s="50"/>
      <c r="BD446" s="50"/>
      <c r="BE446" s="43">
        <v>638</v>
      </c>
      <c r="BF446" s="43">
        <v>385</v>
      </c>
      <c r="BG446" s="43">
        <v>760</v>
      </c>
      <c r="BH446" s="43">
        <v>270</v>
      </c>
      <c r="BI446" s="43">
        <v>795</v>
      </c>
      <c r="BJ446" s="43">
        <v>216</v>
      </c>
      <c r="BK446" s="43">
        <v>307</v>
      </c>
      <c r="BL446" s="43">
        <v>714</v>
      </c>
      <c r="BM446" s="43">
        <v>555</v>
      </c>
      <c r="BN446" s="43">
        <v>450</v>
      </c>
      <c r="BO446" s="43">
        <v>232</v>
      </c>
      <c r="BP446" s="43">
        <v>757</v>
      </c>
      <c r="BQ446" s="43">
        <v>808</v>
      </c>
      <c r="BR446" s="43">
        <v>192</v>
      </c>
      <c r="BS446" s="43">
        <v>808</v>
      </c>
      <c r="BT446" s="43">
        <v>543</v>
      </c>
      <c r="BU446" s="43">
        <v>440</v>
      </c>
      <c r="BV446" s="43">
        <v>734</v>
      </c>
      <c r="BW446" s="43">
        <v>620</v>
      </c>
      <c r="BX446" s="43">
        <v>226</v>
      </c>
      <c r="BY446" s="43">
        <v>716</v>
      </c>
      <c r="BZ446" s="43">
        <v>194</v>
      </c>
      <c r="CA446" s="43">
        <v>683</v>
      </c>
      <c r="CB446" s="43">
        <v>611</v>
      </c>
      <c r="CC446" s="43">
        <v>197</v>
      </c>
      <c r="CD446" s="43">
        <v>567</v>
      </c>
      <c r="CE446" s="43">
        <v>231</v>
      </c>
      <c r="CF446" s="43">
        <v>629</v>
      </c>
      <c r="CG446" s="43">
        <v>603</v>
      </c>
      <c r="CH446" s="43">
        <v>179</v>
      </c>
      <c r="CI446" s="43">
        <v>143</v>
      </c>
      <c r="CJ446" s="43">
        <v>679</v>
      </c>
      <c r="CK446" s="43">
        <v>587</v>
      </c>
      <c r="CL446" s="43">
        <v>226</v>
      </c>
      <c r="CM446" s="43">
        <v>656</v>
      </c>
      <c r="CN446" s="43">
        <v>640</v>
      </c>
      <c r="CO446" s="43">
        <v>189</v>
      </c>
      <c r="CP446" s="43">
        <v>615</v>
      </c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43">
        <v>756</v>
      </c>
      <c r="FF446" s="43">
        <v>288</v>
      </c>
      <c r="FG446" s="43">
        <v>835</v>
      </c>
      <c r="FH446" s="43">
        <v>219</v>
      </c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53"/>
      <c r="FZ446" s="53"/>
      <c r="GA446" s="53"/>
      <c r="GB446" s="53"/>
      <c r="GC446" s="53"/>
      <c r="GD446" s="53"/>
      <c r="GE446" s="53"/>
      <c r="GF446" s="53"/>
      <c r="GG446" s="53"/>
      <c r="GH446" s="53"/>
      <c r="GI446" s="43"/>
      <c r="GJ446" s="43"/>
      <c r="GK446" s="43"/>
      <c r="GL446" s="43"/>
      <c r="GM446" s="53"/>
      <c r="GN446" s="53"/>
      <c r="GO446" s="43">
        <v>687</v>
      </c>
      <c r="GP446" s="43">
        <v>359</v>
      </c>
      <c r="GQ446" s="43">
        <v>673</v>
      </c>
      <c r="GR446" s="43">
        <v>370</v>
      </c>
    </row>
    <row r="447" spans="1:200">
      <c r="A447" s="7">
        <v>7325</v>
      </c>
      <c r="B447" s="1" t="s">
        <v>575</v>
      </c>
      <c r="C447" s="33">
        <v>878</v>
      </c>
      <c r="D447" s="34">
        <v>758</v>
      </c>
      <c r="E447" s="19">
        <f t="shared" si="6"/>
        <v>0.86332574031890663</v>
      </c>
      <c r="F447" s="62">
        <v>204</v>
      </c>
      <c r="G447" s="43">
        <v>1</v>
      </c>
      <c r="H447" s="43">
        <v>35</v>
      </c>
      <c r="I447" s="43">
        <v>3</v>
      </c>
      <c r="J447" s="55">
        <v>498</v>
      </c>
      <c r="K447" s="6">
        <v>0</v>
      </c>
      <c r="L447" s="6">
        <v>0</v>
      </c>
      <c r="M447" s="43">
        <v>0</v>
      </c>
      <c r="N447" s="25">
        <v>0</v>
      </c>
      <c r="O447" s="43">
        <v>0</v>
      </c>
      <c r="P447" s="43">
        <v>0</v>
      </c>
      <c r="Q447" s="43">
        <v>0</v>
      </c>
      <c r="R447" s="43">
        <v>0</v>
      </c>
      <c r="S447" s="43">
        <v>0</v>
      </c>
      <c r="T447" s="43">
        <v>0</v>
      </c>
      <c r="U447" s="43">
        <v>0</v>
      </c>
      <c r="V447" s="43">
        <v>0</v>
      </c>
      <c r="W447" s="43">
        <v>1</v>
      </c>
      <c r="X447" s="43">
        <v>0</v>
      </c>
      <c r="Y447" s="43">
        <v>0</v>
      </c>
      <c r="Z447" s="43">
        <v>0</v>
      </c>
      <c r="AA447" s="44">
        <v>0</v>
      </c>
      <c r="AB447" s="44">
        <v>0</v>
      </c>
      <c r="AC447" s="44">
        <v>6</v>
      </c>
      <c r="AD447" s="44">
        <v>5</v>
      </c>
      <c r="AE447" s="44">
        <v>573</v>
      </c>
      <c r="AF447" s="44">
        <v>10</v>
      </c>
      <c r="AG447" s="44">
        <v>0</v>
      </c>
      <c r="AH447" s="44">
        <v>138</v>
      </c>
      <c r="AI447" s="44">
        <v>580</v>
      </c>
      <c r="AJ447" s="44">
        <v>0</v>
      </c>
      <c r="AK447" s="44">
        <v>1</v>
      </c>
      <c r="AL447" s="44">
        <v>157</v>
      </c>
      <c r="AM447" s="48"/>
      <c r="AN447" s="48"/>
      <c r="AO447" s="48"/>
      <c r="AP447" s="44">
        <v>149</v>
      </c>
      <c r="AQ447" s="44">
        <v>549</v>
      </c>
      <c r="AR447" s="51"/>
      <c r="AS447" s="51"/>
      <c r="AT447" s="51"/>
      <c r="AU447" s="51"/>
      <c r="AV447" s="51"/>
      <c r="AW447" s="43">
        <v>156</v>
      </c>
      <c r="AX447" s="43">
        <v>542</v>
      </c>
      <c r="AY447" s="50"/>
      <c r="AZ447" s="50"/>
      <c r="BA447" s="50"/>
      <c r="BB447" s="50"/>
      <c r="BC447" s="50"/>
      <c r="BD447" s="50"/>
      <c r="BE447" s="43">
        <v>440</v>
      </c>
      <c r="BF447" s="43">
        <v>260</v>
      </c>
      <c r="BG447" s="43">
        <v>540</v>
      </c>
      <c r="BH447" s="43">
        <v>181</v>
      </c>
      <c r="BI447" s="43">
        <v>548</v>
      </c>
      <c r="BJ447" s="43">
        <v>157</v>
      </c>
      <c r="BK447" s="43">
        <v>215</v>
      </c>
      <c r="BL447" s="43">
        <v>504</v>
      </c>
      <c r="BM447" s="43">
        <v>332</v>
      </c>
      <c r="BN447" s="43">
        <v>385</v>
      </c>
      <c r="BO447" s="43">
        <v>180</v>
      </c>
      <c r="BP447" s="43">
        <v>519</v>
      </c>
      <c r="BQ447" s="43">
        <v>571</v>
      </c>
      <c r="BR447" s="43">
        <v>132</v>
      </c>
      <c r="BS447" s="43">
        <v>564</v>
      </c>
      <c r="BT447" s="43">
        <v>355</v>
      </c>
      <c r="BU447" s="43">
        <v>326</v>
      </c>
      <c r="BV447" s="43">
        <v>492</v>
      </c>
      <c r="BW447" s="43">
        <v>400</v>
      </c>
      <c r="BX447" s="43">
        <v>180</v>
      </c>
      <c r="BY447" s="43">
        <v>460</v>
      </c>
      <c r="BZ447" s="43">
        <v>161</v>
      </c>
      <c r="CA447" s="43">
        <v>452</v>
      </c>
      <c r="CB447" s="43">
        <v>411</v>
      </c>
      <c r="CC447" s="43">
        <v>155</v>
      </c>
      <c r="CD447" s="43">
        <v>399</v>
      </c>
      <c r="CE447" s="43">
        <v>160</v>
      </c>
      <c r="CF447" s="43">
        <v>421</v>
      </c>
      <c r="CG447" s="43">
        <v>363</v>
      </c>
      <c r="CH447" s="43">
        <v>161</v>
      </c>
      <c r="CI447" s="43">
        <v>83</v>
      </c>
      <c r="CJ447" s="43">
        <v>471</v>
      </c>
      <c r="CK447" s="43">
        <v>377</v>
      </c>
      <c r="CL447" s="43">
        <v>165</v>
      </c>
      <c r="CM447" s="43">
        <v>445</v>
      </c>
      <c r="CN447" s="43">
        <v>424</v>
      </c>
      <c r="CO447" s="43">
        <v>123</v>
      </c>
      <c r="CP447" s="43">
        <v>446</v>
      </c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43">
        <v>552</v>
      </c>
      <c r="FF447" s="43">
        <v>171</v>
      </c>
      <c r="FG447" s="43">
        <v>606</v>
      </c>
      <c r="FH447" s="43">
        <v>125</v>
      </c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53"/>
      <c r="FZ447" s="53"/>
      <c r="GA447" s="53"/>
      <c r="GB447" s="53"/>
      <c r="GC447" s="53"/>
      <c r="GD447" s="53"/>
      <c r="GE447" s="53"/>
      <c r="GF447" s="53"/>
      <c r="GG447" s="53"/>
      <c r="GH447" s="53"/>
      <c r="GI447" s="43"/>
      <c r="GJ447" s="43"/>
      <c r="GK447" s="43"/>
      <c r="GL447" s="43"/>
      <c r="GM447" s="53"/>
      <c r="GN447" s="53"/>
      <c r="GO447" s="43">
        <v>501</v>
      </c>
      <c r="GP447" s="43">
        <v>226</v>
      </c>
      <c r="GQ447" s="43">
        <v>500</v>
      </c>
      <c r="GR447" s="43">
        <v>217</v>
      </c>
    </row>
    <row r="448" spans="1:200">
      <c r="A448" s="7">
        <v>7326</v>
      </c>
      <c r="B448" s="1" t="s">
        <v>576</v>
      </c>
      <c r="C448" s="33">
        <v>1378</v>
      </c>
      <c r="D448" s="34">
        <v>1147</v>
      </c>
      <c r="E448" s="19">
        <f t="shared" si="6"/>
        <v>0.83236574746008707</v>
      </c>
      <c r="F448" s="62">
        <v>314</v>
      </c>
      <c r="G448" s="43">
        <v>5</v>
      </c>
      <c r="H448" s="43">
        <v>41</v>
      </c>
      <c r="I448" s="43">
        <v>4</v>
      </c>
      <c r="J448" s="55">
        <v>755</v>
      </c>
      <c r="K448" s="6">
        <v>0</v>
      </c>
      <c r="L448" s="6">
        <v>0</v>
      </c>
      <c r="M448" s="43">
        <v>0</v>
      </c>
      <c r="N448" s="25">
        <v>0</v>
      </c>
      <c r="O448" s="43">
        <v>0</v>
      </c>
      <c r="P448" s="43">
        <v>0</v>
      </c>
      <c r="Q448" s="43">
        <v>0</v>
      </c>
      <c r="R448" s="43">
        <v>0</v>
      </c>
      <c r="S448" s="43">
        <v>0</v>
      </c>
      <c r="T448" s="43">
        <v>0</v>
      </c>
      <c r="U448" s="43">
        <v>0</v>
      </c>
      <c r="V448" s="43">
        <v>0</v>
      </c>
      <c r="W448" s="43">
        <v>4</v>
      </c>
      <c r="X448" s="43">
        <v>0</v>
      </c>
      <c r="Y448" s="43">
        <v>0</v>
      </c>
      <c r="Z448" s="43">
        <v>0</v>
      </c>
      <c r="AA448" s="44">
        <v>0</v>
      </c>
      <c r="AB448" s="44">
        <v>0</v>
      </c>
      <c r="AC448" s="44">
        <v>10</v>
      </c>
      <c r="AD448" s="44">
        <v>4</v>
      </c>
      <c r="AE448" s="44">
        <v>865</v>
      </c>
      <c r="AF448" s="44">
        <v>11</v>
      </c>
      <c r="AG448" s="44">
        <v>0</v>
      </c>
      <c r="AH448" s="44">
        <v>219</v>
      </c>
      <c r="AI448" s="44">
        <v>875</v>
      </c>
      <c r="AJ448" s="44">
        <v>0</v>
      </c>
      <c r="AK448" s="44">
        <v>0</v>
      </c>
      <c r="AL448" s="44">
        <v>237</v>
      </c>
      <c r="AM448" s="48"/>
      <c r="AN448" s="48"/>
      <c r="AO448" s="48"/>
      <c r="AP448" s="44">
        <v>279</v>
      </c>
      <c r="AQ448" s="44">
        <v>776</v>
      </c>
      <c r="AR448" s="51"/>
      <c r="AS448" s="51"/>
      <c r="AT448" s="51"/>
      <c r="AU448" s="51"/>
      <c r="AV448" s="51"/>
      <c r="AW448" s="43">
        <v>226</v>
      </c>
      <c r="AX448" s="43">
        <v>824</v>
      </c>
      <c r="AY448" s="50"/>
      <c r="AZ448" s="50"/>
      <c r="BA448" s="50"/>
      <c r="BB448" s="50"/>
      <c r="BC448" s="50"/>
      <c r="BD448" s="50"/>
      <c r="BE448" s="43">
        <v>595</v>
      </c>
      <c r="BF448" s="43">
        <v>476</v>
      </c>
      <c r="BG448" s="43">
        <v>811</v>
      </c>
      <c r="BH448" s="43">
        <v>270</v>
      </c>
      <c r="BI448" s="43">
        <v>859</v>
      </c>
      <c r="BJ448" s="43">
        <v>203</v>
      </c>
      <c r="BK448" s="43">
        <v>297</v>
      </c>
      <c r="BL448" s="43">
        <v>771</v>
      </c>
      <c r="BM448" s="43">
        <v>609</v>
      </c>
      <c r="BN448" s="43">
        <v>441</v>
      </c>
      <c r="BO448" s="43">
        <v>254</v>
      </c>
      <c r="BP448" s="43">
        <v>779</v>
      </c>
      <c r="BQ448" s="43">
        <v>832</v>
      </c>
      <c r="BR448" s="43">
        <v>209</v>
      </c>
      <c r="BS448" s="43">
        <v>859</v>
      </c>
      <c r="BT448" s="43">
        <v>569</v>
      </c>
      <c r="BU448" s="43">
        <v>454</v>
      </c>
      <c r="BV448" s="43">
        <v>765</v>
      </c>
      <c r="BW448" s="43">
        <v>586</v>
      </c>
      <c r="BX448" s="43">
        <v>241</v>
      </c>
      <c r="BY448" s="43">
        <v>721</v>
      </c>
      <c r="BZ448" s="43">
        <v>196</v>
      </c>
      <c r="CA448" s="43">
        <v>699</v>
      </c>
      <c r="CB448" s="43">
        <v>578</v>
      </c>
      <c r="CC448" s="43">
        <v>238</v>
      </c>
      <c r="CD448" s="43">
        <v>623</v>
      </c>
      <c r="CE448" s="43">
        <v>233</v>
      </c>
      <c r="CF448" s="43">
        <v>618</v>
      </c>
      <c r="CG448" s="43">
        <v>598</v>
      </c>
      <c r="CH448" s="43">
        <v>183</v>
      </c>
      <c r="CI448" s="43">
        <v>109</v>
      </c>
      <c r="CJ448" s="43">
        <v>708</v>
      </c>
      <c r="CK448" s="43">
        <v>584</v>
      </c>
      <c r="CL448" s="43">
        <v>236</v>
      </c>
      <c r="CM448" s="43">
        <v>679</v>
      </c>
      <c r="CN448" s="43">
        <v>667</v>
      </c>
      <c r="CO448" s="43">
        <v>181</v>
      </c>
      <c r="CP448" s="43">
        <v>632</v>
      </c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43">
        <v>848</v>
      </c>
      <c r="FF448" s="43">
        <v>239</v>
      </c>
      <c r="FG448" s="43">
        <v>926</v>
      </c>
      <c r="FH448" s="43">
        <v>165</v>
      </c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53"/>
      <c r="FZ448" s="53"/>
      <c r="GA448" s="53"/>
      <c r="GB448" s="53"/>
      <c r="GC448" s="53"/>
      <c r="GD448" s="53"/>
      <c r="GE448" s="53"/>
      <c r="GF448" s="53"/>
      <c r="GG448" s="53"/>
      <c r="GH448" s="53"/>
      <c r="GI448" s="43"/>
      <c r="GJ448" s="43"/>
      <c r="GK448" s="43"/>
      <c r="GL448" s="43"/>
      <c r="GM448" s="53"/>
      <c r="GN448" s="53"/>
      <c r="GO448" s="43">
        <v>805</v>
      </c>
      <c r="GP448" s="43">
        <v>290</v>
      </c>
      <c r="GQ448" s="43">
        <v>780</v>
      </c>
      <c r="GR448" s="43">
        <v>306</v>
      </c>
    </row>
    <row r="449" spans="1:200">
      <c r="A449" s="7">
        <v>7327</v>
      </c>
      <c r="B449" s="1" t="s">
        <v>577</v>
      </c>
      <c r="C449" s="33">
        <v>941</v>
      </c>
      <c r="D449" s="34">
        <v>835</v>
      </c>
      <c r="E449" s="19">
        <f t="shared" si="6"/>
        <v>0.88735387885228478</v>
      </c>
      <c r="F449" s="62">
        <v>185</v>
      </c>
      <c r="G449" s="43">
        <v>1</v>
      </c>
      <c r="H449" s="43">
        <v>37</v>
      </c>
      <c r="I449" s="43">
        <v>12</v>
      </c>
      <c r="J449" s="55">
        <v>573</v>
      </c>
      <c r="K449" s="6">
        <v>0</v>
      </c>
      <c r="L449" s="6">
        <v>0</v>
      </c>
      <c r="M449" s="43">
        <v>0</v>
      </c>
      <c r="N449" s="25">
        <v>0</v>
      </c>
      <c r="O449" s="43">
        <v>0</v>
      </c>
      <c r="P449" s="43">
        <v>0</v>
      </c>
      <c r="Q449" s="43">
        <v>0</v>
      </c>
      <c r="R449" s="43">
        <v>0</v>
      </c>
      <c r="S449" s="43">
        <v>0</v>
      </c>
      <c r="T449" s="43">
        <v>0</v>
      </c>
      <c r="U449" s="43">
        <v>0</v>
      </c>
      <c r="V449" s="43">
        <v>0</v>
      </c>
      <c r="W449" s="43">
        <v>3</v>
      </c>
      <c r="X449" s="43">
        <v>0</v>
      </c>
      <c r="Y449" s="43">
        <v>0</v>
      </c>
      <c r="Z449" s="43">
        <v>0</v>
      </c>
      <c r="AA449" s="44">
        <v>0</v>
      </c>
      <c r="AB449" s="44">
        <v>0</v>
      </c>
      <c r="AC449" s="44">
        <v>10</v>
      </c>
      <c r="AD449" s="44">
        <v>14</v>
      </c>
      <c r="AE449" s="44">
        <v>661</v>
      </c>
      <c r="AF449" s="44">
        <v>6</v>
      </c>
      <c r="AG449" s="44">
        <v>0</v>
      </c>
      <c r="AH449" s="44">
        <v>124</v>
      </c>
      <c r="AI449" s="44">
        <v>669</v>
      </c>
      <c r="AJ449" s="44">
        <v>0</v>
      </c>
      <c r="AK449" s="44">
        <v>0</v>
      </c>
      <c r="AL449" s="44">
        <v>144</v>
      </c>
      <c r="AM449" s="48"/>
      <c r="AN449" s="48"/>
      <c r="AO449" s="48"/>
      <c r="AP449" s="44">
        <v>142</v>
      </c>
      <c r="AQ449" s="44">
        <v>638</v>
      </c>
      <c r="AR449" s="51"/>
      <c r="AS449" s="51"/>
      <c r="AT449" s="51"/>
      <c r="AU449" s="51"/>
      <c r="AV449" s="51"/>
      <c r="AW449" s="43">
        <v>139</v>
      </c>
      <c r="AX449" s="43">
        <v>642</v>
      </c>
      <c r="AY449" s="50"/>
      <c r="AZ449" s="50"/>
      <c r="BA449" s="50"/>
      <c r="BB449" s="50"/>
      <c r="BC449" s="50"/>
      <c r="BD449" s="50"/>
      <c r="BE449" s="43">
        <v>506</v>
      </c>
      <c r="BF449" s="43">
        <v>275</v>
      </c>
      <c r="BG449" s="43">
        <v>618</v>
      </c>
      <c r="BH449" s="43">
        <v>189</v>
      </c>
      <c r="BI449" s="43">
        <v>629</v>
      </c>
      <c r="BJ449" s="43">
        <v>149</v>
      </c>
      <c r="BK449" s="43">
        <v>203</v>
      </c>
      <c r="BL449" s="43">
        <v>586</v>
      </c>
      <c r="BM449" s="43">
        <v>462</v>
      </c>
      <c r="BN449" s="43">
        <v>319</v>
      </c>
      <c r="BO449" s="43">
        <v>150</v>
      </c>
      <c r="BP449" s="43">
        <v>612</v>
      </c>
      <c r="BQ449" s="43">
        <v>634</v>
      </c>
      <c r="BR449" s="43">
        <v>128</v>
      </c>
      <c r="BS449" s="43">
        <v>611</v>
      </c>
      <c r="BT449" s="43">
        <v>390</v>
      </c>
      <c r="BU449" s="43">
        <v>351</v>
      </c>
      <c r="BV449" s="43">
        <v>556</v>
      </c>
      <c r="BW449" s="43">
        <v>442</v>
      </c>
      <c r="BX449" s="43">
        <v>188</v>
      </c>
      <c r="BY449" s="43">
        <v>573</v>
      </c>
      <c r="BZ449" s="43">
        <v>117</v>
      </c>
      <c r="CA449" s="43">
        <v>497</v>
      </c>
      <c r="CB449" s="43">
        <v>486</v>
      </c>
      <c r="CC449" s="43">
        <v>117</v>
      </c>
      <c r="CD449" s="43">
        <v>416</v>
      </c>
      <c r="CE449" s="43">
        <v>123</v>
      </c>
      <c r="CF449" s="43">
        <v>541</v>
      </c>
      <c r="CG449" s="43">
        <v>442</v>
      </c>
      <c r="CH449" s="43">
        <v>149</v>
      </c>
      <c r="CI449" s="43">
        <v>65</v>
      </c>
      <c r="CJ449" s="43">
        <v>545</v>
      </c>
      <c r="CK449" s="43">
        <v>444</v>
      </c>
      <c r="CL449" s="43">
        <v>160</v>
      </c>
      <c r="CM449" s="43">
        <v>484</v>
      </c>
      <c r="CN449" s="43">
        <v>458</v>
      </c>
      <c r="CO449" s="43">
        <v>111</v>
      </c>
      <c r="CP449" s="43">
        <v>482</v>
      </c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43">
        <v>594</v>
      </c>
      <c r="FF449" s="43">
        <v>203</v>
      </c>
      <c r="FG449" s="43">
        <v>644</v>
      </c>
      <c r="FH449" s="43">
        <v>157</v>
      </c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43">
        <v>161</v>
      </c>
      <c r="FZ449" s="43">
        <v>478</v>
      </c>
      <c r="GA449" s="53"/>
      <c r="GB449" s="53"/>
      <c r="GC449" s="53"/>
      <c r="GD449" s="53"/>
      <c r="GE449" s="53"/>
      <c r="GF449" s="53"/>
      <c r="GG449" s="53"/>
      <c r="GH449" s="53"/>
      <c r="GI449" s="43"/>
      <c r="GJ449" s="43"/>
      <c r="GK449" s="43"/>
      <c r="GL449" s="43"/>
      <c r="GM449" s="53"/>
      <c r="GN449" s="53"/>
      <c r="GO449" s="43">
        <v>504</v>
      </c>
      <c r="GP449" s="43">
        <v>296</v>
      </c>
      <c r="GQ449" s="43">
        <v>521</v>
      </c>
      <c r="GR449" s="43">
        <v>286</v>
      </c>
    </row>
    <row r="450" spans="1:200">
      <c r="A450" s="8">
        <v>7328</v>
      </c>
      <c r="B450" s="1" t="s">
        <v>578</v>
      </c>
      <c r="C450" s="33">
        <v>1028</v>
      </c>
      <c r="D450" s="34">
        <v>791</v>
      </c>
      <c r="E450" s="19">
        <f t="shared" si="6"/>
        <v>0.76945525291828798</v>
      </c>
      <c r="F450" s="62">
        <v>191</v>
      </c>
      <c r="G450" s="43">
        <v>6</v>
      </c>
      <c r="H450" s="43">
        <v>28</v>
      </c>
      <c r="I450" s="43">
        <v>3</v>
      </c>
      <c r="J450" s="55">
        <v>543</v>
      </c>
      <c r="K450" s="6">
        <v>0</v>
      </c>
      <c r="L450" s="6">
        <v>0</v>
      </c>
      <c r="M450" s="43">
        <v>0</v>
      </c>
      <c r="N450" s="25">
        <v>0</v>
      </c>
      <c r="O450" s="43">
        <v>0</v>
      </c>
      <c r="P450" s="43">
        <v>0</v>
      </c>
      <c r="Q450" s="43">
        <v>0</v>
      </c>
      <c r="R450" s="43">
        <v>0</v>
      </c>
      <c r="S450" s="43">
        <v>0</v>
      </c>
      <c r="T450" s="43">
        <v>0</v>
      </c>
      <c r="U450" s="43">
        <v>0</v>
      </c>
      <c r="V450" s="43">
        <v>0</v>
      </c>
      <c r="W450" s="43">
        <v>1</v>
      </c>
      <c r="X450" s="43">
        <v>0</v>
      </c>
      <c r="Y450" s="43">
        <v>0</v>
      </c>
      <c r="Z450" s="43">
        <v>0</v>
      </c>
      <c r="AA450" s="44">
        <v>0</v>
      </c>
      <c r="AB450" s="44">
        <v>0</v>
      </c>
      <c r="AC450" s="44">
        <v>3</v>
      </c>
      <c r="AD450" s="44">
        <v>13</v>
      </c>
      <c r="AE450" s="44">
        <v>610</v>
      </c>
      <c r="AF450" s="44">
        <v>5</v>
      </c>
      <c r="AG450" s="44">
        <v>0</v>
      </c>
      <c r="AH450" s="44">
        <v>135</v>
      </c>
      <c r="AI450" s="44">
        <v>603</v>
      </c>
      <c r="AJ450" s="44">
        <v>0</v>
      </c>
      <c r="AK450" s="44">
        <v>0</v>
      </c>
      <c r="AL450" s="44">
        <v>166</v>
      </c>
      <c r="AM450" s="48"/>
      <c r="AN450" s="48"/>
      <c r="AO450" s="48"/>
      <c r="AP450" s="44">
        <v>172</v>
      </c>
      <c r="AQ450" s="44">
        <v>566</v>
      </c>
      <c r="AR450" s="51"/>
      <c r="AS450" s="51"/>
      <c r="AT450" s="51"/>
      <c r="AU450" s="51"/>
      <c r="AV450" s="51"/>
      <c r="AW450" s="43">
        <v>163</v>
      </c>
      <c r="AX450" s="43">
        <v>574</v>
      </c>
      <c r="AY450" s="50"/>
      <c r="AZ450" s="50"/>
      <c r="BA450" s="50"/>
      <c r="BB450" s="50"/>
      <c r="BC450" s="50"/>
      <c r="BD450" s="50"/>
      <c r="BE450" s="43">
        <v>466</v>
      </c>
      <c r="BF450" s="43">
        <v>283</v>
      </c>
      <c r="BG450" s="43">
        <v>527</v>
      </c>
      <c r="BH450" s="43">
        <v>222</v>
      </c>
      <c r="BI450" s="43">
        <v>572</v>
      </c>
      <c r="BJ450" s="43">
        <v>168</v>
      </c>
      <c r="BK450" s="43">
        <v>206</v>
      </c>
      <c r="BL450" s="43">
        <v>544</v>
      </c>
      <c r="BM450" s="43">
        <v>363</v>
      </c>
      <c r="BN450" s="43">
        <v>382</v>
      </c>
      <c r="BO450" s="43">
        <v>171</v>
      </c>
      <c r="BP450" s="43">
        <v>552</v>
      </c>
      <c r="BQ450" s="43">
        <v>586</v>
      </c>
      <c r="BR450" s="43">
        <v>142</v>
      </c>
      <c r="BS450" s="43">
        <v>584</v>
      </c>
      <c r="BT450" s="43">
        <v>388</v>
      </c>
      <c r="BU450" s="43">
        <v>328</v>
      </c>
      <c r="BV450" s="43">
        <v>538</v>
      </c>
      <c r="BW450" s="43">
        <v>436</v>
      </c>
      <c r="BX450" s="43">
        <v>183</v>
      </c>
      <c r="BY450" s="43">
        <v>527</v>
      </c>
      <c r="BZ450" s="43">
        <v>141</v>
      </c>
      <c r="CA450" s="43">
        <v>488</v>
      </c>
      <c r="CB450" s="43">
        <v>451</v>
      </c>
      <c r="CC450" s="43">
        <v>155</v>
      </c>
      <c r="CD450" s="43">
        <v>443</v>
      </c>
      <c r="CE450" s="43">
        <v>163</v>
      </c>
      <c r="CF450" s="43">
        <v>489</v>
      </c>
      <c r="CG450" s="43">
        <v>454</v>
      </c>
      <c r="CH450" s="43">
        <v>138</v>
      </c>
      <c r="CI450" s="43">
        <v>98</v>
      </c>
      <c r="CJ450" s="43">
        <v>522</v>
      </c>
      <c r="CK450" s="43">
        <v>420</v>
      </c>
      <c r="CL450" s="43">
        <v>175</v>
      </c>
      <c r="CM450" s="43">
        <v>507</v>
      </c>
      <c r="CN450" s="43">
        <v>482</v>
      </c>
      <c r="CO450" s="43">
        <v>149</v>
      </c>
      <c r="CP450" s="43">
        <v>456</v>
      </c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43">
        <v>545</v>
      </c>
      <c r="FF450" s="43">
        <v>215</v>
      </c>
      <c r="FG450" s="43">
        <v>611</v>
      </c>
      <c r="FH450" s="43">
        <v>146</v>
      </c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43">
        <v>145</v>
      </c>
      <c r="FZ450" s="43">
        <v>394</v>
      </c>
      <c r="GA450" s="53"/>
      <c r="GB450" s="53"/>
      <c r="GC450" s="53"/>
      <c r="GD450" s="53"/>
      <c r="GE450" s="53"/>
      <c r="GF450" s="53"/>
      <c r="GG450" s="53"/>
      <c r="GH450" s="53"/>
      <c r="GI450" s="43"/>
      <c r="GJ450" s="43"/>
      <c r="GK450" s="43"/>
      <c r="GL450" s="43"/>
      <c r="GM450" s="53"/>
      <c r="GN450" s="53"/>
      <c r="GO450" s="43">
        <v>445</v>
      </c>
      <c r="GP450" s="43">
        <v>310</v>
      </c>
      <c r="GQ450" s="43">
        <v>475</v>
      </c>
      <c r="GR450" s="43">
        <v>286</v>
      </c>
    </row>
    <row r="451" spans="1:200">
      <c r="A451" s="7">
        <v>7329</v>
      </c>
      <c r="B451" s="1" t="s">
        <v>579</v>
      </c>
      <c r="C451" s="33">
        <v>1117</v>
      </c>
      <c r="D451" s="34">
        <v>861</v>
      </c>
      <c r="E451" s="19">
        <f t="shared" si="6"/>
        <v>0.77081468218442251</v>
      </c>
      <c r="F451" s="62">
        <v>222</v>
      </c>
      <c r="G451" s="43">
        <v>2</v>
      </c>
      <c r="H451" s="43">
        <v>36</v>
      </c>
      <c r="I451" s="43">
        <v>6</v>
      </c>
      <c r="J451" s="55">
        <v>578</v>
      </c>
      <c r="K451" s="6">
        <v>0</v>
      </c>
      <c r="L451" s="6">
        <v>0</v>
      </c>
      <c r="M451" s="43">
        <v>0</v>
      </c>
      <c r="N451" s="25">
        <v>0</v>
      </c>
      <c r="O451" s="43">
        <v>0</v>
      </c>
      <c r="P451" s="43">
        <v>0</v>
      </c>
      <c r="Q451" s="43">
        <v>0</v>
      </c>
      <c r="R451" s="43">
        <v>0</v>
      </c>
      <c r="S451" s="43">
        <v>0</v>
      </c>
      <c r="T451" s="43">
        <v>0</v>
      </c>
      <c r="U451" s="43">
        <v>0</v>
      </c>
      <c r="V451" s="43">
        <v>0</v>
      </c>
      <c r="W451" s="43">
        <v>2</v>
      </c>
      <c r="X451" s="43">
        <v>0</v>
      </c>
      <c r="Y451" s="43">
        <v>0</v>
      </c>
      <c r="Z451" s="43">
        <v>0</v>
      </c>
      <c r="AA451" s="44">
        <v>0</v>
      </c>
      <c r="AB451" s="44">
        <v>0</v>
      </c>
      <c r="AC451" s="44">
        <v>4</v>
      </c>
      <c r="AD451" s="44">
        <v>16</v>
      </c>
      <c r="AE451" s="44">
        <v>634</v>
      </c>
      <c r="AF451" s="44">
        <v>13</v>
      </c>
      <c r="AG451" s="44">
        <v>0</v>
      </c>
      <c r="AH451" s="44">
        <v>158</v>
      </c>
      <c r="AI451" s="44">
        <v>636</v>
      </c>
      <c r="AJ451" s="44">
        <v>0</v>
      </c>
      <c r="AK451" s="44">
        <v>0</v>
      </c>
      <c r="AL451" s="44">
        <v>196</v>
      </c>
      <c r="AM451" s="48"/>
      <c r="AN451" s="48"/>
      <c r="AO451" s="48"/>
      <c r="AP451" s="44">
        <v>233</v>
      </c>
      <c r="AQ451" s="44">
        <v>558</v>
      </c>
      <c r="AR451" s="51"/>
      <c r="AS451" s="51"/>
      <c r="AT451" s="51"/>
      <c r="AU451" s="51"/>
      <c r="AV451" s="51"/>
      <c r="AW451" s="43">
        <v>202</v>
      </c>
      <c r="AX451" s="43">
        <v>586</v>
      </c>
      <c r="AY451" s="50"/>
      <c r="AZ451" s="50"/>
      <c r="BA451" s="50"/>
      <c r="BB451" s="50"/>
      <c r="BC451" s="50"/>
      <c r="BD451" s="50"/>
      <c r="BE451" s="43">
        <v>451</v>
      </c>
      <c r="BF451" s="43">
        <v>354</v>
      </c>
      <c r="BG451" s="43">
        <v>583</v>
      </c>
      <c r="BH451" s="43">
        <v>232</v>
      </c>
      <c r="BI451" s="43">
        <v>616</v>
      </c>
      <c r="BJ451" s="43">
        <v>182</v>
      </c>
      <c r="BK451" s="43">
        <v>247</v>
      </c>
      <c r="BL451" s="43">
        <v>550</v>
      </c>
      <c r="BM451" s="43">
        <v>433</v>
      </c>
      <c r="BN451" s="43">
        <v>373</v>
      </c>
      <c r="BO451" s="43">
        <v>204</v>
      </c>
      <c r="BP451" s="43">
        <v>578</v>
      </c>
      <c r="BQ451" s="43">
        <v>618</v>
      </c>
      <c r="BR451" s="43">
        <v>174</v>
      </c>
      <c r="BS451" s="43">
        <v>632</v>
      </c>
      <c r="BT451" s="43">
        <v>403</v>
      </c>
      <c r="BU451" s="43">
        <v>354</v>
      </c>
      <c r="BV451" s="43">
        <v>584</v>
      </c>
      <c r="BW451" s="43">
        <v>384</v>
      </c>
      <c r="BX451" s="43">
        <v>254</v>
      </c>
      <c r="BY451" s="43">
        <v>518</v>
      </c>
      <c r="BZ451" s="43">
        <v>177</v>
      </c>
      <c r="CA451" s="43">
        <v>530</v>
      </c>
      <c r="CB451" s="43">
        <v>418</v>
      </c>
      <c r="CC451" s="43">
        <v>201</v>
      </c>
      <c r="CD451" s="43">
        <v>497</v>
      </c>
      <c r="CE451" s="43">
        <v>169</v>
      </c>
      <c r="CF451" s="43">
        <v>502</v>
      </c>
      <c r="CG451" s="43">
        <v>420</v>
      </c>
      <c r="CH451" s="43">
        <v>184</v>
      </c>
      <c r="CI451" s="43">
        <v>116</v>
      </c>
      <c r="CJ451" s="43">
        <v>517</v>
      </c>
      <c r="CK451" s="43">
        <v>387</v>
      </c>
      <c r="CL451" s="43">
        <v>235</v>
      </c>
      <c r="CM451" s="43">
        <v>519</v>
      </c>
      <c r="CN451" s="43">
        <v>508</v>
      </c>
      <c r="CO451" s="43">
        <v>164</v>
      </c>
      <c r="CP451" s="43">
        <v>465</v>
      </c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43">
        <v>634</v>
      </c>
      <c r="FF451" s="43">
        <v>166</v>
      </c>
      <c r="FG451" s="43">
        <v>688</v>
      </c>
      <c r="FH451" s="43">
        <v>120</v>
      </c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53"/>
      <c r="FZ451" s="53"/>
      <c r="GA451" s="53"/>
      <c r="GB451" s="53"/>
      <c r="GC451" s="53"/>
      <c r="GD451" s="53"/>
      <c r="GE451" s="53"/>
      <c r="GF451" s="53"/>
      <c r="GG451" s="53"/>
      <c r="GH451" s="53"/>
      <c r="GI451" s="43"/>
      <c r="GJ451" s="43"/>
      <c r="GK451" s="43"/>
      <c r="GL451" s="43"/>
      <c r="GM451" s="53"/>
      <c r="GN451" s="53"/>
      <c r="GO451" s="43">
        <v>546</v>
      </c>
      <c r="GP451" s="43">
        <v>266</v>
      </c>
      <c r="GQ451" s="43">
        <v>566</v>
      </c>
      <c r="GR451" s="43">
        <v>237</v>
      </c>
    </row>
    <row r="452" spans="1:200">
      <c r="A452" s="7">
        <v>7330</v>
      </c>
      <c r="B452" s="1" t="s">
        <v>580</v>
      </c>
      <c r="C452" s="33">
        <v>913</v>
      </c>
      <c r="D452" s="34">
        <v>743</v>
      </c>
      <c r="E452" s="19">
        <f t="shared" si="6"/>
        <v>0.81380065717415118</v>
      </c>
      <c r="F452" s="62">
        <v>209</v>
      </c>
      <c r="G452" s="43">
        <v>4</v>
      </c>
      <c r="H452" s="43">
        <v>14</v>
      </c>
      <c r="I452" s="43">
        <v>5</v>
      </c>
      <c r="J452" s="55">
        <v>494</v>
      </c>
      <c r="K452" s="6">
        <v>0</v>
      </c>
      <c r="L452" s="6">
        <v>0</v>
      </c>
      <c r="M452" s="43">
        <v>1</v>
      </c>
      <c r="N452" s="25">
        <v>0</v>
      </c>
      <c r="O452" s="43">
        <v>0</v>
      </c>
      <c r="P452" s="43">
        <v>0</v>
      </c>
      <c r="Q452" s="43">
        <v>0</v>
      </c>
      <c r="R452" s="43">
        <v>0</v>
      </c>
      <c r="S452" s="43">
        <v>0</v>
      </c>
      <c r="T452" s="43">
        <v>0</v>
      </c>
      <c r="U452" s="43">
        <v>0</v>
      </c>
      <c r="V452" s="43">
        <v>0</v>
      </c>
      <c r="W452" s="43">
        <v>1</v>
      </c>
      <c r="X452" s="43">
        <v>0</v>
      </c>
      <c r="Y452" s="43">
        <v>0</v>
      </c>
      <c r="Z452" s="43">
        <v>0</v>
      </c>
      <c r="AA452" s="44">
        <v>0</v>
      </c>
      <c r="AB452" s="44">
        <v>0</v>
      </c>
      <c r="AC452" s="44">
        <v>4</v>
      </c>
      <c r="AD452" s="44">
        <v>9</v>
      </c>
      <c r="AE452" s="44">
        <v>585</v>
      </c>
      <c r="AF452" s="44">
        <v>6</v>
      </c>
      <c r="AG452" s="44">
        <v>0</v>
      </c>
      <c r="AH452" s="44">
        <v>121</v>
      </c>
      <c r="AI452" s="44">
        <v>559</v>
      </c>
      <c r="AJ452" s="44">
        <v>0</v>
      </c>
      <c r="AK452" s="44">
        <v>0</v>
      </c>
      <c r="AL452" s="44">
        <v>163</v>
      </c>
      <c r="AM452" s="48"/>
      <c r="AN452" s="48"/>
      <c r="AO452" s="48"/>
      <c r="AP452" s="44">
        <v>180</v>
      </c>
      <c r="AQ452" s="44">
        <v>510</v>
      </c>
      <c r="AR452" s="51"/>
      <c r="AS452" s="51"/>
      <c r="AT452" s="51"/>
      <c r="AU452" s="51"/>
      <c r="AV452" s="51"/>
      <c r="AW452" s="43">
        <v>154</v>
      </c>
      <c r="AX452" s="43">
        <v>538</v>
      </c>
      <c r="AY452" s="50"/>
      <c r="AZ452" s="50"/>
      <c r="BA452" s="50"/>
      <c r="BB452" s="50"/>
      <c r="BC452" s="50"/>
      <c r="BD452" s="50"/>
      <c r="BE452" s="43">
        <v>389</v>
      </c>
      <c r="BF452" s="43">
        <v>310</v>
      </c>
      <c r="BG452" s="43">
        <v>525</v>
      </c>
      <c r="BH452" s="43">
        <v>192</v>
      </c>
      <c r="BI452" s="43">
        <v>542</v>
      </c>
      <c r="BJ452" s="43">
        <v>158</v>
      </c>
      <c r="BK452" s="43">
        <v>215</v>
      </c>
      <c r="BL452" s="43">
        <v>487</v>
      </c>
      <c r="BM452" s="43">
        <v>378</v>
      </c>
      <c r="BN452" s="43">
        <v>326</v>
      </c>
      <c r="BO452" s="43">
        <v>159</v>
      </c>
      <c r="BP452" s="43">
        <v>531</v>
      </c>
      <c r="BQ452" s="43">
        <v>580</v>
      </c>
      <c r="BR452" s="43">
        <v>122</v>
      </c>
      <c r="BS452" s="43">
        <v>585</v>
      </c>
      <c r="BT452" s="43">
        <v>360</v>
      </c>
      <c r="BU452" s="43">
        <v>327</v>
      </c>
      <c r="BV452" s="43">
        <v>537</v>
      </c>
      <c r="BW452" s="43">
        <v>404</v>
      </c>
      <c r="BX452" s="43">
        <v>190</v>
      </c>
      <c r="BY452" s="43">
        <v>485</v>
      </c>
      <c r="BZ452" s="43">
        <v>163</v>
      </c>
      <c r="CA452" s="43">
        <v>516</v>
      </c>
      <c r="CB452" s="43">
        <v>437</v>
      </c>
      <c r="CC452" s="43">
        <v>150</v>
      </c>
      <c r="CD452" s="43">
        <v>462</v>
      </c>
      <c r="CE452" s="43">
        <v>158</v>
      </c>
      <c r="CF452" s="43">
        <v>468</v>
      </c>
      <c r="CG452" s="43">
        <v>443</v>
      </c>
      <c r="CH452" s="43">
        <v>130</v>
      </c>
      <c r="CI452" s="43">
        <v>112</v>
      </c>
      <c r="CJ452" s="43">
        <v>478</v>
      </c>
      <c r="CK452" s="43">
        <v>413</v>
      </c>
      <c r="CL452" s="43">
        <v>178</v>
      </c>
      <c r="CM452" s="43">
        <v>503</v>
      </c>
      <c r="CN452" s="43">
        <v>492</v>
      </c>
      <c r="CO452" s="43">
        <v>135</v>
      </c>
      <c r="CP452" s="43">
        <v>460</v>
      </c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43">
        <v>591</v>
      </c>
      <c r="FF452" s="43">
        <v>123</v>
      </c>
      <c r="FG452" s="43">
        <v>621</v>
      </c>
      <c r="FH452" s="43">
        <v>93</v>
      </c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53"/>
      <c r="FZ452" s="53"/>
      <c r="GA452" s="53"/>
      <c r="GB452" s="53"/>
      <c r="GC452" s="53"/>
      <c r="GD452" s="53"/>
      <c r="GE452" s="53"/>
      <c r="GF452" s="53"/>
      <c r="GG452" s="53"/>
      <c r="GH452" s="53"/>
      <c r="GI452" s="43"/>
      <c r="GJ452" s="43"/>
      <c r="GK452" s="43"/>
      <c r="GL452" s="43"/>
      <c r="GM452" s="53"/>
      <c r="GN452" s="53"/>
      <c r="GO452" s="43">
        <v>476</v>
      </c>
      <c r="GP452" s="43">
        <v>225</v>
      </c>
      <c r="GQ452" s="43">
        <v>533</v>
      </c>
      <c r="GR452" s="43">
        <v>180</v>
      </c>
    </row>
    <row r="453" spans="1:200">
      <c r="A453" s="7">
        <v>7331</v>
      </c>
      <c r="B453" s="1" t="s">
        <v>581</v>
      </c>
      <c r="C453" s="33">
        <v>1014</v>
      </c>
      <c r="D453" s="34">
        <v>796</v>
      </c>
      <c r="E453" s="19">
        <f t="shared" ref="E453:E516" si="7">SUM(D453/C453)</f>
        <v>0.78500986193293887</v>
      </c>
      <c r="F453" s="62">
        <v>237</v>
      </c>
      <c r="G453" s="43">
        <v>1</v>
      </c>
      <c r="H453" s="43">
        <v>22</v>
      </c>
      <c r="I453" s="43">
        <v>6</v>
      </c>
      <c r="J453" s="55">
        <v>515</v>
      </c>
      <c r="K453" s="6">
        <v>0</v>
      </c>
      <c r="L453" s="6">
        <v>0</v>
      </c>
      <c r="M453" s="43">
        <v>0</v>
      </c>
      <c r="N453" s="25">
        <v>0</v>
      </c>
      <c r="O453" s="43">
        <v>0</v>
      </c>
      <c r="P453" s="43">
        <v>0</v>
      </c>
      <c r="Q453" s="43">
        <v>0</v>
      </c>
      <c r="R453" s="43">
        <v>0</v>
      </c>
      <c r="S453" s="43">
        <v>0</v>
      </c>
      <c r="T453" s="43">
        <v>0</v>
      </c>
      <c r="U453" s="43">
        <v>0</v>
      </c>
      <c r="V453" s="43">
        <v>0</v>
      </c>
      <c r="W453" s="43">
        <v>2</v>
      </c>
      <c r="X453" s="43">
        <v>0</v>
      </c>
      <c r="Y453" s="43">
        <v>0</v>
      </c>
      <c r="Z453" s="43">
        <v>0</v>
      </c>
      <c r="AA453" s="44">
        <v>0</v>
      </c>
      <c r="AB453" s="44">
        <v>0</v>
      </c>
      <c r="AC453" s="44">
        <v>11</v>
      </c>
      <c r="AD453" s="44">
        <v>12</v>
      </c>
      <c r="AE453" s="44">
        <v>566</v>
      </c>
      <c r="AF453" s="44">
        <v>8</v>
      </c>
      <c r="AG453" s="44">
        <v>0</v>
      </c>
      <c r="AH453" s="44">
        <v>177</v>
      </c>
      <c r="AI453" s="44">
        <v>574</v>
      </c>
      <c r="AJ453" s="44">
        <v>0</v>
      </c>
      <c r="AK453" s="44">
        <v>0</v>
      </c>
      <c r="AL453" s="44">
        <v>198</v>
      </c>
      <c r="AM453" s="48"/>
      <c r="AN453" s="48"/>
      <c r="AO453" s="48"/>
      <c r="AP453" s="44">
        <v>212</v>
      </c>
      <c r="AQ453" s="44">
        <v>496</v>
      </c>
      <c r="AR453" s="51"/>
      <c r="AS453" s="51"/>
      <c r="AT453" s="51"/>
      <c r="AU453" s="51"/>
      <c r="AV453" s="51"/>
      <c r="AW453" s="43">
        <v>182</v>
      </c>
      <c r="AX453" s="43">
        <v>533</v>
      </c>
      <c r="AY453" s="50"/>
      <c r="AZ453" s="50"/>
      <c r="BA453" s="50"/>
      <c r="BB453" s="50"/>
      <c r="BC453" s="50"/>
      <c r="BD453" s="50"/>
      <c r="BE453" s="43">
        <v>398</v>
      </c>
      <c r="BF453" s="43">
        <v>332</v>
      </c>
      <c r="BG453" s="43">
        <v>510</v>
      </c>
      <c r="BH453" s="43">
        <v>228</v>
      </c>
      <c r="BI453" s="43">
        <v>548</v>
      </c>
      <c r="BJ453" s="43">
        <v>185</v>
      </c>
      <c r="BK453" s="43">
        <v>250</v>
      </c>
      <c r="BL453" s="43">
        <v>488</v>
      </c>
      <c r="BM453" s="43">
        <v>305</v>
      </c>
      <c r="BN453" s="43">
        <v>433</v>
      </c>
      <c r="BO453" s="43">
        <v>199</v>
      </c>
      <c r="BP453" s="43">
        <v>506</v>
      </c>
      <c r="BQ453" s="43">
        <v>545</v>
      </c>
      <c r="BR453" s="43">
        <v>179</v>
      </c>
      <c r="BS453" s="43">
        <v>547</v>
      </c>
      <c r="BT453" s="43">
        <v>345</v>
      </c>
      <c r="BU453" s="43">
        <v>369</v>
      </c>
      <c r="BV453" s="43">
        <v>511</v>
      </c>
      <c r="BW453" s="43">
        <v>382</v>
      </c>
      <c r="BX453" s="43">
        <v>217</v>
      </c>
      <c r="BY453" s="43">
        <v>487</v>
      </c>
      <c r="BZ453" s="43">
        <v>174</v>
      </c>
      <c r="CA453" s="43">
        <v>474</v>
      </c>
      <c r="CB453" s="43">
        <v>377</v>
      </c>
      <c r="CC453" s="43">
        <v>210</v>
      </c>
      <c r="CD453" s="43">
        <v>432</v>
      </c>
      <c r="CE453" s="43">
        <v>201</v>
      </c>
      <c r="CF453" s="43">
        <v>413</v>
      </c>
      <c r="CG453" s="43">
        <v>345</v>
      </c>
      <c r="CH453" s="43">
        <v>216</v>
      </c>
      <c r="CI453" s="43">
        <v>100</v>
      </c>
      <c r="CJ453" s="43">
        <v>488</v>
      </c>
      <c r="CK453" s="43">
        <v>378</v>
      </c>
      <c r="CL453" s="43">
        <v>202</v>
      </c>
      <c r="CM453" s="43">
        <v>461</v>
      </c>
      <c r="CN453" s="43">
        <v>462</v>
      </c>
      <c r="CO453" s="43">
        <v>159</v>
      </c>
      <c r="CP453" s="43">
        <v>432</v>
      </c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43">
        <v>549</v>
      </c>
      <c r="FF453" s="43">
        <v>202</v>
      </c>
      <c r="FG453" s="43">
        <v>617</v>
      </c>
      <c r="FH453" s="43">
        <v>139</v>
      </c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53"/>
      <c r="FZ453" s="53"/>
      <c r="GA453" s="53"/>
      <c r="GB453" s="53"/>
      <c r="GC453" s="53"/>
      <c r="GD453" s="53"/>
      <c r="GE453" s="53"/>
      <c r="GF453" s="53"/>
      <c r="GG453" s="53"/>
      <c r="GH453" s="53"/>
      <c r="GI453" s="43"/>
      <c r="GJ453" s="43"/>
      <c r="GK453" s="43"/>
      <c r="GL453" s="43"/>
      <c r="GM453" s="53"/>
      <c r="GN453" s="53"/>
      <c r="GO453" s="43">
        <v>508</v>
      </c>
      <c r="GP453" s="43">
        <v>235</v>
      </c>
      <c r="GQ453" s="43">
        <v>488</v>
      </c>
      <c r="GR453" s="43">
        <v>257</v>
      </c>
    </row>
    <row r="454" spans="1:200">
      <c r="A454" s="7">
        <v>7332</v>
      </c>
      <c r="B454" s="1" t="s">
        <v>582</v>
      </c>
      <c r="C454" s="33">
        <v>891</v>
      </c>
      <c r="D454" s="34">
        <v>745</v>
      </c>
      <c r="E454" s="19">
        <f t="shared" si="7"/>
        <v>0.83613916947250277</v>
      </c>
      <c r="F454" s="62">
        <v>223</v>
      </c>
      <c r="G454" s="43">
        <v>1</v>
      </c>
      <c r="H454" s="43">
        <v>34</v>
      </c>
      <c r="I454" s="43">
        <v>13</v>
      </c>
      <c r="J454" s="55">
        <v>455</v>
      </c>
      <c r="K454" s="6">
        <v>0</v>
      </c>
      <c r="L454" s="6">
        <v>0</v>
      </c>
      <c r="M454" s="43">
        <v>0</v>
      </c>
      <c r="N454" s="25">
        <v>0</v>
      </c>
      <c r="O454" s="43">
        <v>0</v>
      </c>
      <c r="P454" s="43">
        <v>0</v>
      </c>
      <c r="Q454" s="43">
        <v>0</v>
      </c>
      <c r="R454" s="43">
        <v>0</v>
      </c>
      <c r="S454" s="43">
        <v>0</v>
      </c>
      <c r="T454" s="43">
        <v>0</v>
      </c>
      <c r="U454" s="43">
        <v>0</v>
      </c>
      <c r="V454" s="43">
        <v>1</v>
      </c>
      <c r="W454" s="43">
        <v>3</v>
      </c>
      <c r="X454" s="43">
        <v>0</v>
      </c>
      <c r="Y454" s="43">
        <v>0</v>
      </c>
      <c r="Z454" s="43">
        <v>0</v>
      </c>
      <c r="AA454" s="44">
        <v>0</v>
      </c>
      <c r="AB454" s="44">
        <v>0</v>
      </c>
      <c r="AC454" s="44">
        <v>16</v>
      </c>
      <c r="AD454" s="44">
        <v>13</v>
      </c>
      <c r="AE454" s="44">
        <v>505</v>
      </c>
      <c r="AF454" s="44">
        <v>9</v>
      </c>
      <c r="AG454" s="44">
        <v>0</v>
      </c>
      <c r="AH454" s="44">
        <v>173</v>
      </c>
      <c r="AI454" s="44">
        <v>524</v>
      </c>
      <c r="AJ454" s="44">
        <v>0</v>
      </c>
      <c r="AK454" s="44">
        <v>0</v>
      </c>
      <c r="AL454" s="44">
        <v>206</v>
      </c>
      <c r="AM454" s="48"/>
      <c r="AN454" s="48"/>
      <c r="AO454" s="48"/>
      <c r="AP454" s="44">
        <v>210</v>
      </c>
      <c r="AQ454" s="44">
        <v>482</v>
      </c>
      <c r="AR454" s="51"/>
      <c r="AS454" s="51"/>
      <c r="AT454" s="51"/>
      <c r="AU454" s="51"/>
      <c r="AV454" s="51"/>
      <c r="AW454" s="43">
        <v>212</v>
      </c>
      <c r="AX454" s="43">
        <v>478</v>
      </c>
      <c r="AY454" s="50"/>
      <c r="AZ454" s="50"/>
      <c r="BA454" s="50"/>
      <c r="BB454" s="50"/>
      <c r="BC454" s="50"/>
      <c r="BD454" s="50"/>
      <c r="BE454" s="43">
        <v>403</v>
      </c>
      <c r="BF454" s="43">
        <v>292</v>
      </c>
      <c r="BG454" s="43">
        <v>487</v>
      </c>
      <c r="BH454" s="43">
        <v>224</v>
      </c>
      <c r="BI454" s="43">
        <v>500</v>
      </c>
      <c r="BJ454" s="43">
        <v>193</v>
      </c>
      <c r="BK454" s="43">
        <v>248</v>
      </c>
      <c r="BL454" s="43">
        <v>450</v>
      </c>
      <c r="BM454" s="43">
        <v>354</v>
      </c>
      <c r="BN454" s="43">
        <v>348</v>
      </c>
      <c r="BO454" s="43">
        <v>202</v>
      </c>
      <c r="BP454" s="43">
        <v>479</v>
      </c>
      <c r="BQ454" s="43">
        <v>496</v>
      </c>
      <c r="BR454" s="43">
        <v>181</v>
      </c>
      <c r="BS454" s="43">
        <v>518</v>
      </c>
      <c r="BT454" s="43">
        <v>341</v>
      </c>
      <c r="BU454" s="43">
        <v>318</v>
      </c>
      <c r="BV454" s="43">
        <v>493</v>
      </c>
      <c r="BW454" s="43">
        <v>371</v>
      </c>
      <c r="BX454" s="43">
        <v>193</v>
      </c>
      <c r="BY454" s="43">
        <v>443</v>
      </c>
      <c r="BZ454" s="43">
        <v>168</v>
      </c>
      <c r="CA454" s="43">
        <v>446</v>
      </c>
      <c r="CB454" s="43">
        <v>363</v>
      </c>
      <c r="CC454" s="43">
        <v>187</v>
      </c>
      <c r="CD454" s="43">
        <v>428</v>
      </c>
      <c r="CE454" s="43">
        <v>205</v>
      </c>
      <c r="CF454" s="43">
        <v>387</v>
      </c>
      <c r="CG454" s="43">
        <v>358</v>
      </c>
      <c r="CH454" s="43">
        <v>176</v>
      </c>
      <c r="CI454" s="43">
        <v>114</v>
      </c>
      <c r="CJ454" s="43">
        <v>447</v>
      </c>
      <c r="CK454" s="43">
        <v>372</v>
      </c>
      <c r="CL454" s="43">
        <v>177</v>
      </c>
      <c r="CM454" s="43">
        <v>439</v>
      </c>
      <c r="CN454" s="43">
        <v>421</v>
      </c>
      <c r="CO454" s="43">
        <v>146</v>
      </c>
      <c r="CP454" s="43">
        <v>411</v>
      </c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43">
        <v>552</v>
      </c>
      <c r="FF454" s="43">
        <v>161</v>
      </c>
      <c r="FG454" s="43">
        <v>576</v>
      </c>
      <c r="FH454" s="43">
        <v>143</v>
      </c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43">
        <v>36</v>
      </c>
      <c r="FZ454" s="43">
        <v>126</v>
      </c>
      <c r="GA454" s="53"/>
      <c r="GB454" s="53"/>
      <c r="GC454" s="53"/>
      <c r="GD454" s="53"/>
      <c r="GE454" s="53"/>
      <c r="GF454" s="53"/>
      <c r="GG454" s="53"/>
      <c r="GH454" s="53"/>
      <c r="GI454" s="43"/>
      <c r="GJ454" s="43"/>
      <c r="GK454" s="43"/>
      <c r="GL454" s="43"/>
      <c r="GM454" s="53"/>
      <c r="GN454" s="53"/>
      <c r="GO454" s="43">
        <v>465</v>
      </c>
      <c r="GP454" s="43">
        <v>246</v>
      </c>
      <c r="GQ454" s="43">
        <v>449</v>
      </c>
      <c r="GR454" s="43">
        <v>261</v>
      </c>
    </row>
    <row r="455" spans="1:200">
      <c r="A455" s="7">
        <v>7333</v>
      </c>
      <c r="B455" s="1" t="s">
        <v>583</v>
      </c>
      <c r="C455" s="33">
        <v>1236</v>
      </c>
      <c r="D455" s="34">
        <v>1029</v>
      </c>
      <c r="E455" s="19">
        <f t="shared" si="7"/>
        <v>0.83252427184466016</v>
      </c>
      <c r="F455" s="62">
        <v>236</v>
      </c>
      <c r="G455" s="43">
        <v>2</v>
      </c>
      <c r="H455" s="43">
        <v>29</v>
      </c>
      <c r="I455" s="43">
        <v>14</v>
      </c>
      <c r="J455" s="55">
        <v>729</v>
      </c>
      <c r="K455" s="6">
        <v>0</v>
      </c>
      <c r="L455" s="6">
        <v>0</v>
      </c>
      <c r="M455" s="43">
        <v>0</v>
      </c>
      <c r="N455" s="25">
        <v>0</v>
      </c>
      <c r="O455" s="43">
        <v>0</v>
      </c>
      <c r="P455" s="43">
        <v>0</v>
      </c>
      <c r="Q455" s="43">
        <v>0</v>
      </c>
      <c r="R455" s="43">
        <v>0</v>
      </c>
      <c r="S455" s="43">
        <v>0</v>
      </c>
      <c r="T455" s="43">
        <v>0</v>
      </c>
      <c r="U455" s="43">
        <v>0</v>
      </c>
      <c r="V455" s="43">
        <v>0</v>
      </c>
      <c r="W455" s="43">
        <v>3</v>
      </c>
      <c r="X455" s="43">
        <v>0</v>
      </c>
      <c r="Y455" s="43">
        <v>0</v>
      </c>
      <c r="Z455" s="43">
        <v>0</v>
      </c>
      <c r="AA455" s="44">
        <v>0</v>
      </c>
      <c r="AB455" s="44">
        <v>0</v>
      </c>
      <c r="AC455" s="44">
        <v>4</v>
      </c>
      <c r="AD455" s="44">
        <v>8</v>
      </c>
      <c r="AE455" s="44">
        <v>812</v>
      </c>
      <c r="AF455" s="44">
        <v>9</v>
      </c>
      <c r="AG455" s="44">
        <v>0</v>
      </c>
      <c r="AH455" s="44">
        <v>157</v>
      </c>
      <c r="AI455" s="44">
        <v>822</v>
      </c>
      <c r="AJ455" s="44">
        <v>0</v>
      </c>
      <c r="AK455" s="44">
        <v>0</v>
      </c>
      <c r="AL455" s="44">
        <v>177</v>
      </c>
      <c r="AM455" s="48"/>
      <c r="AN455" s="48"/>
      <c r="AO455" s="48"/>
      <c r="AP455" s="44">
        <v>229</v>
      </c>
      <c r="AQ455" s="44">
        <v>705</v>
      </c>
      <c r="AR455" s="51"/>
      <c r="AS455" s="51"/>
      <c r="AT455" s="51"/>
      <c r="AU455" s="51"/>
      <c r="AV455" s="51"/>
      <c r="AW455" s="43">
        <v>180</v>
      </c>
      <c r="AX455" s="43">
        <v>751</v>
      </c>
      <c r="AY455" s="50"/>
      <c r="AZ455" s="50"/>
      <c r="BA455" s="50"/>
      <c r="BB455" s="50"/>
      <c r="BC455" s="50"/>
      <c r="BD455" s="50"/>
      <c r="BE455" s="43">
        <v>573</v>
      </c>
      <c r="BF455" s="43">
        <v>375</v>
      </c>
      <c r="BG455" s="43">
        <v>727</v>
      </c>
      <c r="BH455" s="43">
        <v>237</v>
      </c>
      <c r="BI455" s="43">
        <v>767</v>
      </c>
      <c r="BJ455" s="43">
        <v>173</v>
      </c>
      <c r="BK455" s="43">
        <v>261</v>
      </c>
      <c r="BL455" s="43">
        <v>701</v>
      </c>
      <c r="BM455" s="43">
        <v>530</v>
      </c>
      <c r="BN455" s="43">
        <v>424</v>
      </c>
      <c r="BO455" s="43">
        <v>191</v>
      </c>
      <c r="BP455" s="43">
        <v>744</v>
      </c>
      <c r="BQ455" s="43">
        <v>805</v>
      </c>
      <c r="BR455" s="43">
        <v>145</v>
      </c>
      <c r="BS455" s="43">
        <v>787</v>
      </c>
      <c r="BT455" s="43">
        <v>507</v>
      </c>
      <c r="BU455" s="43">
        <v>411</v>
      </c>
      <c r="BV455" s="43">
        <v>707</v>
      </c>
      <c r="BW455" s="43">
        <v>558</v>
      </c>
      <c r="BX455" s="43">
        <v>233</v>
      </c>
      <c r="BY455" s="43">
        <v>694</v>
      </c>
      <c r="BZ455" s="43">
        <v>173</v>
      </c>
      <c r="CA455" s="43">
        <v>671</v>
      </c>
      <c r="CB455" s="43">
        <v>588</v>
      </c>
      <c r="CC455" s="43">
        <v>191</v>
      </c>
      <c r="CD455" s="43">
        <v>584</v>
      </c>
      <c r="CE455" s="43">
        <v>168</v>
      </c>
      <c r="CF455" s="43">
        <v>671</v>
      </c>
      <c r="CG455" s="43">
        <v>528</v>
      </c>
      <c r="CH455" s="43">
        <v>231</v>
      </c>
      <c r="CI455" s="43">
        <v>97</v>
      </c>
      <c r="CJ455" s="43">
        <v>681</v>
      </c>
      <c r="CK455" s="43">
        <v>518</v>
      </c>
      <c r="CL455" s="43">
        <v>260</v>
      </c>
      <c r="CM455" s="43">
        <v>660</v>
      </c>
      <c r="CN455" s="43">
        <v>641</v>
      </c>
      <c r="CO455" s="43">
        <v>152</v>
      </c>
      <c r="CP455" s="43">
        <v>631</v>
      </c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43">
        <v>767</v>
      </c>
      <c r="FF455" s="43">
        <v>216</v>
      </c>
      <c r="FG455" s="43">
        <v>830</v>
      </c>
      <c r="FH455" s="43">
        <v>159</v>
      </c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53"/>
      <c r="FZ455" s="53"/>
      <c r="GA455" s="53"/>
      <c r="GB455" s="53"/>
      <c r="GC455" s="53"/>
      <c r="GD455" s="53"/>
      <c r="GE455" s="53"/>
      <c r="GF455" s="53"/>
      <c r="GG455" s="53"/>
      <c r="GH455" s="53"/>
      <c r="GI455" s="43"/>
      <c r="GJ455" s="43"/>
      <c r="GK455" s="43"/>
      <c r="GL455" s="43"/>
      <c r="GM455" s="53"/>
      <c r="GN455" s="53"/>
      <c r="GO455" s="43">
        <v>647</v>
      </c>
      <c r="GP455" s="43">
        <v>330</v>
      </c>
      <c r="GQ455" s="43">
        <v>685</v>
      </c>
      <c r="GR455" s="43">
        <v>292</v>
      </c>
    </row>
    <row r="456" spans="1:200">
      <c r="A456" s="7">
        <v>7334</v>
      </c>
      <c r="B456" s="1" t="s">
        <v>584</v>
      </c>
      <c r="C456" s="33">
        <v>1183</v>
      </c>
      <c r="D456" s="34">
        <v>968</v>
      </c>
      <c r="E456" s="19">
        <f t="shared" si="7"/>
        <v>0.81825866441251061</v>
      </c>
      <c r="F456" s="62">
        <v>261</v>
      </c>
      <c r="G456" s="43">
        <v>3</v>
      </c>
      <c r="H456" s="43">
        <v>48</v>
      </c>
      <c r="I456" s="43">
        <v>7</v>
      </c>
      <c r="J456" s="55">
        <v>632</v>
      </c>
      <c r="K456" s="6">
        <v>0</v>
      </c>
      <c r="L456" s="6">
        <v>0</v>
      </c>
      <c r="M456" s="43">
        <v>0</v>
      </c>
      <c r="N456" s="25">
        <v>0</v>
      </c>
      <c r="O456" s="43">
        <v>0</v>
      </c>
      <c r="P456" s="43">
        <v>0</v>
      </c>
      <c r="Q456" s="43">
        <v>0</v>
      </c>
      <c r="R456" s="43">
        <v>0</v>
      </c>
      <c r="S456" s="43">
        <v>0</v>
      </c>
      <c r="T456" s="43">
        <v>0</v>
      </c>
      <c r="U456" s="43">
        <v>0</v>
      </c>
      <c r="V456" s="43">
        <v>0</v>
      </c>
      <c r="W456" s="43">
        <v>4</v>
      </c>
      <c r="X456" s="43">
        <v>0</v>
      </c>
      <c r="Y456" s="43">
        <v>0</v>
      </c>
      <c r="Z456" s="43">
        <v>0</v>
      </c>
      <c r="AA456" s="44">
        <v>0</v>
      </c>
      <c r="AB456" s="44">
        <v>0</v>
      </c>
      <c r="AC456" s="44">
        <v>12</v>
      </c>
      <c r="AD456" s="44">
        <v>11</v>
      </c>
      <c r="AE456" s="44">
        <v>707</v>
      </c>
      <c r="AF456" s="44">
        <v>14</v>
      </c>
      <c r="AG456" s="44">
        <v>0</v>
      </c>
      <c r="AH456" s="44">
        <v>188</v>
      </c>
      <c r="AI456" s="44">
        <v>713</v>
      </c>
      <c r="AJ456" s="44">
        <v>0</v>
      </c>
      <c r="AK456" s="44">
        <v>0</v>
      </c>
      <c r="AL456" s="44">
        <v>221</v>
      </c>
      <c r="AM456" s="48"/>
      <c r="AN456" s="48"/>
      <c r="AO456" s="48"/>
      <c r="AP456" s="44">
        <v>229</v>
      </c>
      <c r="AQ456" s="44">
        <v>653</v>
      </c>
      <c r="AR456" s="51"/>
      <c r="AS456" s="51"/>
      <c r="AT456" s="51"/>
      <c r="AU456" s="51"/>
      <c r="AV456" s="51"/>
      <c r="AW456" s="43">
        <v>221</v>
      </c>
      <c r="AX456" s="43">
        <v>657</v>
      </c>
      <c r="AY456" s="50"/>
      <c r="AZ456" s="50"/>
      <c r="BA456" s="50"/>
      <c r="BB456" s="50"/>
      <c r="BC456" s="50"/>
      <c r="BD456" s="50"/>
      <c r="BE456" s="43">
        <v>519</v>
      </c>
      <c r="BF456" s="43">
        <v>369</v>
      </c>
      <c r="BG456" s="43">
        <v>649</v>
      </c>
      <c r="BH456" s="43">
        <v>269</v>
      </c>
      <c r="BI456" s="43">
        <v>665</v>
      </c>
      <c r="BJ456" s="43">
        <v>222</v>
      </c>
      <c r="BK456" s="43">
        <v>278</v>
      </c>
      <c r="BL456" s="43">
        <v>635</v>
      </c>
      <c r="BM456" s="43">
        <v>444</v>
      </c>
      <c r="BN456" s="43">
        <v>472</v>
      </c>
      <c r="BO456" s="43">
        <v>232</v>
      </c>
      <c r="BP456" s="43">
        <v>651</v>
      </c>
      <c r="BQ456" s="43">
        <v>680</v>
      </c>
      <c r="BR456" s="43">
        <v>211</v>
      </c>
      <c r="BS456" s="43">
        <v>695</v>
      </c>
      <c r="BT456" s="43">
        <v>466</v>
      </c>
      <c r="BU456" s="43">
        <v>399</v>
      </c>
      <c r="BV456" s="43">
        <v>639</v>
      </c>
      <c r="BW456" s="43">
        <v>502</v>
      </c>
      <c r="BX456" s="43">
        <v>235</v>
      </c>
      <c r="BY456" s="43">
        <v>595</v>
      </c>
      <c r="BZ456" s="43">
        <v>208</v>
      </c>
      <c r="CA456" s="43">
        <v>598</v>
      </c>
      <c r="CB456" s="43">
        <v>452</v>
      </c>
      <c r="CC456" s="43">
        <v>274</v>
      </c>
      <c r="CD456" s="43">
        <v>563</v>
      </c>
      <c r="CE456" s="43">
        <v>218</v>
      </c>
      <c r="CF456" s="43">
        <v>528</v>
      </c>
      <c r="CG456" s="43">
        <v>495</v>
      </c>
      <c r="CH456" s="43">
        <v>204</v>
      </c>
      <c r="CI456" s="43">
        <v>142</v>
      </c>
      <c r="CJ456" s="43">
        <v>586</v>
      </c>
      <c r="CK456" s="43">
        <v>451</v>
      </c>
      <c r="CL456" s="43">
        <v>255</v>
      </c>
      <c r="CM456" s="43">
        <v>585</v>
      </c>
      <c r="CN456" s="43">
        <v>562</v>
      </c>
      <c r="CO456" s="43">
        <v>222</v>
      </c>
      <c r="CP456" s="43">
        <v>498</v>
      </c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43">
        <v>659</v>
      </c>
      <c r="FF456" s="43">
        <v>260</v>
      </c>
      <c r="FG456" s="43">
        <v>744</v>
      </c>
      <c r="FH456" s="43">
        <v>181</v>
      </c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53"/>
      <c r="FZ456" s="53"/>
      <c r="GA456" s="53"/>
      <c r="GB456" s="53"/>
      <c r="GC456" s="53"/>
      <c r="GD456" s="53"/>
      <c r="GE456" s="53"/>
      <c r="GF456" s="53"/>
      <c r="GG456" s="53"/>
      <c r="GH456" s="53"/>
      <c r="GI456" s="43"/>
      <c r="GJ456" s="43"/>
      <c r="GK456" s="43"/>
      <c r="GL456" s="43"/>
      <c r="GM456" s="53"/>
      <c r="GN456" s="53"/>
      <c r="GO456" s="43">
        <v>583</v>
      </c>
      <c r="GP456" s="43">
        <v>337</v>
      </c>
      <c r="GQ456" s="43">
        <v>603</v>
      </c>
      <c r="GR456" s="43">
        <v>315</v>
      </c>
    </row>
    <row r="457" spans="1:200">
      <c r="A457" s="7">
        <v>7335</v>
      </c>
      <c r="B457" s="1" t="s">
        <v>585</v>
      </c>
      <c r="C457" s="33">
        <v>671</v>
      </c>
      <c r="D457" s="34">
        <v>504</v>
      </c>
      <c r="E457" s="19">
        <f t="shared" si="7"/>
        <v>0.75111773472429211</v>
      </c>
      <c r="F457" s="62">
        <v>271</v>
      </c>
      <c r="G457" s="43">
        <v>1</v>
      </c>
      <c r="H457" s="43">
        <v>17</v>
      </c>
      <c r="I457" s="43">
        <v>4</v>
      </c>
      <c r="J457" s="55">
        <v>206</v>
      </c>
      <c r="K457" s="6">
        <v>0</v>
      </c>
      <c r="L457" s="6">
        <v>0</v>
      </c>
      <c r="M457" s="43">
        <v>0</v>
      </c>
      <c r="N457" s="25">
        <v>0</v>
      </c>
      <c r="O457" s="43">
        <v>0</v>
      </c>
      <c r="P457" s="43">
        <v>0</v>
      </c>
      <c r="Q457" s="43">
        <v>0</v>
      </c>
      <c r="R457" s="43">
        <v>0</v>
      </c>
      <c r="S457" s="43">
        <v>0</v>
      </c>
      <c r="T457" s="43">
        <v>0</v>
      </c>
      <c r="U457" s="43">
        <v>0</v>
      </c>
      <c r="V457" s="43">
        <v>0</v>
      </c>
      <c r="W457" s="43">
        <v>0</v>
      </c>
      <c r="X457" s="43">
        <v>0</v>
      </c>
      <c r="Y457" s="43">
        <v>0</v>
      </c>
      <c r="Z457" s="43">
        <v>0</v>
      </c>
      <c r="AA457" s="44">
        <v>0</v>
      </c>
      <c r="AB457" s="44">
        <v>0</v>
      </c>
      <c r="AC457" s="44">
        <v>6</v>
      </c>
      <c r="AD457" s="44">
        <v>13</v>
      </c>
      <c r="AE457" s="44">
        <v>251</v>
      </c>
      <c r="AF457" s="44">
        <v>6</v>
      </c>
      <c r="AG457" s="44">
        <v>0</v>
      </c>
      <c r="AH457" s="44">
        <v>209</v>
      </c>
      <c r="AI457" s="44">
        <v>253</v>
      </c>
      <c r="AJ457" s="44">
        <v>0</v>
      </c>
      <c r="AK457" s="44">
        <v>0</v>
      </c>
      <c r="AL457" s="44">
        <v>238</v>
      </c>
      <c r="AM457" s="48"/>
      <c r="AN457" s="48"/>
      <c r="AO457" s="48"/>
      <c r="AP457" s="44">
        <v>243</v>
      </c>
      <c r="AQ457" s="44">
        <v>227</v>
      </c>
      <c r="AR457" s="51"/>
      <c r="AS457" s="51"/>
      <c r="AT457" s="51"/>
      <c r="AU457" s="51"/>
      <c r="AV457" s="51"/>
      <c r="AW457" s="43">
        <v>234</v>
      </c>
      <c r="AX457" s="43">
        <v>235</v>
      </c>
      <c r="AY457" s="50"/>
      <c r="AZ457" s="50"/>
      <c r="BA457" s="50"/>
      <c r="BB457" s="50"/>
      <c r="BC457" s="50"/>
      <c r="BD457" s="50"/>
      <c r="BE457" s="43">
        <v>183</v>
      </c>
      <c r="BF457" s="43">
        <v>288</v>
      </c>
      <c r="BG457" s="43">
        <v>235</v>
      </c>
      <c r="BH457" s="43">
        <v>243</v>
      </c>
      <c r="BI457" s="43">
        <v>266</v>
      </c>
      <c r="BJ457" s="43">
        <v>207</v>
      </c>
      <c r="BK457" s="43">
        <v>234</v>
      </c>
      <c r="BL457" s="43">
        <v>234</v>
      </c>
      <c r="BM457" s="43">
        <v>181</v>
      </c>
      <c r="BN457" s="43">
        <v>289</v>
      </c>
      <c r="BO457" s="43">
        <v>229</v>
      </c>
      <c r="BP457" s="43">
        <v>239</v>
      </c>
      <c r="BQ457" s="43">
        <v>255</v>
      </c>
      <c r="BR457" s="43">
        <v>213</v>
      </c>
      <c r="BS457" s="43">
        <v>294</v>
      </c>
      <c r="BT457" s="43">
        <v>178</v>
      </c>
      <c r="BU457" s="43">
        <v>290</v>
      </c>
      <c r="BV457" s="43">
        <v>290</v>
      </c>
      <c r="BW457" s="43">
        <v>190</v>
      </c>
      <c r="BX457" s="43">
        <v>187</v>
      </c>
      <c r="BY457" s="43">
        <v>244</v>
      </c>
      <c r="BZ457" s="43">
        <v>163</v>
      </c>
      <c r="CA457" s="43">
        <v>259</v>
      </c>
      <c r="CB457" s="43">
        <v>170</v>
      </c>
      <c r="CC457" s="43">
        <v>184</v>
      </c>
      <c r="CD457" s="43">
        <v>251</v>
      </c>
      <c r="CE457" s="43">
        <v>172</v>
      </c>
      <c r="CF457" s="43">
        <v>197</v>
      </c>
      <c r="CG457" s="43">
        <v>158</v>
      </c>
      <c r="CH457" s="43">
        <v>169</v>
      </c>
      <c r="CI457" s="43">
        <v>113</v>
      </c>
      <c r="CJ457" s="43">
        <v>235</v>
      </c>
      <c r="CK457" s="43">
        <v>185</v>
      </c>
      <c r="CL457" s="43">
        <v>168</v>
      </c>
      <c r="CM457" s="43">
        <v>241</v>
      </c>
      <c r="CN457" s="43">
        <v>255</v>
      </c>
      <c r="CO457" s="43">
        <v>138</v>
      </c>
      <c r="CP457" s="43">
        <v>218</v>
      </c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43">
        <v>341</v>
      </c>
      <c r="FF457" s="43">
        <v>130</v>
      </c>
      <c r="FG457" s="43">
        <v>371</v>
      </c>
      <c r="FH457" s="43">
        <v>106</v>
      </c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53"/>
      <c r="FZ457" s="53"/>
      <c r="GA457" s="53"/>
      <c r="GB457" s="53"/>
      <c r="GC457" s="53"/>
      <c r="GD457" s="53"/>
      <c r="GE457" s="53"/>
      <c r="GF457" s="53"/>
      <c r="GG457" s="53"/>
      <c r="GH457" s="53"/>
      <c r="GI457" s="43"/>
      <c r="GJ457" s="43"/>
      <c r="GK457" s="43"/>
      <c r="GL457" s="43"/>
      <c r="GM457" s="53"/>
      <c r="GN457" s="53"/>
      <c r="GO457" s="43">
        <v>317</v>
      </c>
      <c r="GP457" s="43">
        <v>152</v>
      </c>
      <c r="GQ457" s="43">
        <v>338</v>
      </c>
      <c r="GR457" s="43">
        <v>136</v>
      </c>
    </row>
    <row r="458" spans="1:200">
      <c r="A458" s="7">
        <v>7336</v>
      </c>
      <c r="B458" s="1" t="s">
        <v>586</v>
      </c>
      <c r="C458" s="33">
        <v>1167</v>
      </c>
      <c r="D458" s="34">
        <v>912</v>
      </c>
      <c r="E458" s="19">
        <f t="shared" si="7"/>
        <v>0.78149100257069404</v>
      </c>
      <c r="F458" s="62">
        <v>253</v>
      </c>
      <c r="G458" s="43">
        <v>3</v>
      </c>
      <c r="H458" s="43">
        <v>38</v>
      </c>
      <c r="I458" s="43">
        <v>8</v>
      </c>
      <c r="J458" s="55">
        <v>593</v>
      </c>
      <c r="K458" s="6">
        <v>0</v>
      </c>
      <c r="L458" s="6">
        <v>0</v>
      </c>
      <c r="M458" s="43">
        <v>0</v>
      </c>
      <c r="N458" s="25">
        <v>0</v>
      </c>
      <c r="O458" s="43">
        <v>0</v>
      </c>
      <c r="P458" s="43">
        <v>0</v>
      </c>
      <c r="Q458" s="43">
        <v>0</v>
      </c>
      <c r="R458" s="43">
        <v>0</v>
      </c>
      <c r="S458" s="43">
        <v>0</v>
      </c>
      <c r="T458" s="43">
        <v>0</v>
      </c>
      <c r="U458" s="43">
        <v>0</v>
      </c>
      <c r="V458" s="43">
        <v>0</v>
      </c>
      <c r="W458" s="43">
        <v>2</v>
      </c>
      <c r="X458" s="43">
        <v>0</v>
      </c>
      <c r="Y458" s="43">
        <v>0</v>
      </c>
      <c r="Z458" s="43">
        <v>0</v>
      </c>
      <c r="AA458" s="44">
        <v>0</v>
      </c>
      <c r="AB458" s="44">
        <v>0</v>
      </c>
      <c r="AC458" s="44">
        <v>11</v>
      </c>
      <c r="AD458" s="44">
        <v>8</v>
      </c>
      <c r="AE458" s="44">
        <v>658</v>
      </c>
      <c r="AF458" s="44">
        <v>12</v>
      </c>
      <c r="AG458" s="44">
        <v>0</v>
      </c>
      <c r="AH458" s="44">
        <v>197</v>
      </c>
      <c r="AI458" s="44">
        <v>651</v>
      </c>
      <c r="AJ458" s="44">
        <v>0</v>
      </c>
      <c r="AK458" s="44">
        <v>0</v>
      </c>
      <c r="AL458" s="44">
        <v>235</v>
      </c>
      <c r="AM458" s="48"/>
      <c r="AN458" s="48"/>
      <c r="AO458" s="48"/>
      <c r="AP458" s="44">
        <v>235</v>
      </c>
      <c r="AQ458" s="44">
        <v>622</v>
      </c>
      <c r="AR458" s="51"/>
      <c r="AS458" s="51"/>
      <c r="AT458" s="51"/>
      <c r="AU458" s="51"/>
      <c r="AV458" s="51"/>
      <c r="AW458" s="43">
        <v>213</v>
      </c>
      <c r="AX458" s="43">
        <v>638</v>
      </c>
      <c r="AY458" s="50"/>
      <c r="AZ458" s="50"/>
      <c r="BA458" s="50"/>
      <c r="BB458" s="50"/>
      <c r="BC458" s="50"/>
      <c r="BD458" s="50"/>
      <c r="BE458" s="43">
        <v>499</v>
      </c>
      <c r="BF458" s="43">
        <v>360</v>
      </c>
      <c r="BG458" s="43">
        <v>612</v>
      </c>
      <c r="BH458" s="43">
        <v>269</v>
      </c>
      <c r="BI458" s="43">
        <v>660</v>
      </c>
      <c r="BJ458" s="43">
        <v>204</v>
      </c>
      <c r="BK458" s="43">
        <v>275</v>
      </c>
      <c r="BL458" s="43">
        <v>598</v>
      </c>
      <c r="BM458" s="43">
        <v>447</v>
      </c>
      <c r="BN458" s="43">
        <v>417</v>
      </c>
      <c r="BO458" s="43">
        <v>237</v>
      </c>
      <c r="BP458" s="43">
        <v>620</v>
      </c>
      <c r="BQ458" s="43">
        <v>662</v>
      </c>
      <c r="BR458" s="43">
        <v>200</v>
      </c>
      <c r="BS458" s="43">
        <v>655</v>
      </c>
      <c r="BT458" s="43">
        <v>426</v>
      </c>
      <c r="BU458" s="43">
        <v>408</v>
      </c>
      <c r="BV458" s="43">
        <v>604</v>
      </c>
      <c r="BW458" s="43">
        <v>462</v>
      </c>
      <c r="BX458" s="43">
        <v>227</v>
      </c>
      <c r="BY458" s="43">
        <v>587</v>
      </c>
      <c r="BZ458" s="43">
        <v>188</v>
      </c>
      <c r="CA458" s="43">
        <v>536</v>
      </c>
      <c r="CB458" s="43">
        <v>472</v>
      </c>
      <c r="CC458" s="43">
        <v>201</v>
      </c>
      <c r="CD458" s="43">
        <v>511</v>
      </c>
      <c r="CE458" s="43">
        <v>202</v>
      </c>
      <c r="CF458" s="43">
        <v>532</v>
      </c>
      <c r="CG458" s="43">
        <v>480</v>
      </c>
      <c r="CH458" s="43">
        <v>168</v>
      </c>
      <c r="CI458" s="43">
        <v>120</v>
      </c>
      <c r="CJ458" s="43">
        <v>561</v>
      </c>
      <c r="CK458" s="43">
        <v>447</v>
      </c>
      <c r="CL458" s="43">
        <v>212</v>
      </c>
      <c r="CM458" s="43">
        <v>539</v>
      </c>
      <c r="CN458" s="43">
        <v>517</v>
      </c>
      <c r="CO458" s="43">
        <v>194</v>
      </c>
      <c r="CP458" s="43">
        <v>493</v>
      </c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43">
        <v>622</v>
      </c>
      <c r="FF458" s="43">
        <v>249</v>
      </c>
      <c r="FG458" s="43">
        <v>707</v>
      </c>
      <c r="FH458" s="43">
        <v>169</v>
      </c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43">
        <v>266</v>
      </c>
      <c r="FZ458" s="43">
        <v>619</v>
      </c>
      <c r="GA458" s="53"/>
      <c r="GB458" s="53"/>
      <c r="GC458" s="53"/>
      <c r="GD458" s="53"/>
      <c r="GE458" s="53"/>
      <c r="GF458" s="53"/>
      <c r="GG458" s="53"/>
      <c r="GH458" s="53"/>
      <c r="GI458" s="43"/>
      <c r="GJ458" s="43"/>
      <c r="GK458" s="43"/>
      <c r="GL458" s="43"/>
      <c r="GM458" s="53"/>
      <c r="GN458" s="53"/>
      <c r="GO458" s="43">
        <v>516</v>
      </c>
      <c r="GP458" s="43">
        <v>359</v>
      </c>
      <c r="GQ458" s="43">
        <v>539</v>
      </c>
      <c r="GR458" s="43">
        <v>345</v>
      </c>
    </row>
    <row r="459" spans="1:200">
      <c r="A459" s="7">
        <v>7337</v>
      </c>
      <c r="B459" s="1" t="s">
        <v>587</v>
      </c>
      <c r="C459" s="33">
        <v>1012</v>
      </c>
      <c r="D459" s="34">
        <v>848</v>
      </c>
      <c r="E459" s="19">
        <f t="shared" si="7"/>
        <v>0.8379446640316206</v>
      </c>
      <c r="F459" s="62">
        <v>171</v>
      </c>
      <c r="G459" s="43">
        <v>1</v>
      </c>
      <c r="H459" s="43">
        <v>34</v>
      </c>
      <c r="I459" s="43">
        <v>2</v>
      </c>
      <c r="J459" s="55">
        <v>623</v>
      </c>
      <c r="K459" s="6">
        <v>0</v>
      </c>
      <c r="L459" s="6">
        <v>0</v>
      </c>
      <c r="M459" s="43">
        <v>0</v>
      </c>
      <c r="N459" s="25">
        <v>0</v>
      </c>
      <c r="O459" s="43">
        <v>0</v>
      </c>
      <c r="P459" s="43">
        <v>0</v>
      </c>
      <c r="Q459" s="43">
        <v>0</v>
      </c>
      <c r="R459" s="43">
        <v>0</v>
      </c>
      <c r="S459" s="43">
        <v>0</v>
      </c>
      <c r="T459" s="43">
        <v>0</v>
      </c>
      <c r="U459" s="43">
        <v>0</v>
      </c>
      <c r="V459" s="43">
        <v>0</v>
      </c>
      <c r="W459" s="43">
        <v>0</v>
      </c>
      <c r="X459" s="43">
        <v>0</v>
      </c>
      <c r="Y459" s="43">
        <v>0</v>
      </c>
      <c r="Z459" s="43">
        <v>0</v>
      </c>
      <c r="AA459" s="44">
        <v>0</v>
      </c>
      <c r="AB459" s="44">
        <v>0</v>
      </c>
      <c r="AC459" s="44">
        <v>15</v>
      </c>
      <c r="AD459" s="44">
        <v>7</v>
      </c>
      <c r="AE459" s="44">
        <v>669</v>
      </c>
      <c r="AF459" s="44">
        <v>9</v>
      </c>
      <c r="AG459" s="44">
        <v>0</v>
      </c>
      <c r="AH459" s="44">
        <v>113</v>
      </c>
      <c r="AI459" s="44">
        <v>682</v>
      </c>
      <c r="AJ459" s="44">
        <v>0</v>
      </c>
      <c r="AK459" s="44">
        <v>0</v>
      </c>
      <c r="AL459" s="44">
        <v>138</v>
      </c>
      <c r="AM459" s="48"/>
      <c r="AN459" s="48"/>
      <c r="AO459" s="48"/>
      <c r="AP459" s="44">
        <v>171</v>
      </c>
      <c r="AQ459" s="44">
        <v>619</v>
      </c>
      <c r="AR459" s="51"/>
      <c r="AS459" s="51"/>
      <c r="AT459" s="51"/>
      <c r="AU459" s="51"/>
      <c r="AV459" s="51"/>
      <c r="AW459" s="43">
        <v>133</v>
      </c>
      <c r="AX459" s="43">
        <v>654</v>
      </c>
      <c r="AY459" s="50"/>
      <c r="AZ459" s="50"/>
      <c r="BA459" s="50"/>
      <c r="BB459" s="50"/>
      <c r="BC459" s="50"/>
      <c r="BD459" s="50"/>
      <c r="BE459" s="43">
        <v>499</v>
      </c>
      <c r="BF459" s="43">
        <v>296</v>
      </c>
      <c r="BG459" s="43">
        <v>636</v>
      </c>
      <c r="BH459" s="43">
        <v>175</v>
      </c>
      <c r="BI459" s="43">
        <v>637</v>
      </c>
      <c r="BJ459" s="43">
        <v>142</v>
      </c>
      <c r="BK459" s="43">
        <v>211</v>
      </c>
      <c r="BL459" s="43">
        <v>580</v>
      </c>
      <c r="BM459" s="43">
        <v>465</v>
      </c>
      <c r="BN459" s="43">
        <v>311</v>
      </c>
      <c r="BO459" s="43">
        <v>147</v>
      </c>
      <c r="BP459" s="43">
        <v>624</v>
      </c>
      <c r="BQ459" s="43">
        <v>652</v>
      </c>
      <c r="BR459" s="43">
        <v>115</v>
      </c>
      <c r="BS459" s="43">
        <v>612</v>
      </c>
      <c r="BT459" s="43">
        <v>457</v>
      </c>
      <c r="BU459" s="43">
        <v>301</v>
      </c>
      <c r="BV459" s="43">
        <v>561</v>
      </c>
      <c r="BW459" s="43">
        <v>465</v>
      </c>
      <c r="BX459" s="43">
        <v>192</v>
      </c>
      <c r="BY459" s="43">
        <v>545</v>
      </c>
      <c r="BZ459" s="43">
        <v>145</v>
      </c>
      <c r="CA459" s="43">
        <v>518</v>
      </c>
      <c r="CB459" s="43">
        <v>471</v>
      </c>
      <c r="CC459" s="43">
        <v>165</v>
      </c>
      <c r="CD459" s="43">
        <v>448</v>
      </c>
      <c r="CE459" s="43">
        <v>143</v>
      </c>
      <c r="CF459" s="43">
        <v>524</v>
      </c>
      <c r="CG459" s="43">
        <v>462</v>
      </c>
      <c r="CH459" s="43">
        <v>154</v>
      </c>
      <c r="CI459" s="43">
        <v>82</v>
      </c>
      <c r="CJ459" s="43">
        <v>562</v>
      </c>
      <c r="CK459" s="43">
        <v>469</v>
      </c>
      <c r="CL459" s="43">
        <v>165</v>
      </c>
      <c r="CM459" s="43">
        <v>500</v>
      </c>
      <c r="CN459" s="43">
        <v>493</v>
      </c>
      <c r="CO459" s="43">
        <v>130</v>
      </c>
      <c r="CP459" s="43">
        <v>517</v>
      </c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43">
        <v>554</v>
      </c>
      <c r="FF459" s="43">
        <v>239</v>
      </c>
      <c r="FG459" s="43">
        <v>627</v>
      </c>
      <c r="FH459" s="43">
        <v>173</v>
      </c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53"/>
      <c r="FZ459" s="53"/>
      <c r="GA459" s="53"/>
      <c r="GB459" s="53"/>
      <c r="GC459" s="53"/>
      <c r="GD459" s="53"/>
      <c r="GE459" s="53"/>
      <c r="GF459" s="53"/>
      <c r="GG459" s="53"/>
      <c r="GH459" s="53"/>
      <c r="GI459" s="43"/>
      <c r="GJ459" s="43"/>
      <c r="GK459" s="43"/>
      <c r="GL459" s="43"/>
      <c r="GM459" s="53"/>
      <c r="GN459" s="53"/>
      <c r="GO459" s="43">
        <v>499</v>
      </c>
      <c r="GP459" s="43">
        <v>304</v>
      </c>
      <c r="GQ459" s="43">
        <v>499</v>
      </c>
      <c r="GR459" s="43">
        <v>295</v>
      </c>
    </row>
    <row r="460" spans="1:200">
      <c r="A460" s="7">
        <v>7338</v>
      </c>
      <c r="B460" s="1" t="s">
        <v>588</v>
      </c>
      <c r="C460" s="33">
        <v>895</v>
      </c>
      <c r="D460" s="34">
        <v>773</v>
      </c>
      <c r="E460" s="19">
        <f t="shared" si="7"/>
        <v>0.86368715083798886</v>
      </c>
      <c r="F460" s="62">
        <v>147</v>
      </c>
      <c r="G460" s="43">
        <v>1</v>
      </c>
      <c r="H460" s="43">
        <v>17</v>
      </c>
      <c r="I460" s="43">
        <v>4</v>
      </c>
      <c r="J460" s="55">
        <v>581</v>
      </c>
      <c r="K460" s="6">
        <v>0</v>
      </c>
      <c r="L460" s="6">
        <v>0</v>
      </c>
      <c r="M460" s="43">
        <v>0</v>
      </c>
      <c r="N460" s="25">
        <v>0</v>
      </c>
      <c r="O460" s="43">
        <v>0</v>
      </c>
      <c r="P460" s="43">
        <v>0</v>
      </c>
      <c r="Q460" s="43">
        <v>0</v>
      </c>
      <c r="R460" s="43">
        <v>0</v>
      </c>
      <c r="S460" s="43">
        <v>0</v>
      </c>
      <c r="T460" s="43">
        <v>0</v>
      </c>
      <c r="U460" s="43">
        <v>0</v>
      </c>
      <c r="V460" s="43">
        <v>0</v>
      </c>
      <c r="W460" s="43">
        <v>2</v>
      </c>
      <c r="X460" s="43">
        <v>0</v>
      </c>
      <c r="Y460" s="43">
        <v>0</v>
      </c>
      <c r="Z460" s="43">
        <v>0</v>
      </c>
      <c r="AA460" s="44">
        <v>0</v>
      </c>
      <c r="AB460" s="44">
        <v>0</v>
      </c>
      <c r="AC460" s="44">
        <v>2</v>
      </c>
      <c r="AD460" s="44">
        <v>8</v>
      </c>
      <c r="AE460" s="44">
        <v>636</v>
      </c>
      <c r="AF460" s="44">
        <v>1</v>
      </c>
      <c r="AG460" s="44">
        <v>0</v>
      </c>
      <c r="AH460" s="44">
        <v>99</v>
      </c>
      <c r="AI460" s="44">
        <v>620</v>
      </c>
      <c r="AJ460" s="44">
        <v>0</v>
      </c>
      <c r="AK460" s="44">
        <v>0</v>
      </c>
      <c r="AL460" s="44">
        <v>124</v>
      </c>
      <c r="AM460" s="48"/>
      <c r="AN460" s="48"/>
      <c r="AO460" s="48"/>
      <c r="AP460" s="44">
        <v>125</v>
      </c>
      <c r="AQ460" s="44">
        <v>588</v>
      </c>
      <c r="AR460" s="51"/>
      <c r="AS460" s="51"/>
      <c r="AT460" s="51"/>
      <c r="AU460" s="51"/>
      <c r="AV460" s="51"/>
      <c r="AW460" s="43">
        <v>115</v>
      </c>
      <c r="AX460" s="43">
        <v>600</v>
      </c>
      <c r="AY460" s="50"/>
      <c r="AZ460" s="50"/>
      <c r="BA460" s="50"/>
      <c r="BB460" s="50"/>
      <c r="BC460" s="50"/>
      <c r="BD460" s="50"/>
      <c r="BE460" s="43">
        <v>458</v>
      </c>
      <c r="BF460" s="43">
        <v>254</v>
      </c>
      <c r="BG460" s="43">
        <v>578</v>
      </c>
      <c r="BH460" s="43">
        <v>148</v>
      </c>
      <c r="BI460" s="43">
        <v>583</v>
      </c>
      <c r="BJ460" s="43">
        <v>127</v>
      </c>
      <c r="BK460" s="43">
        <v>188</v>
      </c>
      <c r="BL460" s="43">
        <v>534</v>
      </c>
      <c r="BM460" s="43">
        <v>427</v>
      </c>
      <c r="BN460" s="43">
        <v>291</v>
      </c>
      <c r="BO460" s="43">
        <v>119</v>
      </c>
      <c r="BP460" s="43">
        <v>575</v>
      </c>
      <c r="BQ460" s="43">
        <v>605</v>
      </c>
      <c r="BR460" s="43">
        <v>94</v>
      </c>
      <c r="BS460" s="43">
        <v>579</v>
      </c>
      <c r="BT460" s="43">
        <v>398</v>
      </c>
      <c r="BU460" s="43">
        <v>295</v>
      </c>
      <c r="BV460" s="43">
        <v>501</v>
      </c>
      <c r="BW460" s="43">
        <v>400</v>
      </c>
      <c r="BX460" s="43">
        <v>155</v>
      </c>
      <c r="BY460" s="43">
        <v>520</v>
      </c>
      <c r="BZ460" s="43">
        <v>113</v>
      </c>
      <c r="CA460" s="43">
        <v>445</v>
      </c>
      <c r="CB460" s="43">
        <v>415</v>
      </c>
      <c r="CC460" s="43">
        <v>132</v>
      </c>
      <c r="CD460" s="43">
        <v>397</v>
      </c>
      <c r="CE460" s="43">
        <v>122</v>
      </c>
      <c r="CF460" s="43">
        <v>470</v>
      </c>
      <c r="CG460" s="43">
        <v>397</v>
      </c>
      <c r="CH460" s="43">
        <v>130</v>
      </c>
      <c r="CI460" s="43">
        <v>78</v>
      </c>
      <c r="CJ460" s="43">
        <v>481</v>
      </c>
      <c r="CK460" s="43">
        <v>382</v>
      </c>
      <c r="CL460" s="43">
        <v>154</v>
      </c>
      <c r="CM460" s="43">
        <v>447</v>
      </c>
      <c r="CN460" s="43">
        <v>425</v>
      </c>
      <c r="CO460" s="43">
        <v>130</v>
      </c>
      <c r="CP460" s="43">
        <v>415</v>
      </c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43">
        <v>547</v>
      </c>
      <c r="FF460" s="43">
        <v>200</v>
      </c>
      <c r="FG460" s="43">
        <v>602</v>
      </c>
      <c r="FH460" s="43">
        <v>144</v>
      </c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53"/>
      <c r="FZ460" s="53"/>
      <c r="GA460" s="53"/>
      <c r="GB460" s="53"/>
      <c r="GC460" s="53"/>
      <c r="GD460" s="53"/>
      <c r="GE460" s="53"/>
      <c r="GF460" s="53"/>
      <c r="GG460" s="53"/>
      <c r="GH460" s="53"/>
      <c r="GI460" s="43"/>
      <c r="GJ460" s="43"/>
      <c r="GK460" s="43"/>
      <c r="GL460" s="43"/>
      <c r="GM460" s="53"/>
      <c r="GN460" s="53"/>
      <c r="GO460" s="43">
        <v>504</v>
      </c>
      <c r="GP460" s="43">
        <v>238</v>
      </c>
      <c r="GQ460" s="43">
        <v>449</v>
      </c>
      <c r="GR460" s="43">
        <v>274</v>
      </c>
    </row>
    <row r="461" spans="1:200">
      <c r="A461" s="7">
        <v>7339</v>
      </c>
      <c r="B461" s="1" t="s">
        <v>589</v>
      </c>
      <c r="C461" s="33">
        <v>671</v>
      </c>
      <c r="D461" s="34">
        <v>595</v>
      </c>
      <c r="E461" s="19">
        <f t="shared" si="7"/>
        <v>0.88673621460506702</v>
      </c>
      <c r="F461" s="62">
        <v>95</v>
      </c>
      <c r="G461" s="43">
        <v>4</v>
      </c>
      <c r="H461" s="43">
        <v>24</v>
      </c>
      <c r="I461" s="43">
        <v>1</v>
      </c>
      <c r="J461" s="55">
        <v>458</v>
      </c>
      <c r="K461" s="6">
        <v>0</v>
      </c>
      <c r="L461" s="6">
        <v>0</v>
      </c>
      <c r="M461" s="43">
        <v>0</v>
      </c>
      <c r="N461" s="25">
        <v>0</v>
      </c>
      <c r="O461" s="43">
        <v>0</v>
      </c>
      <c r="P461" s="43">
        <v>0</v>
      </c>
      <c r="Q461" s="43">
        <v>0</v>
      </c>
      <c r="R461" s="43">
        <v>0</v>
      </c>
      <c r="S461" s="43">
        <v>0</v>
      </c>
      <c r="T461" s="43">
        <v>0</v>
      </c>
      <c r="U461" s="43">
        <v>0</v>
      </c>
      <c r="V461" s="43">
        <v>0</v>
      </c>
      <c r="W461" s="43">
        <v>2</v>
      </c>
      <c r="X461" s="43">
        <v>0</v>
      </c>
      <c r="Y461" s="43">
        <v>0</v>
      </c>
      <c r="Z461" s="43">
        <v>0</v>
      </c>
      <c r="AA461" s="44">
        <v>0</v>
      </c>
      <c r="AB461" s="44">
        <v>0</v>
      </c>
      <c r="AC461" s="44">
        <v>2</v>
      </c>
      <c r="AD461" s="44">
        <v>6</v>
      </c>
      <c r="AE461" s="44">
        <v>498</v>
      </c>
      <c r="AF461" s="44">
        <v>12</v>
      </c>
      <c r="AG461" s="44">
        <v>0</v>
      </c>
      <c r="AH461" s="44">
        <v>59</v>
      </c>
      <c r="AI461" s="44">
        <v>504</v>
      </c>
      <c r="AJ461" s="44">
        <v>0</v>
      </c>
      <c r="AK461" s="44">
        <v>0</v>
      </c>
      <c r="AL461" s="44">
        <v>81</v>
      </c>
      <c r="AM461" s="48"/>
      <c r="AN461" s="48"/>
      <c r="AO461" s="48"/>
      <c r="AP461" s="44">
        <v>82</v>
      </c>
      <c r="AQ461" s="44">
        <v>456</v>
      </c>
      <c r="AR461" s="51"/>
      <c r="AS461" s="51"/>
      <c r="AT461" s="51"/>
      <c r="AU461" s="51"/>
      <c r="AV461" s="51"/>
      <c r="AW461" s="43">
        <v>74</v>
      </c>
      <c r="AX461" s="43">
        <v>478</v>
      </c>
      <c r="AY461" s="50"/>
      <c r="AZ461" s="50"/>
      <c r="BA461" s="50"/>
      <c r="BB461" s="50"/>
      <c r="BC461" s="50"/>
      <c r="BD461" s="50"/>
      <c r="BE461" s="43">
        <v>366</v>
      </c>
      <c r="BF461" s="43">
        <v>188</v>
      </c>
      <c r="BG461" s="43">
        <v>459</v>
      </c>
      <c r="BH461" s="43">
        <v>108</v>
      </c>
      <c r="BI461" s="43">
        <v>456</v>
      </c>
      <c r="BJ461" s="43">
        <v>93</v>
      </c>
      <c r="BK461" s="43">
        <v>127</v>
      </c>
      <c r="BL461" s="43">
        <v>429</v>
      </c>
      <c r="BM461" s="43">
        <v>322</v>
      </c>
      <c r="BN461" s="43">
        <v>233</v>
      </c>
      <c r="BO461" s="43">
        <v>95</v>
      </c>
      <c r="BP461" s="43">
        <v>436</v>
      </c>
      <c r="BQ461" s="43">
        <v>482</v>
      </c>
      <c r="BR461" s="43">
        <v>58</v>
      </c>
      <c r="BS461" s="43">
        <v>437</v>
      </c>
      <c r="BT461" s="43">
        <v>312</v>
      </c>
      <c r="BU461" s="43">
        <v>209</v>
      </c>
      <c r="BV461" s="43">
        <v>370</v>
      </c>
      <c r="BW461" s="43">
        <v>285</v>
      </c>
      <c r="BX461" s="43">
        <v>136</v>
      </c>
      <c r="BY461" s="43">
        <v>374</v>
      </c>
      <c r="BZ461" s="43">
        <v>101</v>
      </c>
      <c r="CA461" s="43">
        <v>331</v>
      </c>
      <c r="CB461" s="43">
        <v>346</v>
      </c>
      <c r="CC461" s="43">
        <v>70</v>
      </c>
      <c r="CD461" s="43">
        <v>287</v>
      </c>
      <c r="CE461" s="43">
        <v>74</v>
      </c>
      <c r="CF461" s="43">
        <v>394</v>
      </c>
      <c r="CG461" s="43">
        <v>295</v>
      </c>
      <c r="CH461" s="43">
        <v>81</v>
      </c>
      <c r="CI461" s="43">
        <v>48</v>
      </c>
      <c r="CJ461" s="43">
        <v>361</v>
      </c>
      <c r="CK461" s="43">
        <v>262</v>
      </c>
      <c r="CL461" s="43">
        <v>125</v>
      </c>
      <c r="CM461" s="43">
        <v>333</v>
      </c>
      <c r="CN461" s="43">
        <v>309</v>
      </c>
      <c r="CO461" s="43">
        <v>66</v>
      </c>
      <c r="CP461" s="43">
        <v>329</v>
      </c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43">
        <v>413</v>
      </c>
      <c r="FF461" s="43">
        <v>155</v>
      </c>
      <c r="FG461" s="43">
        <v>452</v>
      </c>
      <c r="FH461" s="43">
        <v>117</v>
      </c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53"/>
      <c r="FZ461" s="53"/>
      <c r="GA461" s="53"/>
      <c r="GB461" s="53"/>
      <c r="GC461" s="53"/>
      <c r="GD461" s="53"/>
      <c r="GE461" s="53"/>
      <c r="GF461" s="53"/>
      <c r="GG461" s="53"/>
      <c r="GH461" s="53"/>
      <c r="GI461" s="43"/>
      <c r="GJ461" s="43"/>
      <c r="GK461" s="43"/>
      <c r="GL461" s="43"/>
      <c r="GM461" s="53"/>
      <c r="GN461" s="53"/>
      <c r="GO461" s="43">
        <v>345</v>
      </c>
      <c r="GP461" s="43">
        <v>219</v>
      </c>
      <c r="GQ461" s="43">
        <v>326</v>
      </c>
      <c r="GR461" s="43">
        <v>235</v>
      </c>
    </row>
    <row r="462" spans="1:200">
      <c r="A462" s="8">
        <v>7340</v>
      </c>
      <c r="B462" s="1" t="s">
        <v>590</v>
      </c>
      <c r="C462" s="33">
        <v>695</v>
      </c>
      <c r="D462" s="34">
        <v>563</v>
      </c>
      <c r="E462" s="19">
        <f t="shared" si="7"/>
        <v>0.81007194244604319</v>
      </c>
      <c r="F462" s="62">
        <v>112</v>
      </c>
      <c r="G462" s="43">
        <v>0</v>
      </c>
      <c r="H462" s="43">
        <v>18</v>
      </c>
      <c r="I462" s="43">
        <v>2</v>
      </c>
      <c r="J462" s="55">
        <v>422</v>
      </c>
      <c r="K462" s="6">
        <v>0</v>
      </c>
      <c r="L462" s="6">
        <v>0</v>
      </c>
      <c r="M462" s="43">
        <v>0</v>
      </c>
      <c r="N462" s="25">
        <v>0</v>
      </c>
      <c r="O462" s="43">
        <v>0</v>
      </c>
      <c r="P462" s="43">
        <v>0</v>
      </c>
      <c r="Q462" s="43">
        <v>0</v>
      </c>
      <c r="R462" s="43">
        <v>0</v>
      </c>
      <c r="S462" s="43">
        <v>0</v>
      </c>
      <c r="T462" s="43">
        <v>0</v>
      </c>
      <c r="U462" s="43">
        <v>0</v>
      </c>
      <c r="V462" s="43">
        <v>0</v>
      </c>
      <c r="W462" s="43">
        <v>0</v>
      </c>
      <c r="X462" s="43">
        <v>0</v>
      </c>
      <c r="Y462" s="43">
        <v>0</v>
      </c>
      <c r="Z462" s="43">
        <v>0</v>
      </c>
      <c r="AA462" s="44">
        <v>0</v>
      </c>
      <c r="AB462" s="44">
        <v>0</v>
      </c>
      <c r="AC462" s="44">
        <v>9</v>
      </c>
      <c r="AD462" s="44">
        <v>13</v>
      </c>
      <c r="AE462" s="44">
        <v>438</v>
      </c>
      <c r="AF462" s="44">
        <v>10</v>
      </c>
      <c r="AG462" s="44">
        <v>0</v>
      </c>
      <c r="AH462" s="44">
        <v>67</v>
      </c>
      <c r="AI462" s="44">
        <v>451</v>
      </c>
      <c r="AJ462" s="44">
        <v>0</v>
      </c>
      <c r="AK462" s="44">
        <v>0</v>
      </c>
      <c r="AL462" s="44">
        <v>88</v>
      </c>
      <c r="AM462" s="48"/>
      <c r="AN462" s="48"/>
      <c r="AO462" s="48"/>
      <c r="AP462" s="44">
        <v>85</v>
      </c>
      <c r="AQ462" s="44">
        <v>418</v>
      </c>
      <c r="AR462" s="51"/>
      <c r="AS462" s="51"/>
      <c r="AT462" s="51"/>
      <c r="AU462" s="51"/>
      <c r="AV462" s="51"/>
      <c r="AW462" s="43">
        <v>82</v>
      </c>
      <c r="AX462" s="43">
        <v>431</v>
      </c>
      <c r="AY462" s="50"/>
      <c r="AZ462" s="50"/>
      <c r="BA462" s="50"/>
      <c r="BB462" s="50"/>
      <c r="BC462" s="50"/>
      <c r="BD462" s="50"/>
      <c r="BE462" s="43">
        <v>332</v>
      </c>
      <c r="BF462" s="43">
        <v>181</v>
      </c>
      <c r="BG462" s="43">
        <v>414</v>
      </c>
      <c r="BH462" s="43">
        <v>108</v>
      </c>
      <c r="BI462" s="43">
        <v>418</v>
      </c>
      <c r="BJ462" s="43">
        <v>101</v>
      </c>
      <c r="BK462" s="43">
        <v>119</v>
      </c>
      <c r="BL462" s="43">
        <v>396</v>
      </c>
      <c r="BM462" s="43">
        <v>299</v>
      </c>
      <c r="BN462" s="43">
        <v>217</v>
      </c>
      <c r="BO462" s="43">
        <v>92</v>
      </c>
      <c r="BP462" s="43">
        <v>405</v>
      </c>
      <c r="BQ462" s="43">
        <v>425</v>
      </c>
      <c r="BR462" s="43">
        <v>76</v>
      </c>
      <c r="BS462" s="43">
        <v>407</v>
      </c>
      <c r="BT462" s="43">
        <v>308</v>
      </c>
      <c r="BU462" s="43">
        <v>185</v>
      </c>
      <c r="BV462" s="43">
        <v>365</v>
      </c>
      <c r="BW462" s="43">
        <v>313</v>
      </c>
      <c r="BX462" s="43">
        <v>102</v>
      </c>
      <c r="BY462" s="43">
        <v>380</v>
      </c>
      <c r="BZ462" s="43">
        <v>81</v>
      </c>
      <c r="CA462" s="43">
        <v>334</v>
      </c>
      <c r="CB462" s="43">
        <v>341</v>
      </c>
      <c r="CC462" s="43">
        <v>66</v>
      </c>
      <c r="CD462" s="43">
        <v>269</v>
      </c>
      <c r="CE462" s="43">
        <v>72</v>
      </c>
      <c r="CF462" s="43">
        <v>362</v>
      </c>
      <c r="CG462" s="43">
        <v>320</v>
      </c>
      <c r="CH462" s="43">
        <v>67</v>
      </c>
      <c r="CI462" s="43">
        <v>54</v>
      </c>
      <c r="CJ462" s="43">
        <v>356</v>
      </c>
      <c r="CK462" s="43">
        <v>305</v>
      </c>
      <c r="CL462" s="43">
        <v>91</v>
      </c>
      <c r="CM462" s="43">
        <v>333</v>
      </c>
      <c r="CN462" s="43">
        <v>321</v>
      </c>
      <c r="CO462" s="43">
        <v>84</v>
      </c>
      <c r="CP462" s="43">
        <v>322</v>
      </c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43">
        <v>383</v>
      </c>
      <c r="FF462" s="43">
        <v>152</v>
      </c>
      <c r="FG462" s="43">
        <v>418</v>
      </c>
      <c r="FH462" s="43">
        <v>119</v>
      </c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53"/>
      <c r="FZ462" s="53"/>
      <c r="GA462" s="53"/>
      <c r="GB462" s="53"/>
      <c r="GC462" s="53"/>
      <c r="GD462" s="53"/>
      <c r="GE462" s="53"/>
      <c r="GF462" s="53"/>
      <c r="GG462" s="53"/>
      <c r="GH462" s="53"/>
      <c r="GI462" s="43"/>
      <c r="GJ462" s="43"/>
      <c r="GK462" s="43"/>
      <c r="GL462" s="43"/>
      <c r="GM462" s="53"/>
      <c r="GN462" s="53"/>
      <c r="GO462" s="43">
        <v>348</v>
      </c>
      <c r="GP462" s="43">
        <v>187</v>
      </c>
      <c r="GQ462" s="43">
        <v>311</v>
      </c>
      <c r="GR462" s="43">
        <v>217</v>
      </c>
    </row>
    <row r="463" spans="1:200">
      <c r="A463" s="7">
        <v>7341</v>
      </c>
      <c r="B463" s="1" t="s">
        <v>591</v>
      </c>
      <c r="C463" s="33">
        <v>620</v>
      </c>
      <c r="D463" s="34">
        <v>526</v>
      </c>
      <c r="E463" s="19">
        <f t="shared" si="7"/>
        <v>0.84838709677419355</v>
      </c>
      <c r="F463" s="62">
        <v>98</v>
      </c>
      <c r="G463" s="43">
        <v>3</v>
      </c>
      <c r="H463" s="43">
        <v>18</v>
      </c>
      <c r="I463" s="43">
        <v>2</v>
      </c>
      <c r="J463" s="55">
        <v>398</v>
      </c>
      <c r="K463" s="6">
        <v>0</v>
      </c>
      <c r="L463" s="6">
        <v>0</v>
      </c>
      <c r="M463" s="43">
        <v>0</v>
      </c>
      <c r="N463" s="25">
        <v>0</v>
      </c>
      <c r="O463" s="43">
        <v>0</v>
      </c>
      <c r="P463" s="43">
        <v>0</v>
      </c>
      <c r="Q463" s="43">
        <v>0</v>
      </c>
      <c r="R463" s="43">
        <v>0</v>
      </c>
      <c r="S463" s="43">
        <v>0</v>
      </c>
      <c r="T463" s="43">
        <v>0</v>
      </c>
      <c r="U463" s="43">
        <v>0</v>
      </c>
      <c r="V463" s="43">
        <v>1</v>
      </c>
      <c r="W463" s="43">
        <v>1</v>
      </c>
      <c r="X463" s="43">
        <v>0</v>
      </c>
      <c r="Y463" s="43">
        <v>0</v>
      </c>
      <c r="Z463" s="43">
        <v>0</v>
      </c>
      <c r="AA463" s="44">
        <v>0</v>
      </c>
      <c r="AB463" s="44">
        <v>0</v>
      </c>
      <c r="AC463" s="44">
        <v>10</v>
      </c>
      <c r="AD463" s="44">
        <v>5</v>
      </c>
      <c r="AE463" s="44">
        <v>417</v>
      </c>
      <c r="AF463" s="44">
        <v>2</v>
      </c>
      <c r="AG463" s="44">
        <v>0</v>
      </c>
      <c r="AH463" s="44">
        <v>68</v>
      </c>
      <c r="AI463" s="44">
        <v>426</v>
      </c>
      <c r="AJ463" s="44">
        <v>0</v>
      </c>
      <c r="AK463" s="44">
        <v>0</v>
      </c>
      <c r="AL463" s="44">
        <v>84</v>
      </c>
      <c r="AM463" s="48"/>
      <c r="AN463" s="48"/>
      <c r="AO463" s="48"/>
      <c r="AP463" s="44">
        <v>109</v>
      </c>
      <c r="AQ463" s="44">
        <v>380</v>
      </c>
      <c r="AR463" s="51"/>
      <c r="AS463" s="51"/>
      <c r="AT463" s="51"/>
      <c r="AU463" s="51"/>
      <c r="AV463" s="51"/>
      <c r="AW463" s="43">
        <v>85</v>
      </c>
      <c r="AX463" s="43">
        <v>400</v>
      </c>
      <c r="AY463" s="50"/>
      <c r="AZ463" s="50"/>
      <c r="BA463" s="50"/>
      <c r="BB463" s="50"/>
      <c r="BC463" s="50"/>
      <c r="BD463" s="50"/>
      <c r="BE463" s="43">
        <v>311</v>
      </c>
      <c r="BF463" s="43">
        <v>175</v>
      </c>
      <c r="BG463" s="43">
        <v>400</v>
      </c>
      <c r="BH463" s="43">
        <v>97</v>
      </c>
      <c r="BI463" s="43">
        <v>409</v>
      </c>
      <c r="BJ463" s="43">
        <v>78</v>
      </c>
      <c r="BK463" s="43">
        <v>116</v>
      </c>
      <c r="BL463" s="43">
        <v>385</v>
      </c>
      <c r="BM463" s="43">
        <v>286</v>
      </c>
      <c r="BN463" s="43">
        <v>212</v>
      </c>
      <c r="BO463" s="43">
        <v>88</v>
      </c>
      <c r="BP463" s="43">
        <v>384</v>
      </c>
      <c r="BQ463" s="43">
        <v>414</v>
      </c>
      <c r="BR463" s="43">
        <v>68</v>
      </c>
      <c r="BS463" s="43">
        <v>386</v>
      </c>
      <c r="BT463" s="43">
        <v>255</v>
      </c>
      <c r="BU463" s="43">
        <v>214</v>
      </c>
      <c r="BV463" s="43">
        <v>355</v>
      </c>
      <c r="BW463" s="43">
        <v>275</v>
      </c>
      <c r="BX463" s="43">
        <v>127</v>
      </c>
      <c r="BY463" s="43">
        <v>339</v>
      </c>
      <c r="BZ463" s="43">
        <v>98</v>
      </c>
      <c r="CA463" s="43">
        <v>326</v>
      </c>
      <c r="CB463" s="43">
        <v>316</v>
      </c>
      <c r="CC463" s="43">
        <v>92</v>
      </c>
      <c r="CD463" s="43">
        <v>295</v>
      </c>
      <c r="CE463" s="43">
        <v>84</v>
      </c>
      <c r="CF463" s="43">
        <v>339</v>
      </c>
      <c r="CG463" s="43">
        <v>297</v>
      </c>
      <c r="CH463" s="43">
        <v>90</v>
      </c>
      <c r="CI463" s="43">
        <v>48</v>
      </c>
      <c r="CJ463" s="43">
        <v>347</v>
      </c>
      <c r="CK463" s="43">
        <v>284</v>
      </c>
      <c r="CL463" s="43">
        <v>118</v>
      </c>
      <c r="CM463" s="43">
        <v>322</v>
      </c>
      <c r="CN463" s="43">
        <v>322</v>
      </c>
      <c r="CO463" s="43">
        <v>76</v>
      </c>
      <c r="CP463" s="43">
        <v>324</v>
      </c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43">
        <v>396</v>
      </c>
      <c r="FF463" s="43">
        <v>110</v>
      </c>
      <c r="FG463" s="43">
        <v>417</v>
      </c>
      <c r="FH463" s="43">
        <v>87</v>
      </c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53"/>
      <c r="FZ463" s="53"/>
      <c r="GA463" s="53"/>
      <c r="GB463" s="53"/>
      <c r="GC463" s="53"/>
      <c r="GD463" s="53"/>
      <c r="GE463" s="53"/>
      <c r="GF463" s="53"/>
      <c r="GG463" s="53"/>
      <c r="GH463" s="53"/>
      <c r="GI463" s="43"/>
      <c r="GJ463" s="43"/>
      <c r="GK463" s="43"/>
      <c r="GL463" s="43"/>
      <c r="GM463" s="53"/>
      <c r="GN463" s="53"/>
      <c r="GO463" s="43">
        <v>340</v>
      </c>
      <c r="GP463" s="43">
        <v>158</v>
      </c>
      <c r="GQ463" s="43">
        <v>335</v>
      </c>
      <c r="GR463" s="43">
        <v>163</v>
      </c>
    </row>
    <row r="464" spans="1:200">
      <c r="A464" s="7">
        <v>7342</v>
      </c>
      <c r="B464" s="1" t="s">
        <v>592</v>
      </c>
      <c r="C464" s="33">
        <v>635</v>
      </c>
      <c r="D464" s="34">
        <v>538</v>
      </c>
      <c r="E464" s="19">
        <f t="shared" si="7"/>
        <v>0.84724409448818894</v>
      </c>
      <c r="F464" s="62">
        <v>125</v>
      </c>
      <c r="G464" s="43">
        <v>2</v>
      </c>
      <c r="H464" s="43">
        <v>16</v>
      </c>
      <c r="I464" s="43">
        <v>4</v>
      </c>
      <c r="J464" s="55">
        <v>378</v>
      </c>
      <c r="K464" s="6">
        <v>0</v>
      </c>
      <c r="L464" s="6">
        <v>0</v>
      </c>
      <c r="M464" s="43">
        <v>1</v>
      </c>
      <c r="N464" s="25">
        <v>0</v>
      </c>
      <c r="O464" s="43">
        <v>0</v>
      </c>
      <c r="P464" s="43">
        <v>0</v>
      </c>
      <c r="Q464" s="43">
        <v>0</v>
      </c>
      <c r="R464" s="43">
        <v>0</v>
      </c>
      <c r="S464" s="43">
        <v>0</v>
      </c>
      <c r="T464" s="43">
        <v>0</v>
      </c>
      <c r="U464" s="43">
        <v>0</v>
      </c>
      <c r="V464" s="43">
        <v>0</v>
      </c>
      <c r="W464" s="43">
        <v>2</v>
      </c>
      <c r="X464" s="43">
        <v>0</v>
      </c>
      <c r="Y464" s="43">
        <v>0</v>
      </c>
      <c r="Z464" s="43">
        <v>0</v>
      </c>
      <c r="AA464" s="44">
        <v>0</v>
      </c>
      <c r="AB464" s="44">
        <v>0</v>
      </c>
      <c r="AC464" s="44">
        <v>7</v>
      </c>
      <c r="AD464" s="44">
        <v>9</v>
      </c>
      <c r="AE464" s="44">
        <v>416</v>
      </c>
      <c r="AF464" s="44">
        <v>7</v>
      </c>
      <c r="AG464" s="44">
        <v>0</v>
      </c>
      <c r="AH464" s="44">
        <v>77</v>
      </c>
      <c r="AI464" s="44">
        <v>411</v>
      </c>
      <c r="AJ464" s="44">
        <v>0</v>
      </c>
      <c r="AK464" s="44">
        <v>0</v>
      </c>
      <c r="AL464" s="44">
        <v>108</v>
      </c>
      <c r="AM464" s="48"/>
      <c r="AN464" s="48"/>
      <c r="AO464" s="48"/>
      <c r="AP464" s="44">
        <v>99</v>
      </c>
      <c r="AQ464" s="44">
        <v>396</v>
      </c>
      <c r="AR464" s="51"/>
      <c r="AS464" s="51"/>
      <c r="AT464" s="51"/>
      <c r="AU464" s="51"/>
      <c r="AV464" s="51"/>
      <c r="AW464" s="43">
        <v>109</v>
      </c>
      <c r="AX464" s="43">
        <v>388</v>
      </c>
      <c r="AY464" s="50"/>
      <c r="AZ464" s="50"/>
      <c r="BA464" s="50"/>
      <c r="BB464" s="50"/>
      <c r="BC464" s="50"/>
      <c r="BD464" s="50"/>
      <c r="BE464" s="43">
        <v>310</v>
      </c>
      <c r="BF464" s="43">
        <v>191</v>
      </c>
      <c r="BG464" s="43">
        <v>387</v>
      </c>
      <c r="BH464" s="43">
        <v>127</v>
      </c>
      <c r="BI464" s="43">
        <v>396</v>
      </c>
      <c r="BJ464" s="43">
        <v>107</v>
      </c>
      <c r="BK464" s="43">
        <v>138</v>
      </c>
      <c r="BL464" s="43">
        <v>366</v>
      </c>
      <c r="BM464" s="43">
        <v>291</v>
      </c>
      <c r="BN464" s="43">
        <v>213</v>
      </c>
      <c r="BO464" s="43">
        <v>121</v>
      </c>
      <c r="BP464" s="43">
        <v>371</v>
      </c>
      <c r="BQ464" s="43">
        <v>416</v>
      </c>
      <c r="BR464" s="43">
        <v>80</v>
      </c>
      <c r="BS464" s="43">
        <v>406</v>
      </c>
      <c r="BT464" s="43">
        <v>288</v>
      </c>
      <c r="BU464" s="43">
        <v>198</v>
      </c>
      <c r="BV464" s="43">
        <v>362</v>
      </c>
      <c r="BW464" s="43">
        <v>278</v>
      </c>
      <c r="BX464" s="43">
        <v>132</v>
      </c>
      <c r="BY464" s="43">
        <v>360</v>
      </c>
      <c r="BZ464" s="43">
        <v>91</v>
      </c>
      <c r="CA464" s="43">
        <v>332</v>
      </c>
      <c r="CB464" s="43">
        <v>304</v>
      </c>
      <c r="CC464" s="43">
        <v>87</v>
      </c>
      <c r="CD464" s="43">
        <v>291</v>
      </c>
      <c r="CE464" s="43">
        <v>99</v>
      </c>
      <c r="CF464" s="43">
        <v>333</v>
      </c>
      <c r="CG464" s="43">
        <v>310</v>
      </c>
      <c r="CH464" s="43">
        <v>81</v>
      </c>
      <c r="CI464" s="43">
        <v>42</v>
      </c>
      <c r="CJ464" s="43">
        <v>360</v>
      </c>
      <c r="CK464" s="43">
        <v>305</v>
      </c>
      <c r="CL464" s="43">
        <v>99</v>
      </c>
      <c r="CM464" s="43">
        <v>330</v>
      </c>
      <c r="CN464" s="43">
        <v>319</v>
      </c>
      <c r="CO464" s="43">
        <v>79</v>
      </c>
      <c r="CP464" s="43">
        <v>328</v>
      </c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43">
        <v>367</v>
      </c>
      <c r="FF464" s="43">
        <v>152</v>
      </c>
      <c r="FG464" s="43">
        <v>410</v>
      </c>
      <c r="FH464" s="43">
        <v>104</v>
      </c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53"/>
      <c r="FZ464" s="53"/>
      <c r="GA464" s="53"/>
      <c r="GB464" s="53"/>
      <c r="GC464" s="53"/>
      <c r="GD464" s="53"/>
      <c r="GE464" s="53"/>
      <c r="GF464" s="53"/>
      <c r="GG464" s="53"/>
      <c r="GH464" s="53"/>
      <c r="GI464" s="43"/>
      <c r="GJ464" s="43"/>
      <c r="GK464" s="43"/>
      <c r="GL464" s="43"/>
      <c r="GM464" s="53"/>
      <c r="GN464" s="53"/>
      <c r="GO464" s="43">
        <v>325</v>
      </c>
      <c r="GP464" s="43">
        <v>187</v>
      </c>
      <c r="GQ464" s="43">
        <v>331</v>
      </c>
      <c r="GR464" s="43">
        <v>179</v>
      </c>
    </row>
    <row r="465" spans="1:200">
      <c r="A465" s="7">
        <v>7343</v>
      </c>
      <c r="B465" s="1" t="s">
        <v>593</v>
      </c>
      <c r="C465" s="33">
        <v>1130</v>
      </c>
      <c r="D465" s="34">
        <v>951</v>
      </c>
      <c r="E465" s="19">
        <f t="shared" si="7"/>
        <v>0.84159292035398225</v>
      </c>
      <c r="F465" s="62">
        <v>175</v>
      </c>
      <c r="G465" s="43">
        <v>1</v>
      </c>
      <c r="H465" s="43">
        <v>30</v>
      </c>
      <c r="I465" s="43">
        <v>1</v>
      </c>
      <c r="J465" s="55">
        <v>714</v>
      </c>
      <c r="K465" s="6">
        <v>0</v>
      </c>
      <c r="L465" s="6">
        <v>0</v>
      </c>
      <c r="M465" s="43">
        <v>0</v>
      </c>
      <c r="N465" s="25">
        <v>0</v>
      </c>
      <c r="O465" s="43">
        <v>0</v>
      </c>
      <c r="P465" s="43">
        <v>0</v>
      </c>
      <c r="Q465" s="43">
        <v>0</v>
      </c>
      <c r="R465" s="43">
        <v>0</v>
      </c>
      <c r="S465" s="43">
        <v>0</v>
      </c>
      <c r="T465" s="43">
        <v>0</v>
      </c>
      <c r="U465" s="43">
        <v>0</v>
      </c>
      <c r="V465" s="43">
        <v>0</v>
      </c>
      <c r="W465" s="43">
        <v>6</v>
      </c>
      <c r="X465" s="43">
        <v>0</v>
      </c>
      <c r="Y465" s="43">
        <v>0</v>
      </c>
      <c r="Z465" s="43">
        <v>0</v>
      </c>
      <c r="AA465" s="44">
        <v>0</v>
      </c>
      <c r="AB465" s="44">
        <v>0</v>
      </c>
      <c r="AC465" s="44">
        <v>5</v>
      </c>
      <c r="AD465" s="44">
        <v>11</v>
      </c>
      <c r="AE465" s="44">
        <v>792</v>
      </c>
      <c r="AF465" s="44">
        <v>7</v>
      </c>
      <c r="AG465" s="44">
        <v>0</v>
      </c>
      <c r="AH465" s="44">
        <v>109</v>
      </c>
      <c r="AI465" s="44">
        <v>796</v>
      </c>
      <c r="AJ465" s="44">
        <v>0</v>
      </c>
      <c r="AK465" s="44">
        <v>0</v>
      </c>
      <c r="AL465" s="44">
        <v>134</v>
      </c>
      <c r="AM465" s="48"/>
      <c r="AN465" s="48"/>
      <c r="AO465" s="48"/>
      <c r="AP465" s="44">
        <v>167</v>
      </c>
      <c r="AQ465" s="44">
        <v>727</v>
      </c>
      <c r="AR465" s="51"/>
      <c r="AS465" s="51"/>
      <c r="AT465" s="51"/>
      <c r="AU465" s="51"/>
      <c r="AV465" s="51"/>
      <c r="AW465" s="43">
        <v>126</v>
      </c>
      <c r="AX465" s="43">
        <v>769</v>
      </c>
      <c r="AY465" s="50"/>
      <c r="AZ465" s="50"/>
      <c r="BA465" s="50"/>
      <c r="BB465" s="50"/>
      <c r="BC465" s="50"/>
      <c r="BD465" s="50"/>
      <c r="BE465" s="43">
        <v>597</v>
      </c>
      <c r="BF465" s="43">
        <v>302</v>
      </c>
      <c r="BG465" s="43">
        <v>730</v>
      </c>
      <c r="BH465" s="43">
        <v>179</v>
      </c>
      <c r="BI465" s="43">
        <v>715</v>
      </c>
      <c r="BJ465" s="43">
        <v>170</v>
      </c>
      <c r="BK465" s="43">
        <v>238</v>
      </c>
      <c r="BL465" s="43">
        <v>666</v>
      </c>
      <c r="BM465" s="43">
        <v>496</v>
      </c>
      <c r="BN465" s="43">
        <v>409</v>
      </c>
      <c r="BO465" s="43">
        <v>166</v>
      </c>
      <c r="BP465" s="43">
        <v>720</v>
      </c>
      <c r="BQ465" s="43">
        <v>784</v>
      </c>
      <c r="BR465" s="43">
        <v>105</v>
      </c>
      <c r="BS465" s="43">
        <v>713</v>
      </c>
      <c r="BT465" s="43">
        <v>482</v>
      </c>
      <c r="BU465" s="43">
        <v>382</v>
      </c>
      <c r="BV465" s="43">
        <v>629</v>
      </c>
      <c r="BW465" s="43">
        <v>500</v>
      </c>
      <c r="BX465" s="43">
        <v>219</v>
      </c>
      <c r="BY465" s="43">
        <v>633</v>
      </c>
      <c r="BZ465" s="43">
        <v>146</v>
      </c>
      <c r="CA465" s="43">
        <v>573</v>
      </c>
      <c r="CB465" s="43">
        <v>570</v>
      </c>
      <c r="CC465" s="43">
        <v>130</v>
      </c>
      <c r="CD465" s="43">
        <v>509</v>
      </c>
      <c r="CE465" s="43">
        <v>136</v>
      </c>
      <c r="CF465" s="43">
        <v>640</v>
      </c>
      <c r="CG465" s="43">
        <v>507</v>
      </c>
      <c r="CH465" s="43">
        <v>166</v>
      </c>
      <c r="CI465" s="43">
        <v>85</v>
      </c>
      <c r="CJ465" s="43">
        <v>621</v>
      </c>
      <c r="CK465" s="43">
        <v>500</v>
      </c>
      <c r="CL465" s="43">
        <v>213</v>
      </c>
      <c r="CM465" s="43">
        <v>567</v>
      </c>
      <c r="CN465" s="43">
        <v>546</v>
      </c>
      <c r="CO465" s="43">
        <v>141</v>
      </c>
      <c r="CP465" s="43">
        <v>561</v>
      </c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43">
        <v>698</v>
      </c>
      <c r="FF465" s="43">
        <v>212</v>
      </c>
      <c r="FG465" s="43">
        <v>747</v>
      </c>
      <c r="FH465" s="43">
        <v>166</v>
      </c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53"/>
      <c r="FZ465" s="53"/>
      <c r="GA465" s="53"/>
      <c r="GB465" s="53"/>
      <c r="GC465" s="53"/>
      <c r="GD465" s="53"/>
      <c r="GE465" s="53"/>
      <c r="GF465" s="53"/>
      <c r="GG465" s="53"/>
      <c r="GH465" s="53"/>
      <c r="GI465" s="43"/>
      <c r="GJ465" s="43"/>
      <c r="GK465" s="43"/>
      <c r="GL465" s="43"/>
      <c r="GM465" s="53"/>
      <c r="GN465" s="53"/>
      <c r="GO465" s="43">
        <v>564</v>
      </c>
      <c r="GP465" s="43">
        <v>350</v>
      </c>
      <c r="GQ465" s="43">
        <v>593</v>
      </c>
      <c r="GR465" s="43">
        <v>318</v>
      </c>
    </row>
    <row r="466" spans="1:200">
      <c r="A466" s="7">
        <v>7401</v>
      </c>
      <c r="B466" s="1" t="s">
        <v>594</v>
      </c>
      <c r="C466" s="33">
        <v>566</v>
      </c>
      <c r="D466" s="34">
        <v>406</v>
      </c>
      <c r="E466" s="19">
        <f t="shared" si="7"/>
        <v>0.71731448763250882</v>
      </c>
      <c r="F466" s="62">
        <v>157</v>
      </c>
      <c r="G466" s="43">
        <v>0</v>
      </c>
      <c r="H466" s="43">
        <v>27</v>
      </c>
      <c r="I466" s="43">
        <v>7</v>
      </c>
      <c r="J466" s="55">
        <v>204</v>
      </c>
      <c r="K466" s="6">
        <v>0</v>
      </c>
      <c r="L466" s="6">
        <v>0</v>
      </c>
      <c r="M466" s="43">
        <v>0</v>
      </c>
      <c r="N466" s="25">
        <v>0</v>
      </c>
      <c r="O466" s="43">
        <v>0</v>
      </c>
      <c r="P466" s="43">
        <v>0</v>
      </c>
      <c r="Q466" s="43">
        <v>0</v>
      </c>
      <c r="R466" s="43">
        <v>0</v>
      </c>
      <c r="S466" s="43">
        <v>0</v>
      </c>
      <c r="T466" s="43">
        <v>0</v>
      </c>
      <c r="U466" s="43">
        <v>0</v>
      </c>
      <c r="V466" s="43">
        <v>1</v>
      </c>
      <c r="W466" s="43">
        <v>3</v>
      </c>
      <c r="X466" s="43">
        <v>0</v>
      </c>
      <c r="Y466" s="43">
        <v>0</v>
      </c>
      <c r="Z466" s="43">
        <v>0</v>
      </c>
      <c r="AA466" s="44">
        <v>0</v>
      </c>
      <c r="AB466" s="44">
        <v>0</v>
      </c>
      <c r="AC466" s="44">
        <v>3</v>
      </c>
      <c r="AD466" s="44">
        <v>12</v>
      </c>
      <c r="AE466" s="44">
        <v>232</v>
      </c>
      <c r="AF466" s="44">
        <v>7</v>
      </c>
      <c r="AG466" s="44">
        <v>0</v>
      </c>
      <c r="AH466" s="44">
        <v>136</v>
      </c>
      <c r="AI466" s="32"/>
      <c r="AJ466" s="32"/>
      <c r="AK466" s="32"/>
      <c r="AL466" s="32"/>
      <c r="AM466" s="44">
        <v>3</v>
      </c>
      <c r="AN466" s="44">
        <v>149</v>
      </c>
      <c r="AO466" s="44">
        <v>218</v>
      </c>
      <c r="AP466" s="44">
        <v>161</v>
      </c>
      <c r="AQ466" s="44">
        <v>196</v>
      </c>
      <c r="AR466" s="50"/>
      <c r="AS466" s="50"/>
      <c r="AT466" s="43">
        <v>224</v>
      </c>
      <c r="AU466" s="43">
        <v>149</v>
      </c>
      <c r="AV466" s="50"/>
      <c r="AW466" s="50"/>
      <c r="AX466" s="50"/>
      <c r="AY466" s="50"/>
      <c r="AZ466" s="50"/>
      <c r="BA466" s="50"/>
      <c r="BB466" s="50"/>
      <c r="BC466" s="50"/>
      <c r="BD466" s="50"/>
      <c r="BE466" s="43">
        <v>175</v>
      </c>
      <c r="BF466" s="43">
        <v>191</v>
      </c>
      <c r="BG466" s="43">
        <v>219</v>
      </c>
      <c r="BH466" s="43">
        <v>156</v>
      </c>
      <c r="BI466" s="43">
        <v>234</v>
      </c>
      <c r="BJ466" s="43">
        <v>134</v>
      </c>
      <c r="BK466" s="43">
        <v>177</v>
      </c>
      <c r="BL466" s="43">
        <v>197</v>
      </c>
      <c r="BM466" s="43">
        <v>163</v>
      </c>
      <c r="BN466" s="43">
        <v>202</v>
      </c>
      <c r="BO466" s="43">
        <v>164</v>
      </c>
      <c r="BP466" s="43">
        <v>200</v>
      </c>
      <c r="BQ466" s="43">
        <v>222</v>
      </c>
      <c r="BR466" s="43">
        <v>142</v>
      </c>
      <c r="BS466" s="43">
        <v>247</v>
      </c>
      <c r="BT466" s="43">
        <v>152</v>
      </c>
      <c r="BU466" s="43">
        <v>199</v>
      </c>
      <c r="BV466" s="43">
        <v>232</v>
      </c>
      <c r="BW466" s="43">
        <v>157</v>
      </c>
      <c r="BX466" s="43">
        <v>126</v>
      </c>
      <c r="BY466" s="43">
        <v>196</v>
      </c>
      <c r="BZ466" s="43">
        <v>116</v>
      </c>
      <c r="CA466" s="43">
        <v>201</v>
      </c>
      <c r="CB466" s="43">
        <v>135</v>
      </c>
      <c r="CC466" s="43">
        <v>127</v>
      </c>
      <c r="CD466" s="43">
        <v>207</v>
      </c>
      <c r="CE466" s="43">
        <v>123</v>
      </c>
      <c r="CF466" s="43">
        <v>155</v>
      </c>
      <c r="CG466" s="43">
        <v>153</v>
      </c>
      <c r="CH466" s="43">
        <v>114</v>
      </c>
      <c r="CI466" s="43">
        <v>91</v>
      </c>
      <c r="CJ466" s="43">
        <v>186</v>
      </c>
      <c r="CK466" s="43">
        <v>153</v>
      </c>
      <c r="CL466" s="43">
        <v>118</v>
      </c>
      <c r="CM466" s="43">
        <v>202</v>
      </c>
      <c r="CN466" s="43">
        <v>195</v>
      </c>
      <c r="CO466" s="43">
        <v>113</v>
      </c>
      <c r="CP466" s="43">
        <v>146</v>
      </c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43">
        <v>228</v>
      </c>
      <c r="EH466" s="43">
        <v>155</v>
      </c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53"/>
      <c r="FZ466" s="53"/>
      <c r="GA466" s="53"/>
      <c r="GB466" s="53"/>
      <c r="GC466" s="53"/>
      <c r="GD466" s="53"/>
      <c r="GE466" s="53"/>
      <c r="GF466" s="53"/>
      <c r="GG466" s="53"/>
      <c r="GH466" s="53"/>
      <c r="GI466" s="43"/>
      <c r="GJ466" s="43"/>
      <c r="GK466" s="43">
        <v>163</v>
      </c>
      <c r="GL466" s="43">
        <v>231</v>
      </c>
      <c r="GM466" s="53"/>
      <c r="GN466" s="53"/>
      <c r="GO466" s="43">
        <v>292</v>
      </c>
      <c r="GP466" s="43">
        <v>106</v>
      </c>
      <c r="GQ466" s="43">
        <v>258</v>
      </c>
      <c r="GR466" s="43">
        <v>128</v>
      </c>
    </row>
    <row r="467" spans="1:200">
      <c r="A467" s="7">
        <v>7402</v>
      </c>
      <c r="B467" s="1" t="s">
        <v>595</v>
      </c>
      <c r="C467" s="33">
        <v>987</v>
      </c>
      <c r="D467" s="34">
        <v>805</v>
      </c>
      <c r="E467" s="19">
        <f t="shared" si="7"/>
        <v>0.81560283687943258</v>
      </c>
      <c r="F467" s="62">
        <v>298</v>
      </c>
      <c r="G467" s="43">
        <v>0</v>
      </c>
      <c r="H467" s="43">
        <v>41</v>
      </c>
      <c r="I467" s="43">
        <v>9</v>
      </c>
      <c r="J467" s="55">
        <v>434</v>
      </c>
      <c r="K467" s="6">
        <v>0</v>
      </c>
      <c r="L467" s="6">
        <v>0</v>
      </c>
      <c r="M467" s="43">
        <v>0</v>
      </c>
      <c r="N467" s="25">
        <v>0</v>
      </c>
      <c r="O467" s="43">
        <v>0</v>
      </c>
      <c r="P467" s="43">
        <v>0</v>
      </c>
      <c r="Q467" s="43">
        <v>0</v>
      </c>
      <c r="R467" s="43">
        <v>0</v>
      </c>
      <c r="S467" s="43">
        <v>0</v>
      </c>
      <c r="T467" s="43">
        <v>0</v>
      </c>
      <c r="U467" s="43">
        <v>0</v>
      </c>
      <c r="V467" s="43">
        <v>1</v>
      </c>
      <c r="W467" s="43">
        <v>2</v>
      </c>
      <c r="X467" s="43">
        <v>0</v>
      </c>
      <c r="Y467" s="43">
        <v>0</v>
      </c>
      <c r="Z467" s="43">
        <v>0</v>
      </c>
      <c r="AA467" s="44">
        <v>0</v>
      </c>
      <c r="AB467" s="44">
        <v>0</v>
      </c>
      <c r="AC467" s="44">
        <v>8</v>
      </c>
      <c r="AD467" s="44">
        <v>11</v>
      </c>
      <c r="AE467" s="44">
        <v>508</v>
      </c>
      <c r="AF467" s="44">
        <v>12</v>
      </c>
      <c r="AG467" s="44">
        <v>0</v>
      </c>
      <c r="AH467" s="44">
        <v>228</v>
      </c>
      <c r="AI467" s="32"/>
      <c r="AJ467" s="32"/>
      <c r="AK467" s="32"/>
      <c r="AL467" s="32"/>
      <c r="AM467" s="44">
        <v>14</v>
      </c>
      <c r="AN467" s="44">
        <v>226</v>
      </c>
      <c r="AO467" s="44">
        <v>500</v>
      </c>
      <c r="AP467" s="44">
        <v>264</v>
      </c>
      <c r="AQ467" s="44">
        <v>458</v>
      </c>
      <c r="AR467" s="50"/>
      <c r="AS467" s="50"/>
      <c r="AT467" s="43">
        <v>492</v>
      </c>
      <c r="AU467" s="43">
        <v>259</v>
      </c>
      <c r="AV467" s="50"/>
      <c r="AW467" s="50"/>
      <c r="AX467" s="50"/>
      <c r="AY467" s="50"/>
      <c r="AZ467" s="50"/>
      <c r="BA467" s="50"/>
      <c r="BB467" s="50"/>
      <c r="BC467" s="50"/>
      <c r="BD467" s="50"/>
      <c r="BE467" s="43">
        <v>401</v>
      </c>
      <c r="BF467" s="43">
        <v>333</v>
      </c>
      <c r="BG467" s="43">
        <v>480</v>
      </c>
      <c r="BH467" s="43">
        <v>262</v>
      </c>
      <c r="BI467" s="43">
        <v>503</v>
      </c>
      <c r="BJ467" s="43">
        <v>236</v>
      </c>
      <c r="BK467" s="43">
        <v>287</v>
      </c>
      <c r="BL467" s="43">
        <v>453</v>
      </c>
      <c r="BM467" s="43">
        <v>390</v>
      </c>
      <c r="BN467" s="43">
        <v>348</v>
      </c>
      <c r="BO467" s="43">
        <v>271</v>
      </c>
      <c r="BP467" s="43">
        <v>451</v>
      </c>
      <c r="BQ467" s="43">
        <v>502</v>
      </c>
      <c r="BR467" s="43">
        <v>220</v>
      </c>
      <c r="BS467" s="43">
        <v>538</v>
      </c>
      <c r="BT467" s="43">
        <v>339</v>
      </c>
      <c r="BU467" s="43">
        <v>383</v>
      </c>
      <c r="BV467" s="43">
        <v>515</v>
      </c>
      <c r="BW467" s="43">
        <v>355</v>
      </c>
      <c r="BX467" s="43">
        <v>231</v>
      </c>
      <c r="BY467" s="43">
        <v>431</v>
      </c>
      <c r="BZ467" s="43">
        <v>207</v>
      </c>
      <c r="CA467" s="43">
        <v>455</v>
      </c>
      <c r="CB467" s="43">
        <v>322</v>
      </c>
      <c r="CC467" s="43">
        <v>234</v>
      </c>
      <c r="CD467" s="43">
        <v>423</v>
      </c>
      <c r="CE467" s="43">
        <v>208</v>
      </c>
      <c r="CF467" s="43">
        <v>371</v>
      </c>
      <c r="CG467" s="43">
        <v>342</v>
      </c>
      <c r="CH467" s="43">
        <v>203</v>
      </c>
      <c r="CI467" s="43">
        <v>139</v>
      </c>
      <c r="CJ467" s="43">
        <v>428</v>
      </c>
      <c r="CK467" s="43">
        <v>335</v>
      </c>
      <c r="CL467" s="43">
        <v>208</v>
      </c>
      <c r="CM467" s="43">
        <v>439</v>
      </c>
      <c r="CN467" s="43">
        <v>423</v>
      </c>
      <c r="CO467" s="43">
        <v>193</v>
      </c>
      <c r="CP467" s="43">
        <v>367</v>
      </c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43">
        <v>507</v>
      </c>
      <c r="EH467" s="43">
        <v>273</v>
      </c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44"/>
      <c r="GA467" s="53"/>
      <c r="GB467" s="53"/>
      <c r="GC467" s="53"/>
      <c r="GD467" s="53"/>
      <c r="GE467" s="53"/>
      <c r="GF467" s="53"/>
      <c r="GG467" s="53"/>
      <c r="GH467" s="53"/>
      <c r="GI467" s="43"/>
      <c r="GJ467" s="43"/>
      <c r="GK467" s="43">
        <v>318</v>
      </c>
      <c r="GL467" s="43">
        <v>479</v>
      </c>
      <c r="GM467" s="53"/>
      <c r="GN467" s="53"/>
      <c r="GO467" s="43">
        <v>565</v>
      </c>
      <c r="GP467" s="43">
        <v>228</v>
      </c>
      <c r="GQ467" s="43">
        <v>539</v>
      </c>
      <c r="GR467" s="43">
        <v>247</v>
      </c>
    </row>
    <row r="468" spans="1:200">
      <c r="A468" s="7">
        <v>7403</v>
      </c>
      <c r="B468" s="1" t="s">
        <v>596</v>
      </c>
      <c r="C468" s="33">
        <v>1004</v>
      </c>
      <c r="D468" s="34">
        <v>781</v>
      </c>
      <c r="E468" s="19">
        <f t="shared" si="7"/>
        <v>0.77788844621513942</v>
      </c>
      <c r="F468" s="62">
        <v>303</v>
      </c>
      <c r="G468" s="43">
        <v>3</v>
      </c>
      <c r="H468" s="43">
        <v>42</v>
      </c>
      <c r="I468" s="43">
        <v>8</v>
      </c>
      <c r="J468" s="55">
        <v>408</v>
      </c>
      <c r="K468" s="6">
        <v>0</v>
      </c>
      <c r="L468" s="6">
        <v>0</v>
      </c>
      <c r="M468" s="43">
        <v>0</v>
      </c>
      <c r="N468" s="25">
        <v>0</v>
      </c>
      <c r="O468" s="43">
        <v>0</v>
      </c>
      <c r="P468" s="43">
        <v>2</v>
      </c>
      <c r="Q468" s="43">
        <v>0</v>
      </c>
      <c r="R468" s="43">
        <v>0</v>
      </c>
      <c r="S468" s="43">
        <v>0</v>
      </c>
      <c r="T468" s="43">
        <v>0</v>
      </c>
      <c r="U468" s="43">
        <v>0</v>
      </c>
      <c r="V468" s="43">
        <v>0</v>
      </c>
      <c r="W468" s="43">
        <v>0</v>
      </c>
      <c r="X468" s="43">
        <v>0</v>
      </c>
      <c r="Y468" s="43">
        <v>0</v>
      </c>
      <c r="Z468" s="43">
        <v>0</v>
      </c>
      <c r="AA468" s="44">
        <v>0</v>
      </c>
      <c r="AB468" s="44">
        <v>0</v>
      </c>
      <c r="AC468" s="44">
        <v>18</v>
      </c>
      <c r="AD468" s="44">
        <v>26</v>
      </c>
      <c r="AE468" s="44">
        <v>460</v>
      </c>
      <c r="AF468" s="44">
        <v>12</v>
      </c>
      <c r="AG468" s="44">
        <v>0</v>
      </c>
      <c r="AH468" s="44">
        <v>247</v>
      </c>
      <c r="AI468" s="32"/>
      <c r="AJ468" s="32"/>
      <c r="AK468" s="32"/>
      <c r="AL468" s="32"/>
      <c r="AM468" s="44">
        <v>16</v>
      </c>
      <c r="AN468" s="44">
        <v>243</v>
      </c>
      <c r="AO468" s="44">
        <v>470</v>
      </c>
      <c r="AP468" s="44">
        <v>288</v>
      </c>
      <c r="AQ468" s="44">
        <v>432</v>
      </c>
      <c r="AR468" s="50"/>
      <c r="AS468" s="50"/>
      <c r="AT468" s="43">
        <v>461</v>
      </c>
      <c r="AU468" s="43">
        <v>266</v>
      </c>
      <c r="AV468" s="50"/>
      <c r="AW468" s="50"/>
      <c r="AX468" s="50"/>
      <c r="AY468" s="50"/>
      <c r="AZ468" s="50"/>
      <c r="BA468" s="50"/>
      <c r="BB468" s="50"/>
      <c r="BC468" s="50"/>
      <c r="BD468" s="50"/>
      <c r="BE468" s="43">
        <v>365</v>
      </c>
      <c r="BF468" s="43">
        <v>359</v>
      </c>
      <c r="BG468" s="43">
        <v>451</v>
      </c>
      <c r="BH468" s="43">
        <v>278</v>
      </c>
      <c r="BI468" s="43">
        <v>470</v>
      </c>
      <c r="BJ468" s="43">
        <v>253</v>
      </c>
      <c r="BK468" s="43">
        <v>302</v>
      </c>
      <c r="BL468" s="43">
        <v>424</v>
      </c>
      <c r="BM468" s="43">
        <v>354</v>
      </c>
      <c r="BN468" s="43">
        <v>368</v>
      </c>
      <c r="BO468" s="43">
        <v>292</v>
      </c>
      <c r="BP468" s="43">
        <v>413</v>
      </c>
      <c r="BQ468" s="43">
        <v>455</v>
      </c>
      <c r="BR468" s="43">
        <v>241</v>
      </c>
      <c r="BS468" s="43">
        <v>492</v>
      </c>
      <c r="BT468" s="43">
        <v>333</v>
      </c>
      <c r="BU468" s="43">
        <v>357</v>
      </c>
      <c r="BV468" s="43">
        <v>491</v>
      </c>
      <c r="BW468" s="43">
        <v>334</v>
      </c>
      <c r="BX468" s="43">
        <v>229</v>
      </c>
      <c r="BY468" s="43">
        <v>424</v>
      </c>
      <c r="BZ468" s="43">
        <v>210</v>
      </c>
      <c r="CA468" s="43">
        <v>431</v>
      </c>
      <c r="CB468" s="43">
        <v>289</v>
      </c>
      <c r="CC468" s="43">
        <v>248</v>
      </c>
      <c r="CD468" s="43">
        <v>410</v>
      </c>
      <c r="CE468" s="43">
        <v>223</v>
      </c>
      <c r="CF468" s="43">
        <v>339</v>
      </c>
      <c r="CG468" s="43">
        <v>325</v>
      </c>
      <c r="CH468" s="43">
        <v>193</v>
      </c>
      <c r="CI468" s="43">
        <v>141</v>
      </c>
      <c r="CJ468" s="43">
        <v>413</v>
      </c>
      <c r="CK468" s="43">
        <v>321</v>
      </c>
      <c r="CL468" s="43">
        <v>215</v>
      </c>
      <c r="CM468" s="43">
        <v>402</v>
      </c>
      <c r="CN468" s="43">
        <v>412</v>
      </c>
      <c r="CO468" s="43">
        <v>191</v>
      </c>
      <c r="CP468" s="43">
        <v>341</v>
      </c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43">
        <v>469</v>
      </c>
      <c r="EH468" s="43">
        <v>286</v>
      </c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44"/>
      <c r="GA468" s="53"/>
      <c r="GB468" s="53"/>
      <c r="GC468" s="53"/>
      <c r="GD468" s="53"/>
      <c r="GE468" s="53"/>
      <c r="GF468" s="53"/>
      <c r="GG468" s="53"/>
      <c r="GH468" s="53"/>
      <c r="GI468" s="43"/>
      <c r="GJ468" s="43"/>
      <c r="GK468" s="43">
        <v>315</v>
      </c>
      <c r="GL468" s="43">
        <v>449</v>
      </c>
      <c r="GM468" s="53"/>
      <c r="GN468" s="53"/>
      <c r="GO468" s="43">
        <v>559</v>
      </c>
      <c r="GP468" s="43">
        <v>201</v>
      </c>
      <c r="GQ468" s="43">
        <v>508</v>
      </c>
      <c r="GR468" s="43">
        <v>250</v>
      </c>
    </row>
    <row r="469" spans="1:200">
      <c r="A469" s="7">
        <v>7601</v>
      </c>
      <c r="B469" s="1" t="s">
        <v>597</v>
      </c>
      <c r="C469" s="33">
        <v>689</v>
      </c>
      <c r="D469" s="34">
        <v>579</v>
      </c>
      <c r="E469" s="19">
        <f t="shared" si="7"/>
        <v>0.84034833091436867</v>
      </c>
      <c r="F469" s="62">
        <v>108</v>
      </c>
      <c r="G469" s="43">
        <v>1</v>
      </c>
      <c r="H469" s="43">
        <v>14</v>
      </c>
      <c r="I469" s="43">
        <v>0</v>
      </c>
      <c r="J469" s="55">
        <v>440</v>
      </c>
      <c r="K469" s="6">
        <v>0</v>
      </c>
      <c r="L469" s="6">
        <v>0</v>
      </c>
      <c r="M469" s="43">
        <v>0</v>
      </c>
      <c r="N469" s="25">
        <v>0</v>
      </c>
      <c r="O469" s="43">
        <v>0</v>
      </c>
      <c r="P469" s="43">
        <v>0</v>
      </c>
      <c r="Q469" s="43">
        <v>0</v>
      </c>
      <c r="R469" s="43">
        <v>0</v>
      </c>
      <c r="S469" s="43">
        <v>0</v>
      </c>
      <c r="T469" s="43">
        <v>0</v>
      </c>
      <c r="U469" s="43">
        <v>0</v>
      </c>
      <c r="V469" s="43">
        <v>1</v>
      </c>
      <c r="W469" s="43">
        <v>3</v>
      </c>
      <c r="X469" s="43">
        <v>0</v>
      </c>
      <c r="Y469" s="43">
        <v>0</v>
      </c>
      <c r="Z469" s="43">
        <v>0</v>
      </c>
      <c r="AA469" s="44">
        <v>0</v>
      </c>
      <c r="AB469" s="44">
        <v>0</v>
      </c>
      <c r="AC469" s="44">
        <v>11</v>
      </c>
      <c r="AD469" s="44">
        <v>5</v>
      </c>
      <c r="AE469" s="44">
        <v>460</v>
      </c>
      <c r="AF469" s="44">
        <v>3</v>
      </c>
      <c r="AG469" s="44">
        <v>0</v>
      </c>
      <c r="AH469" s="44">
        <v>79</v>
      </c>
      <c r="AI469" s="44">
        <v>465</v>
      </c>
      <c r="AJ469" s="44">
        <v>0</v>
      </c>
      <c r="AK469" s="44">
        <v>0</v>
      </c>
      <c r="AL469" s="44">
        <v>93</v>
      </c>
      <c r="AM469" s="48"/>
      <c r="AN469" s="48"/>
      <c r="AO469" s="48"/>
      <c r="AP469" s="44">
        <v>93</v>
      </c>
      <c r="AQ469" s="44">
        <v>423</v>
      </c>
      <c r="AR469" s="51"/>
      <c r="AS469" s="51"/>
      <c r="AT469" s="51"/>
      <c r="AU469" s="51"/>
      <c r="AV469" s="43">
        <v>414</v>
      </c>
      <c r="AW469" s="50"/>
      <c r="AX469" s="50"/>
      <c r="AY469" s="50"/>
      <c r="AZ469" s="50"/>
      <c r="BA469" s="50"/>
      <c r="BB469" s="50"/>
      <c r="BC469" s="50"/>
      <c r="BD469" s="50"/>
      <c r="BE469" s="43">
        <v>360</v>
      </c>
      <c r="BF469" s="43">
        <v>168</v>
      </c>
      <c r="BG469" s="43">
        <v>434</v>
      </c>
      <c r="BH469" s="43">
        <v>109</v>
      </c>
      <c r="BI469" s="43">
        <v>447</v>
      </c>
      <c r="BJ469" s="43">
        <v>94</v>
      </c>
      <c r="BK469" s="43">
        <v>131</v>
      </c>
      <c r="BL469" s="43">
        <v>399</v>
      </c>
      <c r="BM469" s="43">
        <v>310</v>
      </c>
      <c r="BN469" s="43">
        <v>231</v>
      </c>
      <c r="BO469" s="43">
        <v>92</v>
      </c>
      <c r="BP469" s="43">
        <v>427</v>
      </c>
      <c r="BQ469" s="43">
        <v>467</v>
      </c>
      <c r="BR469" s="43">
        <v>67</v>
      </c>
      <c r="BS469" s="43">
        <v>407</v>
      </c>
      <c r="BT469" s="43">
        <v>308</v>
      </c>
      <c r="BU469" s="43">
        <v>190</v>
      </c>
      <c r="BV469" s="43">
        <v>346</v>
      </c>
      <c r="BW469" s="43">
        <v>253</v>
      </c>
      <c r="BX469" s="43">
        <v>133</v>
      </c>
      <c r="BY469" s="43">
        <v>347</v>
      </c>
      <c r="BZ469" s="43">
        <v>98</v>
      </c>
      <c r="CA469" s="43">
        <v>305</v>
      </c>
      <c r="CB469" s="43">
        <v>263</v>
      </c>
      <c r="CC469" s="43">
        <v>109</v>
      </c>
      <c r="CD469" s="43">
        <v>287</v>
      </c>
      <c r="CE469" s="43">
        <v>99</v>
      </c>
      <c r="CF469" s="43">
        <v>319</v>
      </c>
      <c r="CG469" s="43">
        <v>228</v>
      </c>
      <c r="CH469" s="43">
        <v>131</v>
      </c>
      <c r="CI469" s="43">
        <v>57</v>
      </c>
      <c r="CJ469" s="43">
        <v>323</v>
      </c>
      <c r="CK469" s="43">
        <v>245</v>
      </c>
      <c r="CL469" s="43">
        <v>137</v>
      </c>
      <c r="CM469" s="43">
        <v>291</v>
      </c>
      <c r="CN469" s="43">
        <v>287</v>
      </c>
      <c r="CO469" s="43">
        <v>112</v>
      </c>
      <c r="CP469" s="43">
        <v>271</v>
      </c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44"/>
      <c r="GA469" s="53"/>
      <c r="GB469" s="53"/>
      <c r="GC469" s="53"/>
      <c r="GD469" s="53"/>
      <c r="GE469" s="53"/>
      <c r="GF469" s="53"/>
      <c r="GG469" s="53"/>
      <c r="GH469" s="53"/>
      <c r="GI469" s="43"/>
      <c r="GJ469" s="43"/>
      <c r="GK469" s="43"/>
      <c r="GL469" s="43"/>
      <c r="GM469" s="53"/>
      <c r="GN469" s="53"/>
      <c r="GO469" s="43">
        <v>301</v>
      </c>
      <c r="GP469" s="43">
        <v>265</v>
      </c>
      <c r="GQ469" s="43">
        <v>260</v>
      </c>
      <c r="GR469" s="43">
        <v>299</v>
      </c>
    </row>
    <row r="470" spans="1:200">
      <c r="A470" s="7">
        <v>7602</v>
      </c>
      <c r="B470" s="1" t="s">
        <v>598</v>
      </c>
      <c r="C470" s="33">
        <v>1234</v>
      </c>
      <c r="D470" s="34">
        <v>1021</v>
      </c>
      <c r="E470" s="19">
        <f t="shared" si="7"/>
        <v>0.82739059967585094</v>
      </c>
      <c r="F470" s="62">
        <v>176</v>
      </c>
      <c r="G470" s="43">
        <v>1</v>
      </c>
      <c r="H470" s="43">
        <v>29</v>
      </c>
      <c r="I470" s="43">
        <v>2</v>
      </c>
      <c r="J470" s="55">
        <v>792</v>
      </c>
      <c r="K470" s="6">
        <v>0</v>
      </c>
      <c r="L470" s="6">
        <v>0</v>
      </c>
      <c r="M470" s="43">
        <v>0</v>
      </c>
      <c r="N470" s="25">
        <v>0</v>
      </c>
      <c r="O470" s="43">
        <v>0</v>
      </c>
      <c r="P470" s="43">
        <v>0</v>
      </c>
      <c r="Q470" s="43">
        <v>0</v>
      </c>
      <c r="R470" s="43">
        <v>0</v>
      </c>
      <c r="S470" s="43">
        <v>0</v>
      </c>
      <c r="T470" s="43">
        <v>0</v>
      </c>
      <c r="U470" s="43">
        <v>0</v>
      </c>
      <c r="V470" s="43">
        <v>0</v>
      </c>
      <c r="W470" s="43">
        <v>2</v>
      </c>
      <c r="X470" s="43">
        <v>0</v>
      </c>
      <c r="Y470" s="43">
        <v>0</v>
      </c>
      <c r="Z470" s="43">
        <v>0</v>
      </c>
      <c r="AA470" s="44">
        <v>0</v>
      </c>
      <c r="AB470" s="44">
        <v>0</v>
      </c>
      <c r="AC470" s="44">
        <v>17</v>
      </c>
      <c r="AD470" s="44">
        <v>15</v>
      </c>
      <c r="AE470" s="44">
        <v>823</v>
      </c>
      <c r="AF470" s="44">
        <v>10</v>
      </c>
      <c r="AG470" s="44">
        <v>0</v>
      </c>
      <c r="AH470" s="44">
        <v>120</v>
      </c>
      <c r="AI470" s="44">
        <v>815</v>
      </c>
      <c r="AJ470" s="44">
        <v>0</v>
      </c>
      <c r="AK470" s="44">
        <v>0</v>
      </c>
      <c r="AL470" s="44">
        <v>175</v>
      </c>
      <c r="AM470" s="48"/>
      <c r="AN470" s="48"/>
      <c r="AO470" s="48"/>
      <c r="AP470" s="44">
        <v>167</v>
      </c>
      <c r="AQ470" s="44">
        <v>750</v>
      </c>
      <c r="AR470" s="51"/>
      <c r="AS470" s="51"/>
      <c r="AT470" s="51"/>
      <c r="AU470" s="51"/>
      <c r="AV470" s="43">
        <v>714</v>
      </c>
      <c r="AW470" s="50"/>
      <c r="AX470" s="50"/>
      <c r="AY470" s="50"/>
      <c r="AZ470" s="50"/>
      <c r="BA470" s="50"/>
      <c r="BB470" s="50"/>
      <c r="BC470" s="50"/>
      <c r="BD470" s="50"/>
      <c r="BE470" s="43">
        <v>681</v>
      </c>
      <c r="BF470" s="43">
        <v>272</v>
      </c>
      <c r="BG470" s="43">
        <v>772</v>
      </c>
      <c r="BH470" s="43">
        <v>189</v>
      </c>
      <c r="BI470" s="43">
        <v>764</v>
      </c>
      <c r="BJ470" s="43">
        <v>185</v>
      </c>
      <c r="BK470" s="43">
        <v>228</v>
      </c>
      <c r="BL470" s="43">
        <v>726</v>
      </c>
      <c r="BM470" s="43">
        <v>546</v>
      </c>
      <c r="BN470" s="43">
        <v>402</v>
      </c>
      <c r="BO470" s="43">
        <v>178</v>
      </c>
      <c r="BP470" s="43">
        <v>736</v>
      </c>
      <c r="BQ470" s="43">
        <v>822</v>
      </c>
      <c r="BR470" s="43">
        <v>119</v>
      </c>
      <c r="BS470" s="43">
        <v>715</v>
      </c>
      <c r="BT470" s="43">
        <v>565</v>
      </c>
      <c r="BU470" s="43">
        <v>322</v>
      </c>
      <c r="BV470" s="43">
        <v>600</v>
      </c>
      <c r="BW470" s="43">
        <v>479</v>
      </c>
      <c r="BX470" s="43">
        <v>250</v>
      </c>
      <c r="BY470" s="43">
        <v>626</v>
      </c>
      <c r="BZ470" s="43">
        <v>170</v>
      </c>
      <c r="CA470" s="43">
        <v>552</v>
      </c>
      <c r="CB470" s="43">
        <v>491</v>
      </c>
      <c r="CC470" s="43">
        <v>174</v>
      </c>
      <c r="CD470" s="43">
        <v>490</v>
      </c>
      <c r="CE470" s="43">
        <v>166</v>
      </c>
      <c r="CF470" s="43">
        <v>565</v>
      </c>
      <c r="CG470" s="43">
        <v>454</v>
      </c>
      <c r="CH470" s="43">
        <v>209</v>
      </c>
      <c r="CI470" s="43">
        <v>131</v>
      </c>
      <c r="CJ470" s="43">
        <v>569</v>
      </c>
      <c r="CK470" s="43">
        <v>486</v>
      </c>
      <c r="CL470" s="43">
        <v>198</v>
      </c>
      <c r="CM470" s="43">
        <v>534</v>
      </c>
      <c r="CN470" s="43">
        <v>516</v>
      </c>
      <c r="CO470" s="43">
        <v>234</v>
      </c>
      <c r="CP470" s="43">
        <v>458</v>
      </c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44"/>
      <c r="GA470" s="53"/>
      <c r="GB470" s="53"/>
      <c r="GC470" s="53"/>
      <c r="GD470" s="53"/>
      <c r="GE470" s="53"/>
      <c r="GF470" s="53"/>
      <c r="GG470" s="53"/>
      <c r="GH470" s="53"/>
      <c r="GI470" s="43"/>
      <c r="GJ470" s="43"/>
      <c r="GK470" s="43"/>
      <c r="GL470" s="43"/>
      <c r="GM470" s="53"/>
      <c r="GN470" s="53"/>
      <c r="GO470" s="43">
        <v>549</v>
      </c>
      <c r="GP470" s="43">
        <v>441</v>
      </c>
      <c r="GQ470" s="43">
        <v>499</v>
      </c>
      <c r="GR470" s="43">
        <v>479</v>
      </c>
    </row>
    <row r="471" spans="1:200">
      <c r="A471" s="7">
        <v>7603</v>
      </c>
      <c r="B471" s="1" t="s">
        <v>599</v>
      </c>
      <c r="C471" s="33">
        <v>881</v>
      </c>
      <c r="D471" s="34">
        <v>596</v>
      </c>
      <c r="E471" s="19">
        <f t="shared" si="7"/>
        <v>0.67650397275822927</v>
      </c>
      <c r="F471" s="62">
        <v>128</v>
      </c>
      <c r="G471" s="43">
        <v>0</v>
      </c>
      <c r="H471" s="43">
        <v>15</v>
      </c>
      <c r="I471" s="43">
        <v>2</v>
      </c>
      <c r="J471" s="55">
        <v>448</v>
      </c>
      <c r="K471" s="6">
        <v>0</v>
      </c>
      <c r="L471" s="6">
        <v>0</v>
      </c>
      <c r="M471" s="43">
        <v>0</v>
      </c>
      <c r="N471" s="25">
        <v>0</v>
      </c>
      <c r="O471" s="43">
        <v>0</v>
      </c>
      <c r="P471" s="43">
        <v>0</v>
      </c>
      <c r="Q471" s="43">
        <v>0</v>
      </c>
      <c r="R471" s="43">
        <v>0</v>
      </c>
      <c r="S471" s="43">
        <v>0</v>
      </c>
      <c r="T471" s="43">
        <v>0</v>
      </c>
      <c r="U471" s="43">
        <v>0</v>
      </c>
      <c r="V471" s="43">
        <v>0</v>
      </c>
      <c r="W471" s="43">
        <v>0</v>
      </c>
      <c r="X471" s="43">
        <v>0</v>
      </c>
      <c r="Y471" s="43">
        <v>0</v>
      </c>
      <c r="Z471" s="43">
        <v>0</v>
      </c>
      <c r="AA471" s="44">
        <v>0</v>
      </c>
      <c r="AB471" s="44">
        <v>0</v>
      </c>
      <c r="AC471" s="44">
        <v>10</v>
      </c>
      <c r="AD471" s="44">
        <v>4</v>
      </c>
      <c r="AE471" s="44">
        <v>453</v>
      </c>
      <c r="AF471" s="44">
        <v>18</v>
      </c>
      <c r="AG471" s="44">
        <v>0</v>
      </c>
      <c r="AH471" s="44">
        <v>87</v>
      </c>
      <c r="AI471" s="44">
        <v>462</v>
      </c>
      <c r="AJ471" s="44">
        <v>0</v>
      </c>
      <c r="AK471" s="44">
        <v>0</v>
      </c>
      <c r="AL471" s="44">
        <v>115</v>
      </c>
      <c r="AM471" s="48"/>
      <c r="AN471" s="48"/>
      <c r="AO471" s="48"/>
      <c r="AP471" s="44">
        <v>141</v>
      </c>
      <c r="AQ471" s="44">
        <v>412</v>
      </c>
      <c r="AR471" s="51"/>
      <c r="AS471" s="51"/>
      <c r="AT471" s="51"/>
      <c r="AU471" s="51"/>
      <c r="AV471" s="43">
        <v>436</v>
      </c>
      <c r="AW471" s="50"/>
      <c r="AX471" s="50"/>
      <c r="AY471" s="50"/>
      <c r="AZ471" s="50"/>
      <c r="BA471" s="50"/>
      <c r="BB471" s="50"/>
      <c r="BC471" s="50"/>
      <c r="BD471" s="50"/>
      <c r="BE471" s="43">
        <v>345</v>
      </c>
      <c r="BF471" s="43">
        <v>212</v>
      </c>
      <c r="BG471" s="43">
        <v>440</v>
      </c>
      <c r="BH471" s="43">
        <v>123</v>
      </c>
      <c r="BI471" s="43">
        <v>452</v>
      </c>
      <c r="BJ471" s="43">
        <v>101</v>
      </c>
      <c r="BK471" s="43">
        <v>156</v>
      </c>
      <c r="BL471" s="43">
        <v>407</v>
      </c>
      <c r="BM471" s="43">
        <v>309</v>
      </c>
      <c r="BN471" s="43">
        <v>249</v>
      </c>
      <c r="BO471" s="43">
        <v>121</v>
      </c>
      <c r="BP471" s="43">
        <v>417</v>
      </c>
      <c r="BQ471" s="43">
        <v>445</v>
      </c>
      <c r="BR471" s="43">
        <v>105</v>
      </c>
      <c r="BS471" s="43">
        <v>460</v>
      </c>
      <c r="BT471" s="43">
        <v>333</v>
      </c>
      <c r="BU471" s="43">
        <v>198</v>
      </c>
      <c r="BV471" s="43">
        <v>417</v>
      </c>
      <c r="BW471" s="43">
        <v>261</v>
      </c>
      <c r="BX471" s="43">
        <v>202</v>
      </c>
      <c r="BY471" s="43">
        <v>371</v>
      </c>
      <c r="BZ471" s="43">
        <v>123</v>
      </c>
      <c r="CA471" s="43">
        <v>386</v>
      </c>
      <c r="CB471" s="43">
        <v>280</v>
      </c>
      <c r="CC471" s="43">
        <v>171</v>
      </c>
      <c r="CD471" s="43">
        <v>370</v>
      </c>
      <c r="CE471" s="43">
        <v>135</v>
      </c>
      <c r="CF471" s="43">
        <v>344</v>
      </c>
      <c r="CG471" s="43">
        <v>277</v>
      </c>
      <c r="CH471" s="43">
        <v>174</v>
      </c>
      <c r="CI471" s="43">
        <v>93</v>
      </c>
      <c r="CJ471" s="43">
        <v>374</v>
      </c>
      <c r="CK471" s="43">
        <v>263</v>
      </c>
      <c r="CL471" s="43">
        <v>191</v>
      </c>
      <c r="CM471" s="43">
        <v>388</v>
      </c>
      <c r="CN471" s="43">
        <v>384</v>
      </c>
      <c r="CO471" s="43">
        <v>157</v>
      </c>
      <c r="CP471" s="43">
        <v>303</v>
      </c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44"/>
      <c r="GA471" s="53"/>
      <c r="GB471" s="53"/>
      <c r="GC471" s="53"/>
      <c r="GD471" s="53"/>
      <c r="GE471" s="53"/>
      <c r="GF471" s="53"/>
      <c r="GG471" s="53"/>
      <c r="GH471" s="53"/>
      <c r="GI471" s="43"/>
      <c r="GJ471" s="43"/>
      <c r="GK471" s="43"/>
      <c r="GL471" s="43"/>
      <c r="GM471" s="53"/>
      <c r="GN471" s="53"/>
      <c r="GO471" s="43">
        <v>348</v>
      </c>
      <c r="GP471" s="43">
        <v>225</v>
      </c>
      <c r="GQ471" s="43">
        <v>316</v>
      </c>
      <c r="GR471" s="43">
        <v>259</v>
      </c>
    </row>
    <row r="472" spans="1:200">
      <c r="A472" s="7">
        <v>7701</v>
      </c>
      <c r="B472" s="1" t="s">
        <v>600</v>
      </c>
      <c r="C472" s="33">
        <v>1414</v>
      </c>
      <c r="D472" s="34">
        <v>942</v>
      </c>
      <c r="E472" s="19">
        <f t="shared" si="7"/>
        <v>0.66619519094766622</v>
      </c>
      <c r="F472" s="62">
        <v>917</v>
      </c>
      <c r="G472" s="43">
        <v>2</v>
      </c>
      <c r="H472" s="43">
        <v>2</v>
      </c>
      <c r="I472" s="43">
        <v>6</v>
      </c>
      <c r="J472" s="55">
        <v>11</v>
      </c>
      <c r="K472" s="6">
        <v>0</v>
      </c>
      <c r="L472" s="6">
        <v>0</v>
      </c>
      <c r="M472" s="43">
        <v>0</v>
      </c>
      <c r="N472" s="25">
        <v>0</v>
      </c>
      <c r="O472" s="43">
        <v>0</v>
      </c>
      <c r="P472" s="43">
        <v>0</v>
      </c>
      <c r="Q472" s="43">
        <v>0</v>
      </c>
      <c r="R472" s="43">
        <v>0</v>
      </c>
      <c r="S472" s="43">
        <v>0</v>
      </c>
      <c r="T472" s="43">
        <v>0</v>
      </c>
      <c r="U472" s="43">
        <v>0</v>
      </c>
      <c r="V472" s="43">
        <v>0</v>
      </c>
      <c r="W472" s="43">
        <v>0</v>
      </c>
      <c r="X472" s="43">
        <v>0</v>
      </c>
      <c r="Y472" s="43">
        <v>0</v>
      </c>
      <c r="Z472" s="43">
        <v>0</v>
      </c>
      <c r="AA472" s="44">
        <v>0</v>
      </c>
      <c r="AB472" s="44">
        <v>0</v>
      </c>
      <c r="AC472" s="44">
        <v>8</v>
      </c>
      <c r="AD472" s="44">
        <v>7</v>
      </c>
      <c r="AE472" s="44">
        <v>54</v>
      </c>
      <c r="AF472" s="44">
        <v>5</v>
      </c>
      <c r="AG472" s="44">
        <v>0</v>
      </c>
      <c r="AH472" s="44">
        <v>819</v>
      </c>
      <c r="AI472" s="44">
        <v>55</v>
      </c>
      <c r="AJ472" s="44">
        <v>0</v>
      </c>
      <c r="AK472" s="44">
        <v>0</v>
      </c>
      <c r="AL472" s="44">
        <v>836</v>
      </c>
      <c r="AM472" s="48"/>
      <c r="AN472" s="48"/>
      <c r="AO472" s="48"/>
      <c r="AP472" s="44"/>
      <c r="AQ472" s="44"/>
      <c r="AR472" s="51"/>
      <c r="AS472" s="51"/>
      <c r="AT472" s="51"/>
      <c r="AU472" s="51"/>
      <c r="AV472" s="51"/>
      <c r="AW472" s="50"/>
      <c r="AX472" s="50"/>
      <c r="AY472" s="50"/>
      <c r="AZ472" s="50"/>
      <c r="BA472" s="50"/>
      <c r="BB472" s="50"/>
      <c r="BC472" s="43">
        <v>18</v>
      </c>
      <c r="BD472" s="43">
        <v>896</v>
      </c>
      <c r="BE472" s="43">
        <v>13</v>
      </c>
      <c r="BF472" s="43">
        <v>888</v>
      </c>
      <c r="BG472" s="43">
        <v>30</v>
      </c>
      <c r="BH472" s="43">
        <v>861</v>
      </c>
      <c r="BI472" s="43">
        <v>52</v>
      </c>
      <c r="BJ472" s="43">
        <v>848</v>
      </c>
      <c r="BK472" s="43">
        <v>842</v>
      </c>
      <c r="BL472" s="43">
        <v>54</v>
      </c>
      <c r="BM472" s="43">
        <v>18</v>
      </c>
      <c r="BN472" s="43">
        <v>877</v>
      </c>
      <c r="BO472" s="43">
        <v>865</v>
      </c>
      <c r="BP472" s="43">
        <v>25</v>
      </c>
      <c r="BQ472" s="43">
        <v>47</v>
      </c>
      <c r="BR472" s="43">
        <v>852</v>
      </c>
      <c r="BS472" s="43">
        <v>207</v>
      </c>
      <c r="BT472" s="43">
        <v>17</v>
      </c>
      <c r="BU472" s="43">
        <v>886</v>
      </c>
      <c r="BV472" s="43">
        <v>372</v>
      </c>
      <c r="BW472" s="43">
        <v>164</v>
      </c>
      <c r="BX472" s="43">
        <v>595</v>
      </c>
      <c r="BY472" s="43">
        <v>163</v>
      </c>
      <c r="BZ472" s="43">
        <v>645</v>
      </c>
      <c r="CA472" s="43">
        <v>327</v>
      </c>
      <c r="CB472" s="43">
        <v>89</v>
      </c>
      <c r="CC472" s="43">
        <v>682</v>
      </c>
      <c r="CD472" s="43">
        <v>534</v>
      </c>
      <c r="CE472" s="43">
        <v>648</v>
      </c>
      <c r="CF472" s="43">
        <v>111</v>
      </c>
      <c r="CG472" s="43">
        <v>134</v>
      </c>
      <c r="CH472" s="43">
        <v>605</v>
      </c>
      <c r="CI472" s="43">
        <v>558</v>
      </c>
      <c r="CJ472" s="43">
        <v>200</v>
      </c>
      <c r="CK472" s="43">
        <v>238</v>
      </c>
      <c r="CL472" s="43">
        <v>525</v>
      </c>
      <c r="CM472" s="43">
        <v>317</v>
      </c>
      <c r="CN472" s="43">
        <v>362</v>
      </c>
      <c r="CO472" s="43">
        <v>599</v>
      </c>
      <c r="CP472" s="43">
        <v>198</v>
      </c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44"/>
      <c r="GA472" s="53"/>
      <c r="GB472" s="53"/>
      <c r="GC472" s="53"/>
      <c r="GD472" s="53"/>
      <c r="GE472" s="53"/>
      <c r="GF472" s="53"/>
      <c r="GG472" s="53"/>
      <c r="GH472" s="53"/>
      <c r="GI472" s="43"/>
      <c r="GJ472" s="43"/>
      <c r="GK472" s="43"/>
      <c r="GL472" s="43"/>
      <c r="GM472" s="53"/>
      <c r="GN472" s="53"/>
      <c r="GO472" s="43">
        <v>589</v>
      </c>
      <c r="GP472" s="43">
        <v>273</v>
      </c>
      <c r="GQ472" s="43">
        <v>658</v>
      </c>
      <c r="GR472" s="43">
        <v>197</v>
      </c>
    </row>
    <row r="473" spans="1:200">
      <c r="A473" s="7">
        <v>7702</v>
      </c>
      <c r="B473" s="1" t="s">
        <v>601</v>
      </c>
      <c r="C473" s="33">
        <v>898</v>
      </c>
      <c r="D473" s="34">
        <v>518</v>
      </c>
      <c r="E473" s="19">
        <f t="shared" si="7"/>
        <v>0.57683741648106901</v>
      </c>
      <c r="F473" s="62">
        <v>499</v>
      </c>
      <c r="G473" s="43">
        <v>1</v>
      </c>
      <c r="H473" s="43">
        <v>2</v>
      </c>
      <c r="I473" s="43">
        <v>3</v>
      </c>
      <c r="J473" s="55">
        <v>11</v>
      </c>
      <c r="K473" s="6">
        <v>0</v>
      </c>
      <c r="L473" s="6">
        <v>0</v>
      </c>
      <c r="M473" s="43">
        <v>0</v>
      </c>
      <c r="N473" s="25">
        <v>0</v>
      </c>
      <c r="O473" s="43">
        <v>0</v>
      </c>
      <c r="P473" s="43">
        <v>0</v>
      </c>
      <c r="Q473" s="43">
        <v>0</v>
      </c>
      <c r="R473" s="43">
        <v>0</v>
      </c>
      <c r="S473" s="43">
        <v>0</v>
      </c>
      <c r="T473" s="43">
        <v>0</v>
      </c>
      <c r="U473" s="43">
        <v>0</v>
      </c>
      <c r="V473" s="43">
        <v>0</v>
      </c>
      <c r="W473" s="43">
        <v>0</v>
      </c>
      <c r="X473" s="43">
        <v>0</v>
      </c>
      <c r="Y473" s="43">
        <v>0</v>
      </c>
      <c r="Z473" s="43">
        <v>0</v>
      </c>
      <c r="AA473" s="44">
        <v>0</v>
      </c>
      <c r="AB473" s="44">
        <v>0</v>
      </c>
      <c r="AC473" s="44">
        <v>2</v>
      </c>
      <c r="AD473" s="44">
        <v>4</v>
      </c>
      <c r="AE473" s="44">
        <v>16</v>
      </c>
      <c r="AF473" s="44">
        <v>3</v>
      </c>
      <c r="AG473" s="44">
        <v>0</v>
      </c>
      <c r="AH473" s="44">
        <v>481</v>
      </c>
      <c r="AI473" s="44">
        <v>30</v>
      </c>
      <c r="AJ473" s="44">
        <v>0</v>
      </c>
      <c r="AK473" s="44">
        <v>0</v>
      </c>
      <c r="AL473" s="44">
        <v>472</v>
      </c>
      <c r="AM473" s="48"/>
      <c r="AN473" s="48"/>
      <c r="AO473" s="48"/>
      <c r="AP473" s="44"/>
      <c r="AQ473" s="44"/>
      <c r="AR473" s="51"/>
      <c r="AS473" s="51"/>
      <c r="AT473" s="51"/>
      <c r="AU473" s="51"/>
      <c r="AV473" s="51"/>
      <c r="AW473" s="50"/>
      <c r="AX473" s="50"/>
      <c r="AY473" s="50"/>
      <c r="AZ473" s="50"/>
      <c r="BA473" s="50"/>
      <c r="BB473" s="50"/>
      <c r="BC473" s="43">
        <v>14</v>
      </c>
      <c r="BD473" s="43">
        <v>493</v>
      </c>
      <c r="BE473" s="43">
        <v>11</v>
      </c>
      <c r="BF473" s="43">
        <v>485</v>
      </c>
      <c r="BG473" s="43">
        <v>17</v>
      </c>
      <c r="BH473" s="43">
        <v>475</v>
      </c>
      <c r="BI473" s="43">
        <v>30</v>
      </c>
      <c r="BJ473" s="43">
        <v>466</v>
      </c>
      <c r="BK473" s="43">
        <v>458</v>
      </c>
      <c r="BL473" s="43">
        <v>35</v>
      </c>
      <c r="BM473" s="43">
        <v>18</v>
      </c>
      <c r="BN473" s="43">
        <v>478</v>
      </c>
      <c r="BO473" s="43">
        <v>481</v>
      </c>
      <c r="BP473" s="43">
        <v>17</v>
      </c>
      <c r="BQ473" s="43">
        <v>18</v>
      </c>
      <c r="BR473" s="43">
        <v>477</v>
      </c>
      <c r="BS473" s="43">
        <v>124</v>
      </c>
      <c r="BT473" s="43">
        <v>17</v>
      </c>
      <c r="BU473" s="43">
        <v>483</v>
      </c>
      <c r="BV473" s="43">
        <v>182</v>
      </c>
      <c r="BW473" s="43">
        <v>94</v>
      </c>
      <c r="BX473" s="43">
        <v>349</v>
      </c>
      <c r="BY473" s="43">
        <v>85</v>
      </c>
      <c r="BZ473" s="43">
        <v>381</v>
      </c>
      <c r="CA473" s="43">
        <v>155</v>
      </c>
      <c r="CB473" s="43">
        <v>47</v>
      </c>
      <c r="CC473" s="43">
        <v>398</v>
      </c>
      <c r="CD473" s="43">
        <v>341</v>
      </c>
      <c r="CE473" s="43">
        <v>375</v>
      </c>
      <c r="CF473" s="43">
        <v>58</v>
      </c>
      <c r="CG473" s="43">
        <v>61</v>
      </c>
      <c r="CH473" s="43">
        <v>346</v>
      </c>
      <c r="CI473" s="43">
        <v>339</v>
      </c>
      <c r="CJ473" s="43">
        <v>96</v>
      </c>
      <c r="CK473" s="43">
        <v>112</v>
      </c>
      <c r="CL473" s="43">
        <v>335</v>
      </c>
      <c r="CM473" s="43">
        <v>156</v>
      </c>
      <c r="CN473" s="43">
        <v>192</v>
      </c>
      <c r="CO473" s="43">
        <v>344</v>
      </c>
      <c r="CP473" s="43">
        <v>104</v>
      </c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44"/>
      <c r="GA473" s="53"/>
      <c r="GB473" s="53"/>
      <c r="GC473" s="53"/>
      <c r="GD473" s="53"/>
      <c r="GE473" s="53"/>
      <c r="GF473" s="53"/>
      <c r="GG473" s="53"/>
      <c r="GH473" s="53"/>
      <c r="GI473" s="43"/>
      <c r="GJ473" s="43"/>
      <c r="GK473" s="43"/>
      <c r="GL473" s="43"/>
      <c r="GM473" s="53"/>
      <c r="GN473" s="53"/>
      <c r="GO473" s="43">
        <v>370</v>
      </c>
      <c r="GP473" s="43">
        <v>112</v>
      </c>
      <c r="GQ473" s="43">
        <v>403</v>
      </c>
      <c r="GR473" s="43">
        <v>85</v>
      </c>
    </row>
    <row r="474" spans="1:200">
      <c r="A474" s="7">
        <v>7901</v>
      </c>
      <c r="B474" s="1" t="s">
        <v>602</v>
      </c>
      <c r="C474" s="33">
        <v>906</v>
      </c>
      <c r="D474" s="34">
        <v>529</v>
      </c>
      <c r="E474" s="19">
        <f t="shared" si="7"/>
        <v>0.58388520971302427</v>
      </c>
      <c r="F474" s="62">
        <v>184</v>
      </c>
      <c r="G474" s="43">
        <v>2</v>
      </c>
      <c r="H474" s="43">
        <v>15</v>
      </c>
      <c r="I474" s="43">
        <v>8</v>
      </c>
      <c r="J474" s="55">
        <v>311</v>
      </c>
      <c r="K474" s="6">
        <v>0</v>
      </c>
      <c r="L474" s="6">
        <v>0</v>
      </c>
      <c r="M474" s="43">
        <v>0</v>
      </c>
      <c r="N474" s="25">
        <v>0</v>
      </c>
      <c r="O474" s="43">
        <v>0</v>
      </c>
      <c r="P474" s="43">
        <v>0</v>
      </c>
      <c r="Q474" s="43">
        <v>0</v>
      </c>
      <c r="R474" s="43">
        <v>0</v>
      </c>
      <c r="S474" s="43">
        <v>0</v>
      </c>
      <c r="T474" s="43">
        <v>0</v>
      </c>
      <c r="U474" s="43">
        <v>0</v>
      </c>
      <c r="V474" s="43">
        <v>0</v>
      </c>
      <c r="W474" s="43">
        <v>0</v>
      </c>
      <c r="X474" s="43">
        <v>0</v>
      </c>
      <c r="Y474" s="43">
        <v>0</v>
      </c>
      <c r="Z474" s="43">
        <v>0</v>
      </c>
      <c r="AA474" s="44">
        <v>0</v>
      </c>
      <c r="AB474" s="44">
        <v>0</v>
      </c>
      <c r="AC474" s="44">
        <v>13</v>
      </c>
      <c r="AD474" s="44">
        <v>17</v>
      </c>
      <c r="AE474" s="44">
        <v>309</v>
      </c>
      <c r="AF474" s="44">
        <v>7</v>
      </c>
      <c r="AG474" s="44">
        <v>0</v>
      </c>
      <c r="AH474" s="44">
        <v>160</v>
      </c>
      <c r="AI474" s="32"/>
      <c r="AJ474" s="32"/>
      <c r="AK474" s="32"/>
      <c r="AL474" s="32"/>
      <c r="AM474" s="44">
        <v>5</v>
      </c>
      <c r="AN474" s="44">
        <v>175</v>
      </c>
      <c r="AO474" s="44">
        <v>294</v>
      </c>
      <c r="AP474" s="44"/>
      <c r="AQ474" s="44"/>
      <c r="AR474" s="51"/>
      <c r="AS474" s="51"/>
      <c r="AT474" s="51"/>
      <c r="AU474" s="51"/>
      <c r="AV474" s="51"/>
      <c r="AW474" s="50"/>
      <c r="AX474" s="50"/>
      <c r="AY474" s="50"/>
      <c r="AZ474" s="50"/>
      <c r="BA474" s="50"/>
      <c r="BB474" s="50"/>
      <c r="BC474" s="43">
        <v>269</v>
      </c>
      <c r="BD474" s="43">
        <v>211</v>
      </c>
      <c r="BE474" s="43">
        <v>213</v>
      </c>
      <c r="BF474" s="43">
        <v>257</v>
      </c>
      <c r="BG474" s="43">
        <v>316</v>
      </c>
      <c r="BH474" s="43">
        <v>181</v>
      </c>
      <c r="BI474" s="43">
        <v>318</v>
      </c>
      <c r="BJ474" s="43">
        <v>164</v>
      </c>
      <c r="BK474" s="43">
        <v>207</v>
      </c>
      <c r="BL474" s="43">
        <v>278</v>
      </c>
      <c r="BM474" s="43">
        <v>209</v>
      </c>
      <c r="BN474" s="43">
        <v>274</v>
      </c>
      <c r="BO474" s="43">
        <v>201</v>
      </c>
      <c r="BP474" s="43">
        <v>266</v>
      </c>
      <c r="BQ474" s="43">
        <v>301</v>
      </c>
      <c r="BR474" s="43">
        <v>168</v>
      </c>
      <c r="BS474" s="43">
        <v>333</v>
      </c>
      <c r="BT474" s="43">
        <v>243</v>
      </c>
      <c r="BU474" s="43">
        <v>223</v>
      </c>
      <c r="BV474" s="43">
        <v>317</v>
      </c>
      <c r="BW474" s="43">
        <v>193</v>
      </c>
      <c r="BX474" s="43">
        <v>189</v>
      </c>
      <c r="BY474" s="43">
        <v>281</v>
      </c>
      <c r="BZ474" s="43">
        <v>140</v>
      </c>
      <c r="CA474" s="43">
        <v>285</v>
      </c>
      <c r="CB474" s="43">
        <v>199</v>
      </c>
      <c r="CC474" s="43">
        <v>172</v>
      </c>
      <c r="CD474" s="43">
        <v>285</v>
      </c>
      <c r="CE474" s="43">
        <v>164</v>
      </c>
      <c r="CF474" s="43">
        <v>217</v>
      </c>
      <c r="CG474" s="43">
        <v>197</v>
      </c>
      <c r="CH474" s="43">
        <v>147</v>
      </c>
      <c r="CI474" s="43">
        <v>106</v>
      </c>
      <c r="CJ474" s="43">
        <v>265</v>
      </c>
      <c r="CK474" s="43">
        <v>198</v>
      </c>
      <c r="CL474" s="43">
        <v>169</v>
      </c>
      <c r="CM474" s="43">
        <v>280</v>
      </c>
      <c r="CN474" s="43">
        <v>291</v>
      </c>
      <c r="CO474" s="43">
        <v>164</v>
      </c>
      <c r="CP474" s="43">
        <v>214</v>
      </c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43">
        <v>340</v>
      </c>
      <c r="EJ474" s="43">
        <v>160</v>
      </c>
      <c r="EK474" s="43">
        <v>307</v>
      </c>
      <c r="EL474" s="43">
        <v>191</v>
      </c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44"/>
      <c r="GA474" s="53"/>
      <c r="GB474" s="53"/>
      <c r="GC474" s="53"/>
      <c r="GD474" s="53"/>
      <c r="GE474" s="53"/>
      <c r="GF474" s="53"/>
      <c r="GG474" s="53"/>
      <c r="GH474" s="53"/>
      <c r="GI474" s="43"/>
      <c r="GJ474" s="43"/>
      <c r="GK474" s="43"/>
      <c r="GL474" s="43"/>
      <c r="GM474" s="53"/>
      <c r="GN474" s="53"/>
      <c r="GO474" s="43">
        <v>326</v>
      </c>
      <c r="GP474" s="43">
        <v>165</v>
      </c>
      <c r="GQ474" s="43">
        <v>296</v>
      </c>
      <c r="GR474" s="43">
        <v>194</v>
      </c>
    </row>
    <row r="475" spans="1:200">
      <c r="A475" s="7">
        <v>7902</v>
      </c>
      <c r="B475" s="1" t="s">
        <v>603</v>
      </c>
      <c r="C475" s="33">
        <v>1364</v>
      </c>
      <c r="D475" s="34">
        <v>796</v>
      </c>
      <c r="E475" s="19">
        <f t="shared" si="7"/>
        <v>0.58357771260997071</v>
      </c>
      <c r="F475" s="62">
        <v>470</v>
      </c>
      <c r="G475" s="43">
        <v>2</v>
      </c>
      <c r="H475" s="43">
        <v>12</v>
      </c>
      <c r="I475" s="43">
        <v>7</v>
      </c>
      <c r="J475" s="55">
        <v>294</v>
      </c>
      <c r="K475" s="6">
        <v>0</v>
      </c>
      <c r="L475" s="6">
        <v>0</v>
      </c>
      <c r="M475" s="43">
        <v>0</v>
      </c>
      <c r="N475" s="25">
        <v>0</v>
      </c>
      <c r="O475" s="43">
        <v>0</v>
      </c>
      <c r="P475" s="43">
        <v>0</v>
      </c>
      <c r="Q475" s="43">
        <v>0</v>
      </c>
      <c r="R475" s="43">
        <v>0</v>
      </c>
      <c r="S475" s="43">
        <v>0</v>
      </c>
      <c r="T475" s="43">
        <v>0</v>
      </c>
      <c r="U475" s="43">
        <v>0</v>
      </c>
      <c r="V475" s="43">
        <v>0</v>
      </c>
      <c r="W475" s="43">
        <v>1</v>
      </c>
      <c r="X475" s="43">
        <v>0</v>
      </c>
      <c r="Y475" s="43">
        <v>0</v>
      </c>
      <c r="Z475" s="43">
        <v>0</v>
      </c>
      <c r="AA475" s="44">
        <v>0</v>
      </c>
      <c r="AB475" s="44">
        <v>0</v>
      </c>
      <c r="AC475" s="44">
        <v>6</v>
      </c>
      <c r="AD475" s="44">
        <v>15</v>
      </c>
      <c r="AE475" s="44">
        <v>330</v>
      </c>
      <c r="AF475" s="44">
        <v>8</v>
      </c>
      <c r="AG475" s="44">
        <v>0</v>
      </c>
      <c r="AH475" s="44">
        <v>385</v>
      </c>
      <c r="AI475" s="32"/>
      <c r="AJ475" s="32"/>
      <c r="AK475" s="32"/>
      <c r="AL475" s="32"/>
      <c r="AM475" s="44">
        <v>11</v>
      </c>
      <c r="AN475" s="44">
        <v>410</v>
      </c>
      <c r="AO475" s="44">
        <v>295</v>
      </c>
      <c r="AP475" s="44"/>
      <c r="AQ475" s="44"/>
      <c r="AR475" s="51"/>
      <c r="AS475" s="51"/>
      <c r="AT475" s="51"/>
      <c r="AU475" s="51"/>
      <c r="AV475" s="51"/>
      <c r="AW475" s="50"/>
      <c r="AX475" s="50"/>
      <c r="AY475" s="50"/>
      <c r="AZ475" s="50"/>
      <c r="BA475" s="50"/>
      <c r="BB475" s="50"/>
      <c r="BC475" s="43">
        <v>278</v>
      </c>
      <c r="BD475" s="43">
        <v>453</v>
      </c>
      <c r="BE475" s="43">
        <v>229</v>
      </c>
      <c r="BF475" s="43">
        <v>484</v>
      </c>
      <c r="BG475" s="43">
        <v>303</v>
      </c>
      <c r="BH475" s="43">
        <v>416</v>
      </c>
      <c r="BI475" s="43">
        <v>347</v>
      </c>
      <c r="BJ475" s="43">
        <v>377</v>
      </c>
      <c r="BK475" s="43">
        <v>410</v>
      </c>
      <c r="BL475" s="43">
        <v>300</v>
      </c>
      <c r="BM475" s="43">
        <v>212</v>
      </c>
      <c r="BN475" s="43">
        <v>500</v>
      </c>
      <c r="BO475" s="43">
        <v>430</v>
      </c>
      <c r="BP475" s="43">
        <v>281</v>
      </c>
      <c r="BQ475" s="43">
        <v>315</v>
      </c>
      <c r="BR475" s="43">
        <v>397</v>
      </c>
      <c r="BS475" s="43">
        <v>415</v>
      </c>
      <c r="BT475" s="43">
        <v>233</v>
      </c>
      <c r="BU475" s="43">
        <v>474</v>
      </c>
      <c r="BV475" s="43">
        <v>456</v>
      </c>
      <c r="BW475" s="43">
        <v>287</v>
      </c>
      <c r="BX475" s="43">
        <v>277</v>
      </c>
      <c r="BY475" s="43">
        <v>369</v>
      </c>
      <c r="BZ475" s="43">
        <v>262</v>
      </c>
      <c r="CA475" s="43">
        <v>410</v>
      </c>
      <c r="CB475" s="43">
        <v>240</v>
      </c>
      <c r="CC475" s="43">
        <v>320</v>
      </c>
      <c r="CD475" s="43">
        <v>408</v>
      </c>
      <c r="CE475" s="43">
        <v>310</v>
      </c>
      <c r="CF475" s="43">
        <v>261</v>
      </c>
      <c r="CG475" s="43">
        <v>265</v>
      </c>
      <c r="CH475" s="43">
        <v>236</v>
      </c>
      <c r="CI475" s="43">
        <v>183</v>
      </c>
      <c r="CJ475" s="43">
        <v>351</v>
      </c>
      <c r="CK475" s="43">
        <v>322</v>
      </c>
      <c r="CL475" s="43">
        <v>220</v>
      </c>
      <c r="CM475" s="43">
        <v>385</v>
      </c>
      <c r="CN475" s="43">
        <v>431</v>
      </c>
      <c r="CO475" s="43">
        <v>232</v>
      </c>
      <c r="CP475" s="43">
        <v>316</v>
      </c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43">
        <v>461</v>
      </c>
      <c r="EJ475" s="43">
        <v>253</v>
      </c>
      <c r="EK475" s="43">
        <v>401</v>
      </c>
      <c r="EL475" s="43">
        <v>318</v>
      </c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44"/>
      <c r="GA475" s="53"/>
      <c r="GB475" s="53"/>
      <c r="GC475" s="53"/>
      <c r="GD475" s="53"/>
      <c r="GE475" s="53"/>
      <c r="GF475" s="53"/>
      <c r="GG475" s="53"/>
      <c r="GH475" s="53"/>
      <c r="GI475" s="43"/>
      <c r="GJ475" s="43"/>
      <c r="GK475" s="43"/>
      <c r="GL475" s="43"/>
      <c r="GM475" s="53"/>
      <c r="GN475" s="53"/>
      <c r="GO475" s="43">
        <v>464</v>
      </c>
      <c r="GP475" s="43">
        <v>248</v>
      </c>
      <c r="GQ475" s="43">
        <v>459</v>
      </c>
      <c r="GR475" s="43">
        <v>251</v>
      </c>
    </row>
    <row r="476" spans="1:200">
      <c r="A476" s="7">
        <v>8001</v>
      </c>
      <c r="B476" s="1" t="s">
        <v>604</v>
      </c>
      <c r="C476" s="33">
        <v>1216</v>
      </c>
      <c r="D476" s="34">
        <v>952</v>
      </c>
      <c r="E476" s="19">
        <f t="shared" si="7"/>
        <v>0.78289473684210531</v>
      </c>
      <c r="F476" s="62">
        <v>496</v>
      </c>
      <c r="G476" s="43">
        <v>1</v>
      </c>
      <c r="H476" s="43">
        <v>48</v>
      </c>
      <c r="I476" s="43">
        <v>11</v>
      </c>
      <c r="J476" s="55">
        <v>355</v>
      </c>
      <c r="K476" s="6">
        <v>0</v>
      </c>
      <c r="L476" s="6">
        <v>0</v>
      </c>
      <c r="M476" s="43">
        <v>1</v>
      </c>
      <c r="N476" s="25">
        <v>0</v>
      </c>
      <c r="O476" s="43">
        <v>0</v>
      </c>
      <c r="P476" s="43">
        <v>0</v>
      </c>
      <c r="Q476" s="43">
        <v>0</v>
      </c>
      <c r="R476" s="43">
        <v>0</v>
      </c>
      <c r="S476" s="43">
        <v>0</v>
      </c>
      <c r="T476" s="43">
        <v>0</v>
      </c>
      <c r="U476" s="43">
        <v>0</v>
      </c>
      <c r="V476" s="43">
        <v>0</v>
      </c>
      <c r="W476" s="43">
        <v>3</v>
      </c>
      <c r="X476" s="43">
        <v>0</v>
      </c>
      <c r="Y476" s="43">
        <v>0</v>
      </c>
      <c r="Z476" s="43">
        <v>0</v>
      </c>
      <c r="AA476" s="44">
        <v>0</v>
      </c>
      <c r="AB476" s="44">
        <v>0</v>
      </c>
      <c r="AC476" s="44">
        <v>4</v>
      </c>
      <c r="AD476" s="44">
        <v>17</v>
      </c>
      <c r="AE476" s="44">
        <v>572</v>
      </c>
      <c r="AF476" s="44">
        <v>6</v>
      </c>
      <c r="AG476" s="44">
        <v>0</v>
      </c>
      <c r="AH476" s="44">
        <v>327</v>
      </c>
      <c r="AI476" s="32"/>
      <c r="AJ476" s="32"/>
      <c r="AK476" s="32"/>
      <c r="AL476" s="32"/>
      <c r="AM476" s="44">
        <v>43</v>
      </c>
      <c r="AN476" s="44">
        <v>325</v>
      </c>
      <c r="AO476" s="44">
        <v>518</v>
      </c>
      <c r="AP476" s="44"/>
      <c r="AQ476" s="44"/>
      <c r="AR476" s="43">
        <v>491</v>
      </c>
      <c r="AS476" s="43">
        <v>386</v>
      </c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43">
        <v>412</v>
      </c>
      <c r="BF476" s="43">
        <v>461</v>
      </c>
      <c r="BG476" s="43">
        <v>452</v>
      </c>
      <c r="BH476" s="43">
        <v>416</v>
      </c>
      <c r="BI476" s="43">
        <v>520</v>
      </c>
      <c r="BJ476" s="43">
        <v>342</v>
      </c>
      <c r="BK476" s="43">
        <v>456</v>
      </c>
      <c r="BL476" s="43">
        <v>417</v>
      </c>
      <c r="BM476" s="43">
        <v>415</v>
      </c>
      <c r="BN476" s="43">
        <v>447</v>
      </c>
      <c r="BO476" s="43">
        <v>394</v>
      </c>
      <c r="BP476" s="43">
        <v>443</v>
      </c>
      <c r="BQ476" s="43">
        <v>529</v>
      </c>
      <c r="BR476" s="43">
        <v>326</v>
      </c>
      <c r="BS476" s="43">
        <v>581</v>
      </c>
      <c r="BT476" s="43">
        <v>338</v>
      </c>
      <c r="BU476" s="43">
        <v>512</v>
      </c>
      <c r="BV476" s="43">
        <v>591</v>
      </c>
      <c r="BW476" s="43">
        <v>425</v>
      </c>
      <c r="BX476" s="43">
        <v>253</v>
      </c>
      <c r="BY476" s="43">
        <v>440</v>
      </c>
      <c r="BZ476" s="43">
        <v>309</v>
      </c>
      <c r="CA476" s="43">
        <v>527</v>
      </c>
      <c r="CB476" s="43">
        <v>388</v>
      </c>
      <c r="CC476" s="43">
        <v>297</v>
      </c>
      <c r="CD476" s="43">
        <v>477</v>
      </c>
      <c r="CE476" s="43">
        <v>334</v>
      </c>
      <c r="CF476" s="43">
        <v>347</v>
      </c>
      <c r="CG476" s="43">
        <v>394</v>
      </c>
      <c r="CH476" s="43">
        <v>287</v>
      </c>
      <c r="CI476" s="43">
        <v>157</v>
      </c>
      <c r="CJ476" s="43">
        <v>521</v>
      </c>
      <c r="CK476" s="43">
        <v>420</v>
      </c>
      <c r="CL476" s="43">
        <v>250</v>
      </c>
      <c r="CM476" s="43">
        <v>501</v>
      </c>
      <c r="CN476" s="43">
        <v>513</v>
      </c>
      <c r="CO476" s="43">
        <v>212</v>
      </c>
      <c r="CP476" s="43">
        <v>463</v>
      </c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43">
        <v>616</v>
      </c>
      <c r="EN476" s="43">
        <v>287</v>
      </c>
      <c r="EO476" s="43">
        <v>366</v>
      </c>
      <c r="EP476" s="43">
        <v>540</v>
      </c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44"/>
      <c r="GA476" s="53"/>
      <c r="GB476" s="53"/>
      <c r="GC476" s="53"/>
      <c r="GD476" s="53"/>
      <c r="GE476" s="53"/>
      <c r="GF476" s="53"/>
      <c r="GG476" s="53"/>
      <c r="GH476" s="53"/>
      <c r="GI476" s="43"/>
      <c r="GJ476" s="43"/>
      <c r="GK476" s="43"/>
      <c r="GL476" s="43"/>
      <c r="GM476" s="53"/>
      <c r="GN476" s="53"/>
      <c r="GO476" s="43">
        <v>723</v>
      </c>
      <c r="GP476" s="43">
        <v>193</v>
      </c>
      <c r="GQ476" s="43">
        <v>715</v>
      </c>
      <c r="GR476" s="43">
        <v>191</v>
      </c>
    </row>
    <row r="477" spans="1:200">
      <c r="A477" s="7">
        <v>8002</v>
      </c>
      <c r="B477" s="1" t="s">
        <v>605</v>
      </c>
      <c r="C477" s="33">
        <v>1424</v>
      </c>
      <c r="D477" s="34">
        <v>1159</v>
      </c>
      <c r="E477" s="19">
        <f t="shared" si="7"/>
        <v>0.8139044943820225</v>
      </c>
      <c r="F477" s="62">
        <v>606</v>
      </c>
      <c r="G477" s="43">
        <v>1</v>
      </c>
      <c r="H477" s="43">
        <v>62</v>
      </c>
      <c r="I477" s="43">
        <v>11</v>
      </c>
      <c r="J477" s="55">
        <v>419</v>
      </c>
      <c r="K477" s="6">
        <v>0</v>
      </c>
      <c r="L477" s="6">
        <v>0</v>
      </c>
      <c r="M477" s="43">
        <v>0</v>
      </c>
      <c r="N477" s="25">
        <v>0</v>
      </c>
      <c r="O477" s="43">
        <v>0</v>
      </c>
      <c r="P477" s="43">
        <v>0</v>
      </c>
      <c r="Q477" s="43">
        <v>0</v>
      </c>
      <c r="R477" s="43">
        <v>0</v>
      </c>
      <c r="S477" s="43">
        <v>0</v>
      </c>
      <c r="T477" s="43">
        <v>0</v>
      </c>
      <c r="U477" s="43">
        <v>0</v>
      </c>
      <c r="V477" s="43">
        <v>3</v>
      </c>
      <c r="W477" s="43">
        <v>7</v>
      </c>
      <c r="X477" s="43">
        <v>0</v>
      </c>
      <c r="Y477" s="43">
        <v>0</v>
      </c>
      <c r="Z477" s="43">
        <v>0</v>
      </c>
      <c r="AA477" s="44">
        <v>0</v>
      </c>
      <c r="AB477" s="44">
        <v>0</v>
      </c>
      <c r="AC477" s="44">
        <v>3</v>
      </c>
      <c r="AD477" s="44">
        <v>11</v>
      </c>
      <c r="AE477" s="44">
        <v>782</v>
      </c>
      <c r="AF477" s="44">
        <v>4</v>
      </c>
      <c r="AG477" s="44">
        <v>0</v>
      </c>
      <c r="AH477" s="44">
        <v>333</v>
      </c>
      <c r="AI477" s="32"/>
      <c r="AJ477" s="32"/>
      <c r="AK477" s="32"/>
      <c r="AL477" s="32"/>
      <c r="AM477" s="44">
        <v>53</v>
      </c>
      <c r="AN477" s="44">
        <v>320</v>
      </c>
      <c r="AO477" s="44">
        <v>694</v>
      </c>
      <c r="AP477" s="44"/>
      <c r="AQ477" s="44"/>
      <c r="AR477" s="43">
        <v>663</v>
      </c>
      <c r="AS477" s="43">
        <v>379</v>
      </c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43">
        <v>510</v>
      </c>
      <c r="BF477" s="43">
        <v>534</v>
      </c>
      <c r="BG477" s="43">
        <v>592</v>
      </c>
      <c r="BH477" s="43">
        <v>465</v>
      </c>
      <c r="BI477" s="43">
        <v>687</v>
      </c>
      <c r="BJ477" s="43">
        <v>361</v>
      </c>
      <c r="BK477" s="43">
        <v>503</v>
      </c>
      <c r="BL477" s="43">
        <v>540</v>
      </c>
      <c r="BM477" s="43">
        <v>522</v>
      </c>
      <c r="BN477" s="43">
        <v>489</v>
      </c>
      <c r="BO477" s="43">
        <v>400</v>
      </c>
      <c r="BP477" s="43">
        <v>580</v>
      </c>
      <c r="BQ477" s="43">
        <v>662</v>
      </c>
      <c r="BR477" s="43">
        <v>332</v>
      </c>
      <c r="BS477" s="43">
        <v>731</v>
      </c>
      <c r="BT477" s="43">
        <v>428</v>
      </c>
      <c r="BU477" s="43">
        <v>586</v>
      </c>
      <c r="BV477" s="43">
        <v>739</v>
      </c>
      <c r="BW477" s="43">
        <v>490</v>
      </c>
      <c r="BX477" s="43">
        <v>320</v>
      </c>
      <c r="BY477" s="43">
        <v>528</v>
      </c>
      <c r="BZ477" s="43">
        <v>369</v>
      </c>
      <c r="CA477" s="43">
        <v>650</v>
      </c>
      <c r="CB477" s="43">
        <v>521</v>
      </c>
      <c r="CC477" s="43">
        <v>330</v>
      </c>
      <c r="CD477" s="43">
        <v>603</v>
      </c>
      <c r="CE477" s="43">
        <v>391</v>
      </c>
      <c r="CF477" s="43">
        <v>433</v>
      </c>
      <c r="CG477" s="43">
        <v>487</v>
      </c>
      <c r="CH477" s="43">
        <v>337</v>
      </c>
      <c r="CI477" s="43">
        <v>211</v>
      </c>
      <c r="CJ477" s="43">
        <v>595</v>
      </c>
      <c r="CK477" s="43">
        <v>480</v>
      </c>
      <c r="CL477" s="43">
        <v>305</v>
      </c>
      <c r="CM477" s="43">
        <v>606</v>
      </c>
      <c r="CN477" s="43">
        <v>613</v>
      </c>
      <c r="CO477" s="43">
        <v>247</v>
      </c>
      <c r="CP477" s="43">
        <v>527</v>
      </c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43">
        <v>807</v>
      </c>
      <c r="EN477" s="43">
        <v>294</v>
      </c>
      <c r="EO477" s="43">
        <v>494</v>
      </c>
      <c r="EP477" s="43">
        <v>623</v>
      </c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44"/>
      <c r="GA477" s="53"/>
      <c r="GB477" s="53"/>
      <c r="GC477" s="53"/>
      <c r="GD477" s="53"/>
      <c r="GE477" s="53"/>
      <c r="GF477" s="53"/>
      <c r="GG477" s="53"/>
      <c r="GH477" s="53"/>
      <c r="GI477" s="43"/>
      <c r="GJ477" s="43"/>
      <c r="GK477" s="43"/>
      <c r="GL477" s="43"/>
      <c r="GM477" s="53"/>
      <c r="GN477" s="53"/>
      <c r="GO477" s="43">
        <v>897</v>
      </c>
      <c r="GP477" s="43">
        <v>221</v>
      </c>
      <c r="GQ477" s="43">
        <v>906</v>
      </c>
      <c r="GR477" s="43">
        <v>197</v>
      </c>
    </row>
    <row r="478" spans="1:200">
      <c r="A478" s="7">
        <v>8211</v>
      </c>
      <c r="B478" s="1" t="s">
        <v>606</v>
      </c>
      <c r="C478" s="33">
        <v>574</v>
      </c>
      <c r="D478" s="34">
        <v>312</v>
      </c>
      <c r="E478" s="19">
        <f t="shared" si="7"/>
        <v>0.54355400696864109</v>
      </c>
      <c r="F478" s="62">
        <v>88</v>
      </c>
      <c r="G478" s="43">
        <v>0</v>
      </c>
      <c r="H478" s="43">
        <v>13</v>
      </c>
      <c r="I478" s="43">
        <v>0</v>
      </c>
      <c r="J478" s="55">
        <v>209</v>
      </c>
      <c r="K478" s="6">
        <v>0</v>
      </c>
      <c r="L478" s="6">
        <v>0</v>
      </c>
      <c r="M478" s="43">
        <v>0</v>
      </c>
      <c r="N478" s="25">
        <v>0</v>
      </c>
      <c r="O478" s="43">
        <v>0</v>
      </c>
      <c r="P478" s="43">
        <v>0</v>
      </c>
      <c r="Q478" s="43">
        <v>0</v>
      </c>
      <c r="R478" s="43">
        <v>0</v>
      </c>
      <c r="S478" s="43">
        <v>0</v>
      </c>
      <c r="T478" s="43">
        <v>0</v>
      </c>
      <c r="U478" s="43">
        <v>0</v>
      </c>
      <c r="V478" s="43">
        <v>0</v>
      </c>
      <c r="W478" s="43">
        <v>1</v>
      </c>
      <c r="X478" s="43">
        <v>0</v>
      </c>
      <c r="Y478" s="43">
        <v>0</v>
      </c>
      <c r="Z478" s="43">
        <v>0</v>
      </c>
      <c r="AA478" s="44">
        <v>0</v>
      </c>
      <c r="AB478" s="44">
        <v>0</v>
      </c>
      <c r="AC478" s="44">
        <v>9</v>
      </c>
      <c r="AD478" s="44">
        <v>7</v>
      </c>
      <c r="AE478" s="44">
        <v>201</v>
      </c>
      <c r="AF478" s="44">
        <v>5</v>
      </c>
      <c r="AG478" s="44">
        <v>0</v>
      </c>
      <c r="AH478" s="44">
        <v>78</v>
      </c>
      <c r="AI478" s="44">
        <v>210</v>
      </c>
      <c r="AJ478" s="44">
        <v>0</v>
      </c>
      <c r="AK478" s="44">
        <v>0</v>
      </c>
      <c r="AL478" s="44">
        <v>84</v>
      </c>
      <c r="AM478" s="48"/>
      <c r="AN478" s="48"/>
      <c r="AO478" s="48"/>
      <c r="AP478" s="44">
        <v>88</v>
      </c>
      <c r="AQ478" s="44">
        <v>196</v>
      </c>
      <c r="AR478" s="51"/>
      <c r="AS478" s="51"/>
      <c r="AT478" s="51"/>
      <c r="AU478" s="51"/>
      <c r="AV478" s="43">
        <v>185</v>
      </c>
      <c r="AW478" s="50"/>
      <c r="AX478" s="50"/>
      <c r="AY478" s="50"/>
      <c r="AZ478" s="50"/>
      <c r="BA478" s="50"/>
      <c r="BB478" s="50"/>
      <c r="BC478" s="50"/>
      <c r="BD478" s="50"/>
      <c r="BE478" s="43">
        <v>155</v>
      </c>
      <c r="BF478" s="43">
        <v>128</v>
      </c>
      <c r="BG478" s="43">
        <v>187</v>
      </c>
      <c r="BH478" s="43">
        <v>95</v>
      </c>
      <c r="BI478" s="43">
        <v>197</v>
      </c>
      <c r="BJ478" s="43">
        <v>88</v>
      </c>
      <c r="BK478" s="43">
        <v>96</v>
      </c>
      <c r="BL478" s="43">
        <v>195</v>
      </c>
      <c r="BM478" s="43">
        <v>136</v>
      </c>
      <c r="BN478" s="43">
        <v>160</v>
      </c>
      <c r="BO478" s="43">
        <v>90</v>
      </c>
      <c r="BP478" s="43">
        <v>187</v>
      </c>
      <c r="BQ478" s="43">
        <v>213</v>
      </c>
      <c r="BR478" s="43">
        <v>71</v>
      </c>
      <c r="BS478" s="43">
        <v>191</v>
      </c>
      <c r="BT478" s="43">
        <v>161</v>
      </c>
      <c r="BU478" s="43">
        <v>116</v>
      </c>
      <c r="BV478" s="43">
        <v>199</v>
      </c>
      <c r="BW478" s="43">
        <v>139</v>
      </c>
      <c r="BX478" s="43">
        <v>90</v>
      </c>
      <c r="BY478" s="43">
        <v>194</v>
      </c>
      <c r="BZ478" s="43">
        <v>62</v>
      </c>
      <c r="CA478" s="43">
        <v>174</v>
      </c>
      <c r="CB478" s="43">
        <v>143</v>
      </c>
      <c r="CC478" s="43">
        <v>73</v>
      </c>
      <c r="CD478" s="43">
        <v>163</v>
      </c>
      <c r="CE478" s="43">
        <v>63</v>
      </c>
      <c r="CF478" s="43">
        <v>183</v>
      </c>
      <c r="CG478" s="43">
        <v>144</v>
      </c>
      <c r="CH478" s="43">
        <v>64</v>
      </c>
      <c r="CI478" s="43">
        <v>57</v>
      </c>
      <c r="CJ478" s="43">
        <v>167</v>
      </c>
      <c r="CK478" s="43">
        <v>163</v>
      </c>
      <c r="CL478" s="43">
        <v>70</v>
      </c>
      <c r="CM478" s="43">
        <v>165</v>
      </c>
      <c r="CN478" s="43">
        <v>170</v>
      </c>
      <c r="CO478" s="43">
        <v>66</v>
      </c>
      <c r="CP478" s="43">
        <v>156</v>
      </c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43">
        <v>191</v>
      </c>
      <c r="DH478" s="43">
        <v>107</v>
      </c>
      <c r="DI478" s="43">
        <v>186</v>
      </c>
      <c r="DJ478" s="43">
        <v>110</v>
      </c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43">
        <v>151</v>
      </c>
      <c r="FJ478" s="43">
        <v>133</v>
      </c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44"/>
      <c r="GA478" s="53"/>
      <c r="GB478" s="53"/>
      <c r="GC478" s="53"/>
      <c r="GD478" s="53"/>
      <c r="GE478" s="53"/>
      <c r="GF478" s="53"/>
      <c r="GG478" s="53"/>
      <c r="GH478" s="53"/>
      <c r="GI478" s="43"/>
      <c r="GJ478" s="43"/>
      <c r="GK478" s="43"/>
      <c r="GL478" s="43"/>
      <c r="GM478" s="53"/>
      <c r="GN478" s="53"/>
      <c r="GO478" s="43">
        <v>213</v>
      </c>
      <c r="GP478" s="43">
        <v>86</v>
      </c>
      <c r="GQ478" s="43">
        <v>191</v>
      </c>
      <c r="GR478" s="43">
        <v>107</v>
      </c>
    </row>
    <row r="479" spans="1:200">
      <c r="A479" s="7">
        <v>8221</v>
      </c>
      <c r="B479" s="1" t="s">
        <v>607</v>
      </c>
      <c r="C479" s="33">
        <v>845</v>
      </c>
      <c r="D479" s="34">
        <v>481</v>
      </c>
      <c r="E479" s="19">
        <f t="shared" si="7"/>
        <v>0.56923076923076921</v>
      </c>
      <c r="F479" s="62">
        <v>125</v>
      </c>
      <c r="G479" s="43">
        <v>1</v>
      </c>
      <c r="H479" s="43">
        <v>13</v>
      </c>
      <c r="I479" s="43">
        <v>6</v>
      </c>
      <c r="J479" s="55">
        <v>328</v>
      </c>
      <c r="K479" s="6">
        <v>0</v>
      </c>
      <c r="L479" s="6">
        <v>0</v>
      </c>
      <c r="M479" s="43">
        <v>0</v>
      </c>
      <c r="N479" s="25">
        <v>0</v>
      </c>
      <c r="O479" s="43">
        <v>0</v>
      </c>
      <c r="P479" s="43">
        <v>0</v>
      </c>
      <c r="Q479" s="43">
        <v>0</v>
      </c>
      <c r="R479" s="43">
        <v>0</v>
      </c>
      <c r="S479" s="43">
        <v>0</v>
      </c>
      <c r="T479" s="43">
        <v>0</v>
      </c>
      <c r="U479" s="43">
        <v>0</v>
      </c>
      <c r="V479" s="43">
        <v>0</v>
      </c>
      <c r="W479" s="43">
        <v>0</v>
      </c>
      <c r="X479" s="43">
        <v>0</v>
      </c>
      <c r="Y479" s="43">
        <v>0</v>
      </c>
      <c r="Z479" s="43">
        <v>0</v>
      </c>
      <c r="AA479" s="44">
        <v>0</v>
      </c>
      <c r="AB479" s="44">
        <v>0</v>
      </c>
      <c r="AC479" s="44">
        <v>16</v>
      </c>
      <c r="AD479" s="44">
        <v>13</v>
      </c>
      <c r="AE479" s="44">
        <v>322</v>
      </c>
      <c r="AF479" s="44">
        <v>7</v>
      </c>
      <c r="AG479" s="44">
        <v>0</v>
      </c>
      <c r="AH479" s="44">
        <v>97</v>
      </c>
      <c r="AI479" s="44">
        <v>338</v>
      </c>
      <c r="AJ479" s="44">
        <v>0</v>
      </c>
      <c r="AK479" s="44">
        <v>0</v>
      </c>
      <c r="AL479" s="44">
        <v>118</v>
      </c>
      <c r="AM479" s="48"/>
      <c r="AN479" s="48"/>
      <c r="AO479" s="48"/>
      <c r="AP479" s="44">
        <v>139</v>
      </c>
      <c r="AQ479" s="44">
        <v>288</v>
      </c>
      <c r="AR479" s="51"/>
      <c r="AS479" s="51"/>
      <c r="AT479" s="51"/>
      <c r="AU479" s="51"/>
      <c r="AV479" s="43">
        <v>314</v>
      </c>
      <c r="AW479" s="50"/>
      <c r="AX479" s="50"/>
      <c r="AY479" s="50"/>
      <c r="AZ479" s="50"/>
      <c r="BA479" s="50"/>
      <c r="BB479" s="50"/>
      <c r="BC479" s="50"/>
      <c r="BD479" s="50"/>
      <c r="BE479" s="43">
        <v>235</v>
      </c>
      <c r="BF479" s="43">
        <v>194</v>
      </c>
      <c r="BG479" s="43">
        <v>308</v>
      </c>
      <c r="BH479" s="43">
        <v>133</v>
      </c>
      <c r="BI479" s="43">
        <v>323</v>
      </c>
      <c r="BJ479" s="43">
        <v>114</v>
      </c>
      <c r="BK479" s="43">
        <v>141</v>
      </c>
      <c r="BL479" s="43">
        <v>298</v>
      </c>
      <c r="BM479" s="43">
        <v>191</v>
      </c>
      <c r="BN479" s="43">
        <v>256</v>
      </c>
      <c r="BO479" s="43">
        <v>117</v>
      </c>
      <c r="BP479" s="43">
        <v>305</v>
      </c>
      <c r="BQ479" s="43">
        <v>324</v>
      </c>
      <c r="BR479" s="43">
        <v>110</v>
      </c>
      <c r="BS479" s="43">
        <v>336</v>
      </c>
      <c r="BT479" s="43">
        <v>244</v>
      </c>
      <c r="BU479" s="43">
        <v>173</v>
      </c>
      <c r="BV479" s="43">
        <v>300</v>
      </c>
      <c r="BW479" s="43">
        <v>191</v>
      </c>
      <c r="BX479" s="43">
        <v>171</v>
      </c>
      <c r="BY479" s="43">
        <v>273</v>
      </c>
      <c r="BZ479" s="43">
        <v>107</v>
      </c>
      <c r="CA479" s="43">
        <v>276</v>
      </c>
      <c r="CB479" s="43">
        <v>216</v>
      </c>
      <c r="CC479" s="43">
        <v>123</v>
      </c>
      <c r="CD479" s="43">
        <v>257</v>
      </c>
      <c r="CE479" s="43">
        <v>110</v>
      </c>
      <c r="CF479" s="43">
        <v>276</v>
      </c>
      <c r="CG479" s="43">
        <v>204</v>
      </c>
      <c r="CH479" s="43">
        <v>114</v>
      </c>
      <c r="CI479" s="43">
        <v>75</v>
      </c>
      <c r="CJ479" s="43">
        <v>272</v>
      </c>
      <c r="CK479" s="43">
        <v>229</v>
      </c>
      <c r="CL479" s="43">
        <v>128</v>
      </c>
      <c r="CM479" s="43">
        <v>264</v>
      </c>
      <c r="CN479" s="43">
        <v>262</v>
      </c>
      <c r="CO479" s="43">
        <v>93</v>
      </c>
      <c r="CP479" s="43">
        <v>249</v>
      </c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43">
        <v>280</v>
      </c>
      <c r="DL479" s="43">
        <v>175</v>
      </c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43">
        <v>275</v>
      </c>
      <c r="FJ479" s="43">
        <v>172</v>
      </c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44"/>
      <c r="GA479" s="53"/>
      <c r="GB479" s="53"/>
      <c r="GC479" s="53"/>
      <c r="GD479" s="53"/>
      <c r="GE479" s="53"/>
      <c r="GF479" s="53"/>
      <c r="GG479" s="53"/>
      <c r="GH479" s="53"/>
      <c r="GI479" s="43"/>
      <c r="GJ479" s="43"/>
      <c r="GK479" s="43"/>
      <c r="GL479" s="43"/>
      <c r="GM479" s="53"/>
      <c r="GN479" s="53"/>
      <c r="GO479" s="43">
        <v>307</v>
      </c>
      <c r="GP479" s="43">
        <v>149</v>
      </c>
      <c r="GQ479" s="43">
        <v>274</v>
      </c>
      <c r="GR479" s="43">
        <v>176</v>
      </c>
    </row>
    <row r="480" spans="1:200">
      <c r="A480" s="7">
        <v>8222</v>
      </c>
      <c r="B480" s="1" t="s">
        <v>608</v>
      </c>
      <c r="C480" s="33">
        <v>1302</v>
      </c>
      <c r="D480" s="34">
        <v>1046</v>
      </c>
      <c r="E480" s="19">
        <f t="shared" si="7"/>
        <v>0.80337941628264209</v>
      </c>
      <c r="F480" s="62">
        <v>195</v>
      </c>
      <c r="G480" s="43">
        <v>3</v>
      </c>
      <c r="H480" s="43">
        <v>32</v>
      </c>
      <c r="I480" s="43">
        <v>2</v>
      </c>
      <c r="J480" s="55">
        <v>795</v>
      </c>
      <c r="K480" s="6">
        <v>0</v>
      </c>
      <c r="L480" s="6">
        <v>0</v>
      </c>
      <c r="M480" s="43">
        <v>0</v>
      </c>
      <c r="N480" s="25">
        <v>0</v>
      </c>
      <c r="O480" s="43">
        <v>0</v>
      </c>
      <c r="P480" s="43">
        <v>0</v>
      </c>
      <c r="Q480" s="43">
        <v>0</v>
      </c>
      <c r="R480" s="43">
        <v>0</v>
      </c>
      <c r="S480" s="43">
        <v>0</v>
      </c>
      <c r="T480" s="43">
        <v>0</v>
      </c>
      <c r="U480" s="43">
        <v>0</v>
      </c>
      <c r="V480" s="43">
        <v>0</v>
      </c>
      <c r="W480" s="43">
        <v>1</v>
      </c>
      <c r="X480" s="43">
        <v>0</v>
      </c>
      <c r="Y480" s="43">
        <v>0</v>
      </c>
      <c r="Z480" s="43">
        <v>0</v>
      </c>
      <c r="AA480" s="44">
        <v>0</v>
      </c>
      <c r="AB480" s="44">
        <v>0</v>
      </c>
      <c r="AC480" s="44">
        <v>14</v>
      </c>
      <c r="AD480" s="44">
        <v>12</v>
      </c>
      <c r="AE480" s="44">
        <v>828</v>
      </c>
      <c r="AF480" s="44">
        <v>9</v>
      </c>
      <c r="AG480" s="44">
        <v>0</v>
      </c>
      <c r="AH480" s="44">
        <v>150</v>
      </c>
      <c r="AI480" s="44">
        <v>852</v>
      </c>
      <c r="AJ480" s="44">
        <v>1</v>
      </c>
      <c r="AK480" s="44">
        <v>0</v>
      </c>
      <c r="AL480" s="44">
        <v>166</v>
      </c>
      <c r="AM480" s="48"/>
      <c r="AN480" s="48"/>
      <c r="AO480" s="48"/>
      <c r="AP480" s="44">
        <v>180</v>
      </c>
      <c r="AQ480" s="44">
        <v>779</v>
      </c>
      <c r="AR480" s="51"/>
      <c r="AS480" s="51"/>
      <c r="AT480" s="51"/>
      <c r="AU480" s="51"/>
      <c r="AV480" s="43">
        <v>728</v>
      </c>
      <c r="AW480" s="50"/>
      <c r="AX480" s="50"/>
      <c r="AY480" s="50"/>
      <c r="AZ480" s="50"/>
      <c r="BA480" s="50"/>
      <c r="BB480" s="50"/>
      <c r="BC480" s="50"/>
      <c r="BD480" s="50"/>
      <c r="BE480" s="43">
        <v>664</v>
      </c>
      <c r="BF480" s="43">
        <v>303</v>
      </c>
      <c r="BG480" s="43">
        <v>784</v>
      </c>
      <c r="BH480" s="43">
        <v>204</v>
      </c>
      <c r="BI480" s="43">
        <v>809</v>
      </c>
      <c r="BJ480" s="43">
        <v>169</v>
      </c>
      <c r="BK480" s="43">
        <v>224</v>
      </c>
      <c r="BL480" s="43">
        <v>755</v>
      </c>
      <c r="BM480" s="43">
        <v>544</v>
      </c>
      <c r="BN480" s="43">
        <v>438</v>
      </c>
      <c r="BO480" s="43">
        <v>158</v>
      </c>
      <c r="BP480" s="43">
        <v>778</v>
      </c>
      <c r="BQ480" s="43">
        <v>821</v>
      </c>
      <c r="BR480" s="43">
        <v>122</v>
      </c>
      <c r="BS480" s="43">
        <v>737</v>
      </c>
      <c r="BT480" s="43">
        <v>590</v>
      </c>
      <c r="BU480" s="43">
        <v>326</v>
      </c>
      <c r="BV480" s="43">
        <v>634</v>
      </c>
      <c r="BW480" s="43">
        <v>504</v>
      </c>
      <c r="BX480" s="43">
        <v>231</v>
      </c>
      <c r="BY480" s="43">
        <v>671</v>
      </c>
      <c r="BZ480" s="43">
        <v>156</v>
      </c>
      <c r="CA480" s="43">
        <v>578</v>
      </c>
      <c r="CB480" s="43">
        <v>577</v>
      </c>
      <c r="CC480" s="43">
        <v>161</v>
      </c>
      <c r="CD480" s="43">
        <v>527</v>
      </c>
      <c r="CE480" s="43">
        <v>152</v>
      </c>
      <c r="CF480" s="43">
        <v>691</v>
      </c>
      <c r="CG480" s="43">
        <v>516</v>
      </c>
      <c r="CH480" s="43">
        <v>181</v>
      </c>
      <c r="CI480" s="43">
        <v>135</v>
      </c>
      <c r="CJ480" s="43">
        <v>604</v>
      </c>
      <c r="CK480" s="43">
        <v>544</v>
      </c>
      <c r="CL480" s="43">
        <v>185</v>
      </c>
      <c r="CM480" s="43">
        <v>565</v>
      </c>
      <c r="CN480" s="43">
        <v>552</v>
      </c>
      <c r="CO480" s="43">
        <v>198</v>
      </c>
      <c r="CP480" s="43">
        <v>523</v>
      </c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43">
        <v>688</v>
      </c>
      <c r="DL480" s="43">
        <v>310</v>
      </c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43">
        <v>625</v>
      </c>
      <c r="FJ480" s="43">
        <v>350</v>
      </c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44"/>
      <c r="GA480" s="53"/>
      <c r="GB480" s="53"/>
      <c r="GC480" s="53"/>
      <c r="GD480" s="53"/>
      <c r="GE480" s="53"/>
      <c r="GF480" s="53"/>
      <c r="GG480" s="53"/>
      <c r="GH480" s="53"/>
      <c r="GI480" s="43"/>
      <c r="GJ480" s="43"/>
      <c r="GK480" s="43"/>
      <c r="GL480" s="43"/>
      <c r="GM480" s="53"/>
      <c r="GN480" s="53"/>
      <c r="GO480" s="43">
        <v>679</v>
      </c>
      <c r="GP480" s="43">
        <v>311</v>
      </c>
      <c r="GQ480" s="43">
        <v>626</v>
      </c>
      <c r="GR480" s="43">
        <v>355</v>
      </c>
    </row>
    <row r="481" spans="1:200">
      <c r="A481" s="8">
        <v>8231</v>
      </c>
      <c r="B481" s="1" t="s">
        <v>609</v>
      </c>
      <c r="C481" s="33">
        <v>764</v>
      </c>
      <c r="D481" s="34">
        <v>619</v>
      </c>
      <c r="E481" s="19">
        <f t="shared" si="7"/>
        <v>0.81020942408376961</v>
      </c>
      <c r="F481" s="62">
        <v>100</v>
      </c>
      <c r="G481" s="43">
        <v>2</v>
      </c>
      <c r="H481" s="43">
        <v>16</v>
      </c>
      <c r="I481" s="43">
        <v>1</v>
      </c>
      <c r="J481" s="55">
        <v>490</v>
      </c>
      <c r="K481" s="6">
        <v>0</v>
      </c>
      <c r="L481" s="6">
        <v>0</v>
      </c>
      <c r="M481" s="43">
        <v>0</v>
      </c>
      <c r="N481" s="25">
        <v>0</v>
      </c>
      <c r="O481" s="43">
        <v>0</v>
      </c>
      <c r="P481" s="43">
        <v>0</v>
      </c>
      <c r="Q481" s="43">
        <v>0</v>
      </c>
      <c r="R481" s="43">
        <v>0</v>
      </c>
      <c r="S481" s="43">
        <v>0</v>
      </c>
      <c r="T481" s="43">
        <v>0</v>
      </c>
      <c r="U481" s="43">
        <v>0</v>
      </c>
      <c r="V481" s="43">
        <v>0</v>
      </c>
      <c r="W481" s="43">
        <v>0</v>
      </c>
      <c r="X481" s="43">
        <v>0</v>
      </c>
      <c r="Y481" s="43">
        <v>0</v>
      </c>
      <c r="Z481" s="43">
        <v>0</v>
      </c>
      <c r="AA481" s="44">
        <v>0</v>
      </c>
      <c r="AB481" s="44">
        <v>0</v>
      </c>
      <c r="AC481" s="44">
        <v>6</v>
      </c>
      <c r="AD481" s="44">
        <v>1</v>
      </c>
      <c r="AE481" s="44">
        <v>536</v>
      </c>
      <c r="AF481" s="44">
        <v>10</v>
      </c>
      <c r="AG481" s="44">
        <v>0</v>
      </c>
      <c r="AH481" s="44">
        <v>54</v>
      </c>
      <c r="AI481" s="44">
        <v>520</v>
      </c>
      <c r="AJ481" s="44">
        <v>0</v>
      </c>
      <c r="AK481" s="44">
        <v>0</v>
      </c>
      <c r="AL481" s="44">
        <v>82</v>
      </c>
      <c r="AM481" s="48"/>
      <c r="AN481" s="48"/>
      <c r="AO481" s="48"/>
      <c r="AP481" s="44">
        <v>88</v>
      </c>
      <c r="AQ481" s="44">
        <v>497</v>
      </c>
      <c r="AR481" s="51"/>
      <c r="AS481" s="51"/>
      <c r="AT481" s="51"/>
      <c r="AU481" s="51"/>
      <c r="AV481" s="43">
        <v>465</v>
      </c>
      <c r="AW481" s="50"/>
      <c r="AX481" s="50"/>
      <c r="AY481" s="50"/>
      <c r="AZ481" s="50"/>
      <c r="BA481" s="50"/>
      <c r="BB481" s="50"/>
      <c r="BC481" s="50"/>
      <c r="BD481" s="50"/>
      <c r="BE481" s="43">
        <v>410</v>
      </c>
      <c r="BF481" s="43">
        <v>182</v>
      </c>
      <c r="BG481" s="43">
        <v>481</v>
      </c>
      <c r="BH481" s="43">
        <v>115</v>
      </c>
      <c r="BI481" s="43">
        <v>511</v>
      </c>
      <c r="BJ481" s="43">
        <v>82</v>
      </c>
      <c r="BK481" s="43">
        <v>113</v>
      </c>
      <c r="BL481" s="43">
        <v>479</v>
      </c>
      <c r="BM481" s="43">
        <v>301</v>
      </c>
      <c r="BN481" s="43">
        <v>284</v>
      </c>
      <c r="BO481" s="43">
        <v>88</v>
      </c>
      <c r="BP481" s="43">
        <v>490</v>
      </c>
      <c r="BQ481" s="43">
        <v>529</v>
      </c>
      <c r="BR481" s="43">
        <v>56</v>
      </c>
      <c r="BS481" s="43">
        <v>488</v>
      </c>
      <c r="BT481" s="43">
        <v>329</v>
      </c>
      <c r="BU481" s="43">
        <v>243</v>
      </c>
      <c r="BV481" s="43">
        <v>403</v>
      </c>
      <c r="BW481" s="43">
        <v>328</v>
      </c>
      <c r="BX481" s="43">
        <v>152</v>
      </c>
      <c r="BY481" s="43">
        <v>433</v>
      </c>
      <c r="BZ481" s="43">
        <v>84</v>
      </c>
      <c r="CA481" s="43">
        <v>371</v>
      </c>
      <c r="CB481" s="43">
        <v>369</v>
      </c>
      <c r="CC481" s="43">
        <v>81</v>
      </c>
      <c r="CD481" s="43">
        <v>326</v>
      </c>
      <c r="CE481" s="43">
        <v>75</v>
      </c>
      <c r="CF481" s="43">
        <v>472</v>
      </c>
      <c r="CG481" s="43">
        <v>382</v>
      </c>
      <c r="CH481" s="43">
        <v>74</v>
      </c>
      <c r="CI481" s="43">
        <v>43</v>
      </c>
      <c r="CJ481" s="43">
        <v>417</v>
      </c>
      <c r="CK481" s="43">
        <v>346</v>
      </c>
      <c r="CL481" s="43">
        <v>126</v>
      </c>
      <c r="CM481" s="43">
        <v>372</v>
      </c>
      <c r="CN481" s="43">
        <v>344</v>
      </c>
      <c r="CO481" s="43">
        <v>81</v>
      </c>
      <c r="CP481" s="43">
        <v>371</v>
      </c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43">
        <v>439</v>
      </c>
      <c r="ER481" s="43">
        <v>161</v>
      </c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43">
        <v>423</v>
      </c>
      <c r="FJ481" s="43">
        <v>169</v>
      </c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44"/>
      <c r="GA481" s="53"/>
      <c r="GB481" s="53"/>
      <c r="GC481" s="53"/>
      <c r="GD481" s="53"/>
      <c r="GE481" s="53"/>
      <c r="GF481" s="53"/>
      <c r="GG481" s="53"/>
      <c r="GH481" s="53"/>
      <c r="GI481" s="43"/>
      <c r="GJ481" s="43"/>
      <c r="GK481" s="43"/>
      <c r="GL481" s="43"/>
      <c r="GM481" s="53"/>
      <c r="GN481" s="53"/>
      <c r="GO481" s="43">
        <v>410</v>
      </c>
      <c r="GP481" s="43">
        <v>186</v>
      </c>
      <c r="GQ481" s="43">
        <v>421</v>
      </c>
      <c r="GR481" s="43">
        <v>176</v>
      </c>
    </row>
    <row r="482" spans="1:200">
      <c r="A482" s="8">
        <v>8301</v>
      </c>
      <c r="B482" s="1" t="s">
        <v>610</v>
      </c>
      <c r="C482" s="33">
        <v>1277</v>
      </c>
      <c r="D482" s="34">
        <v>1079</v>
      </c>
      <c r="E482" s="19">
        <f t="shared" si="7"/>
        <v>0.84494909945184027</v>
      </c>
      <c r="F482" s="62">
        <v>199</v>
      </c>
      <c r="G482" s="43">
        <v>2</v>
      </c>
      <c r="H482" s="43">
        <v>45</v>
      </c>
      <c r="I482" s="43">
        <v>5</v>
      </c>
      <c r="J482" s="55">
        <v>800</v>
      </c>
      <c r="K482" s="6">
        <v>0</v>
      </c>
      <c r="L482" s="6">
        <v>0</v>
      </c>
      <c r="M482" s="43">
        <v>0</v>
      </c>
      <c r="N482" s="25">
        <v>0</v>
      </c>
      <c r="O482" s="43">
        <v>0</v>
      </c>
      <c r="P482" s="43">
        <v>0</v>
      </c>
      <c r="Q482" s="43">
        <v>0</v>
      </c>
      <c r="R482" s="43">
        <v>0</v>
      </c>
      <c r="S482" s="43">
        <v>0</v>
      </c>
      <c r="T482" s="43">
        <v>0</v>
      </c>
      <c r="U482" s="43">
        <v>0</v>
      </c>
      <c r="V482" s="43">
        <v>0</v>
      </c>
      <c r="W482" s="43">
        <v>7</v>
      </c>
      <c r="X482" s="43">
        <v>0</v>
      </c>
      <c r="Y482" s="43">
        <v>0</v>
      </c>
      <c r="Z482" s="43">
        <v>0</v>
      </c>
      <c r="AA482" s="44">
        <v>0</v>
      </c>
      <c r="AB482" s="44">
        <v>0</v>
      </c>
      <c r="AC482" s="44">
        <v>9</v>
      </c>
      <c r="AD482" s="44">
        <v>11</v>
      </c>
      <c r="AE482" s="44">
        <v>860</v>
      </c>
      <c r="AF482" s="44">
        <v>20</v>
      </c>
      <c r="AG482" s="44">
        <v>0</v>
      </c>
      <c r="AH482" s="44">
        <v>122</v>
      </c>
      <c r="AI482" s="44">
        <v>874</v>
      </c>
      <c r="AJ482" s="44">
        <v>0</v>
      </c>
      <c r="AK482" s="44">
        <v>0</v>
      </c>
      <c r="AL482" s="44">
        <v>170</v>
      </c>
      <c r="AM482" s="48"/>
      <c r="AN482" s="48"/>
      <c r="AO482" s="48"/>
      <c r="AP482" s="44">
        <v>160</v>
      </c>
      <c r="AQ482" s="44">
        <v>816</v>
      </c>
      <c r="AR482" s="51"/>
      <c r="AS482" s="51"/>
      <c r="AT482" s="51"/>
      <c r="AU482" s="51"/>
      <c r="AV482" s="43">
        <v>746</v>
      </c>
      <c r="AW482" s="50"/>
      <c r="AX482" s="50"/>
      <c r="AY482" s="50"/>
      <c r="AZ482" s="50"/>
      <c r="BA482" s="50"/>
      <c r="BB482" s="50"/>
      <c r="BC482" s="50"/>
      <c r="BD482" s="50"/>
      <c r="BE482" s="43">
        <v>659</v>
      </c>
      <c r="BF482" s="43">
        <v>313</v>
      </c>
      <c r="BG482" s="43">
        <v>788</v>
      </c>
      <c r="BH482" s="43">
        <v>214</v>
      </c>
      <c r="BI482" s="43">
        <v>807</v>
      </c>
      <c r="BJ482" s="43">
        <v>167</v>
      </c>
      <c r="BK482" s="43">
        <v>242</v>
      </c>
      <c r="BL482" s="43">
        <v>747</v>
      </c>
      <c r="BM482" s="43">
        <v>526</v>
      </c>
      <c r="BN482" s="43">
        <v>456</v>
      </c>
      <c r="BO482" s="43">
        <v>185</v>
      </c>
      <c r="BP482" s="43">
        <v>762</v>
      </c>
      <c r="BQ482" s="43">
        <v>842</v>
      </c>
      <c r="BR482" s="43">
        <v>125</v>
      </c>
      <c r="BS482" s="43">
        <v>765</v>
      </c>
      <c r="BT482" s="43">
        <v>578</v>
      </c>
      <c r="BU482" s="43">
        <v>358</v>
      </c>
      <c r="BV482" s="43">
        <v>673</v>
      </c>
      <c r="BW482" s="43">
        <v>523</v>
      </c>
      <c r="BX482" s="43">
        <v>225</v>
      </c>
      <c r="BY482" s="43">
        <v>668</v>
      </c>
      <c r="BZ482" s="43">
        <v>173</v>
      </c>
      <c r="CA482" s="43">
        <v>609</v>
      </c>
      <c r="CB482" s="43">
        <v>581</v>
      </c>
      <c r="CC482" s="43">
        <v>160</v>
      </c>
      <c r="CD482" s="43">
        <v>559</v>
      </c>
      <c r="CE482" s="43">
        <v>167</v>
      </c>
      <c r="CF482" s="43">
        <v>702</v>
      </c>
      <c r="CG482" s="43">
        <v>575</v>
      </c>
      <c r="CH482" s="43">
        <v>156</v>
      </c>
      <c r="CI482" s="43">
        <v>136</v>
      </c>
      <c r="CJ482" s="43">
        <v>625</v>
      </c>
      <c r="CK482" s="43">
        <v>560</v>
      </c>
      <c r="CL482" s="43">
        <v>201</v>
      </c>
      <c r="CM482" s="43">
        <v>594</v>
      </c>
      <c r="CN482" s="43">
        <v>573</v>
      </c>
      <c r="CO482" s="43">
        <v>186</v>
      </c>
      <c r="CP482" s="43">
        <v>550</v>
      </c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43">
        <v>691</v>
      </c>
      <c r="FJ482" s="43">
        <v>310</v>
      </c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44"/>
      <c r="GA482" s="53"/>
      <c r="GB482" s="53"/>
      <c r="GC482" s="53"/>
      <c r="GD482" s="53"/>
      <c r="GE482" s="53"/>
      <c r="GF482" s="53"/>
      <c r="GG482" s="53"/>
      <c r="GH482" s="53"/>
      <c r="GI482" s="43"/>
      <c r="GJ482" s="43"/>
      <c r="GK482" s="43"/>
      <c r="GL482" s="43"/>
      <c r="GM482" s="53"/>
      <c r="GN482" s="53"/>
      <c r="GO482" s="43">
        <v>687</v>
      </c>
      <c r="GP482" s="43">
        <v>337</v>
      </c>
      <c r="GQ482" s="43">
        <v>679</v>
      </c>
      <c r="GR482" s="43">
        <v>334</v>
      </c>
    </row>
    <row r="483" spans="1:200">
      <c r="A483" s="8">
        <v>8302</v>
      </c>
      <c r="B483" s="1" t="s">
        <v>611</v>
      </c>
      <c r="C483" s="33">
        <v>1428</v>
      </c>
      <c r="D483" s="34">
        <v>1229</v>
      </c>
      <c r="E483" s="19">
        <f t="shared" si="7"/>
        <v>0.86064425770308128</v>
      </c>
      <c r="F483" s="62">
        <v>177</v>
      </c>
      <c r="G483" s="43">
        <v>5</v>
      </c>
      <c r="H483" s="43">
        <v>40</v>
      </c>
      <c r="I483" s="43">
        <v>4</v>
      </c>
      <c r="J483" s="55">
        <v>973</v>
      </c>
      <c r="K483" s="6">
        <v>0</v>
      </c>
      <c r="L483" s="6">
        <v>0</v>
      </c>
      <c r="M483" s="43">
        <v>0</v>
      </c>
      <c r="N483" s="25">
        <v>0</v>
      </c>
      <c r="O483" s="43">
        <v>0</v>
      </c>
      <c r="P483" s="43">
        <v>0</v>
      </c>
      <c r="Q483" s="43">
        <v>0</v>
      </c>
      <c r="R483" s="43">
        <v>0</v>
      </c>
      <c r="S483" s="43">
        <v>0</v>
      </c>
      <c r="T483" s="43">
        <v>0</v>
      </c>
      <c r="U483" s="43">
        <v>0</v>
      </c>
      <c r="V483" s="43">
        <v>0</v>
      </c>
      <c r="W483" s="43">
        <v>0</v>
      </c>
      <c r="X483" s="43">
        <v>0</v>
      </c>
      <c r="Y483" s="43">
        <v>0</v>
      </c>
      <c r="Z483" s="43">
        <v>0</v>
      </c>
      <c r="AA483" s="44">
        <v>0</v>
      </c>
      <c r="AB483" s="44">
        <v>0</v>
      </c>
      <c r="AC483" s="44">
        <v>17</v>
      </c>
      <c r="AD483" s="44">
        <v>5</v>
      </c>
      <c r="AE483" s="44">
        <v>1060</v>
      </c>
      <c r="AF483" s="44">
        <v>8</v>
      </c>
      <c r="AG483" s="44">
        <v>0</v>
      </c>
      <c r="AH483" s="44">
        <v>96</v>
      </c>
      <c r="AI483" s="44">
        <v>1065</v>
      </c>
      <c r="AJ483" s="44">
        <v>0</v>
      </c>
      <c r="AK483" s="44">
        <v>0</v>
      </c>
      <c r="AL483" s="44">
        <v>133</v>
      </c>
      <c r="AM483" s="48"/>
      <c r="AN483" s="48"/>
      <c r="AO483" s="48"/>
      <c r="AP483" s="44">
        <v>148</v>
      </c>
      <c r="AQ483" s="44">
        <v>988</v>
      </c>
      <c r="AR483" s="51"/>
      <c r="AS483" s="51"/>
      <c r="AT483" s="51"/>
      <c r="AU483" s="51"/>
      <c r="AV483" s="43">
        <v>901</v>
      </c>
      <c r="AW483" s="50"/>
      <c r="AX483" s="50"/>
      <c r="AY483" s="50"/>
      <c r="AZ483" s="50"/>
      <c r="BA483" s="50"/>
      <c r="BB483" s="50"/>
      <c r="BC483" s="50"/>
      <c r="BD483" s="50"/>
      <c r="BE483" s="43">
        <v>829</v>
      </c>
      <c r="BF483" s="43">
        <v>319</v>
      </c>
      <c r="BG483" s="43">
        <v>974</v>
      </c>
      <c r="BH483" s="43">
        <v>179</v>
      </c>
      <c r="BI483" s="43">
        <v>983</v>
      </c>
      <c r="BJ483" s="43">
        <v>166</v>
      </c>
      <c r="BK483" s="43">
        <v>194</v>
      </c>
      <c r="BL483" s="43">
        <v>963</v>
      </c>
      <c r="BM483" s="43">
        <v>657</v>
      </c>
      <c r="BN483" s="43">
        <v>505</v>
      </c>
      <c r="BO483" s="43">
        <v>135</v>
      </c>
      <c r="BP483" s="43">
        <v>984</v>
      </c>
      <c r="BQ483" s="43">
        <v>1041</v>
      </c>
      <c r="BR483" s="43">
        <v>98</v>
      </c>
      <c r="BS483" s="43">
        <v>929</v>
      </c>
      <c r="BT483" s="43">
        <v>717</v>
      </c>
      <c r="BU483" s="43">
        <v>391</v>
      </c>
      <c r="BV483" s="43">
        <v>809</v>
      </c>
      <c r="BW483" s="43">
        <v>635</v>
      </c>
      <c r="BX483" s="43">
        <v>270</v>
      </c>
      <c r="BY483" s="43">
        <v>840</v>
      </c>
      <c r="BZ483" s="43">
        <v>157</v>
      </c>
      <c r="CA483" s="43">
        <v>734</v>
      </c>
      <c r="CB483" s="43">
        <v>729</v>
      </c>
      <c r="CC483" s="43">
        <v>144</v>
      </c>
      <c r="CD483" s="43">
        <v>656</v>
      </c>
      <c r="CE483" s="43">
        <v>121</v>
      </c>
      <c r="CF483" s="43">
        <v>915</v>
      </c>
      <c r="CG483" s="43">
        <v>676</v>
      </c>
      <c r="CH483" s="43">
        <v>167</v>
      </c>
      <c r="CI483" s="43">
        <v>105</v>
      </c>
      <c r="CJ483" s="43">
        <v>801</v>
      </c>
      <c r="CK483" s="43">
        <v>722</v>
      </c>
      <c r="CL483" s="43">
        <v>199</v>
      </c>
      <c r="CM483" s="43">
        <v>714</v>
      </c>
      <c r="CN483" s="43">
        <v>691</v>
      </c>
      <c r="CO483" s="43">
        <v>161</v>
      </c>
      <c r="CP483" s="43">
        <v>739</v>
      </c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43">
        <v>802</v>
      </c>
      <c r="FJ483" s="43">
        <v>372</v>
      </c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44"/>
      <c r="GA483" s="53"/>
      <c r="GB483" s="53"/>
      <c r="GC483" s="53"/>
      <c r="GD483" s="53"/>
      <c r="GE483" s="53"/>
      <c r="GF483" s="53"/>
      <c r="GG483" s="53"/>
      <c r="GH483" s="53"/>
      <c r="GI483" s="43"/>
      <c r="GJ483" s="43"/>
      <c r="GK483" s="43"/>
      <c r="GL483" s="43"/>
      <c r="GM483" s="53"/>
      <c r="GN483" s="53"/>
      <c r="GO483" s="43">
        <v>804</v>
      </c>
      <c r="GP483" s="43">
        <v>394</v>
      </c>
      <c r="GQ483" s="43">
        <v>748</v>
      </c>
      <c r="GR483" s="43">
        <v>434</v>
      </c>
    </row>
    <row r="484" spans="1:200">
      <c r="A484" s="8">
        <v>8303</v>
      </c>
      <c r="B484" s="1" t="s">
        <v>612</v>
      </c>
      <c r="C484" s="33">
        <v>1250</v>
      </c>
      <c r="D484" s="34">
        <v>935</v>
      </c>
      <c r="E484" s="19">
        <f t="shared" si="7"/>
        <v>0.748</v>
      </c>
      <c r="F484" s="62">
        <v>182</v>
      </c>
      <c r="G484" s="43">
        <v>8</v>
      </c>
      <c r="H484" s="43">
        <v>26</v>
      </c>
      <c r="I484" s="43">
        <v>3</v>
      </c>
      <c r="J484" s="55">
        <v>693</v>
      </c>
      <c r="K484" s="6">
        <v>0</v>
      </c>
      <c r="L484" s="6">
        <v>0</v>
      </c>
      <c r="M484" s="43">
        <v>2</v>
      </c>
      <c r="N484" s="25">
        <v>0</v>
      </c>
      <c r="O484" s="43">
        <v>0</v>
      </c>
      <c r="P484" s="43">
        <v>0</v>
      </c>
      <c r="Q484" s="43">
        <v>0</v>
      </c>
      <c r="R484" s="43">
        <v>0</v>
      </c>
      <c r="S484" s="43">
        <v>0</v>
      </c>
      <c r="T484" s="43">
        <v>0</v>
      </c>
      <c r="U484" s="43">
        <v>0</v>
      </c>
      <c r="V484" s="43">
        <v>0</v>
      </c>
      <c r="W484" s="43">
        <v>3</v>
      </c>
      <c r="X484" s="43">
        <v>0</v>
      </c>
      <c r="Y484" s="43">
        <v>0</v>
      </c>
      <c r="Z484" s="43">
        <v>0</v>
      </c>
      <c r="AA484" s="44">
        <v>0</v>
      </c>
      <c r="AB484" s="44">
        <v>0</v>
      </c>
      <c r="AC484" s="44">
        <v>14</v>
      </c>
      <c r="AD484" s="44">
        <v>18</v>
      </c>
      <c r="AE484" s="44">
        <v>716</v>
      </c>
      <c r="AF484" s="44">
        <v>6</v>
      </c>
      <c r="AG484" s="44">
        <v>0</v>
      </c>
      <c r="AH484" s="44">
        <v>144</v>
      </c>
      <c r="AI484" s="44">
        <v>741</v>
      </c>
      <c r="AJ484" s="44">
        <v>0</v>
      </c>
      <c r="AK484" s="44">
        <v>0</v>
      </c>
      <c r="AL484" s="44">
        <v>162</v>
      </c>
      <c r="AM484" s="48"/>
      <c r="AN484" s="48"/>
      <c r="AO484" s="48"/>
      <c r="AP484" s="44">
        <v>182</v>
      </c>
      <c r="AQ484" s="44">
        <v>669</v>
      </c>
      <c r="AR484" s="51"/>
      <c r="AS484" s="51"/>
      <c r="AT484" s="51"/>
      <c r="AU484" s="51"/>
      <c r="AV484" s="43">
        <v>661</v>
      </c>
      <c r="AW484" s="50"/>
      <c r="AX484" s="50"/>
      <c r="AY484" s="50"/>
      <c r="AZ484" s="50"/>
      <c r="BA484" s="50"/>
      <c r="BB484" s="50"/>
      <c r="BC484" s="50"/>
      <c r="BD484" s="50"/>
      <c r="BE484" s="43">
        <v>563</v>
      </c>
      <c r="BF484" s="43">
        <v>289</v>
      </c>
      <c r="BG484" s="43">
        <v>692</v>
      </c>
      <c r="BH484" s="43">
        <v>185</v>
      </c>
      <c r="BI484" s="43">
        <v>709</v>
      </c>
      <c r="BJ484" s="43">
        <v>153</v>
      </c>
      <c r="BK484" s="43">
        <v>204</v>
      </c>
      <c r="BL484" s="43">
        <v>663</v>
      </c>
      <c r="BM484" s="43">
        <v>458</v>
      </c>
      <c r="BN484" s="43">
        <v>412</v>
      </c>
      <c r="BO484" s="43">
        <v>165</v>
      </c>
      <c r="BP484" s="43">
        <v>676</v>
      </c>
      <c r="BQ484" s="43">
        <v>715</v>
      </c>
      <c r="BR484" s="43">
        <v>141</v>
      </c>
      <c r="BS484" s="43">
        <v>657</v>
      </c>
      <c r="BT484" s="43">
        <v>514</v>
      </c>
      <c r="BU484" s="43">
        <v>311</v>
      </c>
      <c r="BV484" s="43">
        <v>579</v>
      </c>
      <c r="BW484" s="43">
        <v>461</v>
      </c>
      <c r="BX484" s="43">
        <v>216</v>
      </c>
      <c r="BY484" s="43">
        <v>605</v>
      </c>
      <c r="BZ484" s="43">
        <v>151</v>
      </c>
      <c r="CA484" s="43">
        <v>527</v>
      </c>
      <c r="CB484" s="43">
        <v>526</v>
      </c>
      <c r="CC484" s="43">
        <v>146</v>
      </c>
      <c r="CD484" s="43">
        <v>478</v>
      </c>
      <c r="CE484" s="43">
        <v>157</v>
      </c>
      <c r="CF484" s="43">
        <v>599</v>
      </c>
      <c r="CG484" s="43">
        <v>478</v>
      </c>
      <c r="CH484" s="43">
        <v>165</v>
      </c>
      <c r="CI484" s="43">
        <v>127</v>
      </c>
      <c r="CJ484" s="43">
        <v>536</v>
      </c>
      <c r="CK484" s="43">
        <v>484</v>
      </c>
      <c r="CL484" s="43">
        <v>186</v>
      </c>
      <c r="CM484" s="43">
        <v>527</v>
      </c>
      <c r="CN484" s="43">
        <v>505</v>
      </c>
      <c r="CO484" s="43">
        <v>182</v>
      </c>
      <c r="CP484" s="43">
        <v>476</v>
      </c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43">
        <v>529</v>
      </c>
      <c r="FJ484" s="43">
        <v>348</v>
      </c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44"/>
      <c r="GA484" s="53"/>
      <c r="GB484" s="53"/>
      <c r="GC484" s="53"/>
      <c r="GD484" s="53"/>
      <c r="GE484" s="53"/>
      <c r="GF484" s="53"/>
      <c r="GG484" s="53"/>
      <c r="GH484" s="53"/>
      <c r="GI484" s="43"/>
      <c r="GJ484" s="43"/>
      <c r="GK484" s="43"/>
      <c r="GL484" s="43"/>
      <c r="GM484" s="53"/>
      <c r="GN484" s="53"/>
      <c r="GO484" s="43">
        <v>600</v>
      </c>
      <c r="GP484" s="43">
        <v>301</v>
      </c>
      <c r="GQ484" s="43">
        <v>530</v>
      </c>
      <c r="GR484" s="43">
        <v>357</v>
      </c>
    </row>
    <row r="485" spans="1:200">
      <c r="A485" s="8">
        <v>8304</v>
      </c>
      <c r="B485" s="1" t="s">
        <v>613</v>
      </c>
      <c r="C485" s="33">
        <v>1270</v>
      </c>
      <c r="D485" s="34">
        <v>1087</v>
      </c>
      <c r="E485" s="19">
        <f t="shared" si="7"/>
        <v>0.85590551181102359</v>
      </c>
      <c r="F485" s="62">
        <v>203</v>
      </c>
      <c r="G485" s="43">
        <v>0</v>
      </c>
      <c r="H485" s="43">
        <v>25</v>
      </c>
      <c r="I485" s="43">
        <v>3</v>
      </c>
      <c r="J485" s="55">
        <v>833</v>
      </c>
      <c r="K485" s="6">
        <v>0</v>
      </c>
      <c r="L485" s="6">
        <v>0</v>
      </c>
      <c r="M485" s="43">
        <v>0</v>
      </c>
      <c r="N485" s="25">
        <v>0</v>
      </c>
      <c r="O485" s="43">
        <v>0</v>
      </c>
      <c r="P485" s="43">
        <v>0</v>
      </c>
      <c r="Q485" s="43">
        <v>0</v>
      </c>
      <c r="R485" s="43">
        <v>0</v>
      </c>
      <c r="S485" s="43">
        <v>0</v>
      </c>
      <c r="T485" s="43">
        <v>0</v>
      </c>
      <c r="U485" s="43">
        <v>0</v>
      </c>
      <c r="V485" s="43">
        <v>0</v>
      </c>
      <c r="W485" s="43">
        <v>2</v>
      </c>
      <c r="X485" s="43">
        <v>0</v>
      </c>
      <c r="Y485" s="43">
        <v>0</v>
      </c>
      <c r="Z485" s="43">
        <v>0</v>
      </c>
      <c r="AA485" s="44">
        <v>0</v>
      </c>
      <c r="AB485" s="44">
        <v>0</v>
      </c>
      <c r="AC485" s="44">
        <v>9</v>
      </c>
      <c r="AD485" s="44">
        <v>10</v>
      </c>
      <c r="AE485" s="44">
        <v>885</v>
      </c>
      <c r="AF485" s="44">
        <v>13</v>
      </c>
      <c r="AG485" s="44">
        <v>0</v>
      </c>
      <c r="AH485" s="44">
        <v>127</v>
      </c>
      <c r="AI485" s="44">
        <v>887</v>
      </c>
      <c r="AJ485" s="44">
        <v>0</v>
      </c>
      <c r="AK485" s="44">
        <v>0</v>
      </c>
      <c r="AL485" s="44">
        <v>157</v>
      </c>
      <c r="AM485" s="48"/>
      <c r="AN485" s="48"/>
      <c r="AO485" s="48"/>
      <c r="AP485" s="44">
        <v>186</v>
      </c>
      <c r="AQ485" s="44">
        <v>797</v>
      </c>
      <c r="AR485" s="51"/>
      <c r="AS485" s="51"/>
      <c r="AT485" s="51"/>
      <c r="AU485" s="51"/>
      <c r="AV485" s="43">
        <v>765</v>
      </c>
      <c r="AW485" s="50"/>
      <c r="AX485" s="50"/>
      <c r="AY485" s="50"/>
      <c r="AZ485" s="50"/>
      <c r="BA485" s="50"/>
      <c r="BB485" s="50"/>
      <c r="BC485" s="50"/>
      <c r="BD485" s="50"/>
      <c r="BE485" s="43">
        <v>656</v>
      </c>
      <c r="BF485" s="43">
        <v>353</v>
      </c>
      <c r="BG485" s="43">
        <v>818</v>
      </c>
      <c r="BH485" s="43">
        <v>202</v>
      </c>
      <c r="BI485" s="43">
        <v>818</v>
      </c>
      <c r="BJ485" s="43">
        <v>178</v>
      </c>
      <c r="BK485" s="43">
        <v>228</v>
      </c>
      <c r="BL485" s="43">
        <v>788</v>
      </c>
      <c r="BM485" s="43">
        <v>536</v>
      </c>
      <c r="BN485" s="43">
        <v>469</v>
      </c>
      <c r="BO485" s="43">
        <v>181</v>
      </c>
      <c r="BP485" s="43">
        <v>792</v>
      </c>
      <c r="BQ485" s="43">
        <v>872</v>
      </c>
      <c r="BR485" s="43">
        <v>119</v>
      </c>
      <c r="BS485" s="43">
        <v>777</v>
      </c>
      <c r="BT485" s="43">
        <v>565</v>
      </c>
      <c r="BU485" s="43">
        <v>381</v>
      </c>
      <c r="BV485" s="43">
        <v>677</v>
      </c>
      <c r="BW485" s="43">
        <v>502</v>
      </c>
      <c r="BX485" s="43">
        <v>257</v>
      </c>
      <c r="BY485" s="43">
        <v>710</v>
      </c>
      <c r="BZ485" s="43">
        <v>149</v>
      </c>
      <c r="CA485" s="43">
        <v>607</v>
      </c>
      <c r="CB485" s="43">
        <v>574</v>
      </c>
      <c r="CC485" s="43">
        <v>169</v>
      </c>
      <c r="CD485" s="43">
        <v>546</v>
      </c>
      <c r="CE485" s="43">
        <v>146</v>
      </c>
      <c r="CF485" s="43">
        <v>737</v>
      </c>
      <c r="CG485" s="43">
        <v>584</v>
      </c>
      <c r="CH485" s="43">
        <v>149</v>
      </c>
      <c r="CI485" s="43">
        <v>82</v>
      </c>
      <c r="CJ485" s="43">
        <v>681</v>
      </c>
      <c r="CK485" s="43">
        <v>555</v>
      </c>
      <c r="CL485" s="43">
        <v>216</v>
      </c>
      <c r="CM485" s="43">
        <v>593</v>
      </c>
      <c r="CN485" s="43">
        <v>578</v>
      </c>
      <c r="CO485" s="43">
        <v>130</v>
      </c>
      <c r="CP485" s="43">
        <v>618</v>
      </c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43">
        <v>710</v>
      </c>
      <c r="FJ485" s="43">
        <v>291</v>
      </c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44"/>
      <c r="GA485" s="53"/>
      <c r="GB485" s="53"/>
      <c r="GC485" s="53"/>
      <c r="GD485" s="53"/>
      <c r="GE485" s="53"/>
      <c r="GF485" s="53"/>
      <c r="GG485" s="53"/>
      <c r="GH485" s="53"/>
      <c r="GI485" s="43"/>
      <c r="GJ485" s="43"/>
      <c r="GK485" s="43"/>
      <c r="GL485" s="43"/>
      <c r="GM485" s="53"/>
      <c r="GN485" s="53"/>
      <c r="GO485" s="43">
        <v>676</v>
      </c>
      <c r="GP485" s="43">
        <v>347</v>
      </c>
      <c r="GQ485" s="43">
        <v>648</v>
      </c>
      <c r="GR485" s="43">
        <v>355</v>
      </c>
    </row>
    <row r="486" spans="1:200">
      <c r="A486" s="8">
        <v>8305</v>
      </c>
      <c r="B486" s="1" t="s">
        <v>614</v>
      </c>
      <c r="C486" s="33">
        <v>830</v>
      </c>
      <c r="D486" s="34">
        <v>722</v>
      </c>
      <c r="E486" s="19">
        <f t="shared" si="7"/>
        <v>0.86987951807228914</v>
      </c>
      <c r="F486" s="62">
        <v>128</v>
      </c>
      <c r="G486" s="43">
        <v>0</v>
      </c>
      <c r="H486" s="43">
        <v>18</v>
      </c>
      <c r="I486" s="43">
        <v>3</v>
      </c>
      <c r="J486" s="55">
        <v>554</v>
      </c>
      <c r="K486" s="6">
        <v>0</v>
      </c>
      <c r="L486" s="6">
        <v>0</v>
      </c>
      <c r="M486" s="43">
        <v>0</v>
      </c>
      <c r="N486" s="25">
        <v>0</v>
      </c>
      <c r="O486" s="43">
        <v>0</v>
      </c>
      <c r="P486" s="43">
        <v>0</v>
      </c>
      <c r="Q486" s="43">
        <v>0</v>
      </c>
      <c r="R486" s="43">
        <v>0</v>
      </c>
      <c r="S486" s="43">
        <v>0</v>
      </c>
      <c r="T486" s="43">
        <v>0</v>
      </c>
      <c r="U486" s="43">
        <v>0</v>
      </c>
      <c r="V486" s="43">
        <v>0</v>
      </c>
      <c r="W486" s="43">
        <v>2</v>
      </c>
      <c r="X486" s="43">
        <v>0</v>
      </c>
      <c r="Y486" s="43">
        <v>0</v>
      </c>
      <c r="Z486" s="43">
        <v>0</v>
      </c>
      <c r="AA486" s="44">
        <v>0</v>
      </c>
      <c r="AB486" s="44">
        <v>0</v>
      </c>
      <c r="AC486" s="44">
        <v>1</v>
      </c>
      <c r="AD486" s="44">
        <v>4</v>
      </c>
      <c r="AE486" s="44">
        <v>616</v>
      </c>
      <c r="AF486" s="44">
        <v>6</v>
      </c>
      <c r="AG486" s="44">
        <v>0</v>
      </c>
      <c r="AH486" s="44">
        <v>78</v>
      </c>
      <c r="AI486" s="44">
        <v>607</v>
      </c>
      <c r="AJ486" s="44">
        <v>0</v>
      </c>
      <c r="AK486" s="44">
        <v>0</v>
      </c>
      <c r="AL486" s="44">
        <v>99</v>
      </c>
      <c r="AM486" s="48"/>
      <c r="AN486" s="48"/>
      <c r="AO486" s="48"/>
      <c r="AP486" s="44">
        <v>99</v>
      </c>
      <c r="AQ486" s="44">
        <v>573</v>
      </c>
      <c r="AR486" s="51"/>
      <c r="AS486" s="51"/>
      <c r="AT486" s="51"/>
      <c r="AU486" s="51"/>
      <c r="AV486" s="43">
        <v>540</v>
      </c>
      <c r="AW486" s="50"/>
      <c r="AX486" s="50"/>
      <c r="AY486" s="50"/>
      <c r="AZ486" s="50"/>
      <c r="BA486" s="50"/>
      <c r="BB486" s="50"/>
      <c r="BC486" s="50"/>
      <c r="BD486" s="50"/>
      <c r="BE486" s="43">
        <v>465</v>
      </c>
      <c r="BF486" s="43">
        <v>207</v>
      </c>
      <c r="BG486" s="43">
        <v>552</v>
      </c>
      <c r="BH486" s="43">
        <v>141</v>
      </c>
      <c r="BI486" s="43">
        <v>568</v>
      </c>
      <c r="BJ486" s="43">
        <v>114</v>
      </c>
      <c r="BK486" s="43">
        <v>143</v>
      </c>
      <c r="BL486" s="43">
        <v>543</v>
      </c>
      <c r="BM486" s="43">
        <v>387</v>
      </c>
      <c r="BN486" s="43">
        <v>292</v>
      </c>
      <c r="BO486" s="43">
        <v>109</v>
      </c>
      <c r="BP486" s="43">
        <v>552</v>
      </c>
      <c r="BQ486" s="43">
        <v>603</v>
      </c>
      <c r="BR486" s="43">
        <v>71</v>
      </c>
      <c r="BS486" s="43">
        <v>552</v>
      </c>
      <c r="BT486" s="43">
        <v>387</v>
      </c>
      <c r="BU486" s="43">
        <v>278</v>
      </c>
      <c r="BV486" s="43">
        <v>496</v>
      </c>
      <c r="BW486" s="43">
        <v>454</v>
      </c>
      <c r="BX486" s="43">
        <v>107</v>
      </c>
      <c r="BY486" s="43">
        <v>524</v>
      </c>
      <c r="BZ486" s="43">
        <v>90</v>
      </c>
      <c r="CA486" s="43">
        <v>456</v>
      </c>
      <c r="CB486" s="43">
        <v>491</v>
      </c>
      <c r="CC486" s="43">
        <v>72</v>
      </c>
      <c r="CD486" s="43">
        <v>388</v>
      </c>
      <c r="CE486" s="43">
        <v>92</v>
      </c>
      <c r="CF486" s="43">
        <v>530</v>
      </c>
      <c r="CG486" s="43">
        <v>458</v>
      </c>
      <c r="CH486" s="43">
        <v>83</v>
      </c>
      <c r="CI486" s="43">
        <v>58</v>
      </c>
      <c r="CJ486" s="43">
        <v>499</v>
      </c>
      <c r="CK486" s="43">
        <v>458</v>
      </c>
      <c r="CL486" s="43">
        <v>86</v>
      </c>
      <c r="CM486" s="43">
        <v>453</v>
      </c>
      <c r="CN486" s="43">
        <v>436</v>
      </c>
      <c r="CO486" s="43">
        <v>95</v>
      </c>
      <c r="CP486" s="43">
        <v>440</v>
      </c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43">
        <v>462</v>
      </c>
      <c r="FJ486" s="43">
        <v>225</v>
      </c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44"/>
      <c r="GA486" s="53"/>
      <c r="GB486" s="53"/>
      <c r="GC486" s="53"/>
      <c r="GD486" s="53"/>
      <c r="GE486" s="53"/>
      <c r="GF486" s="53"/>
      <c r="GG486" s="53"/>
      <c r="GH486" s="53"/>
      <c r="GI486" s="43"/>
      <c r="GJ486" s="43"/>
      <c r="GK486" s="43"/>
      <c r="GL486" s="43"/>
      <c r="GM486" s="53"/>
      <c r="GN486" s="53"/>
      <c r="GO486" s="43">
        <v>470</v>
      </c>
      <c r="GP486" s="43">
        <v>223</v>
      </c>
      <c r="GQ486" s="43">
        <v>472</v>
      </c>
      <c r="GR486" s="43">
        <v>223</v>
      </c>
    </row>
    <row r="487" spans="1:200">
      <c r="A487" s="8">
        <v>8306</v>
      </c>
      <c r="B487" s="1" t="s">
        <v>615</v>
      </c>
      <c r="C487" s="33">
        <v>581</v>
      </c>
      <c r="D487" s="34">
        <v>465</v>
      </c>
      <c r="E487" s="19">
        <f t="shared" si="7"/>
        <v>0.80034423407917388</v>
      </c>
      <c r="F487" s="62">
        <v>91</v>
      </c>
      <c r="G487" s="43">
        <v>6</v>
      </c>
      <c r="H487" s="43">
        <v>11</v>
      </c>
      <c r="I487" s="43">
        <v>1</v>
      </c>
      <c r="J487" s="55">
        <v>347</v>
      </c>
      <c r="K487" s="6">
        <v>0</v>
      </c>
      <c r="L487" s="6">
        <v>0</v>
      </c>
      <c r="M487" s="43">
        <v>0</v>
      </c>
      <c r="N487" s="25">
        <v>0</v>
      </c>
      <c r="O487" s="43">
        <v>0</v>
      </c>
      <c r="P487" s="43">
        <v>0</v>
      </c>
      <c r="Q487" s="43">
        <v>0</v>
      </c>
      <c r="R487" s="43">
        <v>0</v>
      </c>
      <c r="S487" s="43">
        <v>0</v>
      </c>
      <c r="T487" s="43">
        <v>0</v>
      </c>
      <c r="U487" s="43">
        <v>0</v>
      </c>
      <c r="V487" s="43">
        <v>0</v>
      </c>
      <c r="W487" s="43">
        <v>0</v>
      </c>
      <c r="X487" s="43">
        <v>0</v>
      </c>
      <c r="Y487" s="43">
        <v>0</v>
      </c>
      <c r="Z487" s="43">
        <v>0</v>
      </c>
      <c r="AA487" s="44">
        <v>0</v>
      </c>
      <c r="AB487" s="44">
        <v>0</v>
      </c>
      <c r="AC487" s="44">
        <v>4</v>
      </c>
      <c r="AD487" s="44">
        <v>9</v>
      </c>
      <c r="AE487" s="44">
        <v>339</v>
      </c>
      <c r="AF487" s="44">
        <v>7</v>
      </c>
      <c r="AG487" s="44">
        <v>0</v>
      </c>
      <c r="AH487" s="44">
        <v>87</v>
      </c>
      <c r="AI487" s="44">
        <v>352</v>
      </c>
      <c r="AJ487" s="44">
        <v>0</v>
      </c>
      <c r="AK487" s="44">
        <v>0</v>
      </c>
      <c r="AL487" s="44">
        <v>92</v>
      </c>
      <c r="AM487" s="48"/>
      <c r="AN487" s="48"/>
      <c r="AO487" s="48"/>
      <c r="AP487" s="44">
        <v>105</v>
      </c>
      <c r="AQ487" s="44">
        <v>322</v>
      </c>
      <c r="AR487" s="51"/>
      <c r="AS487" s="51"/>
      <c r="AT487" s="51"/>
      <c r="AU487" s="51"/>
      <c r="AV487" s="43">
        <v>313</v>
      </c>
      <c r="AW487" s="50"/>
      <c r="AX487" s="50"/>
      <c r="AY487" s="50"/>
      <c r="AZ487" s="50"/>
      <c r="BA487" s="50"/>
      <c r="BB487" s="50"/>
      <c r="BC487" s="50"/>
      <c r="BD487" s="50"/>
      <c r="BE487" s="43">
        <v>264</v>
      </c>
      <c r="BF487" s="43">
        <v>169</v>
      </c>
      <c r="BG487" s="43">
        <v>327</v>
      </c>
      <c r="BH487" s="43">
        <v>119</v>
      </c>
      <c r="BI487" s="43">
        <v>326</v>
      </c>
      <c r="BJ487" s="43">
        <v>102</v>
      </c>
      <c r="BK487" s="43">
        <v>114</v>
      </c>
      <c r="BL487" s="43">
        <v>308</v>
      </c>
      <c r="BM487" s="43">
        <v>226</v>
      </c>
      <c r="BN487" s="43">
        <v>211</v>
      </c>
      <c r="BO487" s="43">
        <v>108</v>
      </c>
      <c r="BP487" s="43">
        <v>315</v>
      </c>
      <c r="BQ487" s="43">
        <v>332</v>
      </c>
      <c r="BR487" s="43">
        <v>92</v>
      </c>
      <c r="BS487" s="43">
        <v>330</v>
      </c>
      <c r="BT487" s="43">
        <v>246</v>
      </c>
      <c r="BU487" s="43">
        <v>163</v>
      </c>
      <c r="BV487" s="43">
        <v>292</v>
      </c>
      <c r="BW487" s="43">
        <v>197</v>
      </c>
      <c r="BX487" s="43">
        <v>143</v>
      </c>
      <c r="BY487" s="43">
        <v>269</v>
      </c>
      <c r="BZ487" s="43">
        <v>101</v>
      </c>
      <c r="CA487" s="43">
        <v>268</v>
      </c>
      <c r="CB487" s="43">
        <v>222</v>
      </c>
      <c r="CC487" s="43">
        <v>103</v>
      </c>
      <c r="CD487" s="43">
        <v>249</v>
      </c>
      <c r="CE487" s="43">
        <v>93</v>
      </c>
      <c r="CF487" s="43">
        <v>290</v>
      </c>
      <c r="CG487" s="43">
        <v>222</v>
      </c>
      <c r="CH487" s="43">
        <v>104</v>
      </c>
      <c r="CI487" s="43">
        <v>75</v>
      </c>
      <c r="CJ487" s="43">
        <v>257</v>
      </c>
      <c r="CK487" s="43">
        <v>244</v>
      </c>
      <c r="CL487" s="43">
        <v>102</v>
      </c>
      <c r="CM487" s="43">
        <v>254</v>
      </c>
      <c r="CN487" s="43">
        <v>250</v>
      </c>
      <c r="CO487" s="43">
        <v>90</v>
      </c>
      <c r="CP487" s="43">
        <v>233</v>
      </c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43">
        <v>269</v>
      </c>
      <c r="FJ487" s="43">
        <v>169</v>
      </c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44"/>
      <c r="GA487" s="53"/>
      <c r="GB487" s="53"/>
      <c r="GC487" s="53"/>
      <c r="GD487" s="53"/>
      <c r="GE487" s="53"/>
      <c r="GF487" s="53"/>
      <c r="GG487" s="53"/>
      <c r="GH487" s="53"/>
      <c r="GI487" s="43"/>
      <c r="GJ487" s="43"/>
      <c r="GK487" s="43"/>
      <c r="GL487" s="43"/>
      <c r="GM487" s="53"/>
      <c r="GN487" s="53"/>
      <c r="GO487" s="43">
        <v>268</v>
      </c>
      <c r="GP487" s="43">
        <v>181</v>
      </c>
      <c r="GQ487" s="43">
        <v>249</v>
      </c>
      <c r="GR487" s="43">
        <v>193</v>
      </c>
    </row>
    <row r="488" spans="1:200">
      <c r="A488" s="8">
        <v>8307</v>
      </c>
      <c r="B488" s="1" t="s">
        <v>616</v>
      </c>
      <c r="C488" s="33">
        <v>884</v>
      </c>
      <c r="D488" s="34">
        <v>744</v>
      </c>
      <c r="E488" s="19">
        <f t="shared" si="7"/>
        <v>0.84162895927601811</v>
      </c>
      <c r="F488" s="62">
        <v>155</v>
      </c>
      <c r="G488" s="43">
        <v>6</v>
      </c>
      <c r="H488" s="43">
        <v>31</v>
      </c>
      <c r="I488" s="43">
        <v>8</v>
      </c>
      <c r="J488" s="55">
        <v>528</v>
      </c>
      <c r="K488" s="6">
        <v>0</v>
      </c>
      <c r="L488" s="6">
        <v>0</v>
      </c>
      <c r="M488" s="43">
        <v>0</v>
      </c>
      <c r="N488" s="25">
        <v>0</v>
      </c>
      <c r="O488" s="43">
        <v>0</v>
      </c>
      <c r="P488" s="43">
        <v>1</v>
      </c>
      <c r="Q488" s="43">
        <v>0</v>
      </c>
      <c r="R488" s="43">
        <v>0</v>
      </c>
      <c r="S488" s="43">
        <v>0</v>
      </c>
      <c r="T488" s="43">
        <v>0</v>
      </c>
      <c r="U488" s="43">
        <v>0</v>
      </c>
      <c r="V488" s="43">
        <v>0</v>
      </c>
      <c r="W488" s="43">
        <v>2</v>
      </c>
      <c r="X488" s="43">
        <v>0</v>
      </c>
      <c r="Y488" s="43">
        <v>0</v>
      </c>
      <c r="Z488" s="43">
        <v>0</v>
      </c>
      <c r="AA488" s="44">
        <v>0</v>
      </c>
      <c r="AB488" s="44">
        <v>0</v>
      </c>
      <c r="AC488" s="44">
        <v>11</v>
      </c>
      <c r="AD488" s="44">
        <v>9</v>
      </c>
      <c r="AE488" s="44">
        <v>580</v>
      </c>
      <c r="AF488" s="44">
        <v>11</v>
      </c>
      <c r="AG488" s="44">
        <v>0</v>
      </c>
      <c r="AH488" s="44">
        <v>110</v>
      </c>
      <c r="AI488" s="44">
        <v>596</v>
      </c>
      <c r="AJ488" s="44">
        <v>0</v>
      </c>
      <c r="AK488" s="44">
        <v>0</v>
      </c>
      <c r="AL488" s="44">
        <v>123</v>
      </c>
      <c r="AM488" s="48"/>
      <c r="AN488" s="48"/>
      <c r="AO488" s="48"/>
      <c r="AP488" s="44">
        <v>125</v>
      </c>
      <c r="AQ488" s="44">
        <v>550</v>
      </c>
      <c r="AR488" s="51"/>
      <c r="AS488" s="51"/>
      <c r="AT488" s="51"/>
      <c r="AU488" s="51"/>
      <c r="AV488" s="43">
        <v>523</v>
      </c>
      <c r="AW488" s="50"/>
      <c r="AX488" s="50"/>
      <c r="AY488" s="50"/>
      <c r="AZ488" s="50"/>
      <c r="BA488" s="50"/>
      <c r="BB488" s="50"/>
      <c r="BC488" s="50"/>
      <c r="BD488" s="50"/>
      <c r="BE488" s="43">
        <v>448</v>
      </c>
      <c r="BF488" s="43">
        <v>234</v>
      </c>
      <c r="BG488" s="43">
        <v>532</v>
      </c>
      <c r="BH488" s="43">
        <v>163</v>
      </c>
      <c r="BI488" s="43">
        <v>578</v>
      </c>
      <c r="BJ488" s="43">
        <v>123</v>
      </c>
      <c r="BK488" s="43">
        <v>181</v>
      </c>
      <c r="BL488" s="43">
        <v>513</v>
      </c>
      <c r="BM488" s="43">
        <v>364</v>
      </c>
      <c r="BN488" s="43">
        <v>335</v>
      </c>
      <c r="BO488" s="43">
        <v>137</v>
      </c>
      <c r="BP488" s="43">
        <v>527</v>
      </c>
      <c r="BQ488" s="43">
        <v>560</v>
      </c>
      <c r="BR488" s="43">
        <v>120</v>
      </c>
      <c r="BS488" s="43">
        <v>539</v>
      </c>
      <c r="BT488" s="43">
        <v>378</v>
      </c>
      <c r="BU488" s="43">
        <v>286</v>
      </c>
      <c r="BV488" s="43">
        <v>477</v>
      </c>
      <c r="BW488" s="43">
        <v>373</v>
      </c>
      <c r="BX488" s="43">
        <v>160</v>
      </c>
      <c r="BY488" s="43">
        <v>456</v>
      </c>
      <c r="BZ488" s="43">
        <v>135</v>
      </c>
      <c r="CA488" s="43">
        <v>448</v>
      </c>
      <c r="CB488" s="43">
        <v>389</v>
      </c>
      <c r="CC488" s="43">
        <v>119</v>
      </c>
      <c r="CD488" s="43">
        <v>408</v>
      </c>
      <c r="CE488" s="43">
        <v>129</v>
      </c>
      <c r="CF488" s="43">
        <v>479</v>
      </c>
      <c r="CG488" s="43">
        <v>389</v>
      </c>
      <c r="CH488" s="43">
        <v>109</v>
      </c>
      <c r="CI488" s="43">
        <v>75</v>
      </c>
      <c r="CJ488" s="43">
        <v>460</v>
      </c>
      <c r="CK488" s="43">
        <v>396</v>
      </c>
      <c r="CL488" s="43">
        <v>149</v>
      </c>
      <c r="CM488" s="43">
        <v>436</v>
      </c>
      <c r="CN488" s="43">
        <v>419</v>
      </c>
      <c r="CO488" s="43">
        <v>123</v>
      </c>
      <c r="CP488" s="43">
        <v>408</v>
      </c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43">
        <v>474</v>
      </c>
      <c r="FJ488" s="43">
        <v>227</v>
      </c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44"/>
      <c r="GA488" s="53"/>
      <c r="GB488" s="53"/>
      <c r="GC488" s="53"/>
      <c r="GD488" s="53"/>
      <c r="GE488" s="53"/>
      <c r="GF488" s="53"/>
      <c r="GG488" s="53"/>
      <c r="GH488" s="53"/>
      <c r="GI488" s="43"/>
      <c r="GJ488" s="43"/>
      <c r="GK488" s="43"/>
      <c r="GL488" s="43"/>
      <c r="GM488" s="53"/>
      <c r="GN488" s="53"/>
      <c r="GO488" s="43">
        <v>524</v>
      </c>
      <c r="GP488" s="43">
        <v>189</v>
      </c>
      <c r="GQ488" s="43">
        <v>460</v>
      </c>
      <c r="GR488" s="43">
        <v>249</v>
      </c>
    </row>
    <row r="489" spans="1:200">
      <c r="A489" s="8">
        <v>8308</v>
      </c>
      <c r="B489" s="1" t="s">
        <v>617</v>
      </c>
      <c r="C489" s="33">
        <v>456</v>
      </c>
      <c r="D489" s="34">
        <v>391</v>
      </c>
      <c r="E489" s="19">
        <f t="shared" si="7"/>
        <v>0.85745614035087714</v>
      </c>
      <c r="F489" s="62">
        <v>68</v>
      </c>
      <c r="G489" s="43">
        <v>1</v>
      </c>
      <c r="H489" s="43">
        <v>13</v>
      </c>
      <c r="I489" s="43">
        <v>5</v>
      </c>
      <c r="J489" s="55">
        <v>298</v>
      </c>
      <c r="K489" s="6">
        <v>0</v>
      </c>
      <c r="L489" s="6">
        <v>0</v>
      </c>
      <c r="M489" s="43">
        <v>1</v>
      </c>
      <c r="N489" s="25">
        <v>0</v>
      </c>
      <c r="O489" s="43">
        <v>0</v>
      </c>
      <c r="P489" s="43">
        <v>0</v>
      </c>
      <c r="Q489" s="43">
        <v>0</v>
      </c>
      <c r="R489" s="43">
        <v>0</v>
      </c>
      <c r="S489" s="43">
        <v>0</v>
      </c>
      <c r="T489" s="43">
        <v>0</v>
      </c>
      <c r="U489" s="43">
        <v>0</v>
      </c>
      <c r="V489" s="43">
        <v>0</v>
      </c>
      <c r="W489" s="43">
        <v>0</v>
      </c>
      <c r="X489" s="43">
        <v>0</v>
      </c>
      <c r="Y489" s="43">
        <v>0</v>
      </c>
      <c r="Z489" s="43">
        <v>0</v>
      </c>
      <c r="AA489" s="44">
        <v>0</v>
      </c>
      <c r="AB489" s="44">
        <v>0</v>
      </c>
      <c r="AC489" s="44">
        <v>6</v>
      </c>
      <c r="AD489" s="44">
        <v>5</v>
      </c>
      <c r="AE489" s="44">
        <v>316</v>
      </c>
      <c r="AF489" s="44">
        <v>3</v>
      </c>
      <c r="AG489" s="44">
        <v>0</v>
      </c>
      <c r="AH489" s="44">
        <v>53</v>
      </c>
      <c r="AI489" s="44">
        <v>314</v>
      </c>
      <c r="AJ489" s="44">
        <v>1</v>
      </c>
      <c r="AK489" s="44">
        <v>0</v>
      </c>
      <c r="AL489" s="44">
        <v>69</v>
      </c>
      <c r="AM489" s="48"/>
      <c r="AN489" s="48"/>
      <c r="AO489" s="48"/>
      <c r="AP489" s="44">
        <v>72</v>
      </c>
      <c r="AQ489" s="44">
        <v>294</v>
      </c>
      <c r="AR489" s="51"/>
      <c r="AS489" s="51"/>
      <c r="AT489" s="51"/>
      <c r="AU489" s="51"/>
      <c r="AV489" s="43">
        <v>287</v>
      </c>
      <c r="AW489" s="50"/>
      <c r="AX489" s="50"/>
      <c r="AY489" s="50"/>
      <c r="AZ489" s="50"/>
      <c r="BA489" s="50"/>
      <c r="BB489" s="50"/>
      <c r="BC489" s="50"/>
      <c r="BD489" s="50"/>
      <c r="BE489" s="43">
        <v>256</v>
      </c>
      <c r="BF489" s="43">
        <v>114</v>
      </c>
      <c r="BG489" s="43">
        <v>283</v>
      </c>
      <c r="BH489" s="43">
        <v>86</v>
      </c>
      <c r="BI489" s="43">
        <v>289</v>
      </c>
      <c r="BJ489" s="43">
        <v>78</v>
      </c>
      <c r="BK489" s="43">
        <v>80</v>
      </c>
      <c r="BL489" s="43">
        <v>284</v>
      </c>
      <c r="BM489" s="43">
        <v>186</v>
      </c>
      <c r="BN489" s="43">
        <v>187</v>
      </c>
      <c r="BO489" s="43">
        <v>67</v>
      </c>
      <c r="BP489" s="43">
        <v>292</v>
      </c>
      <c r="BQ489" s="43">
        <v>303</v>
      </c>
      <c r="BR489" s="43">
        <v>58</v>
      </c>
      <c r="BS489" s="43">
        <v>301</v>
      </c>
      <c r="BT489" s="43">
        <v>204</v>
      </c>
      <c r="BU489" s="43">
        <v>150</v>
      </c>
      <c r="BV489" s="43">
        <v>261</v>
      </c>
      <c r="BW489" s="43">
        <v>206</v>
      </c>
      <c r="BX489" s="43">
        <v>85</v>
      </c>
      <c r="BY489" s="43">
        <v>251</v>
      </c>
      <c r="BZ489" s="43">
        <v>74</v>
      </c>
      <c r="CA489" s="43">
        <v>245</v>
      </c>
      <c r="CB489" s="43">
        <v>211</v>
      </c>
      <c r="CC489" s="43">
        <v>77</v>
      </c>
      <c r="CD489" s="43">
        <v>217</v>
      </c>
      <c r="CE489" s="43">
        <v>51</v>
      </c>
      <c r="CF489" s="43">
        <v>276</v>
      </c>
      <c r="CG489" s="43">
        <v>220</v>
      </c>
      <c r="CH489" s="43">
        <v>70</v>
      </c>
      <c r="CI489" s="43">
        <v>39</v>
      </c>
      <c r="CJ489" s="43">
        <v>260</v>
      </c>
      <c r="CK489" s="43">
        <v>212</v>
      </c>
      <c r="CL489" s="43">
        <v>90</v>
      </c>
      <c r="CM489" s="43">
        <v>255</v>
      </c>
      <c r="CN489" s="43">
        <v>240</v>
      </c>
      <c r="CO489" s="43">
        <v>78</v>
      </c>
      <c r="CP489" s="43">
        <v>211</v>
      </c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43">
        <v>271</v>
      </c>
      <c r="FJ489" s="43">
        <v>101</v>
      </c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44"/>
      <c r="GA489" s="53"/>
      <c r="GB489" s="53"/>
      <c r="GC489" s="53"/>
      <c r="GD489" s="53"/>
      <c r="GE489" s="53"/>
      <c r="GF489" s="53"/>
      <c r="GG489" s="53"/>
      <c r="GH489" s="53"/>
      <c r="GI489" s="43"/>
      <c r="GJ489" s="43"/>
      <c r="GK489" s="43"/>
      <c r="GL489" s="43"/>
      <c r="GM489" s="53"/>
      <c r="GN489" s="53"/>
      <c r="GO489" s="43">
        <v>258</v>
      </c>
      <c r="GP489" s="43">
        <v>115</v>
      </c>
      <c r="GQ489" s="43">
        <v>240</v>
      </c>
      <c r="GR489" s="43">
        <v>131</v>
      </c>
    </row>
    <row r="490" spans="1:200">
      <c r="A490" s="7">
        <v>8401</v>
      </c>
      <c r="B490" s="1" t="s">
        <v>618</v>
      </c>
      <c r="C490" s="33">
        <v>791</v>
      </c>
      <c r="D490" s="34">
        <v>611</v>
      </c>
      <c r="E490" s="19">
        <f t="shared" si="7"/>
        <v>0.77243994943109984</v>
      </c>
      <c r="F490" s="62">
        <v>218</v>
      </c>
      <c r="G490" s="43">
        <v>0</v>
      </c>
      <c r="H490" s="43">
        <v>26</v>
      </c>
      <c r="I490" s="43">
        <v>5</v>
      </c>
      <c r="J490" s="55">
        <v>340</v>
      </c>
      <c r="K490" s="6">
        <v>0</v>
      </c>
      <c r="L490" s="6">
        <v>0</v>
      </c>
      <c r="M490" s="43">
        <v>0</v>
      </c>
      <c r="N490" s="25">
        <v>0</v>
      </c>
      <c r="O490" s="43">
        <v>0</v>
      </c>
      <c r="P490" s="43">
        <v>0</v>
      </c>
      <c r="Q490" s="43">
        <v>0</v>
      </c>
      <c r="R490" s="43">
        <v>0</v>
      </c>
      <c r="S490" s="43">
        <v>0</v>
      </c>
      <c r="T490" s="43">
        <v>0</v>
      </c>
      <c r="U490" s="43">
        <v>0</v>
      </c>
      <c r="V490" s="43">
        <v>1</v>
      </c>
      <c r="W490" s="43">
        <v>5</v>
      </c>
      <c r="X490" s="43">
        <v>0</v>
      </c>
      <c r="Y490" s="43">
        <v>0</v>
      </c>
      <c r="Z490" s="43">
        <v>0</v>
      </c>
      <c r="AA490" s="44">
        <v>0</v>
      </c>
      <c r="AB490" s="44">
        <v>0</v>
      </c>
      <c r="AC490" s="44">
        <v>8</v>
      </c>
      <c r="AD490" s="44">
        <v>17</v>
      </c>
      <c r="AE490" s="44">
        <v>431</v>
      </c>
      <c r="AF490" s="44">
        <v>6</v>
      </c>
      <c r="AG490" s="44">
        <v>0</v>
      </c>
      <c r="AH490" s="44">
        <v>127</v>
      </c>
      <c r="AI490" s="32"/>
      <c r="AJ490" s="32"/>
      <c r="AK490" s="32"/>
      <c r="AL490" s="32"/>
      <c r="AM490" s="44">
        <v>6</v>
      </c>
      <c r="AN490" s="44">
        <v>151</v>
      </c>
      <c r="AO490" s="44">
        <v>412</v>
      </c>
      <c r="AP490" s="44"/>
      <c r="AQ490" s="44"/>
      <c r="AR490" s="43">
        <v>406</v>
      </c>
      <c r="AS490" s="43">
        <v>157</v>
      </c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43">
        <v>343</v>
      </c>
      <c r="BF490" s="43">
        <v>224</v>
      </c>
      <c r="BG490" s="43">
        <v>373</v>
      </c>
      <c r="BH490" s="43">
        <v>195</v>
      </c>
      <c r="BI490" s="43">
        <v>392</v>
      </c>
      <c r="BJ490" s="43">
        <v>165</v>
      </c>
      <c r="BK490" s="43">
        <v>230</v>
      </c>
      <c r="BL490" s="43">
        <v>327</v>
      </c>
      <c r="BM490" s="43">
        <v>259</v>
      </c>
      <c r="BN490" s="43">
        <v>300</v>
      </c>
      <c r="BO490" s="43">
        <v>183</v>
      </c>
      <c r="BP490" s="43">
        <v>360</v>
      </c>
      <c r="BQ490" s="43">
        <v>407</v>
      </c>
      <c r="BR490" s="43">
        <v>142</v>
      </c>
      <c r="BS490" s="43">
        <v>429</v>
      </c>
      <c r="BT490" s="43">
        <v>265</v>
      </c>
      <c r="BU490" s="43">
        <v>283</v>
      </c>
      <c r="BV490" s="43">
        <v>419</v>
      </c>
      <c r="BW490" s="43">
        <v>296</v>
      </c>
      <c r="BX490" s="43">
        <v>174</v>
      </c>
      <c r="BY490" s="43">
        <v>344</v>
      </c>
      <c r="BZ490" s="43">
        <v>169</v>
      </c>
      <c r="CA490" s="43">
        <v>390</v>
      </c>
      <c r="CB490" s="43">
        <v>296</v>
      </c>
      <c r="CC490" s="43">
        <v>181</v>
      </c>
      <c r="CD490" s="43">
        <v>356</v>
      </c>
      <c r="CE490" s="43">
        <v>193</v>
      </c>
      <c r="CF490" s="43">
        <v>290</v>
      </c>
      <c r="CG490" s="43">
        <v>332</v>
      </c>
      <c r="CH490" s="43">
        <v>126</v>
      </c>
      <c r="CI490" s="43">
        <v>96</v>
      </c>
      <c r="CJ490" s="43">
        <v>368</v>
      </c>
      <c r="CK490" s="43">
        <v>294</v>
      </c>
      <c r="CL490" s="43">
        <v>159</v>
      </c>
      <c r="CM490" s="43">
        <v>371</v>
      </c>
      <c r="CN490" s="43">
        <v>372</v>
      </c>
      <c r="CO490" s="43">
        <v>150</v>
      </c>
      <c r="CP490" s="43">
        <v>309</v>
      </c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44"/>
      <c r="GA490" s="53"/>
      <c r="GB490" s="53"/>
      <c r="GC490" s="53"/>
      <c r="GD490" s="53"/>
      <c r="GE490" s="53"/>
      <c r="GF490" s="53"/>
      <c r="GG490" s="53"/>
      <c r="GH490" s="53"/>
      <c r="GI490" s="43"/>
      <c r="GJ490" s="43"/>
      <c r="GK490" s="43"/>
      <c r="GL490" s="43"/>
      <c r="GM490" s="53"/>
      <c r="GN490" s="53"/>
      <c r="GO490" s="43">
        <v>419</v>
      </c>
      <c r="GP490" s="43">
        <v>171</v>
      </c>
      <c r="GQ490" s="43">
        <v>413</v>
      </c>
      <c r="GR490" s="43">
        <v>178</v>
      </c>
    </row>
    <row r="491" spans="1:200">
      <c r="A491" s="7">
        <v>8402</v>
      </c>
      <c r="B491" s="1" t="s">
        <v>619</v>
      </c>
      <c r="C491" s="33">
        <v>1195</v>
      </c>
      <c r="D491" s="34">
        <v>871</v>
      </c>
      <c r="E491" s="19">
        <f t="shared" si="7"/>
        <v>0.72887029288702931</v>
      </c>
      <c r="F491" s="62">
        <v>290</v>
      </c>
      <c r="G491" s="43">
        <v>2</v>
      </c>
      <c r="H491" s="43">
        <v>39</v>
      </c>
      <c r="I491" s="43">
        <v>7</v>
      </c>
      <c r="J491" s="55">
        <v>507</v>
      </c>
      <c r="K491" s="6">
        <v>0</v>
      </c>
      <c r="L491" s="6">
        <v>0</v>
      </c>
      <c r="M491" s="43">
        <v>0</v>
      </c>
      <c r="N491" s="25">
        <v>0</v>
      </c>
      <c r="O491" s="43">
        <v>0</v>
      </c>
      <c r="P491" s="43">
        <v>0</v>
      </c>
      <c r="Q491" s="43">
        <v>0</v>
      </c>
      <c r="R491" s="43">
        <v>0</v>
      </c>
      <c r="S491" s="43">
        <v>0</v>
      </c>
      <c r="T491" s="43">
        <v>0</v>
      </c>
      <c r="U491" s="43">
        <v>0</v>
      </c>
      <c r="V491" s="43">
        <v>0</v>
      </c>
      <c r="W491" s="43">
        <v>2</v>
      </c>
      <c r="X491" s="43">
        <v>0</v>
      </c>
      <c r="Y491" s="43">
        <v>0</v>
      </c>
      <c r="Z491" s="43">
        <v>0</v>
      </c>
      <c r="AA491" s="44">
        <v>0</v>
      </c>
      <c r="AB491" s="44">
        <v>0</v>
      </c>
      <c r="AC491" s="44">
        <v>9</v>
      </c>
      <c r="AD491" s="44">
        <v>8</v>
      </c>
      <c r="AE491" s="44">
        <v>624</v>
      </c>
      <c r="AF491" s="44">
        <v>12</v>
      </c>
      <c r="AG491" s="44">
        <v>0</v>
      </c>
      <c r="AH491" s="44">
        <v>196</v>
      </c>
      <c r="AI491" s="32"/>
      <c r="AJ491" s="32"/>
      <c r="AK491" s="32"/>
      <c r="AL491" s="32"/>
      <c r="AM491" s="44">
        <v>8</v>
      </c>
      <c r="AN491" s="44">
        <v>218</v>
      </c>
      <c r="AO491" s="44">
        <v>608</v>
      </c>
      <c r="AP491" s="44"/>
      <c r="AQ491" s="44"/>
      <c r="AR491" s="43">
        <v>591</v>
      </c>
      <c r="AS491" s="43">
        <v>235</v>
      </c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43">
        <v>520</v>
      </c>
      <c r="BF491" s="43">
        <v>305</v>
      </c>
      <c r="BG491" s="43">
        <v>571</v>
      </c>
      <c r="BH491" s="43">
        <v>262</v>
      </c>
      <c r="BI491" s="43">
        <v>585</v>
      </c>
      <c r="BJ491" s="43">
        <v>240</v>
      </c>
      <c r="BK491" s="43">
        <v>283</v>
      </c>
      <c r="BL491" s="43">
        <v>532</v>
      </c>
      <c r="BM491" s="43">
        <v>475</v>
      </c>
      <c r="BN491" s="43">
        <v>345</v>
      </c>
      <c r="BO491" s="43">
        <v>265</v>
      </c>
      <c r="BP491" s="43">
        <v>541</v>
      </c>
      <c r="BQ491" s="43">
        <v>594</v>
      </c>
      <c r="BR491" s="43">
        <v>215</v>
      </c>
      <c r="BS491" s="43">
        <v>638</v>
      </c>
      <c r="BT491" s="43">
        <v>437</v>
      </c>
      <c r="BU491" s="43">
        <v>375</v>
      </c>
      <c r="BV491" s="43">
        <v>611</v>
      </c>
      <c r="BW491" s="43">
        <v>436</v>
      </c>
      <c r="BX491" s="43">
        <v>248</v>
      </c>
      <c r="BY491" s="43">
        <v>487</v>
      </c>
      <c r="BZ491" s="43">
        <v>246</v>
      </c>
      <c r="CA491" s="43">
        <v>546</v>
      </c>
      <c r="CB491" s="43">
        <v>439</v>
      </c>
      <c r="CC491" s="43">
        <v>240</v>
      </c>
      <c r="CD491" s="43">
        <v>481</v>
      </c>
      <c r="CE491" s="43">
        <v>238</v>
      </c>
      <c r="CF491" s="43">
        <v>430</v>
      </c>
      <c r="CG491" s="43">
        <v>455</v>
      </c>
      <c r="CH491" s="43">
        <v>188</v>
      </c>
      <c r="CI491" s="43">
        <v>113</v>
      </c>
      <c r="CJ491" s="43">
        <v>546</v>
      </c>
      <c r="CK491" s="43">
        <v>438</v>
      </c>
      <c r="CL491" s="43">
        <v>209</v>
      </c>
      <c r="CM491" s="43">
        <v>534</v>
      </c>
      <c r="CN491" s="43">
        <v>541</v>
      </c>
      <c r="CO491" s="43">
        <v>157</v>
      </c>
      <c r="CP491" s="43">
        <v>499</v>
      </c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44"/>
      <c r="GA491" s="53"/>
      <c r="GB491" s="53"/>
      <c r="GC491" s="53"/>
      <c r="GD491" s="53"/>
      <c r="GE491" s="53"/>
      <c r="GF491" s="53"/>
      <c r="GG491" s="53"/>
      <c r="GH491" s="53"/>
      <c r="GI491" s="43"/>
      <c r="GJ491" s="43"/>
      <c r="GK491" s="43"/>
      <c r="GL491" s="43"/>
      <c r="GM491" s="53"/>
      <c r="GN491" s="53"/>
      <c r="GO491" s="43">
        <v>588</v>
      </c>
      <c r="GP491" s="43">
        <v>252</v>
      </c>
      <c r="GQ491" s="43">
        <v>585</v>
      </c>
      <c r="GR491" s="43">
        <v>255</v>
      </c>
    </row>
    <row r="492" spans="1:200">
      <c r="A492" s="7">
        <v>8511</v>
      </c>
      <c r="B492" s="1" t="s">
        <v>620</v>
      </c>
      <c r="C492" s="33">
        <v>824</v>
      </c>
      <c r="D492" s="34">
        <v>575</v>
      </c>
      <c r="E492" s="19">
        <f t="shared" si="7"/>
        <v>0.69781553398058249</v>
      </c>
      <c r="F492" s="62">
        <v>232</v>
      </c>
      <c r="G492" s="43">
        <v>2</v>
      </c>
      <c r="H492" s="43">
        <v>21</v>
      </c>
      <c r="I492" s="43">
        <v>5</v>
      </c>
      <c r="J492" s="55">
        <v>303</v>
      </c>
      <c r="K492" s="6">
        <v>0</v>
      </c>
      <c r="L492" s="6">
        <v>0</v>
      </c>
      <c r="M492" s="43">
        <v>0</v>
      </c>
      <c r="N492" s="25">
        <v>0</v>
      </c>
      <c r="O492" s="43">
        <v>0</v>
      </c>
      <c r="P492" s="43">
        <v>0</v>
      </c>
      <c r="Q492" s="43">
        <v>0</v>
      </c>
      <c r="R492" s="43">
        <v>0</v>
      </c>
      <c r="S492" s="43">
        <v>0</v>
      </c>
      <c r="T492" s="43">
        <v>0</v>
      </c>
      <c r="U492" s="43">
        <v>0</v>
      </c>
      <c r="V492" s="43">
        <v>0</v>
      </c>
      <c r="W492" s="43">
        <v>0</v>
      </c>
      <c r="X492" s="43">
        <v>0</v>
      </c>
      <c r="Y492" s="43">
        <v>0</v>
      </c>
      <c r="Z492" s="43">
        <v>0</v>
      </c>
      <c r="AA492" s="44">
        <v>0</v>
      </c>
      <c r="AB492" s="44">
        <v>0</v>
      </c>
      <c r="AC492" s="44">
        <v>8</v>
      </c>
      <c r="AD492" s="44">
        <v>9</v>
      </c>
      <c r="AE492" s="44">
        <v>335</v>
      </c>
      <c r="AF492" s="44">
        <v>7</v>
      </c>
      <c r="AG492" s="44">
        <v>0</v>
      </c>
      <c r="AH492" s="44">
        <v>200</v>
      </c>
      <c r="AI492" s="44">
        <v>333</v>
      </c>
      <c r="AJ492" s="44">
        <v>0</v>
      </c>
      <c r="AK492" s="44">
        <v>0</v>
      </c>
      <c r="AL492" s="44">
        <v>226</v>
      </c>
      <c r="AM492" s="48"/>
      <c r="AN492" s="48"/>
      <c r="AO492" s="48"/>
      <c r="AP492" s="44"/>
      <c r="AQ492" s="44"/>
      <c r="AR492" s="51"/>
      <c r="AS492" s="51"/>
      <c r="AT492" s="51"/>
      <c r="AU492" s="51"/>
      <c r="AV492" s="51"/>
      <c r="AW492" s="50"/>
      <c r="AX492" s="50"/>
      <c r="AY492" s="43">
        <v>251</v>
      </c>
      <c r="AZ492" s="43">
        <v>271</v>
      </c>
      <c r="BA492" s="50"/>
      <c r="BB492" s="50"/>
      <c r="BC492" s="50"/>
      <c r="BD492" s="50"/>
      <c r="BE492" s="43">
        <v>229</v>
      </c>
      <c r="BF492" s="43">
        <v>294</v>
      </c>
      <c r="BG492" s="43">
        <v>317</v>
      </c>
      <c r="BH492" s="43">
        <v>223</v>
      </c>
      <c r="BI492" s="43">
        <v>325</v>
      </c>
      <c r="BJ492" s="43">
        <v>206</v>
      </c>
      <c r="BK492" s="43">
        <v>268</v>
      </c>
      <c r="BL492" s="43">
        <v>262</v>
      </c>
      <c r="BM492" s="43">
        <v>224</v>
      </c>
      <c r="BN492" s="43">
        <v>304</v>
      </c>
      <c r="BO492" s="43">
        <v>218</v>
      </c>
      <c r="BP492" s="43">
        <v>306</v>
      </c>
      <c r="BQ492" s="43">
        <v>319</v>
      </c>
      <c r="BR492" s="43">
        <v>200</v>
      </c>
      <c r="BS492" s="43">
        <v>355</v>
      </c>
      <c r="BT492" s="43">
        <v>221</v>
      </c>
      <c r="BU492" s="43">
        <v>299</v>
      </c>
      <c r="BV492" s="43">
        <v>343</v>
      </c>
      <c r="BW492" s="43">
        <v>228</v>
      </c>
      <c r="BX492" s="43">
        <v>191</v>
      </c>
      <c r="BY492" s="43">
        <v>293</v>
      </c>
      <c r="BZ492" s="43">
        <v>149</v>
      </c>
      <c r="CA492" s="43">
        <v>320</v>
      </c>
      <c r="CB492" s="43">
        <v>222</v>
      </c>
      <c r="CC492" s="43">
        <v>185</v>
      </c>
      <c r="CD492" s="43">
        <v>314</v>
      </c>
      <c r="CE492" s="43">
        <v>173</v>
      </c>
      <c r="CF492" s="43">
        <v>246</v>
      </c>
      <c r="CG492" s="43">
        <v>228</v>
      </c>
      <c r="CH492" s="43">
        <v>169</v>
      </c>
      <c r="CI492" s="43">
        <v>121</v>
      </c>
      <c r="CJ492" s="43">
        <v>291</v>
      </c>
      <c r="CK492" s="43">
        <v>257</v>
      </c>
      <c r="CL492" s="43">
        <v>168</v>
      </c>
      <c r="CM492" s="43">
        <v>305</v>
      </c>
      <c r="CN492" s="43">
        <v>309</v>
      </c>
      <c r="CO492" s="43">
        <v>162</v>
      </c>
      <c r="CP492" s="43">
        <v>251</v>
      </c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44"/>
      <c r="GA492" s="53"/>
      <c r="GB492" s="53"/>
      <c r="GC492" s="53"/>
      <c r="GD492" s="53"/>
      <c r="GE492" s="53"/>
      <c r="GF492" s="53"/>
      <c r="GG492" s="43">
        <v>333</v>
      </c>
      <c r="GH492" s="43">
        <v>217</v>
      </c>
      <c r="GI492" s="43"/>
      <c r="GJ492" s="43"/>
      <c r="GK492" s="43"/>
      <c r="GL492" s="43"/>
      <c r="GM492" s="53"/>
      <c r="GN492" s="43"/>
      <c r="GO492" s="43">
        <v>357</v>
      </c>
      <c r="GP492" s="43">
        <v>189</v>
      </c>
      <c r="GQ492" s="43">
        <v>382</v>
      </c>
      <c r="GR492" s="43">
        <v>165</v>
      </c>
    </row>
    <row r="493" spans="1:200">
      <c r="A493" s="7">
        <v>8521</v>
      </c>
      <c r="B493" s="1" t="s">
        <v>621</v>
      </c>
      <c r="C493" s="33">
        <v>786</v>
      </c>
      <c r="D493" s="34">
        <v>571</v>
      </c>
      <c r="E493" s="19">
        <f t="shared" si="7"/>
        <v>0.72646310432569972</v>
      </c>
      <c r="F493" s="62">
        <v>254</v>
      </c>
      <c r="G493" s="43">
        <v>2</v>
      </c>
      <c r="H493" s="43">
        <v>9</v>
      </c>
      <c r="I493" s="43">
        <v>6</v>
      </c>
      <c r="J493" s="55">
        <v>290</v>
      </c>
      <c r="K493" s="6">
        <v>0</v>
      </c>
      <c r="L493" s="6">
        <v>0</v>
      </c>
      <c r="M493" s="43">
        <v>0</v>
      </c>
      <c r="N493" s="25">
        <v>0</v>
      </c>
      <c r="O493" s="43">
        <v>0</v>
      </c>
      <c r="P493" s="43">
        <v>0</v>
      </c>
      <c r="Q493" s="43">
        <v>0</v>
      </c>
      <c r="R493" s="43">
        <v>0</v>
      </c>
      <c r="S493" s="43">
        <v>0</v>
      </c>
      <c r="T493" s="43">
        <v>0</v>
      </c>
      <c r="U493" s="43">
        <v>0</v>
      </c>
      <c r="V493" s="43">
        <v>1</v>
      </c>
      <c r="W493" s="43">
        <v>0</v>
      </c>
      <c r="X493" s="43">
        <v>0</v>
      </c>
      <c r="Y493" s="43">
        <v>0</v>
      </c>
      <c r="Z493" s="43">
        <v>0</v>
      </c>
      <c r="AA493" s="44">
        <v>0</v>
      </c>
      <c r="AB493" s="44">
        <v>0</v>
      </c>
      <c r="AC493" s="44">
        <v>12</v>
      </c>
      <c r="AD493" s="44">
        <v>4</v>
      </c>
      <c r="AE493" s="44">
        <v>312</v>
      </c>
      <c r="AF493" s="44">
        <v>6</v>
      </c>
      <c r="AG493" s="44">
        <v>0</v>
      </c>
      <c r="AH493" s="44">
        <v>218</v>
      </c>
      <c r="AI493" s="44">
        <v>322</v>
      </c>
      <c r="AJ493" s="44">
        <v>0</v>
      </c>
      <c r="AK493" s="44">
        <v>0</v>
      </c>
      <c r="AL493" s="44">
        <v>233</v>
      </c>
      <c r="AM493" s="48"/>
      <c r="AN493" s="48"/>
      <c r="AO493" s="48"/>
      <c r="AP493" s="44"/>
      <c r="AQ493" s="44"/>
      <c r="AR493" s="51"/>
      <c r="AS493" s="51"/>
      <c r="AT493" s="51"/>
      <c r="AU493" s="51"/>
      <c r="AV493" s="51"/>
      <c r="AW493" s="50"/>
      <c r="AX493" s="50"/>
      <c r="AY493" s="43">
        <v>258</v>
      </c>
      <c r="AZ493" s="43">
        <v>263</v>
      </c>
      <c r="BA493" s="50"/>
      <c r="BB493" s="50"/>
      <c r="BC493" s="50"/>
      <c r="BD493" s="50"/>
      <c r="BE493" s="43">
        <v>208</v>
      </c>
      <c r="BF493" s="43">
        <v>330</v>
      </c>
      <c r="BG493" s="43">
        <v>300</v>
      </c>
      <c r="BH493" s="43">
        <v>241</v>
      </c>
      <c r="BI493" s="43">
        <v>316</v>
      </c>
      <c r="BJ493" s="43">
        <v>227</v>
      </c>
      <c r="BK493" s="43">
        <v>277</v>
      </c>
      <c r="BL493" s="43">
        <v>257</v>
      </c>
      <c r="BM493" s="43">
        <v>193</v>
      </c>
      <c r="BN493" s="43">
        <v>342</v>
      </c>
      <c r="BO493" s="43">
        <v>248</v>
      </c>
      <c r="BP493" s="43">
        <v>281</v>
      </c>
      <c r="BQ493" s="43">
        <v>312</v>
      </c>
      <c r="BR493" s="43">
        <v>222</v>
      </c>
      <c r="BS493" s="43">
        <v>336</v>
      </c>
      <c r="BT493" s="43">
        <v>206</v>
      </c>
      <c r="BU493" s="43">
        <v>323</v>
      </c>
      <c r="BV493" s="43">
        <v>332</v>
      </c>
      <c r="BW493" s="43">
        <v>218</v>
      </c>
      <c r="BX493" s="43">
        <v>210</v>
      </c>
      <c r="BY493" s="43">
        <v>294</v>
      </c>
      <c r="BZ493" s="43">
        <v>174</v>
      </c>
      <c r="CA493" s="43">
        <v>301</v>
      </c>
      <c r="CB493" s="43">
        <v>216</v>
      </c>
      <c r="CC493" s="43">
        <v>203</v>
      </c>
      <c r="CD493" s="43">
        <v>299</v>
      </c>
      <c r="CE493" s="43">
        <v>177</v>
      </c>
      <c r="CF493" s="43">
        <v>255</v>
      </c>
      <c r="CG493" s="43">
        <v>217</v>
      </c>
      <c r="CH493" s="43">
        <v>178</v>
      </c>
      <c r="CI493" s="43">
        <v>121</v>
      </c>
      <c r="CJ493" s="43">
        <v>294</v>
      </c>
      <c r="CK493" s="43">
        <v>233</v>
      </c>
      <c r="CL493" s="43">
        <v>181</v>
      </c>
      <c r="CM493" s="43">
        <v>283</v>
      </c>
      <c r="CN493" s="43">
        <v>291</v>
      </c>
      <c r="CO493" s="43">
        <v>169</v>
      </c>
      <c r="CP493" s="43">
        <v>261</v>
      </c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44"/>
      <c r="GA493" s="53"/>
      <c r="GB493" s="53"/>
      <c r="GC493" s="53"/>
      <c r="GD493" s="53"/>
      <c r="GE493" s="53"/>
      <c r="GF493" s="53"/>
      <c r="GG493" s="43">
        <v>294</v>
      </c>
      <c r="GH493" s="43">
        <v>255</v>
      </c>
      <c r="GI493" s="43"/>
      <c r="GJ493" s="43"/>
      <c r="GK493" s="43"/>
      <c r="GL493" s="43"/>
      <c r="GM493" s="53"/>
      <c r="GN493" s="43"/>
      <c r="GO493" s="43">
        <v>340</v>
      </c>
      <c r="GP493" s="43">
        <v>202</v>
      </c>
      <c r="GQ493" s="43">
        <v>351</v>
      </c>
      <c r="GR493" s="43">
        <v>187</v>
      </c>
    </row>
    <row r="494" spans="1:200">
      <c r="A494" s="7">
        <v>8531</v>
      </c>
      <c r="B494" s="1" t="s">
        <v>622</v>
      </c>
      <c r="C494" s="33">
        <v>738</v>
      </c>
      <c r="D494" s="34">
        <v>548</v>
      </c>
      <c r="E494" s="19">
        <f t="shared" si="7"/>
        <v>0.74254742547425479</v>
      </c>
      <c r="F494" s="62">
        <v>261</v>
      </c>
      <c r="G494" s="43">
        <v>1</v>
      </c>
      <c r="H494" s="43">
        <v>24</v>
      </c>
      <c r="I494" s="43">
        <v>2</v>
      </c>
      <c r="J494" s="55">
        <v>244</v>
      </c>
      <c r="K494" s="6">
        <v>0</v>
      </c>
      <c r="L494" s="6">
        <v>0</v>
      </c>
      <c r="M494" s="43">
        <v>0</v>
      </c>
      <c r="N494" s="25">
        <v>0</v>
      </c>
      <c r="O494" s="43">
        <v>0</v>
      </c>
      <c r="P494" s="43">
        <v>0</v>
      </c>
      <c r="Q494" s="43">
        <v>0</v>
      </c>
      <c r="R494" s="43">
        <v>0</v>
      </c>
      <c r="S494" s="43">
        <v>0</v>
      </c>
      <c r="T494" s="43">
        <v>0</v>
      </c>
      <c r="U494" s="43">
        <v>0</v>
      </c>
      <c r="V494" s="43">
        <v>0</v>
      </c>
      <c r="W494" s="43">
        <v>4</v>
      </c>
      <c r="X494" s="43">
        <v>0</v>
      </c>
      <c r="Y494" s="43">
        <v>0</v>
      </c>
      <c r="Z494" s="43">
        <v>0</v>
      </c>
      <c r="AA494" s="44">
        <v>0</v>
      </c>
      <c r="AB494" s="44">
        <v>0</v>
      </c>
      <c r="AC494" s="44">
        <v>10</v>
      </c>
      <c r="AD494" s="44">
        <v>9</v>
      </c>
      <c r="AE494" s="44">
        <v>281</v>
      </c>
      <c r="AF494" s="44">
        <v>4</v>
      </c>
      <c r="AG494" s="44">
        <v>0</v>
      </c>
      <c r="AH494" s="44">
        <v>224</v>
      </c>
      <c r="AI494" s="44">
        <v>269</v>
      </c>
      <c r="AJ494" s="44">
        <v>0</v>
      </c>
      <c r="AK494" s="44">
        <v>0</v>
      </c>
      <c r="AL494" s="44">
        <v>262</v>
      </c>
      <c r="AM494" s="48"/>
      <c r="AN494" s="48"/>
      <c r="AO494" s="48"/>
      <c r="AP494" s="44"/>
      <c r="AQ494" s="44"/>
      <c r="AR494" s="51"/>
      <c r="AS494" s="51"/>
      <c r="AT494" s="51"/>
      <c r="AU494" s="51"/>
      <c r="AV494" s="51"/>
      <c r="AW494" s="50"/>
      <c r="AX494" s="50"/>
      <c r="AY494" s="43">
        <v>266</v>
      </c>
      <c r="AZ494" s="43">
        <v>241</v>
      </c>
      <c r="BA494" s="50"/>
      <c r="BB494" s="50"/>
      <c r="BC494" s="50"/>
      <c r="BD494" s="50"/>
      <c r="BE494" s="43">
        <v>196</v>
      </c>
      <c r="BF494" s="43">
        <v>321</v>
      </c>
      <c r="BG494" s="43">
        <v>238</v>
      </c>
      <c r="BH494" s="43">
        <v>277</v>
      </c>
      <c r="BI494" s="43">
        <v>266</v>
      </c>
      <c r="BJ494" s="43">
        <v>242</v>
      </c>
      <c r="BK494" s="43">
        <v>264</v>
      </c>
      <c r="BL494" s="43">
        <v>246</v>
      </c>
      <c r="BM494" s="43">
        <v>188</v>
      </c>
      <c r="BN494" s="43">
        <v>329</v>
      </c>
      <c r="BO494" s="43">
        <v>245</v>
      </c>
      <c r="BP494" s="43">
        <v>256</v>
      </c>
      <c r="BQ494" s="43">
        <v>270</v>
      </c>
      <c r="BR494" s="43">
        <v>229</v>
      </c>
      <c r="BS494" s="43">
        <v>304</v>
      </c>
      <c r="BT494" s="43">
        <v>189</v>
      </c>
      <c r="BU494" s="43">
        <v>318</v>
      </c>
      <c r="BV494" s="43">
        <v>314</v>
      </c>
      <c r="BW494" s="43">
        <v>222</v>
      </c>
      <c r="BX494" s="43">
        <v>182</v>
      </c>
      <c r="BY494" s="43">
        <v>244</v>
      </c>
      <c r="BZ494" s="43">
        <v>199</v>
      </c>
      <c r="CA494" s="43">
        <v>286</v>
      </c>
      <c r="CB494" s="43">
        <v>191</v>
      </c>
      <c r="CC494" s="43">
        <v>205</v>
      </c>
      <c r="CD494" s="43">
        <v>294</v>
      </c>
      <c r="CE494" s="43">
        <v>206</v>
      </c>
      <c r="CF494" s="43">
        <v>202</v>
      </c>
      <c r="CG494" s="43">
        <v>195</v>
      </c>
      <c r="CH494" s="43">
        <v>177</v>
      </c>
      <c r="CI494" s="43">
        <v>121</v>
      </c>
      <c r="CJ494" s="43">
        <v>274</v>
      </c>
      <c r="CK494" s="43">
        <v>247</v>
      </c>
      <c r="CL494" s="43">
        <v>155</v>
      </c>
      <c r="CM494" s="43">
        <v>283</v>
      </c>
      <c r="CN494" s="43">
        <v>284</v>
      </c>
      <c r="CO494" s="43">
        <v>156</v>
      </c>
      <c r="CP494" s="43">
        <v>238</v>
      </c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44"/>
      <c r="GA494" s="53"/>
      <c r="GB494" s="53"/>
      <c r="GC494" s="53"/>
      <c r="GD494" s="53"/>
      <c r="GE494" s="53"/>
      <c r="GF494" s="53"/>
      <c r="GG494" s="43">
        <v>326</v>
      </c>
      <c r="GH494" s="43">
        <v>206</v>
      </c>
      <c r="GI494" s="43"/>
      <c r="GJ494" s="43"/>
      <c r="GK494" s="43"/>
      <c r="GL494" s="43"/>
      <c r="GM494" s="53"/>
      <c r="GN494" s="43"/>
      <c r="GO494" s="43">
        <v>359</v>
      </c>
      <c r="GP494" s="43">
        <v>161</v>
      </c>
      <c r="GQ494" s="43">
        <v>353</v>
      </c>
      <c r="GR494" s="43">
        <v>157</v>
      </c>
    </row>
    <row r="495" spans="1:200">
      <c r="A495" s="7">
        <v>8541</v>
      </c>
      <c r="B495" s="1" t="s">
        <v>623</v>
      </c>
      <c r="C495" s="33">
        <v>700</v>
      </c>
      <c r="D495" s="34">
        <v>512</v>
      </c>
      <c r="E495" s="19">
        <f t="shared" si="7"/>
        <v>0.73142857142857143</v>
      </c>
      <c r="F495" s="62">
        <v>259</v>
      </c>
      <c r="G495" s="43">
        <v>4</v>
      </c>
      <c r="H495" s="43">
        <v>13</v>
      </c>
      <c r="I495" s="43">
        <v>1</v>
      </c>
      <c r="J495" s="55">
        <v>221</v>
      </c>
      <c r="K495" s="6">
        <v>0</v>
      </c>
      <c r="L495" s="6">
        <v>0</v>
      </c>
      <c r="M495" s="43">
        <v>0</v>
      </c>
      <c r="N495" s="25">
        <v>0</v>
      </c>
      <c r="O495" s="43">
        <v>0</v>
      </c>
      <c r="P495" s="43">
        <v>0</v>
      </c>
      <c r="Q495" s="43">
        <v>0</v>
      </c>
      <c r="R495" s="43">
        <v>0</v>
      </c>
      <c r="S495" s="43">
        <v>0</v>
      </c>
      <c r="T495" s="43">
        <v>0</v>
      </c>
      <c r="U495" s="43">
        <v>0</v>
      </c>
      <c r="V495" s="43">
        <v>0</v>
      </c>
      <c r="W495" s="43">
        <v>5</v>
      </c>
      <c r="X495" s="43">
        <v>0</v>
      </c>
      <c r="Y495" s="43">
        <v>0</v>
      </c>
      <c r="Z495" s="43">
        <v>0</v>
      </c>
      <c r="AA495" s="44">
        <v>0</v>
      </c>
      <c r="AB495" s="44">
        <v>0</v>
      </c>
      <c r="AC495" s="44">
        <v>4</v>
      </c>
      <c r="AD495" s="44">
        <v>15</v>
      </c>
      <c r="AE495" s="44">
        <v>248</v>
      </c>
      <c r="AF495" s="44">
        <v>6</v>
      </c>
      <c r="AG495" s="44">
        <v>0</v>
      </c>
      <c r="AH495" s="44">
        <v>215</v>
      </c>
      <c r="AI495" s="44">
        <v>238</v>
      </c>
      <c r="AJ495" s="44">
        <v>1</v>
      </c>
      <c r="AK495" s="44">
        <v>0</v>
      </c>
      <c r="AL495" s="44">
        <v>248</v>
      </c>
      <c r="AM495" s="48"/>
      <c r="AN495" s="48"/>
      <c r="AO495" s="48"/>
      <c r="AP495" s="44"/>
      <c r="AQ495" s="44"/>
      <c r="AR495" s="51"/>
      <c r="AS495" s="51"/>
      <c r="AT495" s="51"/>
      <c r="AU495" s="51"/>
      <c r="AV495" s="51"/>
      <c r="AW495" s="50"/>
      <c r="AX495" s="50"/>
      <c r="AY495" s="43">
        <v>267</v>
      </c>
      <c r="AZ495" s="43">
        <v>194</v>
      </c>
      <c r="BA495" s="50"/>
      <c r="BB495" s="50"/>
      <c r="BC495" s="50"/>
      <c r="BD495" s="50"/>
      <c r="BE495" s="43">
        <v>162</v>
      </c>
      <c r="BF495" s="43">
        <v>298</v>
      </c>
      <c r="BG495" s="43">
        <v>214</v>
      </c>
      <c r="BH495" s="43">
        <v>259</v>
      </c>
      <c r="BI495" s="43">
        <v>242</v>
      </c>
      <c r="BJ495" s="43">
        <v>216</v>
      </c>
      <c r="BK495" s="43">
        <v>264</v>
      </c>
      <c r="BL495" s="43">
        <v>197</v>
      </c>
      <c r="BM495" s="43">
        <v>144</v>
      </c>
      <c r="BN495" s="43">
        <v>326</v>
      </c>
      <c r="BO495" s="43">
        <v>234</v>
      </c>
      <c r="BP495" s="43">
        <v>215</v>
      </c>
      <c r="BQ495" s="43">
        <v>235</v>
      </c>
      <c r="BR495" s="43">
        <v>209</v>
      </c>
      <c r="BS495" s="43">
        <v>278</v>
      </c>
      <c r="BT495" s="43">
        <v>165</v>
      </c>
      <c r="BU495" s="43">
        <v>287</v>
      </c>
      <c r="BV495" s="43">
        <v>298</v>
      </c>
      <c r="BW495" s="43">
        <v>192</v>
      </c>
      <c r="BX495" s="43">
        <v>174</v>
      </c>
      <c r="BY495" s="43">
        <v>239</v>
      </c>
      <c r="BZ495" s="43">
        <v>166</v>
      </c>
      <c r="CA495" s="43">
        <v>275</v>
      </c>
      <c r="CB495" s="43">
        <v>159</v>
      </c>
      <c r="CC495" s="43">
        <v>209</v>
      </c>
      <c r="CD495" s="43">
        <v>280</v>
      </c>
      <c r="CE495" s="43">
        <v>202</v>
      </c>
      <c r="CF495" s="43">
        <v>178</v>
      </c>
      <c r="CG495" s="43">
        <v>187</v>
      </c>
      <c r="CH495" s="43">
        <v>167</v>
      </c>
      <c r="CI495" s="43">
        <v>116</v>
      </c>
      <c r="CJ495" s="43">
        <v>243</v>
      </c>
      <c r="CK495" s="43">
        <v>193</v>
      </c>
      <c r="CL495" s="43">
        <v>174</v>
      </c>
      <c r="CM495" s="43">
        <v>267</v>
      </c>
      <c r="CN495" s="43">
        <v>264</v>
      </c>
      <c r="CO495" s="43">
        <v>153</v>
      </c>
      <c r="CP495" s="43">
        <v>210</v>
      </c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44"/>
      <c r="GA495" s="53"/>
      <c r="GB495" s="53"/>
      <c r="GC495" s="53"/>
      <c r="GD495" s="53"/>
      <c r="GE495" s="53"/>
      <c r="GF495" s="53"/>
      <c r="GG495" s="43">
        <v>271</v>
      </c>
      <c r="GH495" s="43">
        <v>213</v>
      </c>
      <c r="GI495" s="43"/>
      <c r="GJ495" s="43"/>
      <c r="GK495" s="43"/>
      <c r="GL495" s="43"/>
      <c r="GM495" s="53"/>
      <c r="GN495" s="43"/>
      <c r="GO495" s="43">
        <v>320</v>
      </c>
      <c r="GP495" s="43">
        <v>164</v>
      </c>
      <c r="GQ495" s="43">
        <v>332</v>
      </c>
      <c r="GR495" s="43">
        <v>145</v>
      </c>
    </row>
    <row r="496" spans="1:200">
      <c r="A496" s="7">
        <v>8601</v>
      </c>
      <c r="B496" s="1" t="s">
        <v>624</v>
      </c>
      <c r="C496" s="33">
        <v>1163</v>
      </c>
      <c r="D496" s="34">
        <v>836</v>
      </c>
      <c r="E496" s="19">
        <f t="shared" si="7"/>
        <v>0.71883061049011177</v>
      </c>
      <c r="F496" s="62">
        <v>547</v>
      </c>
      <c r="G496" s="43">
        <v>6</v>
      </c>
      <c r="H496" s="43">
        <v>25</v>
      </c>
      <c r="I496" s="43">
        <v>6</v>
      </c>
      <c r="J496" s="55">
        <v>242</v>
      </c>
      <c r="K496" s="6">
        <v>0</v>
      </c>
      <c r="L496" s="6">
        <v>0</v>
      </c>
      <c r="M496" s="43">
        <v>0</v>
      </c>
      <c r="N496" s="25">
        <v>0</v>
      </c>
      <c r="O496" s="43">
        <v>0</v>
      </c>
      <c r="P496" s="43">
        <v>0</v>
      </c>
      <c r="Q496" s="43">
        <v>0</v>
      </c>
      <c r="R496" s="43">
        <v>0</v>
      </c>
      <c r="S496" s="43">
        <v>0</v>
      </c>
      <c r="T496" s="43">
        <v>0</v>
      </c>
      <c r="U496" s="43">
        <v>0</v>
      </c>
      <c r="V496" s="43">
        <v>0</v>
      </c>
      <c r="W496" s="43">
        <v>0</v>
      </c>
      <c r="X496" s="43">
        <v>0</v>
      </c>
      <c r="Y496" s="43">
        <v>0</v>
      </c>
      <c r="Z496" s="43">
        <v>0</v>
      </c>
      <c r="AA496" s="44">
        <v>0</v>
      </c>
      <c r="AB496" s="44">
        <v>0</v>
      </c>
      <c r="AC496" s="44">
        <v>10</v>
      </c>
      <c r="AD496" s="44">
        <v>19</v>
      </c>
      <c r="AE496" s="44">
        <v>348</v>
      </c>
      <c r="AF496" s="44">
        <v>8</v>
      </c>
      <c r="AG496" s="44">
        <v>0</v>
      </c>
      <c r="AH496" s="44">
        <v>418</v>
      </c>
      <c r="AI496" s="32"/>
      <c r="AJ496" s="32"/>
      <c r="AK496" s="32"/>
      <c r="AL496" s="32"/>
      <c r="AM496" s="44">
        <v>95</v>
      </c>
      <c r="AN496" s="44">
        <v>373</v>
      </c>
      <c r="AO496" s="44">
        <v>300</v>
      </c>
      <c r="AP496" s="44"/>
      <c r="AQ496" s="44"/>
      <c r="AR496" s="51"/>
      <c r="AS496" s="51"/>
      <c r="AT496" s="51"/>
      <c r="AU496" s="51"/>
      <c r="AV496" s="51"/>
      <c r="AW496" s="50"/>
      <c r="AX496" s="50"/>
      <c r="AY496" s="43">
        <v>510</v>
      </c>
      <c r="AZ496" s="43">
        <v>268</v>
      </c>
      <c r="BA496" s="50"/>
      <c r="BB496" s="50"/>
      <c r="BC496" s="50"/>
      <c r="BD496" s="50"/>
      <c r="BE496" s="43">
        <v>222</v>
      </c>
      <c r="BF496" s="43">
        <v>545</v>
      </c>
      <c r="BG496" s="43">
        <v>298</v>
      </c>
      <c r="BH496" s="43">
        <v>491</v>
      </c>
      <c r="BI496" s="43">
        <v>354</v>
      </c>
      <c r="BJ496" s="43">
        <v>434</v>
      </c>
      <c r="BK496" s="43">
        <v>521</v>
      </c>
      <c r="BL496" s="43">
        <v>250</v>
      </c>
      <c r="BM496" s="43">
        <v>213</v>
      </c>
      <c r="BN496" s="43">
        <v>561</v>
      </c>
      <c r="BO496" s="43">
        <v>476</v>
      </c>
      <c r="BP496" s="43">
        <v>278</v>
      </c>
      <c r="BQ496" s="43">
        <v>312</v>
      </c>
      <c r="BR496" s="43">
        <v>448</v>
      </c>
      <c r="BS496" s="43">
        <v>416</v>
      </c>
      <c r="BT496" s="43">
        <v>202</v>
      </c>
      <c r="BU496" s="43">
        <v>562</v>
      </c>
      <c r="BV496" s="43">
        <v>475</v>
      </c>
      <c r="BW496" s="43">
        <v>294</v>
      </c>
      <c r="BX496" s="43">
        <v>354</v>
      </c>
      <c r="BY496" s="43">
        <v>327</v>
      </c>
      <c r="BZ496" s="43">
        <v>359</v>
      </c>
      <c r="CA496" s="43">
        <v>426</v>
      </c>
      <c r="CB496" s="43">
        <v>262</v>
      </c>
      <c r="CC496" s="43">
        <v>365</v>
      </c>
      <c r="CD496" s="43">
        <v>491</v>
      </c>
      <c r="CE496" s="43">
        <v>383</v>
      </c>
      <c r="CF496" s="43">
        <v>251</v>
      </c>
      <c r="CG496" s="43">
        <v>276</v>
      </c>
      <c r="CH496" s="43">
        <v>332</v>
      </c>
      <c r="CI496" s="43">
        <v>278</v>
      </c>
      <c r="CJ496" s="43">
        <v>347</v>
      </c>
      <c r="CK496" s="43">
        <v>298</v>
      </c>
      <c r="CL496" s="43">
        <v>318</v>
      </c>
      <c r="CM496" s="43">
        <v>407</v>
      </c>
      <c r="CN496" s="43">
        <v>420</v>
      </c>
      <c r="CO496" s="43">
        <v>317</v>
      </c>
      <c r="CP496" s="43">
        <v>312</v>
      </c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43">
        <v>359</v>
      </c>
      <c r="FZ496" s="43">
        <v>258</v>
      </c>
      <c r="GA496" s="43">
        <v>102</v>
      </c>
      <c r="GB496" s="43">
        <v>65</v>
      </c>
      <c r="GC496" s="53"/>
      <c r="GD496" s="53"/>
      <c r="GE496" s="53"/>
      <c r="GF496" s="53"/>
      <c r="GG496" s="53"/>
      <c r="GH496" s="53"/>
      <c r="GI496" s="43"/>
      <c r="GJ496" s="43"/>
      <c r="GK496" s="43"/>
      <c r="GL496" s="43"/>
      <c r="GM496" s="53"/>
      <c r="GN496" s="53"/>
      <c r="GO496" s="43">
        <v>550</v>
      </c>
      <c r="GP496" s="43">
        <v>227</v>
      </c>
      <c r="GQ496" s="43">
        <v>578</v>
      </c>
      <c r="GR496" s="43">
        <v>206</v>
      </c>
    </row>
    <row r="497" spans="1:200">
      <c r="A497" s="7">
        <v>8602</v>
      </c>
      <c r="B497" s="1" t="s">
        <v>625</v>
      </c>
      <c r="C497" s="33">
        <v>1180</v>
      </c>
      <c r="D497" s="34">
        <v>867</v>
      </c>
      <c r="E497" s="19">
        <f t="shared" si="7"/>
        <v>0.73474576271186443</v>
      </c>
      <c r="F497" s="62">
        <v>729</v>
      </c>
      <c r="G497" s="43">
        <v>2</v>
      </c>
      <c r="H497" s="43">
        <v>14</v>
      </c>
      <c r="I497" s="43">
        <v>13</v>
      </c>
      <c r="J497" s="55">
        <v>93</v>
      </c>
      <c r="K497" s="6">
        <v>0</v>
      </c>
      <c r="L497" s="6">
        <v>0</v>
      </c>
      <c r="M497" s="43">
        <v>0</v>
      </c>
      <c r="N497" s="25">
        <v>0</v>
      </c>
      <c r="O497" s="43">
        <v>0</v>
      </c>
      <c r="P497" s="43">
        <v>0</v>
      </c>
      <c r="Q497" s="43">
        <v>0</v>
      </c>
      <c r="R497" s="43">
        <v>0</v>
      </c>
      <c r="S497" s="43">
        <v>0</v>
      </c>
      <c r="T497" s="43">
        <v>0</v>
      </c>
      <c r="U497" s="43">
        <v>0</v>
      </c>
      <c r="V497" s="43">
        <v>0</v>
      </c>
      <c r="W497" s="43">
        <v>5</v>
      </c>
      <c r="X497" s="43">
        <v>0</v>
      </c>
      <c r="Y497" s="43">
        <v>0</v>
      </c>
      <c r="Z497" s="43">
        <v>0</v>
      </c>
      <c r="AA497" s="44">
        <v>0</v>
      </c>
      <c r="AB497" s="44">
        <v>0</v>
      </c>
      <c r="AC497" s="44">
        <v>9</v>
      </c>
      <c r="AD497" s="44">
        <v>17</v>
      </c>
      <c r="AE497" s="44">
        <v>158</v>
      </c>
      <c r="AF497" s="44">
        <v>10</v>
      </c>
      <c r="AG497" s="44">
        <v>0</v>
      </c>
      <c r="AH497" s="44">
        <v>633</v>
      </c>
      <c r="AI497" s="32"/>
      <c r="AJ497" s="32"/>
      <c r="AK497" s="32"/>
      <c r="AL497" s="32"/>
      <c r="AM497" s="44">
        <v>108</v>
      </c>
      <c r="AN497" s="44">
        <v>559</v>
      </c>
      <c r="AO497" s="44">
        <v>122</v>
      </c>
      <c r="AP497" s="44"/>
      <c r="AQ497" s="44"/>
      <c r="AR497" s="51"/>
      <c r="AS497" s="51"/>
      <c r="AT497" s="51"/>
      <c r="AU497" s="51"/>
      <c r="AV497" s="51"/>
      <c r="AW497" s="50"/>
      <c r="AX497" s="50"/>
      <c r="AY497" s="43">
        <v>710</v>
      </c>
      <c r="AZ497" s="43">
        <v>108</v>
      </c>
      <c r="BA497" s="50"/>
      <c r="BB497" s="50"/>
      <c r="BC497" s="50"/>
      <c r="BD497" s="50"/>
      <c r="BE497" s="43">
        <v>102</v>
      </c>
      <c r="BF497" s="43">
        <v>714</v>
      </c>
      <c r="BG497" s="43">
        <v>116</v>
      </c>
      <c r="BH497" s="43">
        <v>702</v>
      </c>
      <c r="BI497" s="43">
        <v>152</v>
      </c>
      <c r="BJ497" s="43">
        <v>663</v>
      </c>
      <c r="BK497" s="43">
        <v>688</v>
      </c>
      <c r="BL497" s="43">
        <v>126</v>
      </c>
      <c r="BM497" s="43">
        <v>94</v>
      </c>
      <c r="BN497" s="43">
        <v>722</v>
      </c>
      <c r="BO497" s="43">
        <v>677</v>
      </c>
      <c r="BP497" s="43">
        <v>126</v>
      </c>
      <c r="BQ497" s="43">
        <v>151</v>
      </c>
      <c r="BR497" s="43">
        <v>646</v>
      </c>
      <c r="BS497" s="43">
        <v>323</v>
      </c>
      <c r="BT497" s="43">
        <v>77</v>
      </c>
      <c r="BU497" s="43">
        <v>729</v>
      </c>
      <c r="BV497" s="43">
        <v>440</v>
      </c>
      <c r="BW497" s="43">
        <v>229</v>
      </c>
      <c r="BX497" s="43">
        <v>465</v>
      </c>
      <c r="BY497" s="43">
        <v>222</v>
      </c>
      <c r="BZ497" s="43">
        <v>527</v>
      </c>
      <c r="CA497" s="43">
        <v>397</v>
      </c>
      <c r="CB497" s="43">
        <v>135</v>
      </c>
      <c r="CC497" s="43">
        <v>557</v>
      </c>
      <c r="CD497" s="43">
        <v>533</v>
      </c>
      <c r="CE497" s="43">
        <v>523</v>
      </c>
      <c r="CF497" s="43">
        <v>167</v>
      </c>
      <c r="CG497" s="43">
        <v>191</v>
      </c>
      <c r="CH497" s="43">
        <v>484</v>
      </c>
      <c r="CI497" s="43">
        <v>470</v>
      </c>
      <c r="CJ497" s="43">
        <v>221</v>
      </c>
      <c r="CK497" s="43">
        <v>249</v>
      </c>
      <c r="CL497" s="43">
        <v>441</v>
      </c>
      <c r="CM497" s="43">
        <v>376</v>
      </c>
      <c r="CN497" s="43">
        <v>423</v>
      </c>
      <c r="CO497" s="43">
        <v>481</v>
      </c>
      <c r="CP497" s="43">
        <v>222</v>
      </c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43">
        <v>564</v>
      </c>
      <c r="FZ497" s="43">
        <v>267</v>
      </c>
      <c r="GA497" s="53"/>
      <c r="GB497" s="53"/>
      <c r="GC497" s="53"/>
      <c r="GD497" s="53"/>
      <c r="GE497" s="53"/>
      <c r="GF497" s="53"/>
      <c r="GG497" s="53"/>
      <c r="GH497" s="53"/>
      <c r="GI497" s="43"/>
      <c r="GJ497" s="43"/>
      <c r="GK497" s="43"/>
      <c r="GL497" s="43"/>
      <c r="GM497" s="53"/>
      <c r="GN497" s="53"/>
      <c r="GO497" s="43">
        <v>541</v>
      </c>
      <c r="GP497" s="43">
        <v>282</v>
      </c>
      <c r="GQ497" s="43">
        <v>636</v>
      </c>
      <c r="GR497" s="43">
        <v>191</v>
      </c>
    </row>
    <row r="498" spans="1:200">
      <c r="A498" s="7">
        <v>8603</v>
      </c>
      <c r="B498" s="1" t="s">
        <v>626</v>
      </c>
      <c r="C498" s="33">
        <v>1274</v>
      </c>
      <c r="D498" s="34">
        <v>857</v>
      </c>
      <c r="E498" s="19">
        <f t="shared" si="7"/>
        <v>0.67268445839874413</v>
      </c>
      <c r="F498" s="62">
        <v>612</v>
      </c>
      <c r="G498" s="43">
        <v>1</v>
      </c>
      <c r="H498" s="43">
        <v>30</v>
      </c>
      <c r="I498" s="43">
        <v>9</v>
      </c>
      <c r="J498" s="55">
        <v>183</v>
      </c>
      <c r="K498" s="6">
        <v>0</v>
      </c>
      <c r="L498" s="6">
        <v>0</v>
      </c>
      <c r="M498" s="43">
        <v>0</v>
      </c>
      <c r="N498" s="25">
        <v>0</v>
      </c>
      <c r="O498" s="43">
        <v>0</v>
      </c>
      <c r="P498" s="43">
        <v>1</v>
      </c>
      <c r="Q498" s="43">
        <v>0</v>
      </c>
      <c r="R498" s="43">
        <v>0</v>
      </c>
      <c r="S498" s="43">
        <v>0</v>
      </c>
      <c r="T498" s="43">
        <v>0</v>
      </c>
      <c r="U498" s="43">
        <v>0</v>
      </c>
      <c r="V498" s="43">
        <v>1</v>
      </c>
      <c r="W498" s="43">
        <v>3</v>
      </c>
      <c r="X498" s="43">
        <v>0</v>
      </c>
      <c r="Y498" s="43">
        <v>0</v>
      </c>
      <c r="Z498" s="43">
        <v>0</v>
      </c>
      <c r="AA498" s="44">
        <v>0</v>
      </c>
      <c r="AB498" s="44">
        <v>0</v>
      </c>
      <c r="AC498" s="44">
        <v>8</v>
      </c>
      <c r="AD498" s="44">
        <v>16</v>
      </c>
      <c r="AE498" s="44">
        <v>253</v>
      </c>
      <c r="AF498" s="44">
        <v>5</v>
      </c>
      <c r="AG498" s="44">
        <v>0</v>
      </c>
      <c r="AH498" s="44">
        <v>539</v>
      </c>
      <c r="AI498" s="32"/>
      <c r="AJ498" s="32"/>
      <c r="AK498" s="32"/>
      <c r="AL498" s="32"/>
      <c r="AM498" s="44">
        <v>123</v>
      </c>
      <c r="AN498" s="44">
        <v>453</v>
      </c>
      <c r="AO498" s="44">
        <v>220</v>
      </c>
      <c r="AP498" s="44"/>
      <c r="AQ498" s="44"/>
      <c r="AR498" s="51"/>
      <c r="AS498" s="51"/>
      <c r="AT498" s="51"/>
      <c r="AU498" s="51"/>
      <c r="AV498" s="51"/>
      <c r="AW498" s="50"/>
      <c r="AX498" s="50"/>
      <c r="AY498" s="43">
        <v>584</v>
      </c>
      <c r="AZ498" s="43">
        <v>210</v>
      </c>
      <c r="BA498" s="50"/>
      <c r="BB498" s="50"/>
      <c r="BC498" s="50"/>
      <c r="BD498" s="50"/>
      <c r="BE498" s="43">
        <v>186</v>
      </c>
      <c r="BF498" s="43">
        <v>611</v>
      </c>
      <c r="BG498" s="43">
        <v>231</v>
      </c>
      <c r="BH498" s="43">
        <v>575</v>
      </c>
      <c r="BI498" s="43">
        <v>257</v>
      </c>
      <c r="BJ498" s="43">
        <v>545</v>
      </c>
      <c r="BK498" s="43">
        <v>596</v>
      </c>
      <c r="BL498" s="43">
        <v>208</v>
      </c>
      <c r="BM498" s="43">
        <v>168</v>
      </c>
      <c r="BN498" s="43">
        <v>633</v>
      </c>
      <c r="BO498" s="43">
        <v>557</v>
      </c>
      <c r="BP498" s="43">
        <v>219</v>
      </c>
      <c r="BQ498" s="43">
        <v>261</v>
      </c>
      <c r="BR498" s="43">
        <v>525</v>
      </c>
      <c r="BS498" s="43">
        <v>373</v>
      </c>
      <c r="BT498" s="43">
        <v>157</v>
      </c>
      <c r="BU498" s="43">
        <v>629</v>
      </c>
      <c r="BV498" s="43">
        <v>447</v>
      </c>
      <c r="BW498" s="43">
        <v>260</v>
      </c>
      <c r="BX498" s="43">
        <v>392</v>
      </c>
      <c r="BY498" s="43">
        <v>289</v>
      </c>
      <c r="BZ498" s="43">
        <v>427</v>
      </c>
      <c r="CA498" s="43">
        <v>392</v>
      </c>
      <c r="CB498" s="43">
        <v>195</v>
      </c>
      <c r="CC498" s="43">
        <v>452</v>
      </c>
      <c r="CD498" s="43">
        <v>491</v>
      </c>
      <c r="CE498" s="43">
        <v>452</v>
      </c>
      <c r="CF498" s="43">
        <v>199</v>
      </c>
      <c r="CG498" s="43">
        <v>217</v>
      </c>
      <c r="CH498" s="43">
        <v>395</v>
      </c>
      <c r="CI498" s="43">
        <v>358</v>
      </c>
      <c r="CJ498" s="43">
        <v>294</v>
      </c>
      <c r="CK498" s="43">
        <v>273</v>
      </c>
      <c r="CL498" s="43">
        <v>371</v>
      </c>
      <c r="CM498" s="43">
        <v>373</v>
      </c>
      <c r="CN498" s="43">
        <v>411</v>
      </c>
      <c r="CO498" s="43">
        <v>382</v>
      </c>
      <c r="CP498" s="43">
        <v>274</v>
      </c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43">
        <v>530</v>
      </c>
      <c r="FZ498" s="43">
        <v>286</v>
      </c>
      <c r="GA498" s="53"/>
      <c r="GB498" s="53"/>
      <c r="GC498" s="53"/>
      <c r="GD498" s="53"/>
      <c r="GE498" s="53"/>
      <c r="GF498" s="53"/>
      <c r="GG498" s="53"/>
      <c r="GH498" s="53"/>
      <c r="GI498" s="43"/>
      <c r="GJ498" s="43"/>
      <c r="GK498" s="43"/>
      <c r="GL498" s="43"/>
      <c r="GM498" s="53"/>
      <c r="GN498" s="53"/>
      <c r="GO498" s="43">
        <v>572</v>
      </c>
      <c r="GP498" s="43">
        <v>225</v>
      </c>
      <c r="GQ498" s="43">
        <v>620</v>
      </c>
      <c r="GR498" s="43">
        <v>184</v>
      </c>
    </row>
    <row r="499" spans="1:200">
      <c r="A499" s="7">
        <v>8701</v>
      </c>
      <c r="B499" s="1" t="s">
        <v>627</v>
      </c>
      <c r="C499" s="33">
        <v>881</v>
      </c>
      <c r="D499" s="34">
        <v>527</v>
      </c>
      <c r="E499" s="19">
        <f t="shared" si="7"/>
        <v>0.59818388195232686</v>
      </c>
      <c r="F499" s="62">
        <v>458</v>
      </c>
      <c r="G499" s="43">
        <v>0</v>
      </c>
      <c r="H499" s="43">
        <v>7</v>
      </c>
      <c r="I499" s="43">
        <v>6</v>
      </c>
      <c r="J499" s="55">
        <v>52</v>
      </c>
      <c r="K499" s="6">
        <v>0</v>
      </c>
      <c r="L499" s="6">
        <v>0</v>
      </c>
      <c r="M499" s="43">
        <v>0</v>
      </c>
      <c r="N499" s="25">
        <v>0</v>
      </c>
      <c r="O499" s="43">
        <v>0</v>
      </c>
      <c r="P499" s="43">
        <v>0</v>
      </c>
      <c r="Q499" s="43">
        <v>0</v>
      </c>
      <c r="R499" s="43">
        <v>0</v>
      </c>
      <c r="S499" s="43">
        <v>0</v>
      </c>
      <c r="T499" s="43">
        <v>0</v>
      </c>
      <c r="U499" s="43">
        <v>0</v>
      </c>
      <c r="V499" s="43">
        <v>0</v>
      </c>
      <c r="W499" s="43">
        <v>0</v>
      </c>
      <c r="X499" s="43">
        <v>0</v>
      </c>
      <c r="Y499" s="43">
        <v>0</v>
      </c>
      <c r="Z499" s="43">
        <v>0</v>
      </c>
      <c r="AA499" s="44">
        <v>0</v>
      </c>
      <c r="AB499" s="44">
        <v>0</v>
      </c>
      <c r="AC499" s="44">
        <v>8</v>
      </c>
      <c r="AD499" s="44">
        <v>5</v>
      </c>
      <c r="AE499" s="44">
        <v>82</v>
      </c>
      <c r="AF499" s="44">
        <v>13</v>
      </c>
      <c r="AG499" s="44">
        <v>0</v>
      </c>
      <c r="AH499" s="44">
        <v>394</v>
      </c>
      <c r="AI499" s="32"/>
      <c r="AJ499" s="32"/>
      <c r="AK499" s="32"/>
      <c r="AL499" s="32"/>
      <c r="AM499" s="44">
        <v>9</v>
      </c>
      <c r="AN499" s="44">
        <v>412</v>
      </c>
      <c r="AO499" s="44">
        <v>66</v>
      </c>
      <c r="AP499" s="44"/>
      <c r="AQ499" s="44"/>
      <c r="AR499" s="51"/>
      <c r="AS499" s="51"/>
      <c r="AT499" s="51"/>
      <c r="AU499" s="51"/>
      <c r="AV499" s="51"/>
      <c r="AW499" s="50"/>
      <c r="AX499" s="50"/>
      <c r="AY499" s="50"/>
      <c r="AZ499" s="50"/>
      <c r="BA499" s="50"/>
      <c r="BB499" s="50"/>
      <c r="BC499" s="43">
        <v>60</v>
      </c>
      <c r="BD499" s="43">
        <v>446</v>
      </c>
      <c r="BE499" s="43">
        <v>52</v>
      </c>
      <c r="BF499" s="43">
        <v>447</v>
      </c>
      <c r="BG499" s="43">
        <v>70</v>
      </c>
      <c r="BH499" s="43">
        <v>422</v>
      </c>
      <c r="BI499" s="43">
        <v>99</v>
      </c>
      <c r="BJ499" s="43">
        <v>407</v>
      </c>
      <c r="BK499" s="43">
        <v>396</v>
      </c>
      <c r="BL499" s="43">
        <v>101</v>
      </c>
      <c r="BM499" s="43">
        <v>50</v>
      </c>
      <c r="BN499" s="43">
        <v>447</v>
      </c>
      <c r="BO499" s="43">
        <v>421</v>
      </c>
      <c r="BP499" s="43">
        <v>77</v>
      </c>
      <c r="BQ499" s="43">
        <v>81</v>
      </c>
      <c r="BR499" s="43">
        <v>419</v>
      </c>
      <c r="BS499" s="43">
        <v>182</v>
      </c>
      <c r="BT499" s="43">
        <v>56</v>
      </c>
      <c r="BU499" s="43">
        <v>440</v>
      </c>
      <c r="BV499" s="43">
        <v>262</v>
      </c>
      <c r="BW499" s="43">
        <v>127</v>
      </c>
      <c r="BX499" s="43">
        <v>285</v>
      </c>
      <c r="BY499" s="43">
        <v>126</v>
      </c>
      <c r="BZ499" s="43">
        <v>320</v>
      </c>
      <c r="CA499" s="43">
        <v>235</v>
      </c>
      <c r="CB499" s="43">
        <v>88</v>
      </c>
      <c r="CC499" s="43">
        <v>318</v>
      </c>
      <c r="CD499" s="43">
        <v>317</v>
      </c>
      <c r="CE499" s="43">
        <v>320</v>
      </c>
      <c r="CF499" s="43">
        <v>97</v>
      </c>
      <c r="CG499" s="43">
        <v>93</v>
      </c>
      <c r="CH499" s="43">
        <v>299</v>
      </c>
      <c r="CI499" s="43">
        <v>266</v>
      </c>
      <c r="CJ499" s="43">
        <v>142</v>
      </c>
      <c r="CK499" s="43">
        <v>160</v>
      </c>
      <c r="CL499" s="43">
        <v>261</v>
      </c>
      <c r="CM499" s="43">
        <v>235</v>
      </c>
      <c r="CN499" s="43">
        <v>254</v>
      </c>
      <c r="CO499" s="43">
        <v>260</v>
      </c>
      <c r="CP499" s="43">
        <v>171</v>
      </c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  <c r="FW499" s="6"/>
      <c r="FX499" s="6"/>
      <c r="FY499" s="53"/>
      <c r="FZ499" s="53"/>
      <c r="GA499" s="53"/>
      <c r="GB499" s="53"/>
      <c r="GC499" s="53"/>
      <c r="GD499" s="53"/>
      <c r="GE499" s="53"/>
      <c r="GF499" s="53"/>
      <c r="GG499" s="53"/>
      <c r="GH499" s="53"/>
      <c r="GI499" s="43"/>
      <c r="GJ499" s="43"/>
      <c r="GK499" s="43"/>
      <c r="GL499" s="43"/>
      <c r="GM499" s="53"/>
      <c r="GN499" s="53"/>
      <c r="GO499" s="43">
        <v>338</v>
      </c>
      <c r="GP499" s="43">
        <v>144</v>
      </c>
      <c r="GQ499" s="43">
        <v>375</v>
      </c>
      <c r="GR499" s="43">
        <v>116</v>
      </c>
    </row>
    <row r="500" spans="1:200">
      <c r="A500" s="7">
        <v>8702</v>
      </c>
      <c r="B500" s="1" t="s">
        <v>628</v>
      </c>
      <c r="C500" s="33">
        <v>682</v>
      </c>
      <c r="D500" s="34">
        <v>520</v>
      </c>
      <c r="E500" s="19">
        <f t="shared" si="7"/>
        <v>0.76246334310850439</v>
      </c>
      <c r="F500" s="62">
        <v>307</v>
      </c>
      <c r="G500" s="43">
        <v>3</v>
      </c>
      <c r="H500" s="43">
        <v>13</v>
      </c>
      <c r="I500" s="43">
        <v>4</v>
      </c>
      <c r="J500" s="55">
        <v>176</v>
      </c>
      <c r="K500" s="6">
        <v>0</v>
      </c>
      <c r="L500" s="6">
        <v>0</v>
      </c>
      <c r="M500" s="43">
        <v>0</v>
      </c>
      <c r="N500" s="25">
        <v>0</v>
      </c>
      <c r="O500" s="43">
        <v>0</v>
      </c>
      <c r="P500" s="43">
        <v>0</v>
      </c>
      <c r="Q500" s="43">
        <v>0</v>
      </c>
      <c r="R500" s="43">
        <v>0</v>
      </c>
      <c r="S500" s="43">
        <v>0</v>
      </c>
      <c r="T500" s="43">
        <v>0</v>
      </c>
      <c r="U500" s="43">
        <v>0</v>
      </c>
      <c r="V500" s="43">
        <v>0</v>
      </c>
      <c r="W500" s="43">
        <v>6</v>
      </c>
      <c r="X500" s="43">
        <v>0</v>
      </c>
      <c r="Y500" s="43">
        <v>0</v>
      </c>
      <c r="Z500" s="43">
        <v>0</v>
      </c>
      <c r="AA500" s="44">
        <v>0</v>
      </c>
      <c r="AB500" s="44">
        <v>0</v>
      </c>
      <c r="AC500" s="44">
        <v>3</v>
      </c>
      <c r="AD500" s="44">
        <v>12</v>
      </c>
      <c r="AE500" s="44">
        <v>242</v>
      </c>
      <c r="AF500" s="44">
        <v>4</v>
      </c>
      <c r="AG500" s="44">
        <v>0</v>
      </c>
      <c r="AH500" s="44">
        <v>247</v>
      </c>
      <c r="AI500" s="32"/>
      <c r="AJ500" s="32"/>
      <c r="AK500" s="32"/>
      <c r="AL500" s="32"/>
      <c r="AM500" s="44">
        <v>9</v>
      </c>
      <c r="AN500" s="44">
        <v>251</v>
      </c>
      <c r="AO500" s="44">
        <v>236</v>
      </c>
      <c r="AP500" s="44"/>
      <c r="AQ500" s="44"/>
      <c r="AR500" s="51"/>
      <c r="AS500" s="51"/>
      <c r="AT500" s="51"/>
      <c r="AU500" s="51"/>
      <c r="AV500" s="51"/>
      <c r="AW500" s="50"/>
      <c r="AX500" s="50"/>
      <c r="AY500" s="50"/>
      <c r="AZ500" s="50"/>
      <c r="BA500" s="50"/>
      <c r="BB500" s="50"/>
      <c r="BC500" s="43">
        <v>211</v>
      </c>
      <c r="BD500" s="43">
        <v>283</v>
      </c>
      <c r="BE500" s="43">
        <v>170</v>
      </c>
      <c r="BF500" s="43">
        <v>324</v>
      </c>
      <c r="BG500" s="43">
        <v>209</v>
      </c>
      <c r="BH500" s="43">
        <v>289</v>
      </c>
      <c r="BI500" s="43">
        <v>239</v>
      </c>
      <c r="BJ500" s="43">
        <v>248</v>
      </c>
      <c r="BK500" s="43">
        <v>291</v>
      </c>
      <c r="BL500" s="43">
        <v>200</v>
      </c>
      <c r="BM500" s="43">
        <v>164</v>
      </c>
      <c r="BN500" s="43">
        <v>323</v>
      </c>
      <c r="BO500" s="43">
        <v>268</v>
      </c>
      <c r="BP500" s="43">
        <v>220</v>
      </c>
      <c r="BQ500" s="43">
        <v>245</v>
      </c>
      <c r="BR500" s="43">
        <v>240</v>
      </c>
      <c r="BS500" s="43">
        <v>321</v>
      </c>
      <c r="BT500" s="43">
        <v>154</v>
      </c>
      <c r="BU500" s="43">
        <v>329</v>
      </c>
      <c r="BV500" s="43">
        <v>325</v>
      </c>
      <c r="BW500" s="43">
        <v>209</v>
      </c>
      <c r="BX500" s="43">
        <v>194</v>
      </c>
      <c r="BY500" s="43">
        <v>225</v>
      </c>
      <c r="BZ500" s="43">
        <v>217</v>
      </c>
      <c r="CA500" s="43">
        <v>284</v>
      </c>
      <c r="CB500" s="43">
        <v>160</v>
      </c>
      <c r="CC500" s="43">
        <v>238</v>
      </c>
      <c r="CD500" s="43">
        <v>305</v>
      </c>
      <c r="CE500" s="43">
        <v>211</v>
      </c>
      <c r="CF500" s="43">
        <v>205</v>
      </c>
      <c r="CG500" s="43">
        <v>194</v>
      </c>
      <c r="CH500" s="43">
        <v>177</v>
      </c>
      <c r="CI500" s="43">
        <v>159</v>
      </c>
      <c r="CJ500" s="43">
        <v>242</v>
      </c>
      <c r="CK500" s="43">
        <v>198</v>
      </c>
      <c r="CL500" s="43">
        <v>196</v>
      </c>
      <c r="CM500" s="43">
        <v>283</v>
      </c>
      <c r="CN500" s="43">
        <v>293</v>
      </c>
      <c r="CO500" s="43">
        <v>206</v>
      </c>
      <c r="CP500" s="43">
        <v>200</v>
      </c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53"/>
      <c r="FZ500" s="53"/>
      <c r="GA500" s="53"/>
      <c r="GB500" s="53"/>
      <c r="GC500" s="53"/>
      <c r="GD500" s="53"/>
      <c r="GE500" s="53"/>
      <c r="GF500" s="53"/>
      <c r="GG500" s="53"/>
      <c r="GH500" s="53"/>
      <c r="GI500" s="43"/>
      <c r="GJ500" s="43"/>
      <c r="GK500" s="43"/>
      <c r="GL500" s="43"/>
      <c r="GM500" s="53"/>
      <c r="GN500" s="53"/>
      <c r="GO500" s="43">
        <v>366</v>
      </c>
      <c r="GP500" s="43">
        <v>131</v>
      </c>
      <c r="GQ500" s="43">
        <v>361</v>
      </c>
      <c r="GR500" s="43">
        <v>132</v>
      </c>
    </row>
    <row r="501" spans="1:200">
      <c r="A501" s="8">
        <v>8703</v>
      </c>
      <c r="B501" s="1" t="s">
        <v>629</v>
      </c>
      <c r="C501" s="33">
        <v>1220</v>
      </c>
      <c r="D501" s="34">
        <v>941</v>
      </c>
      <c r="E501" s="19">
        <f t="shared" si="7"/>
        <v>0.77131147540983602</v>
      </c>
      <c r="F501" s="62">
        <v>554</v>
      </c>
      <c r="G501" s="43">
        <v>1</v>
      </c>
      <c r="H501" s="43">
        <v>34</v>
      </c>
      <c r="I501" s="43">
        <v>6</v>
      </c>
      <c r="J501" s="55">
        <v>328</v>
      </c>
      <c r="K501" s="6">
        <v>0</v>
      </c>
      <c r="L501" s="6">
        <v>0</v>
      </c>
      <c r="M501" s="43">
        <v>0</v>
      </c>
      <c r="N501" s="25">
        <v>0</v>
      </c>
      <c r="O501" s="43">
        <v>0</v>
      </c>
      <c r="P501" s="43">
        <v>0</v>
      </c>
      <c r="Q501" s="43">
        <v>0</v>
      </c>
      <c r="R501" s="43">
        <v>0</v>
      </c>
      <c r="S501" s="43">
        <v>0</v>
      </c>
      <c r="T501" s="43">
        <v>0</v>
      </c>
      <c r="U501" s="43">
        <v>0</v>
      </c>
      <c r="V501" s="43">
        <v>0</v>
      </c>
      <c r="W501" s="43">
        <v>4</v>
      </c>
      <c r="X501" s="43">
        <v>0</v>
      </c>
      <c r="Y501" s="43">
        <v>0</v>
      </c>
      <c r="Z501" s="43">
        <v>0</v>
      </c>
      <c r="AA501" s="44">
        <v>0</v>
      </c>
      <c r="AB501" s="44">
        <v>0</v>
      </c>
      <c r="AC501" s="44">
        <v>12</v>
      </c>
      <c r="AD501" s="44">
        <v>19</v>
      </c>
      <c r="AE501" s="44">
        <v>402</v>
      </c>
      <c r="AF501" s="44">
        <v>17</v>
      </c>
      <c r="AG501" s="44">
        <v>0</v>
      </c>
      <c r="AH501" s="44">
        <v>460</v>
      </c>
      <c r="AI501" s="32"/>
      <c r="AJ501" s="32"/>
      <c r="AK501" s="32"/>
      <c r="AL501" s="32"/>
      <c r="AM501" s="44">
        <v>26</v>
      </c>
      <c r="AN501" s="44">
        <v>490</v>
      </c>
      <c r="AO501" s="44">
        <v>372</v>
      </c>
      <c r="AP501" s="44"/>
      <c r="AQ501" s="44"/>
      <c r="AR501" s="51"/>
      <c r="AS501" s="51"/>
      <c r="AT501" s="51"/>
      <c r="AU501" s="51"/>
      <c r="AV501" s="51"/>
      <c r="AW501" s="50"/>
      <c r="AX501" s="50"/>
      <c r="AY501" s="50"/>
      <c r="AZ501" s="50"/>
      <c r="BA501" s="50"/>
      <c r="BB501" s="50"/>
      <c r="BC501" s="43">
        <v>350</v>
      </c>
      <c r="BD501" s="43">
        <v>532</v>
      </c>
      <c r="BE501" s="43">
        <v>301</v>
      </c>
      <c r="BF501" s="43">
        <v>574</v>
      </c>
      <c r="BG501" s="43">
        <v>361</v>
      </c>
      <c r="BH501" s="43">
        <v>517</v>
      </c>
      <c r="BI501" s="43">
        <v>419</v>
      </c>
      <c r="BJ501" s="43">
        <v>454</v>
      </c>
      <c r="BK501" s="43">
        <v>511</v>
      </c>
      <c r="BL501" s="43">
        <v>370</v>
      </c>
      <c r="BM501" s="43">
        <v>269</v>
      </c>
      <c r="BN501" s="43">
        <v>594</v>
      </c>
      <c r="BO501" s="43">
        <v>491</v>
      </c>
      <c r="BP501" s="43">
        <v>365</v>
      </c>
      <c r="BQ501" s="43">
        <v>391</v>
      </c>
      <c r="BR501" s="43">
        <v>463</v>
      </c>
      <c r="BS501" s="43">
        <v>525</v>
      </c>
      <c r="BT501" s="43">
        <v>252</v>
      </c>
      <c r="BU501" s="43">
        <v>598</v>
      </c>
      <c r="BV501" s="43">
        <v>563</v>
      </c>
      <c r="BW501" s="43">
        <v>357</v>
      </c>
      <c r="BX501" s="43">
        <v>370</v>
      </c>
      <c r="BY501" s="43">
        <v>401</v>
      </c>
      <c r="BZ501" s="43">
        <v>371</v>
      </c>
      <c r="CA501" s="43">
        <v>493</v>
      </c>
      <c r="CB501" s="43">
        <v>303</v>
      </c>
      <c r="CC501" s="43">
        <v>404</v>
      </c>
      <c r="CD501" s="43">
        <v>528</v>
      </c>
      <c r="CE501" s="43">
        <v>373</v>
      </c>
      <c r="CF501" s="43">
        <v>353</v>
      </c>
      <c r="CG501" s="43">
        <v>340</v>
      </c>
      <c r="CH501" s="43">
        <v>338</v>
      </c>
      <c r="CI501" s="43">
        <v>301</v>
      </c>
      <c r="CJ501" s="43">
        <v>418</v>
      </c>
      <c r="CK501" s="43">
        <v>387</v>
      </c>
      <c r="CL501" s="43">
        <v>331</v>
      </c>
      <c r="CM501" s="43">
        <v>473</v>
      </c>
      <c r="CN501" s="43">
        <v>500</v>
      </c>
      <c r="CO501" s="43">
        <v>321</v>
      </c>
      <c r="CP501" s="43">
        <v>391</v>
      </c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43">
        <v>604</v>
      </c>
      <c r="FL501" s="43">
        <v>266</v>
      </c>
      <c r="FM501" s="6"/>
      <c r="FN501" s="6"/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53"/>
      <c r="FZ501" s="53"/>
      <c r="GA501" s="53"/>
      <c r="GB501" s="53"/>
      <c r="GC501" s="53"/>
      <c r="GD501" s="53"/>
      <c r="GE501" s="53"/>
      <c r="GF501" s="53"/>
      <c r="GG501" s="53"/>
      <c r="GH501" s="53"/>
      <c r="GI501" s="43"/>
      <c r="GJ501" s="43"/>
      <c r="GK501" s="43"/>
      <c r="GL501" s="43"/>
      <c r="GM501" s="53"/>
      <c r="GN501" s="53"/>
      <c r="GO501" s="43">
        <v>610</v>
      </c>
      <c r="GP501" s="43">
        <v>273</v>
      </c>
      <c r="GQ501" s="43">
        <v>630</v>
      </c>
      <c r="GR501" s="43">
        <v>247</v>
      </c>
    </row>
    <row r="502" spans="1:200">
      <c r="A502" s="7">
        <v>8704</v>
      </c>
      <c r="B502" s="1" t="s">
        <v>630</v>
      </c>
      <c r="C502" s="33">
        <v>840</v>
      </c>
      <c r="D502" s="34">
        <v>675</v>
      </c>
      <c r="E502" s="19">
        <f t="shared" si="7"/>
        <v>0.8035714285714286</v>
      </c>
      <c r="F502" s="62">
        <v>379</v>
      </c>
      <c r="G502" s="43">
        <v>2</v>
      </c>
      <c r="H502" s="43">
        <v>16</v>
      </c>
      <c r="I502" s="43">
        <v>12</v>
      </c>
      <c r="J502" s="55">
        <v>253</v>
      </c>
      <c r="K502" s="6">
        <v>0</v>
      </c>
      <c r="L502" s="6">
        <v>0</v>
      </c>
      <c r="M502" s="43">
        <v>0</v>
      </c>
      <c r="N502" s="25">
        <v>0</v>
      </c>
      <c r="O502" s="43">
        <v>0</v>
      </c>
      <c r="P502" s="43">
        <v>0</v>
      </c>
      <c r="Q502" s="43">
        <v>0</v>
      </c>
      <c r="R502" s="43">
        <v>0</v>
      </c>
      <c r="S502" s="43">
        <v>0</v>
      </c>
      <c r="T502" s="43">
        <v>0</v>
      </c>
      <c r="U502" s="43">
        <v>0</v>
      </c>
      <c r="V502" s="43">
        <v>0</v>
      </c>
      <c r="W502" s="43">
        <v>1</v>
      </c>
      <c r="X502" s="43">
        <v>0</v>
      </c>
      <c r="Y502" s="43">
        <v>0</v>
      </c>
      <c r="Z502" s="43">
        <v>0</v>
      </c>
      <c r="AA502" s="44">
        <v>0</v>
      </c>
      <c r="AB502" s="44">
        <v>0</v>
      </c>
      <c r="AC502" s="44">
        <v>7</v>
      </c>
      <c r="AD502" s="44">
        <v>14</v>
      </c>
      <c r="AE502" s="44">
        <v>283</v>
      </c>
      <c r="AF502" s="44">
        <v>12</v>
      </c>
      <c r="AG502" s="44">
        <v>0</v>
      </c>
      <c r="AH502" s="44">
        <v>339</v>
      </c>
      <c r="AI502" s="44">
        <v>304</v>
      </c>
      <c r="AJ502" s="44">
        <v>0</v>
      </c>
      <c r="AK502" s="44">
        <v>0</v>
      </c>
      <c r="AL502" s="44">
        <v>355</v>
      </c>
      <c r="AM502" s="48"/>
      <c r="AN502" s="48"/>
      <c r="AO502" s="48"/>
      <c r="AP502" s="44">
        <v>366</v>
      </c>
      <c r="AQ502" s="44">
        <v>264</v>
      </c>
      <c r="AR502" s="50"/>
      <c r="AS502" s="50"/>
      <c r="AT502" s="43">
        <v>282</v>
      </c>
      <c r="AU502" s="43">
        <v>361</v>
      </c>
      <c r="AV502" s="50"/>
      <c r="AW502" s="50"/>
      <c r="AX502" s="50"/>
      <c r="AY502" s="50"/>
      <c r="AZ502" s="50"/>
      <c r="BA502" s="50"/>
      <c r="BB502" s="50"/>
      <c r="BC502" s="50"/>
      <c r="BD502" s="50"/>
      <c r="BE502" s="43">
        <v>223</v>
      </c>
      <c r="BF502" s="43">
        <v>416</v>
      </c>
      <c r="BG502" s="43">
        <v>272</v>
      </c>
      <c r="BH502" s="43">
        <v>370</v>
      </c>
      <c r="BI502" s="43">
        <v>278</v>
      </c>
      <c r="BJ502" s="43">
        <v>356</v>
      </c>
      <c r="BK502" s="43">
        <v>372</v>
      </c>
      <c r="BL502" s="43">
        <v>272</v>
      </c>
      <c r="BM502" s="43">
        <v>234</v>
      </c>
      <c r="BN502" s="43">
        <v>407</v>
      </c>
      <c r="BO502" s="43">
        <v>384</v>
      </c>
      <c r="BP502" s="43">
        <v>248</v>
      </c>
      <c r="BQ502" s="43">
        <v>290</v>
      </c>
      <c r="BR502" s="43">
        <v>346</v>
      </c>
      <c r="BS502" s="43">
        <v>357</v>
      </c>
      <c r="BT502" s="43">
        <v>214</v>
      </c>
      <c r="BU502" s="43">
        <v>417</v>
      </c>
      <c r="BV502" s="43">
        <v>390</v>
      </c>
      <c r="BW502" s="43">
        <v>252</v>
      </c>
      <c r="BX502" s="43">
        <v>292</v>
      </c>
      <c r="BY502" s="43">
        <v>265</v>
      </c>
      <c r="BZ502" s="43">
        <v>320</v>
      </c>
      <c r="CA502" s="43">
        <v>353</v>
      </c>
      <c r="CB502" s="43">
        <v>200</v>
      </c>
      <c r="CC502" s="43">
        <v>331</v>
      </c>
      <c r="CD502" s="43">
        <v>405</v>
      </c>
      <c r="CE502" s="43">
        <v>328</v>
      </c>
      <c r="CF502" s="43">
        <v>209</v>
      </c>
      <c r="CG502" s="43">
        <v>236</v>
      </c>
      <c r="CH502" s="43">
        <v>274</v>
      </c>
      <c r="CI502" s="43">
        <v>254</v>
      </c>
      <c r="CJ502" s="43">
        <v>272</v>
      </c>
      <c r="CK502" s="43">
        <v>252</v>
      </c>
      <c r="CL502" s="43">
        <v>284</v>
      </c>
      <c r="CM502" s="43">
        <v>337</v>
      </c>
      <c r="CN502" s="43">
        <v>345</v>
      </c>
      <c r="CO502" s="43">
        <v>270</v>
      </c>
      <c r="CP502" s="43">
        <v>258</v>
      </c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53"/>
      <c r="FZ502" s="53"/>
      <c r="GA502" s="53"/>
      <c r="GB502" s="53"/>
      <c r="GC502" s="53"/>
      <c r="GD502" s="53"/>
      <c r="GE502" s="53"/>
      <c r="GF502" s="53"/>
      <c r="GG502" s="53"/>
      <c r="GH502" s="53"/>
      <c r="GI502" s="43"/>
      <c r="GJ502" s="43"/>
      <c r="GK502" s="43"/>
      <c r="GL502" s="43"/>
      <c r="GM502" s="53"/>
      <c r="GN502" s="53"/>
      <c r="GO502" s="43">
        <v>451</v>
      </c>
      <c r="GP502" s="43">
        <v>192</v>
      </c>
      <c r="GQ502" s="43">
        <v>446</v>
      </c>
      <c r="GR502" s="43">
        <v>195</v>
      </c>
    </row>
    <row r="503" spans="1:200">
      <c r="A503" s="7">
        <v>8705</v>
      </c>
      <c r="B503" s="1" t="s">
        <v>631</v>
      </c>
      <c r="C503" s="33">
        <v>528</v>
      </c>
      <c r="D503" s="34">
        <v>412</v>
      </c>
      <c r="E503" s="19">
        <f t="shared" si="7"/>
        <v>0.78030303030303028</v>
      </c>
      <c r="F503" s="62">
        <v>278</v>
      </c>
      <c r="G503" s="43">
        <v>2</v>
      </c>
      <c r="H503" s="43">
        <v>7</v>
      </c>
      <c r="I503" s="43">
        <v>3</v>
      </c>
      <c r="J503" s="55">
        <v>108</v>
      </c>
      <c r="K503" s="6">
        <v>0</v>
      </c>
      <c r="L503" s="6">
        <v>0</v>
      </c>
      <c r="M503" s="43">
        <v>0</v>
      </c>
      <c r="N503" s="25">
        <v>0</v>
      </c>
      <c r="O503" s="43">
        <v>0</v>
      </c>
      <c r="P503" s="43">
        <v>2</v>
      </c>
      <c r="Q503" s="43">
        <v>0</v>
      </c>
      <c r="R503" s="43">
        <v>0</v>
      </c>
      <c r="S503" s="43">
        <v>0</v>
      </c>
      <c r="T503" s="43">
        <v>0</v>
      </c>
      <c r="U503" s="43">
        <v>0</v>
      </c>
      <c r="V503" s="43">
        <v>0</v>
      </c>
      <c r="W503" s="43">
        <v>1</v>
      </c>
      <c r="X503" s="43">
        <v>0</v>
      </c>
      <c r="Y503" s="43">
        <v>0</v>
      </c>
      <c r="Z503" s="43">
        <v>0</v>
      </c>
      <c r="AA503" s="44">
        <v>0</v>
      </c>
      <c r="AB503" s="44">
        <v>0</v>
      </c>
      <c r="AC503" s="44">
        <v>12</v>
      </c>
      <c r="AD503" s="44">
        <v>4</v>
      </c>
      <c r="AE503" s="44">
        <v>159</v>
      </c>
      <c r="AF503" s="44">
        <v>3</v>
      </c>
      <c r="AG503" s="44">
        <v>0</v>
      </c>
      <c r="AH503" s="44">
        <v>220</v>
      </c>
      <c r="AI503" s="32"/>
      <c r="AJ503" s="32"/>
      <c r="AK503" s="32"/>
      <c r="AL503" s="32"/>
      <c r="AM503" s="44">
        <v>7</v>
      </c>
      <c r="AN503" s="44">
        <v>222</v>
      </c>
      <c r="AO503" s="44">
        <v>155</v>
      </c>
      <c r="AP503" s="44"/>
      <c r="AQ503" s="44"/>
      <c r="AR503" s="51"/>
      <c r="AS503" s="51"/>
      <c r="AT503" s="51"/>
      <c r="AU503" s="51"/>
      <c r="AV503" s="51"/>
      <c r="AW503" s="50"/>
      <c r="AX503" s="50"/>
      <c r="AY503" s="50"/>
      <c r="AZ503" s="50"/>
      <c r="BA503" s="50"/>
      <c r="BB503" s="50"/>
      <c r="BC503" s="43">
        <v>130</v>
      </c>
      <c r="BD503" s="43">
        <v>261</v>
      </c>
      <c r="BE503" s="43">
        <v>114</v>
      </c>
      <c r="BF503" s="43">
        <v>270</v>
      </c>
      <c r="BG503" s="43">
        <v>143</v>
      </c>
      <c r="BH503" s="43">
        <v>242</v>
      </c>
      <c r="BI503" s="43">
        <v>157</v>
      </c>
      <c r="BJ503" s="43">
        <v>226</v>
      </c>
      <c r="BK503" s="43">
        <v>255</v>
      </c>
      <c r="BL503" s="43">
        <v>134</v>
      </c>
      <c r="BM503" s="43">
        <v>96</v>
      </c>
      <c r="BN503" s="43">
        <v>286</v>
      </c>
      <c r="BO503" s="43">
        <v>239</v>
      </c>
      <c r="BP503" s="43">
        <v>142</v>
      </c>
      <c r="BQ503" s="43">
        <v>154</v>
      </c>
      <c r="BR503" s="43">
        <v>229</v>
      </c>
      <c r="BS503" s="43">
        <v>211</v>
      </c>
      <c r="BT503" s="43">
        <v>98</v>
      </c>
      <c r="BU503" s="43">
        <v>285</v>
      </c>
      <c r="BV503" s="43">
        <v>226</v>
      </c>
      <c r="BW503" s="43">
        <v>163</v>
      </c>
      <c r="BX503" s="43">
        <v>162</v>
      </c>
      <c r="BY503" s="43">
        <v>170</v>
      </c>
      <c r="BZ503" s="43">
        <v>178</v>
      </c>
      <c r="CA503" s="43">
        <v>209</v>
      </c>
      <c r="CB503" s="43">
        <v>127</v>
      </c>
      <c r="CC503" s="43">
        <v>191</v>
      </c>
      <c r="CD503" s="43">
        <v>235</v>
      </c>
      <c r="CE503" s="43">
        <v>186</v>
      </c>
      <c r="CF503" s="43">
        <v>142</v>
      </c>
      <c r="CG503" s="43">
        <v>127</v>
      </c>
      <c r="CH503" s="43">
        <v>178</v>
      </c>
      <c r="CI503" s="43">
        <v>137</v>
      </c>
      <c r="CJ503" s="43">
        <v>170</v>
      </c>
      <c r="CK503" s="43">
        <v>142</v>
      </c>
      <c r="CL503" s="43">
        <v>173</v>
      </c>
      <c r="CM503" s="43">
        <v>200</v>
      </c>
      <c r="CN503" s="43">
        <v>211</v>
      </c>
      <c r="CO503" s="43">
        <v>166</v>
      </c>
      <c r="CP503" s="43">
        <v>157</v>
      </c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43">
        <v>228</v>
      </c>
      <c r="FZ503" s="43">
        <v>158</v>
      </c>
      <c r="GA503" s="53"/>
      <c r="GB503" s="53"/>
      <c r="GC503" s="53"/>
      <c r="GD503" s="53"/>
      <c r="GE503" s="53"/>
      <c r="GF503" s="53"/>
      <c r="GG503" s="53"/>
      <c r="GH503" s="53"/>
      <c r="GI503" s="43"/>
      <c r="GJ503" s="43"/>
      <c r="GK503" s="43"/>
      <c r="GL503" s="43"/>
      <c r="GM503" s="53"/>
      <c r="GN503" s="53"/>
      <c r="GO503" s="43">
        <v>268</v>
      </c>
      <c r="GP503" s="43">
        <v>122</v>
      </c>
      <c r="GQ503" s="43">
        <v>292</v>
      </c>
      <c r="GR503" s="43">
        <v>92</v>
      </c>
    </row>
    <row r="504" spans="1:200">
      <c r="A504" s="7">
        <v>8706</v>
      </c>
      <c r="B504" s="1" t="s">
        <v>632</v>
      </c>
      <c r="C504" s="33">
        <v>647</v>
      </c>
      <c r="D504" s="34">
        <v>556</v>
      </c>
      <c r="E504" s="19">
        <f t="shared" si="7"/>
        <v>0.85935085007727974</v>
      </c>
      <c r="F504" s="62">
        <v>258</v>
      </c>
      <c r="G504" s="43">
        <v>3</v>
      </c>
      <c r="H504" s="43">
        <v>27</v>
      </c>
      <c r="I504" s="43">
        <v>8</v>
      </c>
      <c r="J504" s="55">
        <v>247</v>
      </c>
      <c r="K504" s="6">
        <v>0</v>
      </c>
      <c r="L504" s="6">
        <v>0</v>
      </c>
      <c r="M504" s="43">
        <v>0</v>
      </c>
      <c r="N504" s="25">
        <v>0</v>
      </c>
      <c r="O504" s="43">
        <v>0</v>
      </c>
      <c r="P504" s="43">
        <v>0</v>
      </c>
      <c r="Q504" s="43">
        <v>0</v>
      </c>
      <c r="R504" s="43">
        <v>0</v>
      </c>
      <c r="S504" s="43">
        <v>0</v>
      </c>
      <c r="T504" s="43">
        <v>0</v>
      </c>
      <c r="U504" s="43">
        <v>0</v>
      </c>
      <c r="V504" s="43">
        <v>1</v>
      </c>
      <c r="W504" s="43">
        <v>0</v>
      </c>
      <c r="X504" s="43">
        <v>0</v>
      </c>
      <c r="Y504" s="43">
        <v>0</v>
      </c>
      <c r="Z504" s="43">
        <v>0</v>
      </c>
      <c r="AA504" s="44">
        <v>0</v>
      </c>
      <c r="AB504" s="44">
        <v>0</v>
      </c>
      <c r="AC504" s="44">
        <v>8</v>
      </c>
      <c r="AD504" s="44">
        <v>7</v>
      </c>
      <c r="AE504" s="44">
        <v>340</v>
      </c>
      <c r="AF504" s="44">
        <v>6</v>
      </c>
      <c r="AG504" s="44">
        <v>0</v>
      </c>
      <c r="AH504" s="44">
        <v>180</v>
      </c>
      <c r="AI504" s="32"/>
      <c r="AJ504" s="32"/>
      <c r="AK504" s="32"/>
      <c r="AL504" s="32"/>
      <c r="AM504" s="44">
        <v>18</v>
      </c>
      <c r="AN504" s="44">
        <v>185</v>
      </c>
      <c r="AO504" s="44">
        <v>321</v>
      </c>
      <c r="AP504" s="44"/>
      <c r="AQ504" s="44"/>
      <c r="AR504" s="51"/>
      <c r="AS504" s="51"/>
      <c r="AT504" s="51"/>
      <c r="AU504" s="51"/>
      <c r="AV504" s="51"/>
      <c r="AW504" s="50"/>
      <c r="AX504" s="50"/>
      <c r="AY504" s="50"/>
      <c r="AZ504" s="50"/>
      <c r="BA504" s="50"/>
      <c r="BB504" s="50"/>
      <c r="BC504" s="43">
        <v>283</v>
      </c>
      <c r="BD504" s="43">
        <v>236</v>
      </c>
      <c r="BE504" s="43">
        <v>237</v>
      </c>
      <c r="BF504" s="43">
        <v>283</v>
      </c>
      <c r="BG504" s="43">
        <v>293</v>
      </c>
      <c r="BH504" s="43">
        <v>231</v>
      </c>
      <c r="BI504" s="43">
        <v>333</v>
      </c>
      <c r="BJ504" s="43">
        <v>188</v>
      </c>
      <c r="BK504" s="43">
        <v>239</v>
      </c>
      <c r="BL504" s="43">
        <v>274</v>
      </c>
      <c r="BM504" s="43">
        <v>214</v>
      </c>
      <c r="BN504" s="43">
        <v>300</v>
      </c>
      <c r="BO504" s="43">
        <v>231</v>
      </c>
      <c r="BP504" s="43">
        <v>277</v>
      </c>
      <c r="BQ504" s="43">
        <v>329</v>
      </c>
      <c r="BR504" s="43">
        <v>178</v>
      </c>
      <c r="BS504" s="43">
        <v>359</v>
      </c>
      <c r="BT504" s="43">
        <v>207</v>
      </c>
      <c r="BU504" s="43">
        <v>298</v>
      </c>
      <c r="BV504" s="43">
        <v>332</v>
      </c>
      <c r="BW504" s="43">
        <v>225</v>
      </c>
      <c r="BX504" s="43">
        <v>174</v>
      </c>
      <c r="BY504" s="43">
        <v>273</v>
      </c>
      <c r="BZ504" s="43">
        <v>185</v>
      </c>
      <c r="CA504" s="43">
        <v>298</v>
      </c>
      <c r="CB504" s="43">
        <v>200</v>
      </c>
      <c r="CC504" s="43">
        <v>204</v>
      </c>
      <c r="CD504" s="43">
        <v>313</v>
      </c>
      <c r="CE504" s="43">
        <v>208</v>
      </c>
      <c r="CF504" s="43">
        <v>213</v>
      </c>
      <c r="CG504" s="43">
        <v>216</v>
      </c>
      <c r="CH504" s="43">
        <v>170</v>
      </c>
      <c r="CI504" s="43">
        <v>124</v>
      </c>
      <c r="CJ504" s="43">
        <v>280</v>
      </c>
      <c r="CK504" s="43">
        <v>216</v>
      </c>
      <c r="CL504" s="43">
        <v>178</v>
      </c>
      <c r="CM504" s="43">
        <v>290</v>
      </c>
      <c r="CN504" s="43">
        <v>287</v>
      </c>
      <c r="CO504" s="43">
        <v>173</v>
      </c>
      <c r="CP504" s="43">
        <v>216</v>
      </c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53"/>
      <c r="FZ504" s="53"/>
      <c r="GA504" s="53"/>
      <c r="GB504" s="53"/>
      <c r="GC504" s="53"/>
      <c r="GD504" s="53"/>
      <c r="GE504" s="53"/>
      <c r="GF504" s="53"/>
      <c r="GG504" s="53"/>
      <c r="GH504" s="53"/>
      <c r="GI504" s="43"/>
      <c r="GJ504" s="43"/>
      <c r="GK504" s="43">
        <v>216</v>
      </c>
      <c r="GL504" s="43">
        <v>333</v>
      </c>
      <c r="GM504" s="53"/>
      <c r="GN504" s="53"/>
      <c r="GO504" s="43">
        <v>403</v>
      </c>
      <c r="GP504" s="43">
        <v>142</v>
      </c>
      <c r="GQ504" s="43">
        <v>402</v>
      </c>
      <c r="GR504" s="43">
        <v>135</v>
      </c>
    </row>
    <row r="505" spans="1:200">
      <c r="A505" s="7">
        <v>8707</v>
      </c>
      <c r="B505" s="1" t="s">
        <v>633</v>
      </c>
      <c r="C505" s="33">
        <v>1434</v>
      </c>
      <c r="D505" s="34">
        <v>1102</v>
      </c>
      <c r="E505" s="19">
        <f t="shared" si="7"/>
        <v>0.76847977684797764</v>
      </c>
      <c r="F505" s="62">
        <v>590</v>
      </c>
      <c r="G505" s="43">
        <v>3</v>
      </c>
      <c r="H505" s="43">
        <v>40</v>
      </c>
      <c r="I505" s="43">
        <v>12</v>
      </c>
      <c r="J505" s="55">
        <v>441</v>
      </c>
      <c r="K505" s="6">
        <v>0</v>
      </c>
      <c r="L505" s="6">
        <v>0</v>
      </c>
      <c r="M505" s="43">
        <v>0</v>
      </c>
      <c r="N505" s="25">
        <v>0</v>
      </c>
      <c r="O505" s="43">
        <v>0</v>
      </c>
      <c r="P505" s="43">
        <v>0</v>
      </c>
      <c r="Q505" s="43">
        <v>0</v>
      </c>
      <c r="R505" s="43">
        <v>0</v>
      </c>
      <c r="S505" s="43">
        <v>0</v>
      </c>
      <c r="T505" s="43">
        <v>0</v>
      </c>
      <c r="U505" s="43">
        <v>0</v>
      </c>
      <c r="V505" s="43">
        <v>0</v>
      </c>
      <c r="W505" s="43">
        <v>2</v>
      </c>
      <c r="X505" s="43">
        <v>0</v>
      </c>
      <c r="Y505" s="43">
        <v>0</v>
      </c>
      <c r="Z505" s="43">
        <v>0</v>
      </c>
      <c r="AA505" s="44">
        <v>0</v>
      </c>
      <c r="AB505" s="44">
        <v>0</v>
      </c>
      <c r="AC505" s="44">
        <v>13</v>
      </c>
      <c r="AD505" s="44">
        <v>16</v>
      </c>
      <c r="AE505" s="44">
        <v>524</v>
      </c>
      <c r="AF505" s="44">
        <v>10</v>
      </c>
      <c r="AG505" s="44">
        <v>0</v>
      </c>
      <c r="AH505" s="44">
        <v>505</v>
      </c>
      <c r="AI505" s="32"/>
      <c r="AJ505" s="32"/>
      <c r="AK505" s="32"/>
      <c r="AL505" s="32"/>
      <c r="AM505" s="44">
        <v>37</v>
      </c>
      <c r="AN505" s="44">
        <v>500</v>
      </c>
      <c r="AO505" s="44">
        <v>498</v>
      </c>
      <c r="AP505" s="44"/>
      <c r="AQ505" s="44"/>
      <c r="AR505" s="51"/>
      <c r="AS505" s="51"/>
      <c r="AT505" s="51"/>
      <c r="AU505" s="51"/>
      <c r="AV505" s="51"/>
      <c r="AW505" s="50"/>
      <c r="AX505" s="50"/>
      <c r="AY505" s="50"/>
      <c r="AZ505" s="50"/>
      <c r="BA505" s="50"/>
      <c r="BB505" s="50"/>
      <c r="BC505" s="43">
        <v>494</v>
      </c>
      <c r="BD505" s="43">
        <v>565</v>
      </c>
      <c r="BE505" s="43">
        <v>388</v>
      </c>
      <c r="BF505" s="43">
        <v>646</v>
      </c>
      <c r="BG505" s="43">
        <v>491</v>
      </c>
      <c r="BH505" s="43">
        <v>559</v>
      </c>
      <c r="BI505" s="43">
        <v>537</v>
      </c>
      <c r="BJ505" s="43">
        <v>510</v>
      </c>
      <c r="BK505" s="43">
        <v>592</v>
      </c>
      <c r="BL505" s="43">
        <v>457</v>
      </c>
      <c r="BM505" s="43">
        <v>383</v>
      </c>
      <c r="BN505" s="43">
        <v>648</v>
      </c>
      <c r="BO505" s="43">
        <v>565</v>
      </c>
      <c r="BP505" s="43">
        <v>462</v>
      </c>
      <c r="BQ505" s="43">
        <v>500</v>
      </c>
      <c r="BR505" s="43">
        <v>520</v>
      </c>
      <c r="BS505" s="43">
        <v>662</v>
      </c>
      <c r="BT505" s="43">
        <v>351</v>
      </c>
      <c r="BU505" s="43">
        <v>674</v>
      </c>
      <c r="BV505" s="43">
        <v>654</v>
      </c>
      <c r="BW505" s="43">
        <v>402</v>
      </c>
      <c r="BX505" s="43">
        <v>479</v>
      </c>
      <c r="BY505" s="43">
        <v>493</v>
      </c>
      <c r="BZ505" s="43">
        <v>455</v>
      </c>
      <c r="CA505" s="43">
        <v>597</v>
      </c>
      <c r="CB505" s="43">
        <v>342</v>
      </c>
      <c r="CC505" s="43">
        <v>526</v>
      </c>
      <c r="CD505" s="43">
        <v>664</v>
      </c>
      <c r="CE505" s="43">
        <v>495</v>
      </c>
      <c r="CF505" s="43">
        <v>389</v>
      </c>
      <c r="CG505" s="43">
        <v>369</v>
      </c>
      <c r="CH505" s="43">
        <v>467</v>
      </c>
      <c r="CI505" s="43">
        <v>365</v>
      </c>
      <c r="CJ505" s="43">
        <v>509</v>
      </c>
      <c r="CK505" s="43">
        <v>413</v>
      </c>
      <c r="CL505" s="43">
        <v>457</v>
      </c>
      <c r="CM505" s="43">
        <v>590</v>
      </c>
      <c r="CN505" s="43">
        <v>618</v>
      </c>
      <c r="CO505" s="43">
        <v>442</v>
      </c>
      <c r="CP505" s="43">
        <v>426</v>
      </c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  <c r="FW505" s="6"/>
      <c r="FX505" s="6"/>
      <c r="FY505" s="53"/>
      <c r="FZ505" s="53"/>
      <c r="GA505" s="53"/>
      <c r="GB505" s="53"/>
      <c r="GC505" s="53"/>
      <c r="GD505" s="53"/>
      <c r="GE505" s="53"/>
      <c r="GF505" s="53"/>
      <c r="GG505" s="53"/>
      <c r="GH505" s="53"/>
      <c r="GI505" s="43"/>
      <c r="GJ505" s="43"/>
      <c r="GK505" s="43">
        <v>345</v>
      </c>
      <c r="GL505" s="43">
        <v>446</v>
      </c>
      <c r="GM505" s="53"/>
      <c r="GN505" s="53"/>
      <c r="GO505" s="43">
        <v>727</v>
      </c>
      <c r="GP505" s="43">
        <v>334</v>
      </c>
      <c r="GQ505" s="43">
        <v>708</v>
      </c>
      <c r="GR505" s="43">
        <v>343</v>
      </c>
    </row>
    <row r="506" spans="1:200">
      <c r="A506" s="7">
        <v>8708</v>
      </c>
      <c r="B506" s="1" t="s">
        <v>634</v>
      </c>
      <c r="C506" s="33">
        <v>1019</v>
      </c>
      <c r="D506" s="34">
        <v>844</v>
      </c>
      <c r="E506" s="19">
        <f t="shared" si="7"/>
        <v>0.82826300294406285</v>
      </c>
      <c r="F506" s="62">
        <v>347</v>
      </c>
      <c r="G506" s="43">
        <v>3</v>
      </c>
      <c r="H506" s="43">
        <v>21</v>
      </c>
      <c r="I506" s="43">
        <v>9</v>
      </c>
      <c r="J506" s="55">
        <v>442</v>
      </c>
      <c r="K506" s="6">
        <v>0</v>
      </c>
      <c r="L506" s="6">
        <v>0</v>
      </c>
      <c r="M506" s="43">
        <v>0</v>
      </c>
      <c r="N506" s="25">
        <v>0</v>
      </c>
      <c r="O506" s="43">
        <v>0</v>
      </c>
      <c r="P506" s="43">
        <v>0</v>
      </c>
      <c r="Q506" s="43">
        <v>0</v>
      </c>
      <c r="R506" s="43">
        <v>0</v>
      </c>
      <c r="S506" s="43">
        <v>0</v>
      </c>
      <c r="T506" s="43">
        <v>0</v>
      </c>
      <c r="U506" s="43">
        <v>0</v>
      </c>
      <c r="V506" s="43">
        <v>1</v>
      </c>
      <c r="W506" s="43">
        <v>2</v>
      </c>
      <c r="X506" s="43">
        <v>0</v>
      </c>
      <c r="Y506" s="43">
        <v>0</v>
      </c>
      <c r="Z506" s="43">
        <v>0</v>
      </c>
      <c r="AA506" s="44">
        <v>0</v>
      </c>
      <c r="AB506" s="44">
        <v>0</v>
      </c>
      <c r="AC506" s="44">
        <v>7</v>
      </c>
      <c r="AD506" s="44">
        <v>5</v>
      </c>
      <c r="AE506" s="44">
        <v>548</v>
      </c>
      <c r="AF506" s="44">
        <v>4</v>
      </c>
      <c r="AG506" s="44">
        <v>0</v>
      </c>
      <c r="AH506" s="44">
        <v>255</v>
      </c>
      <c r="AI506" s="32"/>
      <c r="AJ506" s="32"/>
      <c r="AK506" s="32"/>
      <c r="AL506" s="32"/>
      <c r="AM506" s="44">
        <v>15</v>
      </c>
      <c r="AN506" s="44">
        <v>257</v>
      </c>
      <c r="AO506" s="44">
        <v>515</v>
      </c>
      <c r="AP506" s="44"/>
      <c r="AQ506" s="44"/>
      <c r="AR506" s="51"/>
      <c r="AS506" s="51"/>
      <c r="AT506" s="51"/>
      <c r="AU506" s="51"/>
      <c r="AV506" s="51"/>
      <c r="AW506" s="50"/>
      <c r="AX506" s="50"/>
      <c r="AY506" s="50"/>
      <c r="AZ506" s="50"/>
      <c r="BA506" s="50"/>
      <c r="BB506" s="50"/>
      <c r="BC506" s="43">
        <v>479</v>
      </c>
      <c r="BD506" s="43">
        <v>320</v>
      </c>
      <c r="BE506" s="43">
        <v>396</v>
      </c>
      <c r="BF506" s="43">
        <v>398</v>
      </c>
      <c r="BG506" s="43">
        <v>494</v>
      </c>
      <c r="BH506" s="43">
        <v>316</v>
      </c>
      <c r="BI506" s="43">
        <v>524</v>
      </c>
      <c r="BJ506" s="43">
        <v>282</v>
      </c>
      <c r="BK506" s="43">
        <v>345</v>
      </c>
      <c r="BL506" s="43">
        <v>446</v>
      </c>
      <c r="BM506" s="43">
        <v>373</v>
      </c>
      <c r="BN506" s="43">
        <v>416</v>
      </c>
      <c r="BO506" s="43">
        <v>312</v>
      </c>
      <c r="BP506" s="43">
        <v>468</v>
      </c>
      <c r="BQ506" s="43">
        <v>526</v>
      </c>
      <c r="BR506" s="43">
        <v>254</v>
      </c>
      <c r="BS506" s="43">
        <v>556</v>
      </c>
      <c r="BT506" s="43">
        <v>371</v>
      </c>
      <c r="BU506" s="43">
        <v>408</v>
      </c>
      <c r="BV506" s="43">
        <v>542</v>
      </c>
      <c r="BW506" s="43">
        <v>403</v>
      </c>
      <c r="BX506" s="43">
        <v>255</v>
      </c>
      <c r="BY506" s="43">
        <v>488</v>
      </c>
      <c r="BZ506" s="43">
        <v>220</v>
      </c>
      <c r="CA506" s="43">
        <v>489</v>
      </c>
      <c r="CB506" s="43">
        <v>382</v>
      </c>
      <c r="CC506" s="43">
        <v>253</v>
      </c>
      <c r="CD506" s="43">
        <v>479</v>
      </c>
      <c r="CE506" s="43">
        <v>256</v>
      </c>
      <c r="CF506" s="43">
        <v>405</v>
      </c>
      <c r="CG506" s="43">
        <v>402</v>
      </c>
      <c r="CH506" s="43">
        <v>221</v>
      </c>
      <c r="CI506" s="43">
        <v>166</v>
      </c>
      <c r="CJ506" s="43">
        <v>466</v>
      </c>
      <c r="CK506" s="43">
        <v>397</v>
      </c>
      <c r="CL506" s="43">
        <v>236</v>
      </c>
      <c r="CM506" s="43">
        <v>488</v>
      </c>
      <c r="CN506" s="43">
        <v>493</v>
      </c>
      <c r="CO506" s="43">
        <v>211</v>
      </c>
      <c r="CP506" s="43">
        <v>413</v>
      </c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6"/>
      <c r="FY506" s="53"/>
      <c r="FZ506" s="53"/>
      <c r="GA506" s="53"/>
      <c r="GB506" s="53"/>
      <c r="GC506" s="53"/>
      <c r="GD506" s="53"/>
      <c r="GE506" s="53"/>
      <c r="GF506" s="53"/>
      <c r="GG506" s="53"/>
      <c r="GH506" s="53"/>
      <c r="GI506" s="43"/>
      <c r="GJ506" s="43"/>
      <c r="GK506" s="43">
        <v>125</v>
      </c>
      <c r="GL506" s="43">
        <v>272</v>
      </c>
      <c r="GM506" s="53"/>
      <c r="GN506" s="53"/>
      <c r="GO506" s="43">
        <v>572</v>
      </c>
      <c r="GP506" s="43">
        <v>246</v>
      </c>
      <c r="GQ506" s="43">
        <v>578</v>
      </c>
      <c r="GR506" s="43">
        <v>242</v>
      </c>
    </row>
    <row r="507" spans="1:200">
      <c r="A507" s="8">
        <v>8709</v>
      </c>
      <c r="B507" s="1" t="s">
        <v>635</v>
      </c>
      <c r="C507" s="33">
        <v>471</v>
      </c>
      <c r="D507" s="34">
        <v>342</v>
      </c>
      <c r="E507" s="19">
        <f t="shared" si="7"/>
        <v>0.72611464968152861</v>
      </c>
      <c r="F507" s="62">
        <v>166</v>
      </c>
      <c r="G507" s="43">
        <v>0</v>
      </c>
      <c r="H507" s="43">
        <v>12</v>
      </c>
      <c r="I507" s="43">
        <v>5</v>
      </c>
      <c r="J507" s="55">
        <v>154</v>
      </c>
      <c r="K507" s="6">
        <v>0</v>
      </c>
      <c r="L507" s="6">
        <v>0</v>
      </c>
      <c r="M507" s="43">
        <v>0</v>
      </c>
      <c r="N507" s="25">
        <v>0</v>
      </c>
      <c r="O507" s="43">
        <v>0</v>
      </c>
      <c r="P507" s="43">
        <v>0</v>
      </c>
      <c r="Q507" s="43">
        <v>0</v>
      </c>
      <c r="R507" s="43">
        <v>0</v>
      </c>
      <c r="S507" s="43">
        <v>0</v>
      </c>
      <c r="T507" s="43">
        <v>0</v>
      </c>
      <c r="U507" s="43">
        <v>0</v>
      </c>
      <c r="V507" s="43">
        <v>0</v>
      </c>
      <c r="W507" s="43">
        <v>0</v>
      </c>
      <c r="X507" s="43">
        <v>0</v>
      </c>
      <c r="Y507" s="43">
        <v>0</v>
      </c>
      <c r="Z507" s="43">
        <v>0</v>
      </c>
      <c r="AA507" s="44">
        <v>0</v>
      </c>
      <c r="AB507" s="44">
        <v>0</v>
      </c>
      <c r="AC507" s="44">
        <v>7</v>
      </c>
      <c r="AD507" s="44">
        <v>6</v>
      </c>
      <c r="AE507" s="44">
        <v>175</v>
      </c>
      <c r="AF507" s="44">
        <v>4</v>
      </c>
      <c r="AG507" s="44">
        <v>0</v>
      </c>
      <c r="AH507" s="44">
        <v>137</v>
      </c>
      <c r="AI507" s="32"/>
      <c r="AJ507" s="32"/>
      <c r="AK507" s="32"/>
      <c r="AL507" s="32"/>
      <c r="AM507" s="44">
        <v>7</v>
      </c>
      <c r="AN507" s="44">
        <v>143</v>
      </c>
      <c r="AO507" s="44">
        <v>168</v>
      </c>
      <c r="AP507" s="44"/>
      <c r="AQ507" s="44"/>
      <c r="AR507" s="51"/>
      <c r="AS507" s="51"/>
      <c r="AT507" s="51"/>
      <c r="AU507" s="51"/>
      <c r="AV507" s="51"/>
      <c r="AW507" s="50"/>
      <c r="AX507" s="50"/>
      <c r="AY507" s="50"/>
      <c r="AZ507" s="50"/>
      <c r="BA507" s="50"/>
      <c r="BB507" s="50"/>
      <c r="BC507" s="43">
        <v>150</v>
      </c>
      <c r="BD507" s="43">
        <v>174</v>
      </c>
      <c r="BE507" s="43">
        <v>129</v>
      </c>
      <c r="BF507" s="43">
        <v>197</v>
      </c>
      <c r="BG507" s="43">
        <v>161</v>
      </c>
      <c r="BH507" s="43">
        <v>165</v>
      </c>
      <c r="BI507" s="43">
        <v>173</v>
      </c>
      <c r="BJ507" s="43">
        <v>153</v>
      </c>
      <c r="BK507" s="43">
        <v>176</v>
      </c>
      <c r="BL507" s="43">
        <v>153</v>
      </c>
      <c r="BM507" s="43">
        <v>119</v>
      </c>
      <c r="BN507" s="43">
        <v>207</v>
      </c>
      <c r="BO507" s="43">
        <v>157</v>
      </c>
      <c r="BP507" s="43">
        <v>167</v>
      </c>
      <c r="BQ507" s="43">
        <v>177</v>
      </c>
      <c r="BR507" s="43">
        <v>147</v>
      </c>
      <c r="BS507" s="43">
        <v>208</v>
      </c>
      <c r="BT507" s="43">
        <v>124</v>
      </c>
      <c r="BU507" s="43">
        <v>198</v>
      </c>
      <c r="BV507" s="43">
        <v>213</v>
      </c>
      <c r="BW507" s="43">
        <v>131</v>
      </c>
      <c r="BX507" s="43">
        <v>142</v>
      </c>
      <c r="BY507" s="43">
        <v>167</v>
      </c>
      <c r="BZ507" s="43">
        <v>122</v>
      </c>
      <c r="CA507" s="43">
        <v>183</v>
      </c>
      <c r="CB507" s="43">
        <v>120</v>
      </c>
      <c r="CC507" s="43">
        <v>142</v>
      </c>
      <c r="CD507" s="43">
        <v>191</v>
      </c>
      <c r="CE507" s="43">
        <v>141</v>
      </c>
      <c r="CF507" s="43">
        <v>132</v>
      </c>
      <c r="CG507" s="43">
        <v>138</v>
      </c>
      <c r="CH507" s="43">
        <v>116</v>
      </c>
      <c r="CI507" s="43">
        <v>82</v>
      </c>
      <c r="CJ507" s="43">
        <v>178</v>
      </c>
      <c r="CK507" s="43">
        <v>131</v>
      </c>
      <c r="CL507" s="43">
        <v>119</v>
      </c>
      <c r="CM507" s="43">
        <v>181</v>
      </c>
      <c r="CN507" s="43">
        <v>186</v>
      </c>
      <c r="CO507" s="43">
        <v>102</v>
      </c>
      <c r="CP507" s="43">
        <v>160</v>
      </c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  <c r="FW507" s="6"/>
      <c r="FX507" s="6"/>
      <c r="FY507" s="43">
        <v>145</v>
      </c>
      <c r="FZ507" s="43">
        <v>179</v>
      </c>
      <c r="GA507" s="53"/>
      <c r="GB507" s="53"/>
      <c r="GC507" s="53"/>
      <c r="GD507" s="53"/>
      <c r="GE507" s="53"/>
      <c r="GF507" s="53"/>
      <c r="GG507" s="53"/>
      <c r="GH507" s="53"/>
      <c r="GI507" s="43"/>
      <c r="GJ507" s="43"/>
      <c r="GK507" s="53"/>
      <c r="GL507" s="53"/>
      <c r="GM507" s="53"/>
      <c r="GN507" s="53"/>
      <c r="GO507" s="43">
        <v>203</v>
      </c>
      <c r="GP507" s="43">
        <v>121</v>
      </c>
      <c r="GQ507" s="43">
        <v>199</v>
      </c>
      <c r="GR507" s="43">
        <v>122</v>
      </c>
    </row>
    <row r="508" spans="1:200">
      <c r="A508" s="8">
        <v>8710</v>
      </c>
      <c r="B508" s="1" t="s">
        <v>636</v>
      </c>
      <c r="C508" s="33">
        <v>902</v>
      </c>
      <c r="D508" s="34">
        <v>702</v>
      </c>
      <c r="E508" s="19">
        <f t="shared" si="7"/>
        <v>0.7782705099778271</v>
      </c>
      <c r="F508" s="62">
        <v>430</v>
      </c>
      <c r="G508" s="43">
        <v>6</v>
      </c>
      <c r="H508" s="43">
        <v>8</v>
      </c>
      <c r="I508" s="43">
        <v>2</v>
      </c>
      <c r="J508" s="55">
        <v>247</v>
      </c>
      <c r="K508" s="6">
        <v>0</v>
      </c>
      <c r="L508" s="6">
        <v>0</v>
      </c>
      <c r="M508" s="43">
        <v>0</v>
      </c>
      <c r="N508" s="25">
        <v>0</v>
      </c>
      <c r="O508" s="43">
        <v>0</v>
      </c>
      <c r="P508" s="43">
        <v>0</v>
      </c>
      <c r="Q508" s="43">
        <v>0</v>
      </c>
      <c r="R508" s="43">
        <v>0</v>
      </c>
      <c r="S508" s="43">
        <v>0</v>
      </c>
      <c r="T508" s="43">
        <v>0</v>
      </c>
      <c r="U508" s="43">
        <v>0</v>
      </c>
      <c r="V508" s="43">
        <v>0</v>
      </c>
      <c r="W508" s="43">
        <v>0</v>
      </c>
      <c r="X508" s="43">
        <v>0</v>
      </c>
      <c r="Y508" s="43">
        <v>0</v>
      </c>
      <c r="Z508" s="43">
        <v>0</v>
      </c>
      <c r="AA508" s="44">
        <v>0</v>
      </c>
      <c r="AB508" s="44">
        <v>0</v>
      </c>
      <c r="AC508" s="44">
        <v>12</v>
      </c>
      <c r="AD508" s="44">
        <v>4</v>
      </c>
      <c r="AE508" s="44">
        <v>279</v>
      </c>
      <c r="AF508" s="44">
        <v>4</v>
      </c>
      <c r="AG508" s="44">
        <v>0</v>
      </c>
      <c r="AH508" s="44">
        <v>386</v>
      </c>
      <c r="AI508" s="32"/>
      <c r="AJ508" s="32"/>
      <c r="AK508" s="32"/>
      <c r="AL508" s="32"/>
      <c r="AM508" s="44">
        <v>12</v>
      </c>
      <c r="AN508" s="44">
        <v>386</v>
      </c>
      <c r="AO508" s="44">
        <v>268</v>
      </c>
      <c r="AP508" s="44"/>
      <c r="AQ508" s="44"/>
      <c r="AR508" s="51"/>
      <c r="AS508" s="51"/>
      <c r="AT508" s="51"/>
      <c r="AU508" s="51"/>
      <c r="AV508" s="51"/>
      <c r="AW508" s="50"/>
      <c r="AX508" s="50"/>
      <c r="AY508" s="50"/>
      <c r="AZ508" s="50"/>
      <c r="BA508" s="50"/>
      <c r="BB508" s="50"/>
      <c r="BC508" s="43">
        <v>254</v>
      </c>
      <c r="BD508" s="43">
        <v>430</v>
      </c>
      <c r="BE508" s="43">
        <v>219</v>
      </c>
      <c r="BF508" s="43">
        <v>454</v>
      </c>
      <c r="BG508" s="43">
        <v>257</v>
      </c>
      <c r="BH508" s="43">
        <v>412</v>
      </c>
      <c r="BI508" s="43">
        <v>282</v>
      </c>
      <c r="BJ508" s="43">
        <v>389</v>
      </c>
      <c r="BK508" s="43">
        <v>434</v>
      </c>
      <c r="BL508" s="43">
        <v>242</v>
      </c>
      <c r="BM508" s="43">
        <v>187</v>
      </c>
      <c r="BN508" s="43">
        <v>486</v>
      </c>
      <c r="BO508" s="43">
        <v>412</v>
      </c>
      <c r="BP508" s="43">
        <v>251</v>
      </c>
      <c r="BQ508" s="43">
        <v>270</v>
      </c>
      <c r="BR508" s="43">
        <v>390</v>
      </c>
      <c r="BS508" s="43">
        <v>368</v>
      </c>
      <c r="BT508" s="43">
        <v>201</v>
      </c>
      <c r="BU508" s="43">
        <v>465</v>
      </c>
      <c r="BV508" s="43">
        <v>422</v>
      </c>
      <c r="BW508" s="43">
        <v>273</v>
      </c>
      <c r="BX508" s="43">
        <v>304</v>
      </c>
      <c r="BY508" s="43">
        <v>306</v>
      </c>
      <c r="BZ508" s="43">
        <v>307</v>
      </c>
      <c r="CA508" s="43">
        <v>392</v>
      </c>
      <c r="CB508" s="43">
        <v>231</v>
      </c>
      <c r="CC508" s="43">
        <v>339</v>
      </c>
      <c r="CD508" s="43">
        <v>391</v>
      </c>
      <c r="CE508" s="43">
        <v>327</v>
      </c>
      <c r="CF508" s="43">
        <v>253</v>
      </c>
      <c r="CG508" s="43">
        <v>263</v>
      </c>
      <c r="CH508" s="43">
        <v>279</v>
      </c>
      <c r="CI508" s="43">
        <v>266</v>
      </c>
      <c r="CJ508" s="43">
        <v>292</v>
      </c>
      <c r="CK508" s="43">
        <v>286</v>
      </c>
      <c r="CL508" s="43">
        <v>295</v>
      </c>
      <c r="CM508" s="43">
        <v>383</v>
      </c>
      <c r="CN508" s="43">
        <v>400</v>
      </c>
      <c r="CO508" s="43">
        <v>289</v>
      </c>
      <c r="CP508" s="43">
        <v>279</v>
      </c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53"/>
      <c r="FZ508" s="53"/>
      <c r="GA508" s="53"/>
      <c r="GB508" s="53"/>
      <c r="GC508" s="53"/>
      <c r="GD508" s="53"/>
      <c r="GE508" s="53"/>
      <c r="GF508" s="53"/>
      <c r="GG508" s="53"/>
      <c r="GH508" s="53"/>
      <c r="GI508" s="43"/>
      <c r="GJ508" s="43"/>
      <c r="GK508" s="53"/>
      <c r="GL508" s="53"/>
      <c r="GM508" s="53"/>
      <c r="GN508" s="53"/>
      <c r="GO508" s="43">
        <v>429</v>
      </c>
      <c r="GP508" s="43">
        <v>234</v>
      </c>
      <c r="GQ508" s="43">
        <v>456</v>
      </c>
      <c r="GR508" s="43">
        <v>214</v>
      </c>
    </row>
    <row r="509" spans="1:200">
      <c r="A509" s="8">
        <v>8711</v>
      </c>
      <c r="B509" s="1" t="s">
        <v>637</v>
      </c>
      <c r="C509" s="33">
        <v>842</v>
      </c>
      <c r="D509" s="34">
        <v>565</v>
      </c>
      <c r="E509" s="19">
        <f t="shared" si="7"/>
        <v>0.67102137767220904</v>
      </c>
      <c r="F509" s="62">
        <v>445</v>
      </c>
      <c r="G509" s="43">
        <v>2</v>
      </c>
      <c r="H509" s="43">
        <v>6</v>
      </c>
      <c r="I509" s="43">
        <v>3</v>
      </c>
      <c r="J509" s="55">
        <v>103</v>
      </c>
      <c r="K509" s="6">
        <v>0</v>
      </c>
      <c r="L509" s="6">
        <v>0</v>
      </c>
      <c r="M509" s="43">
        <v>0</v>
      </c>
      <c r="N509" s="25">
        <v>0</v>
      </c>
      <c r="O509" s="43">
        <v>0</v>
      </c>
      <c r="P509" s="43">
        <v>0</v>
      </c>
      <c r="Q509" s="43">
        <v>0</v>
      </c>
      <c r="R509" s="43">
        <v>0</v>
      </c>
      <c r="S509" s="43">
        <v>0</v>
      </c>
      <c r="T509" s="43">
        <v>0</v>
      </c>
      <c r="U509" s="43">
        <v>0</v>
      </c>
      <c r="V509" s="43">
        <v>0</v>
      </c>
      <c r="W509" s="43">
        <v>1</v>
      </c>
      <c r="X509" s="43">
        <v>0</v>
      </c>
      <c r="Y509" s="43">
        <v>0</v>
      </c>
      <c r="Z509" s="43">
        <v>0</v>
      </c>
      <c r="AA509" s="44">
        <v>0</v>
      </c>
      <c r="AB509" s="44">
        <v>0</v>
      </c>
      <c r="AC509" s="44">
        <v>8</v>
      </c>
      <c r="AD509" s="44">
        <v>8</v>
      </c>
      <c r="AE509" s="44">
        <v>151</v>
      </c>
      <c r="AF509" s="44">
        <v>3</v>
      </c>
      <c r="AG509" s="44">
        <v>0</v>
      </c>
      <c r="AH509" s="44">
        <v>377</v>
      </c>
      <c r="AI509" s="32"/>
      <c r="AJ509" s="32"/>
      <c r="AK509" s="32"/>
      <c r="AL509" s="32"/>
      <c r="AM509" s="44">
        <v>6</v>
      </c>
      <c r="AN509" s="44">
        <v>399</v>
      </c>
      <c r="AO509" s="44">
        <v>127</v>
      </c>
      <c r="AP509" s="44"/>
      <c r="AQ509" s="44"/>
      <c r="AR509" s="51"/>
      <c r="AS509" s="51"/>
      <c r="AT509" s="51"/>
      <c r="AU509" s="51"/>
      <c r="AV509" s="51"/>
      <c r="AW509" s="50"/>
      <c r="AX509" s="50"/>
      <c r="AY509" s="50"/>
      <c r="AZ509" s="50"/>
      <c r="BA509" s="43">
        <v>428</v>
      </c>
      <c r="BB509" s="43">
        <v>106</v>
      </c>
      <c r="BC509" s="50"/>
      <c r="BD509" s="50"/>
      <c r="BE509" s="43">
        <v>93</v>
      </c>
      <c r="BF509" s="43">
        <v>441</v>
      </c>
      <c r="BG509" s="43">
        <v>133</v>
      </c>
      <c r="BH509" s="43">
        <v>404</v>
      </c>
      <c r="BI509" s="43">
        <v>154</v>
      </c>
      <c r="BJ509" s="43">
        <v>380</v>
      </c>
      <c r="BK509" s="43">
        <v>391</v>
      </c>
      <c r="BL509" s="43">
        <v>147</v>
      </c>
      <c r="BM509" s="43">
        <v>95</v>
      </c>
      <c r="BN509" s="43">
        <v>445</v>
      </c>
      <c r="BO509" s="43">
        <v>403</v>
      </c>
      <c r="BP509" s="43">
        <v>136</v>
      </c>
      <c r="BQ509" s="43">
        <v>140</v>
      </c>
      <c r="BR509" s="43">
        <v>401</v>
      </c>
      <c r="BS509" s="43">
        <v>256</v>
      </c>
      <c r="BT509" s="43">
        <v>92</v>
      </c>
      <c r="BU509" s="43">
        <v>447</v>
      </c>
      <c r="BV509" s="43">
        <v>329</v>
      </c>
      <c r="BW509" s="43">
        <v>186</v>
      </c>
      <c r="BX509" s="43">
        <v>243</v>
      </c>
      <c r="BY509" s="43">
        <v>219</v>
      </c>
      <c r="BZ509" s="43">
        <v>259</v>
      </c>
      <c r="CA509" s="43">
        <v>292</v>
      </c>
      <c r="CB509" s="43">
        <v>147</v>
      </c>
      <c r="CC509" s="43">
        <v>293</v>
      </c>
      <c r="CD509" s="43">
        <v>322</v>
      </c>
      <c r="CE509" s="43">
        <v>288</v>
      </c>
      <c r="CF509" s="43">
        <v>158</v>
      </c>
      <c r="CG509" s="43">
        <v>157</v>
      </c>
      <c r="CH509" s="43">
        <v>258</v>
      </c>
      <c r="CI509" s="43">
        <v>210</v>
      </c>
      <c r="CJ509" s="43">
        <v>229</v>
      </c>
      <c r="CK509" s="43">
        <v>234</v>
      </c>
      <c r="CL509" s="43">
        <v>215</v>
      </c>
      <c r="CM509" s="43">
        <v>282</v>
      </c>
      <c r="CN509" s="43">
        <v>299</v>
      </c>
      <c r="CO509" s="43">
        <v>218</v>
      </c>
      <c r="CP509" s="43">
        <v>239</v>
      </c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53"/>
      <c r="FZ509" s="53"/>
      <c r="GA509" s="53"/>
      <c r="GB509" s="53"/>
      <c r="GC509" s="53"/>
      <c r="GD509" s="53"/>
      <c r="GE509" s="53"/>
      <c r="GF509" s="53"/>
      <c r="GG509" s="53"/>
      <c r="GH509" s="53"/>
      <c r="GI509" s="43"/>
      <c r="GJ509" s="43"/>
      <c r="GK509" s="53"/>
      <c r="GL509" s="53"/>
      <c r="GM509" s="53"/>
      <c r="GN509" s="53"/>
      <c r="GO509" s="43">
        <v>355</v>
      </c>
      <c r="GP509" s="43">
        <v>171</v>
      </c>
      <c r="GQ509" s="43">
        <v>383</v>
      </c>
      <c r="GR509" s="43">
        <v>141</v>
      </c>
    </row>
    <row r="510" spans="1:200">
      <c r="A510" s="8">
        <v>8712</v>
      </c>
      <c r="B510" s="1" t="s">
        <v>638</v>
      </c>
      <c r="C510" s="33">
        <v>302</v>
      </c>
      <c r="D510" s="34">
        <v>211</v>
      </c>
      <c r="E510" s="19">
        <f t="shared" si="7"/>
        <v>0.69867549668874174</v>
      </c>
      <c r="F510" s="62">
        <v>164</v>
      </c>
      <c r="G510" s="43">
        <v>0</v>
      </c>
      <c r="H510" s="43">
        <v>0</v>
      </c>
      <c r="I510" s="43">
        <v>1</v>
      </c>
      <c r="J510" s="55">
        <v>38</v>
      </c>
      <c r="K510" s="6">
        <v>0</v>
      </c>
      <c r="L510" s="6">
        <v>0</v>
      </c>
      <c r="M510" s="43">
        <v>0</v>
      </c>
      <c r="N510" s="25">
        <v>0</v>
      </c>
      <c r="O510" s="43">
        <v>0</v>
      </c>
      <c r="P510" s="43">
        <v>0</v>
      </c>
      <c r="Q510" s="43">
        <v>0</v>
      </c>
      <c r="R510" s="43">
        <v>0</v>
      </c>
      <c r="S510" s="43">
        <v>0</v>
      </c>
      <c r="T510" s="43">
        <v>0</v>
      </c>
      <c r="U510" s="43">
        <v>0</v>
      </c>
      <c r="V510" s="43">
        <v>0</v>
      </c>
      <c r="W510" s="43">
        <v>0</v>
      </c>
      <c r="X510" s="43">
        <v>0</v>
      </c>
      <c r="Y510" s="43">
        <v>0</v>
      </c>
      <c r="Z510" s="43">
        <v>0</v>
      </c>
      <c r="AA510" s="44">
        <v>0</v>
      </c>
      <c r="AB510" s="44">
        <v>0</v>
      </c>
      <c r="AC510" s="44">
        <v>4</v>
      </c>
      <c r="AD510" s="44">
        <v>2</v>
      </c>
      <c r="AE510" s="44">
        <v>60</v>
      </c>
      <c r="AF510" s="44">
        <v>2</v>
      </c>
      <c r="AG510" s="44">
        <v>0</v>
      </c>
      <c r="AH510" s="44">
        <v>137</v>
      </c>
      <c r="AI510" s="44">
        <v>51</v>
      </c>
      <c r="AJ510" s="44">
        <v>0</v>
      </c>
      <c r="AK510" s="44">
        <v>0</v>
      </c>
      <c r="AL510" s="44">
        <v>154</v>
      </c>
      <c r="AM510" s="48"/>
      <c r="AN510" s="48"/>
      <c r="AO510" s="48"/>
      <c r="AP510" s="44"/>
      <c r="AQ510" s="44"/>
      <c r="AR510" s="51"/>
      <c r="AS510" s="51"/>
      <c r="AT510" s="51"/>
      <c r="AU510" s="51"/>
      <c r="AV510" s="51"/>
      <c r="AW510" s="50"/>
      <c r="AX510" s="50"/>
      <c r="AY510" s="50"/>
      <c r="AZ510" s="50"/>
      <c r="BA510" s="50"/>
      <c r="BB510" s="50"/>
      <c r="BC510" s="43">
        <v>35</v>
      </c>
      <c r="BD510" s="43">
        <v>170</v>
      </c>
      <c r="BE510" s="43">
        <v>31</v>
      </c>
      <c r="BF510" s="43">
        <v>172</v>
      </c>
      <c r="BG510" s="43">
        <v>43</v>
      </c>
      <c r="BH510" s="43">
        <v>157</v>
      </c>
      <c r="BI510" s="43">
        <v>58</v>
      </c>
      <c r="BJ510" s="43">
        <v>145</v>
      </c>
      <c r="BK510" s="43">
        <v>161</v>
      </c>
      <c r="BL510" s="43">
        <v>39</v>
      </c>
      <c r="BM510" s="43">
        <v>34</v>
      </c>
      <c r="BN510" s="43">
        <v>166</v>
      </c>
      <c r="BO510" s="43">
        <v>155</v>
      </c>
      <c r="BP510" s="43">
        <v>50</v>
      </c>
      <c r="BQ510" s="43">
        <v>53</v>
      </c>
      <c r="BR510" s="43">
        <v>144</v>
      </c>
      <c r="BS510" s="43">
        <v>76</v>
      </c>
      <c r="BT510" s="43">
        <v>29</v>
      </c>
      <c r="BU510" s="43">
        <v>174</v>
      </c>
      <c r="BV510" s="43">
        <v>109</v>
      </c>
      <c r="BW510" s="43">
        <v>64</v>
      </c>
      <c r="BX510" s="43">
        <v>106</v>
      </c>
      <c r="BY510" s="43">
        <v>69</v>
      </c>
      <c r="BZ510" s="43">
        <v>106</v>
      </c>
      <c r="CA510" s="43">
        <v>95</v>
      </c>
      <c r="CB510" s="43">
        <v>39</v>
      </c>
      <c r="CC510" s="43">
        <v>132</v>
      </c>
      <c r="CD510" s="43">
        <v>114</v>
      </c>
      <c r="CE510" s="43">
        <v>111</v>
      </c>
      <c r="CF510" s="43">
        <v>60</v>
      </c>
      <c r="CG510" s="43">
        <v>62</v>
      </c>
      <c r="CH510" s="43">
        <v>102</v>
      </c>
      <c r="CI510" s="43">
        <v>87</v>
      </c>
      <c r="CJ510" s="43">
        <v>79</v>
      </c>
      <c r="CK510" s="43">
        <v>68</v>
      </c>
      <c r="CL510" s="43">
        <v>103</v>
      </c>
      <c r="CM510" s="43">
        <v>84</v>
      </c>
      <c r="CN510" s="43">
        <v>100</v>
      </c>
      <c r="CO510" s="43">
        <v>97</v>
      </c>
      <c r="CP510" s="43">
        <v>75</v>
      </c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43">
        <v>53</v>
      </c>
      <c r="FN510" s="43">
        <v>144</v>
      </c>
      <c r="FO510" s="43">
        <v>63</v>
      </c>
      <c r="FP510" s="43">
        <v>132</v>
      </c>
      <c r="FQ510" s="43">
        <v>53</v>
      </c>
      <c r="FR510" s="43">
        <v>143</v>
      </c>
      <c r="FS510" s="43">
        <v>62</v>
      </c>
      <c r="FT510" s="43">
        <v>137</v>
      </c>
      <c r="FU510" s="43">
        <v>64</v>
      </c>
      <c r="FV510" s="43">
        <v>133</v>
      </c>
      <c r="FW510" s="43">
        <v>76</v>
      </c>
      <c r="FX510" s="43">
        <v>123</v>
      </c>
      <c r="FY510" s="43">
        <v>103</v>
      </c>
      <c r="FZ510" s="43">
        <v>97</v>
      </c>
      <c r="GA510" s="53"/>
      <c r="GB510" s="53"/>
      <c r="GC510" s="53"/>
      <c r="GD510" s="53"/>
      <c r="GE510" s="53"/>
      <c r="GF510" s="53"/>
      <c r="GG510" s="53"/>
      <c r="GH510" s="53"/>
      <c r="GI510" s="43"/>
      <c r="GJ510" s="43"/>
      <c r="GK510" s="43"/>
      <c r="GL510" s="43"/>
      <c r="GM510" s="53"/>
      <c r="GN510" s="53"/>
      <c r="GO510" s="43">
        <v>126</v>
      </c>
      <c r="GP510" s="43">
        <v>77</v>
      </c>
      <c r="GQ510" s="43">
        <v>154</v>
      </c>
      <c r="GR510" s="43">
        <v>48</v>
      </c>
    </row>
    <row r="511" spans="1:200">
      <c r="A511" s="8">
        <v>8713</v>
      </c>
      <c r="B511" s="1" t="s">
        <v>639</v>
      </c>
      <c r="C511" s="33">
        <v>1192</v>
      </c>
      <c r="D511" s="34">
        <v>827</v>
      </c>
      <c r="E511" s="19">
        <f t="shared" si="7"/>
        <v>0.69379194630872487</v>
      </c>
      <c r="F511" s="62">
        <v>455</v>
      </c>
      <c r="G511" s="43">
        <v>2</v>
      </c>
      <c r="H511" s="43">
        <v>13</v>
      </c>
      <c r="I511" s="43">
        <v>6</v>
      </c>
      <c r="J511" s="55">
        <v>335</v>
      </c>
      <c r="K511" s="6">
        <v>0</v>
      </c>
      <c r="L511" s="6">
        <v>0</v>
      </c>
      <c r="M511" s="43">
        <v>0</v>
      </c>
      <c r="N511" s="25">
        <v>0</v>
      </c>
      <c r="O511" s="43">
        <v>0</v>
      </c>
      <c r="P511" s="43">
        <v>0</v>
      </c>
      <c r="Q511" s="43">
        <v>0</v>
      </c>
      <c r="R511" s="43">
        <v>0</v>
      </c>
      <c r="S511" s="43">
        <v>0</v>
      </c>
      <c r="T511" s="43">
        <v>0</v>
      </c>
      <c r="U511" s="43">
        <v>0</v>
      </c>
      <c r="V511" s="43">
        <v>0</v>
      </c>
      <c r="W511" s="43">
        <v>1</v>
      </c>
      <c r="X511" s="43">
        <v>0</v>
      </c>
      <c r="Y511" s="43">
        <v>0</v>
      </c>
      <c r="Z511" s="43">
        <v>0</v>
      </c>
      <c r="AA511" s="44">
        <v>0</v>
      </c>
      <c r="AB511" s="44">
        <v>0</v>
      </c>
      <c r="AC511" s="44">
        <v>4</v>
      </c>
      <c r="AD511" s="44">
        <v>10</v>
      </c>
      <c r="AE511" s="44">
        <v>382</v>
      </c>
      <c r="AF511" s="44">
        <v>16</v>
      </c>
      <c r="AG511" s="44">
        <v>0</v>
      </c>
      <c r="AH511" s="44">
        <v>378</v>
      </c>
      <c r="AI511" s="32"/>
      <c r="AJ511" s="32"/>
      <c r="AK511" s="32"/>
      <c r="AL511" s="32"/>
      <c r="AM511" s="44">
        <v>22</v>
      </c>
      <c r="AN511" s="44">
        <v>386</v>
      </c>
      <c r="AO511" s="44">
        <v>361</v>
      </c>
      <c r="AP511" s="44"/>
      <c r="AQ511" s="44"/>
      <c r="AR511" s="51"/>
      <c r="AS511" s="51"/>
      <c r="AT511" s="51"/>
      <c r="AU511" s="51"/>
      <c r="AV511" s="51"/>
      <c r="AW511" s="50"/>
      <c r="AX511" s="50"/>
      <c r="AY511" s="50"/>
      <c r="AZ511" s="50"/>
      <c r="BA511" s="50"/>
      <c r="BB511" s="50"/>
      <c r="BC511" s="43">
        <v>349</v>
      </c>
      <c r="BD511" s="43">
        <v>439</v>
      </c>
      <c r="BE511" s="43">
        <v>295</v>
      </c>
      <c r="BF511" s="43">
        <v>481</v>
      </c>
      <c r="BG511" s="43">
        <v>352</v>
      </c>
      <c r="BH511" s="43">
        <v>425</v>
      </c>
      <c r="BI511" s="43">
        <v>363</v>
      </c>
      <c r="BJ511" s="43">
        <v>413</v>
      </c>
      <c r="BK511" s="43">
        <v>427</v>
      </c>
      <c r="BL511" s="43">
        <v>348</v>
      </c>
      <c r="BM511" s="43">
        <v>265</v>
      </c>
      <c r="BN511" s="43">
        <v>517</v>
      </c>
      <c r="BO511" s="43">
        <v>419</v>
      </c>
      <c r="BP511" s="43">
        <v>341</v>
      </c>
      <c r="BQ511" s="43">
        <v>389</v>
      </c>
      <c r="BR511" s="43">
        <v>373</v>
      </c>
      <c r="BS511" s="43">
        <v>464</v>
      </c>
      <c r="BT511" s="43">
        <v>263</v>
      </c>
      <c r="BU511" s="43">
        <v>500</v>
      </c>
      <c r="BV511" s="43">
        <v>506</v>
      </c>
      <c r="BW511" s="43">
        <v>303</v>
      </c>
      <c r="BX511" s="43">
        <v>351</v>
      </c>
      <c r="BY511" s="43">
        <v>366</v>
      </c>
      <c r="BZ511" s="43">
        <v>338</v>
      </c>
      <c r="CA511" s="43">
        <v>441</v>
      </c>
      <c r="CB511" s="43">
        <v>281</v>
      </c>
      <c r="CC511" s="43">
        <v>363</v>
      </c>
      <c r="CD511" s="43">
        <v>453</v>
      </c>
      <c r="CE511" s="43">
        <v>342</v>
      </c>
      <c r="CF511" s="43">
        <v>320</v>
      </c>
      <c r="CG511" s="43">
        <v>308</v>
      </c>
      <c r="CH511" s="43">
        <v>316</v>
      </c>
      <c r="CI511" s="43">
        <v>268</v>
      </c>
      <c r="CJ511" s="43">
        <v>380</v>
      </c>
      <c r="CK511" s="43">
        <v>331</v>
      </c>
      <c r="CL511" s="43">
        <v>330</v>
      </c>
      <c r="CM511" s="43">
        <v>442</v>
      </c>
      <c r="CN511" s="43">
        <v>455</v>
      </c>
      <c r="CO511" s="43">
        <v>323</v>
      </c>
      <c r="CP511" s="43">
        <v>349</v>
      </c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  <c r="FW511" s="6"/>
      <c r="FX511" s="6"/>
      <c r="FY511" s="53"/>
      <c r="FZ511" s="53"/>
      <c r="GA511" s="53"/>
      <c r="GB511" s="53"/>
      <c r="GC511" s="53"/>
      <c r="GD511" s="53"/>
      <c r="GE511" s="53"/>
      <c r="GF511" s="53"/>
      <c r="GG511" s="53"/>
      <c r="GH511" s="53"/>
      <c r="GI511" s="43"/>
      <c r="GJ511" s="43"/>
      <c r="GK511" s="53"/>
      <c r="GL511" s="53"/>
      <c r="GM511" s="53"/>
      <c r="GN511" s="53"/>
      <c r="GO511" s="43">
        <v>532</v>
      </c>
      <c r="GP511" s="43">
        <v>254</v>
      </c>
      <c r="GQ511" s="43">
        <v>485</v>
      </c>
      <c r="GR511" s="43">
        <v>297</v>
      </c>
    </row>
    <row r="512" spans="1:200">
      <c r="A512" s="8">
        <v>8714</v>
      </c>
      <c r="B512" s="1" t="s">
        <v>640</v>
      </c>
      <c r="C512" s="33">
        <v>1035</v>
      </c>
      <c r="D512" s="34">
        <v>836</v>
      </c>
      <c r="E512" s="19">
        <f t="shared" si="7"/>
        <v>0.80772946859903383</v>
      </c>
      <c r="F512" s="62">
        <v>441</v>
      </c>
      <c r="G512" s="43">
        <v>1</v>
      </c>
      <c r="H512" s="43">
        <v>36</v>
      </c>
      <c r="I512" s="43">
        <v>6</v>
      </c>
      <c r="J512" s="55">
        <v>328</v>
      </c>
      <c r="K512" s="6">
        <v>0</v>
      </c>
      <c r="L512" s="6">
        <v>0</v>
      </c>
      <c r="M512" s="43">
        <v>0</v>
      </c>
      <c r="N512" s="25">
        <v>0</v>
      </c>
      <c r="O512" s="43">
        <v>0</v>
      </c>
      <c r="P512" s="43">
        <v>0</v>
      </c>
      <c r="Q512" s="43">
        <v>0</v>
      </c>
      <c r="R512" s="43">
        <v>0</v>
      </c>
      <c r="S512" s="43">
        <v>0</v>
      </c>
      <c r="T512" s="43">
        <v>0</v>
      </c>
      <c r="U512" s="43">
        <v>0</v>
      </c>
      <c r="V512" s="43">
        <v>0</v>
      </c>
      <c r="W512" s="43">
        <v>4</v>
      </c>
      <c r="X512" s="43">
        <v>0</v>
      </c>
      <c r="Y512" s="43">
        <v>0</v>
      </c>
      <c r="Z512" s="43">
        <v>0</v>
      </c>
      <c r="AA512" s="44">
        <v>0</v>
      </c>
      <c r="AB512" s="44">
        <v>0</v>
      </c>
      <c r="AC512" s="44">
        <v>9</v>
      </c>
      <c r="AD512" s="44">
        <v>14</v>
      </c>
      <c r="AE512" s="44">
        <v>424</v>
      </c>
      <c r="AF512" s="44">
        <v>16</v>
      </c>
      <c r="AG512" s="44">
        <v>1</v>
      </c>
      <c r="AH512" s="44">
        <v>348</v>
      </c>
      <c r="AI512" s="32"/>
      <c r="AJ512" s="32"/>
      <c r="AK512" s="32"/>
      <c r="AL512" s="32"/>
      <c r="AM512" s="44">
        <v>37</v>
      </c>
      <c r="AN512" s="44">
        <v>339</v>
      </c>
      <c r="AO512" s="44">
        <v>413</v>
      </c>
      <c r="AP512" s="44"/>
      <c r="AQ512" s="44"/>
      <c r="AR512" s="51"/>
      <c r="AS512" s="51"/>
      <c r="AT512" s="51"/>
      <c r="AU512" s="51"/>
      <c r="AV512" s="51"/>
      <c r="AW512" s="50"/>
      <c r="AX512" s="50"/>
      <c r="AY512" s="50"/>
      <c r="AZ512" s="50"/>
      <c r="BA512" s="50"/>
      <c r="BB512" s="50"/>
      <c r="BC512" s="43">
        <v>402</v>
      </c>
      <c r="BD512" s="43">
        <v>394</v>
      </c>
      <c r="BE512" s="43">
        <v>327</v>
      </c>
      <c r="BF512" s="43">
        <v>458</v>
      </c>
      <c r="BG512" s="43">
        <v>411</v>
      </c>
      <c r="BH512" s="43">
        <v>382</v>
      </c>
      <c r="BI512" s="43">
        <v>447</v>
      </c>
      <c r="BJ512" s="43">
        <v>339</v>
      </c>
      <c r="BK512" s="43">
        <v>414</v>
      </c>
      <c r="BL512" s="43">
        <v>383</v>
      </c>
      <c r="BM512" s="43">
        <v>311</v>
      </c>
      <c r="BN512" s="43">
        <v>460</v>
      </c>
      <c r="BO512" s="43">
        <v>385</v>
      </c>
      <c r="BP512" s="43">
        <v>391</v>
      </c>
      <c r="BQ512" s="43">
        <v>432</v>
      </c>
      <c r="BR512" s="43">
        <v>353</v>
      </c>
      <c r="BS512" s="43">
        <v>479</v>
      </c>
      <c r="BT512" s="43">
        <v>291</v>
      </c>
      <c r="BU512" s="43">
        <v>483</v>
      </c>
      <c r="BV512" s="43">
        <v>462</v>
      </c>
      <c r="BW512" s="43">
        <v>332</v>
      </c>
      <c r="BX512" s="43">
        <v>307</v>
      </c>
      <c r="BY512" s="43">
        <v>380</v>
      </c>
      <c r="BZ512" s="43">
        <v>308</v>
      </c>
      <c r="CA512" s="43">
        <v>402</v>
      </c>
      <c r="CB512" s="43">
        <v>328</v>
      </c>
      <c r="CC512" s="43">
        <v>315</v>
      </c>
      <c r="CD512" s="43">
        <v>455</v>
      </c>
      <c r="CE512" s="43">
        <v>325</v>
      </c>
      <c r="CF512" s="43">
        <v>326</v>
      </c>
      <c r="CG512" s="43">
        <v>314</v>
      </c>
      <c r="CH512" s="43">
        <v>308</v>
      </c>
      <c r="CI512" s="43">
        <v>258</v>
      </c>
      <c r="CJ512" s="43">
        <v>387</v>
      </c>
      <c r="CK512" s="43">
        <v>322</v>
      </c>
      <c r="CL512" s="43">
        <v>309</v>
      </c>
      <c r="CM512" s="43">
        <v>411</v>
      </c>
      <c r="CN512" s="43">
        <v>413</v>
      </c>
      <c r="CO512" s="43">
        <v>280</v>
      </c>
      <c r="CP512" s="43">
        <v>361</v>
      </c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6"/>
      <c r="FY512" s="43">
        <v>0</v>
      </c>
      <c r="FZ512" s="43">
        <v>2</v>
      </c>
      <c r="GA512" s="53"/>
      <c r="GB512" s="53"/>
      <c r="GC512" s="53"/>
      <c r="GD512" s="53"/>
      <c r="GE512" s="53"/>
      <c r="GF512" s="53"/>
      <c r="GG512" s="53"/>
      <c r="GH512" s="53"/>
      <c r="GI512" s="43"/>
      <c r="GJ512" s="43"/>
      <c r="GK512" s="53"/>
      <c r="GL512" s="53"/>
      <c r="GM512" s="53"/>
      <c r="GN512" s="53"/>
      <c r="GO512" s="43">
        <v>547</v>
      </c>
      <c r="GP512" s="43">
        <v>249</v>
      </c>
      <c r="GQ512" s="43">
        <v>552</v>
      </c>
      <c r="GR512" s="43">
        <v>246</v>
      </c>
    </row>
    <row r="513" spans="1:200">
      <c r="A513" s="7">
        <v>8715</v>
      </c>
      <c r="B513" s="1" t="s">
        <v>641</v>
      </c>
      <c r="C513" s="33">
        <v>718</v>
      </c>
      <c r="D513" s="34">
        <v>447</v>
      </c>
      <c r="E513" s="19">
        <f t="shared" si="7"/>
        <v>0.62256267409470756</v>
      </c>
      <c r="F513" s="62">
        <v>373</v>
      </c>
      <c r="G513" s="43">
        <v>1</v>
      </c>
      <c r="H513" s="43">
        <v>5</v>
      </c>
      <c r="I513" s="43">
        <v>2</v>
      </c>
      <c r="J513" s="55">
        <v>59</v>
      </c>
      <c r="K513" s="6">
        <v>0</v>
      </c>
      <c r="L513" s="6">
        <v>0</v>
      </c>
      <c r="M513" s="43">
        <v>0</v>
      </c>
      <c r="N513" s="25">
        <v>0</v>
      </c>
      <c r="O513" s="43">
        <v>0</v>
      </c>
      <c r="P513" s="43">
        <v>0</v>
      </c>
      <c r="Q513" s="43">
        <v>0</v>
      </c>
      <c r="R513" s="43">
        <v>0</v>
      </c>
      <c r="S513" s="43">
        <v>0</v>
      </c>
      <c r="T513" s="43">
        <v>0</v>
      </c>
      <c r="U513" s="43">
        <v>0</v>
      </c>
      <c r="V513" s="43">
        <v>0</v>
      </c>
      <c r="W513" s="43">
        <v>3</v>
      </c>
      <c r="X513" s="43">
        <v>0</v>
      </c>
      <c r="Y513" s="43">
        <v>0</v>
      </c>
      <c r="Z513" s="43">
        <v>0</v>
      </c>
      <c r="AA513" s="44">
        <v>0</v>
      </c>
      <c r="AB513" s="44">
        <v>0</v>
      </c>
      <c r="AC513" s="44">
        <v>8</v>
      </c>
      <c r="AD513" s="44">
        <v>3</v>
      </c>
      <c r="AE513" s="44">
        <v>87</v>
      </c>
      <c r="AF513" s="44">
        <v>2</v>
      </c>
      <c r="AG513" s="44">
        <v>0</v>
      </c>
      <c r="AH513" s="44">
        <v>331</v>
      </c>
      <c r="AI513" s="32"/>
      <c r="AJ513" s="32"/>
      <c r="AK513" s="32"/>
      <c r="AL513" s="32"/>
      <c r="AM513" s="44">
        <v>8</v>
      </c>
      <c r="AN513" s="44">
        <v>334</v>
      </c>
      <c r="AO513" s="44">
        <v>75</v>
      </c>
      <c r="AP513" s="44"/>
      <c r="AQ513" s="44"/>
      <c r="AR513" s="51"/>
      <c r="AS513" s="51"/>
      <c r="AT513" s="51"/>
      <c r="AU513" s="51"/>
      <c r="AV513" s="51"/>
      <c r="AW513" s="50"/>
      <c r="AX513" s="50"/>
      <c r="AY513" s="50"/>
      <c r="AZ513" s="50"/>
      <c r="BA513" s="50"/>
      <c r="BB513" s="50"/>
      <c r="BC513" s="43">
        <v>59</v>
      </c>
      <c r="BD513" s="43">
        <v>375</v>
      </c>
      <c r="BE513" s="43">
        <v>53</v>
      </c>
      <c r="BF513" s="43">
        <v>374</v>
      </c>
      <c r="BG513" s="43">
        <v>76</v>
      </c>
      <c r="BH513" s="43">
        <v>352</v>
      </c>
      <c r="BI513" s="43">
        <v>106</v>
      </c>
      <c r="BJ513" s="43">
        <v>318</v>
      </c>
      <c r="BK513" s="43">
        <v>327</v>
      </c>
      <c r="BL513" s="43">
        <v>97</v>
      </c>
      <c r="BM513" s="43">
        <v>53</v>
      </c>
      <c r="BN513" s="43">
        <v>367</v>
      </c>
      <c r="BO513" s="43">
        <v>343</v>
      </c>
      <c r="BP513" s="43">
        <v>76</v>
      </c>
      <c r="BQ513" s="43">
        <v>93</v>
      </c>
      <c r="BR513" s="43">
        <v>326</v>
      </c>
      <c r="BS513" s="43">
        <v>180</v>
      </c>
      <c r="BT513" s="43">
        <v>55</v>
      </c>
      <c r="BU513" s="43">
        <v>364</v>
      </c>
      <c r="BV513" s="43">
        <v>208</v>
      </c>
      <c r="BW513" s="43">
        <v>112</v>
      </c>
      <c r="BX513" s="43">
        <v>226</v>
      </c>
      <c r="BY513" s="43">
        <v>124</v>
      </c>
      <c r="BZ513" s="43">
        <v>251</v>
      </c>
      <c r="CA513" s="43">
        <v>188</v>
      </c>
      <c r="CB513" s="43">
        <v>81</v>
      </c>
      <c r="CC513" s="43">
        <v>268</v>
      </c>
      <c r="CD513" s="43">
        <v>254</v>
      </c>
      <c r="CE513" s="43">
        <v>255</v>
      </c>
      <c r="CF513" s="43">
        <v>98</v>
      </c>
      <c r="CG513" s="43">
        <v>118</v>
      </c>
      <c r="CH513" s="43">
        <v>210</v>
      </c>
      <c r="CI513" s="43">
        <v>226</v>
      </c>
      <c r="CJ513" s="43">
        <v>122</v>
      </c>
      <c r="CK513" s="43">
        <v>138</v>
      </c>
      <c r="CL513" s="43">
        <v>219</v>
      </c>
      <c r="CM513" s="43">
        <v>187</v>
      </c>
      <c r="CN513" s="43">
        <v>206</v>
      </c>
      <c r="CO513" s="43">
        <v>231</v>
      </c>
      <c r="CP513" s="43">
        <v>117</v>
      </c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53"/>
      <c r="FZ513" s="53"/>
      <c r="GA513" s="53"/>
      <c r="GB513" s="53"/>
      <c r="GC513" s="53"/>
      <c r="GD513" s="53"/>
      <c r="GE513" s="53"/>
      <c r="GF513" s="53"/>
      <c r="GG513" s="53"/>
      <c r="GH513" s="53"/>
      <c r="GI513" s="43"/>
      <c r="GJ513" s="43"/>
      <c r="GK513" s="53"/>
      <c r="GL513" s="53"/>
      <c r="GM513" s="53"/>
      <c r="GN513" s="53"/>
      <c r="GO513" s="43">
        <v>281</v>
      </c>
      <c r="GP513" s="43">
        <v>137</v>
      </c>
      <c r="GQ513" s="43">
        <v>323</v>
      </c>
      <c r="GR513" s="43">
        <v>94</v>
      </c>
    </row>
    <row r="514" spans="1:200">
      <c r="A514" s="7">
        <v>8716</v>
      </c>
      <c r="B514" s="1" t="s">
        <v>642</v>
      </c>
      <c r="C514" s="33">
        <v>873</v>
      </c>
      <c r="D514" s="34">
        <v>636</v>
      </c>
      <c r="E514" s="19">
        <f t="shared" si="7"/>
        <v>0.72852233676975942</v>
      </c>
      <c r="F514" s="62">
        <v>476</v>
      </c>
      <c r="G514" s="43">
        <v>0</v>
      </c>
      <c r="H514" s="43">
        <v>8</v>
      </c>
      <c r="I514" s="43">
        <v>4</v>
      </c>
      <c r="J514" s="55">
        <v>141</v>
      </c>
      <c r="K514" s="6">
        <v>0</v>
      </c>
      <c r="L514" s="6">
        <v>0</v>
      </c>
      <c r="M514" s="43">
        <v>1</v>
      </c>
      <c r="N514" s="25">
        <v>0</v>
      </c>
      <c r="O514" s="43">
        <v>0</v>
      </c>
      <c r="P514" s="43">
        <v>0</v>
      </c>
      <c r="Q514" s="43">
        <v>0</v>
      </c>
      <c r="R514" s="43">
        <v>0</v>
      </c>
      <c r="S514" s="43">
        <v>0</v>
      </c>
      <c r="T514" s="43">
        <v>0</v>
      </c>
      <c r="U514" s="43">
        <v>0</v>
      </c>
      <c r="V514" s="43">
        <v>0</v>
      </c>
      <c r="W514" s="43">
        <v>0</v>
      </c>
      <c r="X514" s="43">
        <v>0</v>
      </c>
      <c r="Y514" s="43">
        <v>0</v>
      </c>
      <c r="Z514" s="43">
        <v>0</v>
      </c>
      <c r="AA514" s="44">
        <v>0</v>
      </c>
      <c r="AB514" s="44">
        <v>0</v>
      </c>
      <c r="AC514" s="44">
        <v>6</v>
      </c>
      <c r="AD514" s="44">
        <v>3</v>
      </c>
      <c r="AE514" s="44">
        <v>195</v>
      </c>
      <c r="AF514" s="44">
        <v>1</v>
      </c>
      <c r="AG514" s="44">
        <v>0</v>
      </c>
      <c r="AH514" s="44">
        <v>414</v>
      </c>
      <c r="AI514" s="32"/>
      <c r="AJ514" s="32"/>
      <c r="AK514" s="32"/>
      <c r="AL514" s="32"/>
      <c r="AM514" s="44">
        <v>10</v>
      </c>
      <c r="AN514" s="44">
        <v>425</v>
      </c>
      <c r="AO514" s="44">
        <v>170</v>
      </c>
      <c r="AP514" s="44"/>
      <c r="AQ514" s="44"/>
      <c r="AR514" s="51"/>
      <c r="AS514" s="51"/>
      <c r="AT514" s="51"/>
      <c r="AU514" s="51"/>
      <c r="AV514" s="51"/>
      <c r="AW514" s="50"/>
      <c r="AX514" s="50"/>
      <c r="AY514" s="50"/>
      <c r="AZ514" s="50"/>
      <c r="BA514" s="50"/>
      <c r="BB514" s="50"/>
      <c r="BC514" s="43">
        <v>162</v>
      </c>
      <c r="BD514" s="43">
        <v>461</v>
      </c>
      <c r="BE514" s="43">
        <v>136</v>
      </c>
      <c r="BF514" s="43">
        <v>475</v>
      </c>
      <c r="BG514" s="43">
        <v>169</v>
      </c>
      <c r="BH514" s="43">
        <v>442</v>
      </c>
      <c r="BI514" s="43">
        <v>192</v>
      </c>
      <c r="BJ514" s="43">
        <v>418</v>
      </c>
      <c r="BK514" s="43">
        <v>444</v>
      </c>
      <c r="BL514" s="43">
        <v>169</v>
      </c>
      <c r="BM514" s="43">
        <v>125</v>
      </c>
      <c r="BN514" s="43">
        <v>483</v>
      </c>
      <c r="BO514" s="43">
        <v>452</v>
      </c>
      <c r="BP514" s="43">
        <v>152</v>
      </c>
      <c r="BQ514" s="43">
        <v>190</v>
      </c>
      <c r="BR514" s="43">
        <v>415</v>
      </c>
      <c r="BS514" s="43">
        <v>260</v>
      </c>
      <c r="BT514" s="43">
        <v>110</v>
      </c>
      <c r="BU514" s="43">
        <v>496</v>
      </c>
      <c r="BV514" s="43">
        <v>320</v>
      </c>
      <c r="BW514" s="43">
        <v>198</v>
      </c>
      <c r="BX514" s="43">
        <v>320</v>
      </c>
      <c r="BY514" s="43">
        <v>215</v>
      </c>
      <c r="BZ514" s="43">
        <v>338</v>
      </c>
      <c r="CA514" s="43">
        <v>281</v>
      </c>
      <c r="CB514" s="43">
        <v>155</v>
      </c>
      <c r="CC514" s="43">
        <v>366</v>
      </c>
      <c r="CD514" s="43">
        <v>367</v>
      </c>
      <c r="CE514" s="43">
        <v>349</v>
      </c>
      <c r="CF514" s="43">
        <v>177</v>
      </c>
      <c r="CG514" s="43">
        <v>174</v>
      </c>
      <c r="CH514" s="43">
        <v>330</v>
      </c>
      <c r="CI514" s="43">
        <v>294</v>
      </c>
      <c r="CJ514" s="43">
        <v>233</v>
      </c>
      <c r="CK514" s="43">
        <v>228</v>
      </c>
      <c r="CL514" s="43">
        <v>299</v>
      </c>
      <c r="CM514" s="43">
        <v>263</v>
      </c>
      <c r="CN514" s="43">
        <v>283</v>
      </c>
      <c r="CO514" s="43">
        <v>308</v>
      </c>
      <c r="CP514" s="43">
        <v>212</v>
      </c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FZ514" s="44"/>
      <c r="GA514" s="53"/>
      <c r="GB514" s="53"/>
      <c r="GC514" s="53"/>
      <c r="GD514" s="53"/>
      <c r="GE514" s="53"/>
      <c r="GF514" s="53"/>
      <c r="GG514" s="53"/>
      <c r="GH514" s="53"/>
      <c r="GI514" s="43"/>
      <c r="GJ514" s="43"/>
      <c r="GK514" s="53"/>
      <c r="GL514" s="53"/>
      <c r="GM514" s="53"/>
      <c r="GN514" s="53"/>
      <c r="GO514" s="43">
        <v>400</v>
      </c>
      <c r="GP514" s="43">
        <v>202</v>
      </c>
      <c r="GQ514" s="43">
        <v>444</v>
      </c>
      <c r="GR514" s="43">
        <v>154</v>
      </c>
    </row>
    <row r="515" spans="1:200">
      <c r="A515" s="7">
        <v>8717</v>
      </c>
      <c r="B515" s="1" t="s">
        <v>643</v>
      </c>
      <c r="C515" s="33">
        <v>1364</v>
      </c>
      <c r="D515" s="34">
        <v>949</v>
      </c>
      <c r="E515" s="19">
        <f t="shared" si="7"/>
        <v>0.69574780058651031</v>
      </c>
      <c r="F515" s="62">
        <v>608</v>
      </c>
      <c r="G515" s="43">
        <v>6</v>
      </c>
      <c r="H515" s="43">
        <v>21</v>
      </c>
      <c r="I515" s="43">
        <v>4</v>
      </c>
      <c r="J515" s="55">
        <v>291</v>
      </c>
      <c r="K515" s="6">
        <v>0</v>
      </c>
      <c r="L515" s="6">
        <v>0</v>
      </c>
      <c r="M515" s="43">
        <v>0</v>
      </c>
      <c r="N515" s="25">
        <v>0</v>
      </c>
      <c r="O515" s="43">
        <v>0</v>
      </c>
      <c r="P515" s="43">
        <v>0</v>
      </c>
      <c r="Q515" s="43">
        <v>0</v>
      </c>
      <c r="R515" s="43">
        <v>0</v>
      </c>
      <c r="S515" s="43">
        <v>0</v>
      </c>
      <c r="T515" s="43">
        <v>0</v>
      </c>
      <c r="U515" s="43">
        <v>0</v>
      </c>
      <c r="V515" s="43">
        <v>0</v>
      </c>
      <c r="W515" s="43">
        <v>1</v>
      </c>
      <c r="X515" s="43">
        <v>0</v>
      </c>
      <c r="Y515" s="43">
        <v>0</v>
      </c>
      <c r="Z515" s="43">
        <v>0</v>
      </c>
      <c r="AA515" s="44">
        <v>0</v>
      </c>
      <c r="AB515" s="44">
        <v>0</v>
      </c>
      <c r="AC515" s="44">
        <v>8</v>
      </c>
      <c r="AD515" s="44">
        <v>11</v>
      </c>
      <c r="AE515" s="44">
        <v>352</v>
      </c>
      <c r="AF515" s="44">
        <v>11</v>
      </c>
      <c r="AG515" s="44">
        <v>0</v>
      </c>
      <c r="AH515" s="44">
        <v>524</v>
      </c>
      <c r="AI515" s="32"/>
      <c r="AJ515" s="32"/>
      <c r="AK515" s="32"/>
      <c r="AL515" s="32"/>
      <c r="AM515" s="44">
        <v>19</v>
      </c>
      <c r="AN515" s="44">
        <v>561</v>
      </c>
      <c r="AO515" s="44">
        <v>302</v>
      </c>
      <c r="AP515" s="44"/>
      <c r="AQ515" s="44"/>
      <c r="AR515" s="51"/>
      <c r="AS515" s="51"/>
      <c r="AT515" s="51"/>
      <c r="AU515" s="51"/>
      <c r="AV515" s="51"/>
      <c r="AW515" s="50"/>
      <c r="AX515" s="50"/>
      <c r="AY515" s="50"/>
      <c r="AZ515" s="50"/>
      <c r="BA515" s="50"/>
      <c r="BB515" s="50"/>
      <c r="BC515" s="43">
        <v>303</v>
      </c>
      <c r="BD515" s="43">
        <v>596</v>
      </c>
      <c r="BE515" s="43">
        <v>238</v>
      </c>
      <c r="BF515" s="43">
        <v>653</v>
      </c>
      <c r="BG515" s="43">
        <v>314</v>
      </c>
      <c r="BH515" s="43">
        <v>585</v>
      </c>
      <c r="BI515" s="43">
        <v>337</v>
      </c>
      <c r="BJ515" s="43">
        <v>551</v>
      </c>
      <c r="BK515" s="43">
        <v>572</v>
      </c>
      <c r="BL515" s="43">
        <v>325</v>
      </c>
      <c r="BM515" s="43">
        <v>203</v>
      </c>
      <c r="BN515" s="43">
        <v>690</v>
      </c>
      <c r="BO515" s="43">
        <v>572</v>
      </c>
      <c r="BP515" s="43">
        <v>308</v>
      </c>
      <c r="BQ515" s="43">
        <v>334</v>
      </c>
      <c r="BR515" s="43">
        <v>544</v>
      </c>
      <c r="BS515" s="43">
        <v>485</v>
      </c>
      <c r="BT515" s="43">
        <v>209</v>
      </c>
      <c r="BU515" s="43">
        <v>671</v>
      </c>
      <c r="BV515" s="43">
        <v>531</v>
      </c>
      <c r="BW515" s="43">
        <v>335</v>
      </c>
      <c r="BX515" s="43">
        <v>418</v>
      </c>
      <c r="BY515" s="43">
        <v>367</v>
      </c>
      <c r="BZ515" s="43">
        <v>434</v>
      </c>
      <c r="CA515" s="43">
        <v>467</v>
      </c>
      <c r="CB515" s="43">
        <v>269</v>
      </c>
      <c r="CC515" s="43">
        <v>479</v>
      </c>
      <c r="CD515" s="43">
        <v>532</v>
      </c>
      <c r="CE515" s="43">
        <v>438</v>
      </c>
      <c r="CF515" s="43">
        <v>314</v>
      </c>
      <c r="CG515" s="43">
        <v>270</v>
      </c>
      <c r="CH515" s="43">
        <v>433</v>
      </c>
      <c r="CI515" s="43">
        <v>339</v>
      </c>
      <c r="CJ515" s="43">
        <v>396</v>
      </c>
      <c r="CK515" s="43">
        <v>331</v>
      </c>
      <c r="CL515" s="43">
        <v>407</v>
      </c>
      <c r="CM515" s="43">
        <v>447</v>
      </c>
      <c r="CN515" s="43">
        <v>471</v>
      </c>
      <c r="CO515" s="43">
        <v>383</v>
      </c>
      <c r="CP515" s="43">
        <v>358</v>
      </c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44"/>
      <c r="GA515" s="53"/>
      <c r="GB515" s="53"/>
      <c r="GC515" s="53"/>
      <c r="GD515" s="53"/>
      <c r="GE515" s="53"/>
      <c r="GF515" s="53"/>
      <c r="GG515" s="53"/>
      <c r="GH515" s="53"/>
      <c r="GI515" s="43"/>
      <c r="GJ515" s="43"/>
      <c r="GK515" s="53"/>
      <c r="GL515" s="53"/>
      <c r="GM515" s="53"/>
      <c r="GN515" s="53"/>
      <c r="GO515" s="43">
        <v>619</v>
      </c>
      <c r="GP515" s="43">
        <v>273</v>
      </c>
      <c r="GQ515" s="43">
        <v>618</v>
      </c>
      <c r="GR515" s="43">
        <v>271</v>
      </c>
    </row>
    <row r="516" spans="1:200">
      <c r="A516" s="8">
        <v>8718</v>
      </c>
      <c r="B516" s="1" t="s">
        <v>644</v>
      </c>
      <c r="C516" s="33">
        <v>1168</v>
      </c>
      <c r="D516" s="34">
        <v>871</v>
      </c>
      <c r="E516" s="19">
        <f t="shared" si="7"/>
        <v>0.74571917808219179</v>
      </c>
      <c r="F516" s="62">
        <v>530</v>
      </c>
      <c r="G516" s="43">
        <v>0</v>
      </c>
      <c r="H516" s="43">
        <v>22</v>
      </c>
      <c r="I516" s="43">
        <v>5</v>
      </c>
      <c r="J516" s="55">
        <v>295</v>
      </c>
      <c r="K516" s="6">
        <v>0</v>
      </c>
      <c r="L516" s="6">
        <v>0</v>
      </c>
      <c r="M516" s="43">
        <v>0</v>
      </c>
      <c r="N516" s="25">
        <v>0</v>
      </c>
      <c r="O516" s="43">
        <v>0</v>
      </c>
      <c r="P516" s="43">
        <v>0</v>
      </c>
      <c r="Q516" s="43">
        <v>0</v>
      </c>
      <c r="R516" s="43">
        <v>0</v>
      </c>
      <c r="S516" s="43">
        <v>0</v>
      </c>
      <c r="T516" s="43">
        <v>0</v>
      </c>
      <c r="U516" s="43">
        <v>0</v>
      </c>
      <c r="V516" s="43">
        <v>0</v>
      </c>
      <c r="W516" s="43">
        <v>2</v>
      </c>
      <c r="X516" s="43">
        <v>0</v>
      </c>
      <c r="Y516" s="43">
        <v>0</v>
      </c>
      <c r="Z516" s="43">
        <v>0</v>
      </c>
      <c r="AA516" s="44">
        <v>0</v>
      </c>
      <c r="AB516" s="44">
        <v>0</v>
      </c>
      <c r="AC516" s="44">
        <v>11</v>
      </c>
      <c r="AD516" s="44">
        <v>10</v>
      </c>
      <c r="AE516" s="44">
        <v>387</v>
      </c>
      <c r="AF516" s="44">
        <v>9</v>
      </c>
      <c r="AG516" s="44">
        <v>0</v>
      </c>
      <c r="AH516" s="44">
        <v>431</v>
      </c>
      <c r="AI516" s="32"/>
      <c r="AJ516" s="32"/>
      <c r="AK516" s="32"/>
      <c r="AL516" s="32"/>
      <c r="AM516" s="44">
        <v>33</v>
      </c>
      <c r="AN516" s="44">
        <v>438</v>
      </c>
      <c r="AO516" s="44">
        <v>346</v>
      </c>
      <c r="AP516" s="44"/>
      <c r="AQ516" s="44"/>
      <c r="AR516" s="51"/>
      <c r="AS516" s="51"/>
      <c r="AT516" s="51"/>
      <c r="AU516" s="51"/>
      <c r="AV516" s="51"/>
      <c r="AW516" s="50"/>
      <c r="AX516" s="50"/>
      <c r="AY516" s="50"/>
      <c r="AZ516" s="50"/>
      <c r="BA516" s="50"/>
      <c r="BB516" s="50"/>
      <c r="BC516" s="43">
        <v>326</v>
      </c>
      <c r="BD516" s="43">
        <v>505</v>
      </c>
      <c r="BE516" s="43">
        <v>283</v>
      </c>
      <c r="BF516" s="43">
        <v>548</v>
      </c>
      <c r="BG516" s="43">
        <v>320</v>
      </c>
      <c r="BH516" s="43">
        <v>513</v>
      </c>
      <c r="BI516" s="43">
        <v>352</v>
      </c>
      <c r="BJ516" s="43">
        <v>482</v>
      </c>
      <c r="BK516" s="43">
        <v>534</v>
      </c>
      <c r="BL516" s="43">
        <v>294</v>
      </c>
      <c r="BM516" s="43">
        <v>255</v>
      </c>
      <c r="BN516" s="43">
        <v>562</v>
      </c>
      <c r="BO516" s="43">
        <v>499</v>
      </c>
      <c r="BP516" s="43">
        <v>304</v>
      </c>
      <c r="BQ516" s="43">
        <v>357</v>
      </c>
      <c r="BR516" s="43">
        <v>457</v>
      </c>
      <c r="BS516" s="43">
        <v>474</v>
      </c>
      <c r="BT516" s="43">
        <v>244</v>
      </c>
      <c r="BU516" s="43">
        <v>572</v>
      </c>
      <c r="BV516" s="43">
        <v>507</v>
      </c>
      <c r="BW516" s="43">
        <v>323</v>
      </c>
      <c r="BX516" s="43">
        <v>379</v>
      </c>
      <c r="BY516" s="43">
        <v>353</v>
      </c>
      <c r="BZ516" s="43">
        <v>407</v>
      </c>
      <c r="CA516" s="43">
        <v>470</v>
      </c>
      <c r="CB516" s="43">
        <v>261</v>
      </c>
      <c r="CC516" s="43">
        <v>447</v>
      </c>
      <c r="CD516" s="43">
        <v>533</v>
      </c>
      <c r="CE516" s="43">
        <v>429</v>
      </c>
      <c r="CF516" s="43">
        <v>281</v>
      </c>
      <c r="CG516" s="43">
        <v>286</v>
      </c>
      <c r="CH516" s="43">
        <v>386</v>
      </c>
      <c r="CI516" s="43">
        <v>323</v>
      </c>
      <c r="CJ516" s="43">
        <v>373</v>
      </c>
      <c r="CK516" s="43">
        <v>311</v>
      </c>
      <c r="CL516" s="43">
        <v>373</v>
      </c>
      <c r="CM516" s="43">
        <v>451</v>
      </c>
      <c r="CN516" s="43">
        <v>471</v>
      </c>
      <c r="CO516" s="43">
        <v>383</v>
      </c>
      <c r="CP516" s="43">
        <v>325</v>
      </c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FZ516" s="44"/>
      <c r="GA516" s="53"/>
      <c r="GB516" s="53"/>
      <c r="GC516" s="53"/>
      <c r="GD516" s="53"/>
      <c r="GE516" s="53"/>
      <c r="GF516" s="53"/>
      <c r="GG516" s="53"/>
      <c r="GH516" s="53"/>
      <c r="GI516" s="43"/>
      <c r="GJ516" s="43"/>
      <c r="GK516" s="53"/>
      <c r="GL516" s="53"/>
      <c r="GM516" s="53"/>
      <c r="GN516" s="53"/>
      <c r="GO516" s="43">
        <v>564</v>
      </c>
      <c r="GP516" s="43">
        <v>262</v>
      </c>
      <c r="GQ516" s="43">
        <v>576</v>
      </c>
      <c r="GR516" s="43">
        <v>245</v>
      </c>
    </row>
    <row r="517" spans="1:200">
      <c r="A517" s="8">
        <v>8719</v>
      </c>
      <c r="B517" s="1" t="s">
        <v>645</v>
      </c>
      <c r="C517" s="33">
        <v>1145</v>
      </c>
      <c r="D517" s="34">
        <v>939</v>
      </c>
      <c r="E517" s="19">
        <f t="shared" ref="E517:E559" si="8">SUM(D517/C517)</f>
        <v>0.82008733624454144</v>
      </c>
      <c r="F517" s="62">
        <v>529</v>
      </c>
      <c r="G517" s="43">
        <v>2</v>
      </c>
      <c r="H517" s="43">
        <v>26</v>
      </c>
      <c r="I517" s="43">
        <v>7</v>
      </c>
      <c r="J517" s="55">
        <v>353</v>
      </c>
      <c r="K517" s="6">
        <v>0</v>
      </c>
      <c r="L517" s="6">
        <v>0</v>
      </c>
      <c r="M517" s="43">
        <v>0</v>
      </c>
      <c r="N517" s="25">
        <v>0</v>
      </c>
      <c r="O517" s="43">
        <v>0</v>
      </c>
      <c r="P517" s="43">
        <v>0</v>
      </c>
      <c r="Q517" s="43">
        <v>0</v>
      </c>
      <c r="R517" s="43">
        <v>0</v>
      </c>
      <c r="S517" s="43">
        <v>0</v>
      </c>
      <c r="T517" s="43">
        <v>0</v>
      </c>
      <c r="U517" s="43">
        <v>0</v>
      </c>
      <c r="V517" s="43">
        <v>0</v>
      </c>
      <c r="W517" s="43">
        <v>2</v>
      </c>
      <c r="X517" s="43">
        <v>0</v>
      </c>
      <c r="Y517" s="43">
        <v>0</v>
      </c>
      <c r="Z517" s="43">
        <v>0</v>
      </c>
      <c r="AA517" s="44">
        <v>0</v>
      </c>
      <c r="AB517" s="44">
        <v>0</v>
      </c>
      <c r="AC517" s="44">
        <v>9</v>
      </c>
      <c r="AD517" s="44">
        <v>15</v>
      </c>
      <c r="AE517" s="44">
        <v>455</v>
      </c>
      <c r="AF517" s="44">
        <v>3</v>
      </c>
      <c r="AG517" s="44">
        <v>0</v>
      </c>
      <c r="AH517" s="44">
        <v>436</v>
      </c>
      <c r="AI517" s="32"/>
      <c r="AJ517" s="32"/>
      <c r="AK517" s="32"/>
      <c r="AL517" s="32"/>
      <c r="AM517" s="44">
        <v>34</v>
      </c>
      <c r="AN517" s="44">
        <v>406</v>
      </c>
      <c r="AO517" s="44">
        <v>452</v>
      </c>
      <c r="AP517" s="44"/>
      <c r="AQ517" s="44"/>
      <c r="AR517" s="51"/>
      <c r="AS517" s="51"/>
      <c r="AT517" s="51"/>
      <c r="AU517" s="51"/>
      <c r="AV517" s="51"/>
      <c r="AW517" s="50"/>
      <c r="AX517" s="50"/>
      <c r="AY517" s="50"/>
      <c r="AZ517" s="50"/>
      <c r="BA517" s="50"/>
      <c r="BB517" s="50"/>
      <c r="BC517" s="43">
        <v>406</v>
      </c>
      <c r="BD517" s="43">
        <v>496</v>
      </c>
      <c r="BE517" s="43">
        <v>336</v>
      </c>
      <c r="BF517" s="43">
        <v>554</v>
      </c>
      <c r="BG517" s="43">
        <v>408</v>
      </c>
      <c r="BH517" s="43">
        <v>493</v>
      </c>
      <c r="BI517" s="43">
        <v>452</v>
      </c>
      <c r="BJ517" s="43">
        <v>438</v>
      </c>
      <c r="BK517" s="43">
        <v>509</v>
      </c>
      <c r="BL517" s="43">
        <v>384</v>
      </c>
      <c r="BM517" s="43">
        <v>304</v>
      </c>
      <c r="BN517" s="43">
        <v>577</v>
      </c>
      <c r="BO517" s="43">
        <v>483</v>
      </c>
      <c r="BP517" s="43">
        <v>389</v>
      </c>
      <c r="BQ517" s="43">
        <v>455</v>
      </c>
      <c r="BR517" s="43">
        <v>429</v>
      </c>
      <c r="BS517" s="43">
        <v>519</v>
      </c>
      <c r="BT517" s="43">
        <v>280</v>
      </c>
      <c r="BU517" s="43">
        <v>604</v>
      </c>
      <c r="BV517" s="43">
        <v>566</v>
      </c>
      <c r="BW517" s="43">
        <v>371</v>
      </c>
      <c r="BX517" s="43">
        <v>393</v>
      </c>
      <c r="BY517" s="43">
        <v>396</v>
      </c>
      <c r="BZ517" s="43">
        <v>406</v>
      </c>
      <c r="CA517" s="43">
        <v>502</v>
      </c>
      <c r="CB517" s="43">
        <v>322</v>
      </c>
      <c r="CC517" s="43">
        <v>431</v>
      </c>
      <c r="CD517" s="43">
        <v>564</v>
      </c>
      <c r="CE517" s="43">
        <v>405</v>
      </c>
      <c r="CF517" s="43">
        <v>371</v>
      </c>
      <c r="CG517" s="43">
        <v>354</v>
      </c>
      <c r="CH517" s="43">
        <v>375</v>
      </c>
      <c r="CI517" s="43">
        <v>311</v>
      </c>
      <c r="CJ517" s="43">
        <v>442</v>
      </c>
      <c r="CK517" s="43">
        <v>361</v>
      </c>
      <c r="CL517" s="43">
        <v>383</v>
      </c>
      <c r="CM517" s="43">
        <v>494</v>
      </c>
      <c r="CN517" s="43">
        <v>500</v>
      </c>
      <c r="CO517" s="43">
        <v>371</v>
      </c>
      <c r="CP517" s="43">
        <v>398</v>
      </c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44"/>
      <c r="GA517" s="53"/>
      <c r="GB517" s="53"/>
      <c r="GC517" s="53"/>
      <c r="GD517" s="53"/>
      <c r="GE517" s="53"/>
      <c r="GF517" s="53"/>
      <c r="GG517" s="53"/>
      <c r="GH517" s="53"/>
      <c r="GI517" s="43"/>
      <c r="GJ517" s="43"/>
      <c r="GK517" s="53"/>
      <c r="GL517" s="53"/>
      <c r="GM517" s="53"/>
      <c r="GN517" s="53"/>
      <c r="GO517" s="43">
        <v>673</v>
      </c>
      <c r="GP517" s="43">
        <v>234</v>
      </c>
      <c r="GQ517" s="43">
        <v>691</v>
      </c>
      <c r="GR517" s="43">
        <v>217</v>
      </c>
    </row>
    <row r="518" spans="1:200">
      <c r="A518" s="8">
        <v>8720</v>
      </c>
      <c r="B518" s="1" t="s">
        <v>646</v>
      </c>
      <c r="C518" s="33">
        <v>1327</v>
      </c>
      <c r="D518" s="34">
        <v>1033</v>
      </c>
      <c r="E518" s="19">
        <f t="shared" si="8"/>
        <v>0.77844762622456665</v>
      </c>
      <c r="F518" s="62">
        <v>628</v>
      </c>
      <c r="G518" s="43">
        <v>6</v>
      </c>
      <c r="H518" s="43">
        <v>13</v>
      </c>
      <c r="I518" s="43">
        <v>7</v>
      </c>
      <c r="J518" s="55">
        <v>367</v>
      </c>
      <c r="K518" s="6">
        <v>0</v>
      </c>
      <c r="L518" s="6">
        <v>0</v>
      </c>
      <c r="M518" s="43">
        <v>0</v>
      </c>
      <c r="N518" s="25">
        <v>0</v>
      </c>
      <c r="O518" s="43">
        <v>0</v>
      </c>
      <c r="P518" s="43">
        <v>0</v>
      </c>
      <c r="Q518" s="43">
        <v>0</v>
      </c>
      <c r="R518" s="43">
        <v>0</v>
      </c>
      <c r="S518" s="43">
        <v>0</v>
      </c>
      <c r="T518" s="43">
        <v>0</v>
      </c>
      <c r="U518" s="43">
        <v>0</v>
      </c>
      <c r="V518" s="43">
        <v>0</v>
      </c>
      <c r="W518" s="43">
        <v>0</v>
      </c>
      <c r="X518" s="43">
        <v>0</v>
      </c>
      <c r="Y518" s="43">
        <v>0</v>
      </c>
      <c r="Z518" s="43">
        <v>0</v>
      </c>
      <c r="AA518" s="44">
        <v>0</v>
      </c>
      <c r="AB518" s="44">
        <v>0</v>
      </c>
      <c r="AC518" s="44">
        <v>16</v>
      </c>
      <c r="AD518" s="44">
        <v>9</v>
      </c>
      <c r="AE518" s="44">
        <v>417</v>
      </c>
      <c r="AF518" s="44">
        <v>10</v>
      </c>
      <c r="AG518" s="44">
        <v>0</v>
      </c>
      <c r="AH518" s="44">
        <v>539</v>
      </c>
      <c r="AI518" s="44">
        <v>414</v>
      </c>
      <c r="AJ518" s="44">
        <v>0</v>
      </c>
      <c r="AK518" s="44">
        <v>0</v>
      </c>
      <c r="AL518" s="44">
        <v>579</v>
      </c>
      <c r="AM518" s="48"/>
      <c r="AN518" s="48"/>
      <c r="AO518" s="48"/>
      <c r="AP518" s="44">
        <v>602</v>
      </c>
      <c r="AQ518" s="44">
        <v>356</v>
      </c>
      <c r="AR518" s="50"/>
      <c r="AS518" s="50"/>
      <c r="AT518" s="43">
        <v>392</v>
      </c>
      <c r="AU518" s="43">
        <v>568</v>
      </c>
      <c r="AV518" s="50"/>
      <c r="AW518" s="50"/>
      <c r="AX518" s="50"/>
      <c r="AY518" s="50"/>
      <c r="AZ518" s="50"/>
      <c r="BA518" s="50"/>
      <c r="BB518" s="50"/>
      <c r="BC518" s="50"/>
      <c r="BD518" s="50"/>
      <c r="BE518" s="43">
        <v>317</v>
      </c>
      <c r="BF518" s="43">
        <v>651</v>
      </c>
      <c r="BG518" s="43">
        <v>395</v>
      </c>
      <c r="BH518" s="43">
        <v>578</v>
      </c>
      <c r="BI518" s="43">
        <v>432</v>
      </c>
      <c r="BJ518" s="43">
        <v>535</v>
      </c>
      <c r="BK518" s="43">
        <v>598</v>
      </c>
      <c r="BL518" s="43">
        <v>372</v>
      </c>
      <c r="BM518" s="43">
        <v>302</v>
      </c>
      <c r="BN518" s="43">
        <v>662</v>
      </c>
      <c r="BO518" s="43">
        <v>585</v>
      </c>
      <c r="BP518" s="43">
        <v>361</v>
      </c>
      <c r="BQ518" s="43">
        <v>409</v>
      </c>
      <c r="BR518" s="43">
        <v>542</v>
      </c>
      <c r="BS518" s="43">
        <v>557</v>
      </c>
      <c r="BT518" s="43">
        <v>308</v>
      </c>
      <c r="BU518" s="43">
        <v>633</v>
      </c>
      <c r="BV518" s="43">
        <v>586</v>
      </c>
      <c r="BW518" s="43">
        <v>371</v>
      </c>
      <c r="BX518" s="43">
        <v>439</v>
      </c>
      <c r="BY518" s="43">
        <v>430</v>
      </c>
      <c r="BZ518" s="43">
        <v>437</v>
      </c>
      <c r="CA518" s="43">
        <v>549</v>
      </c>
      <c r="CB518" s="43">
        <v>326</v>
      </c>
      <c r="CC518" s="43">
        <v>466</v>
      </c>
      <c r="CD518" s="43">
        <v>623</v>
      </c>
      <c r="CE518" s="43">
        <v>465</v>
      </c>
      <c r="CF518" s="43">
        <v>355</v>
      </c>
      <c r="CG518" s="43">
        <v>378</v>
      </c>
      <c r="CH518" s="43">
        <v>384</v>
      </c>
      <c r="CI518" s="43">
        <v>376</v>
      </c>
      <c r="CJ518" s="43">
        <v>422</v>
      </c>
      <c r="CK518" s="43">
        <v>383</v>
      </c>
      <c r="CL518" s="43">
        <v>425</v>
      </c>
      <c r="CM518" s="43">
        <v>535</v>
      </c>
      <c r="CN518" s="43">
        <v>546</v>
      </c>
      <c r="CO518" s="43">
        <v>430</v>
      </c>
      <c r="CP518" s="43">
        <v>386</v>
      </c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44"/>
      <c r="GA518" s="53"/>
      <c r="GB518" s="53"/>
      <c r="GC518" s="53"/>
      <c r="GD518" s="53"/>
      <c r="GE518" s="53"/>
      <c r="GF518" s="53"/>
      <c r="GG518" s="53"/>
      <c r="GH518" s="53"/>
      <c r="GI518" s="43"/>
      <c r="GJ518" s="43"/>
      <c r="GK518" s="53"/>
      <c r="GL518" s="53"/>
      <c r="GM518" s="53"/>
      <c r="GN518" s="53"/>
      <c r="GO518" s="43">
        <v>648</v>
      </c>
      <c r="GP518" s="43">
        <v>327</v>
      </c>
      <c r="GQ518" s="43">
        <v>676</v>
      </c>
      <c r="GR518" s="43">
        <v>302</v>
      </c>
    </row>
    <row r="519" spans="1:200">
      <c r="A519" s="8">
        <v>8721</v>
      </c>
      <c r="B519" s="1" t="s">
        <v>647</v>
      </c>
      <c r="C519" s="33">
        <v>1225</v>
      </c>
      <c r="D519" s="34">
        <v>1030</v>
      </c>
      <c r="E519" s="19">
        <f t="shared" si="8"/>
        <v>0.84081632653061222</v>
      </c>
      <c r="F519" s="62">
        <v>529</v>
      </c>
      <c r="G519" s="43">
        <v>5</v>
      </c>
      <c r="H519" s="43">
        <v>36</v>
      </c>
      <c r="I519" s="43">
        <v>4</v>
      </c>
      <c r="J519" s="55">
        <v>431</v>
      </c>
      <c r="K519" s="6">
        <v>0</v>
      </c>
      <c r="L519" s="6">
        <v>0</v>
      </c>
      <c r="M519" s="43">
        <v>0</v>
      </c>
      <c r="N519" s="25">
        <v>0</v>
      </c>
      <c r="O519" s="43">
        <v>1</v>
      </c>
      <c r="P519" s="43">
        <v>0</v>
      </c>
      <c r="Q519" s="43">
        <v>0</v>
      </c>
      <c r="R519" s="43">
        <v>0</v>
      </c>
      <c r="S519" s="43">
        <v>0</v>
      </c>
      <c r="T519" s="43">
        <v>0</v>
      </c>
      <c r="U519" s="43">
        <v>0</v>
      </c>
      <c r="V519" s="43">
        <v>0</v>
      </c>
      <c r="W519" s="43">
        <v>5</v>
      </c>
      <c r="X519" s="43">
        <v>0</v>
      </c>
      <c r="Y519" s="43">
        <v>0</v>
      </c>
      <c r="Z519" s="43">
        <v>0</v>
      </c>
      <c r="AA519" s="44">
        <v>0</v>
      </c>
      <c r="AB519" s="44">
        <v>0</v>
      </c>
      <c r="AC519" s="44">
        <v>7</v>
      </c>
      <c r="AD519" s="44">
        <v>17</v>
      </c>
      <c r="AE519" s="44">
        <v>560</v>
      </c>
      <c r="AF519" s="44">
        <v>5</v>
      </c>
      <c r="AG519" s="44">
        <v>0</v>
      </c>
      <c r="AH519" s="44">
        <v>405</v>
      </c>
      <c r="AI519" s="32"/>
      <c r="AJ519" s="32"/>
      <c r="AK519" s="32"/>
      <c r="AL519" s="32"/>
      <c r="AM519" s="44">
        <v>39</v>
      </c>
      <c r="AN519" s="44">
        <v>391</v>
      </c>
      <c r="AO519" s="44">
        <v>533</v>
      </c>
      <c r="AP519" s="44"/>
      <c r="AQ519" s="44"/>
      <c r="AR519" s="51"/>
      <c r="AS519" s="51"/>
      <c r="AT519" s="51"/>
      <c r="AU519" s="51"/>
      <c r="AV519" s="51"/>
      <c r="AW519" s="50"/>
      <c r="AX519" s="50"/>
      <c r="AY519" s="50"/>
      <c r="AZ519" s="50"/>
      <c r="BA519" s="50"/>
      <c r="BB519" s="50"/>
      <c r="BC519" s="43">
        <v>504</v>
      </c>
      <c r="BD519" s="43">
        <v>467</v>
      </c>
      <c r="BE519" s="43">
        <v>432</v>
      </c>
      <c r="BF519" s="43">
        <v>545</v>
      </c>
      <c r="BG519" s="43">
        <v>505</v>
      </c>
      <c r="BH519" s="43">
        <v>469</v>
      </c>
      <c r="BI519" s="43">
        <v>538</v>
      </c>
      <c r="BJ519" s="43">
        <v>423</v>
      </c>
      <c r="BK519" s="43">
        <v>478</v>
      </c>
      <c r="BL519" s="43">
        <v>491</v>
      </c>
      <c r="BM519" s="43">
        <v>409</v>
      </c>
      <c r="BN519" s="43">
        <v>558</v>
      </c>
      <c r="BO519" s="43">
        <v>471</v>
      </c>
      <c r="BP519" s="43">
        <v>482</v>
      </c>
      <c r="BQ519" s="43">
        <v>535</v>
      </c>
      <c r="BR519" s="43">
        <v>419</v>
      </c>
      <c r="BS519" s="43">
        <v>626</v>
      </c>
      <c r="BT519" s="43">
        <v>364</v>
      </c>
      <c r="BU519" s="43">
        <v>592</v>
      </c>
      <c r="BV519" s="43">
        <v>637</v>
      </c>
      <c r="BW519" s="43">
        <v>407</v>
      </c>
      <c r="BX519" s="43">
        <v>390</v>
      </c>
      <c r="BY519" s="43">
        <v>484</v>
      </c>
      <c r="BZ519" s="43">
        <v>386</v>
      </c>
      <c r="CA519" s="43">
        <v>581</v>
      </c>
      <c r="CB519" s="43">
        <v>389</v>
      </c>
      <c r="CC519" s="43">
        <v>387</v>
      </c>
      <c r="CD519" s="43">
        <v>599</v>
      </c>
      <c r="CE519" s="43">
        <v>397</v>
      </c>
      <c r="CF519" s="43">
        <v>403</v>
      </c>
      <c r="CG519" s="43">
        <v>426</v>
      </c>
      <c r="CH519" s="43">
        <v>339</v>
      </c>
      <c r="CI519" s="43">
        <v>265</v>
      </c>
      <c r="CJ519" s="43">
        <v>519</v>
      </c>
      <c r="CK519" s="43">
        <v>413</v>
      </c>
      <c r="CL519" s="43">
        <v>359</v>
      </c>
      <c r="CM519" s="43">
        <v>554</v>
      </c>
      <c r="CN519" s="43">
        <v>582</v>
      </c>
      <c r="CO519" s="43">
        <v>331</v>
      </c>
      <c r="CP519" s="43">
        <v>472</v>
      </c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44"/>
      <c r="GA519" s="53"/>
      <c r="GB519" s="53"/>
      <c r="GC519" s="53"/>
      <c r="GD519" s="53"/>
      <c r="GE519" s="53"/>
      <c r="GF519" s="53"/>
      <c r="GG519" s="53"/>
      <c r="GH519" s="53"/>
      <c r="GI519" s="43"/>
      <c r="GJ519" s="43"/>
      <c r="GK519" s="53"/>
      <c r="GL519" s="53"/>
      <c r="GM519" s="53"/>
      <c r="GN519" s="53"/>
      <c r="GO519" s="43">
        <v>773</v>
      </c>
      <c r="GP519" s="43">
        <v>214</v>
      </c>
      <c r="GQ519" s="43">
        <v>750</v>
      </c>
      <c r="GR519" s="43">
        <v>231</v>
      </c>
    </row>
    <row r="520" spans="1:200">
      <c r="A520" s="8">
        <v>8722</v>
      </c>
      <c r="B520" s="1" t="s">
        <v>648</v>
      </c>
      <c r="C520" s="33">
        <v>1059</v>
      </c>
      <c r="D520" s="34">
        <v>866</v>
      </c>
      <c r="E520" s="19">
        <f t="shared" si="8"/>
        <v>0.81775259678942402</v>
      </c>
      <c r="F520" s="62">
        <v>351</v>
      </c>
      <c r="G520" s="43">
        <v>4</v>
      </c>
      <c r="H520" s="43">
        <v>35</v>
      </c>
      <c r="I520" s="43">
        <v>7</v>
      </c>
      <c r="J520" s="55">
        <v>444</v>
      </c>
      <c r="K520" s="6">
        <v>0</v>
      </c>
      <c r="L520" s="6">
        <v>0</v>
      </c>
      <c r="M520" s="43">
        <v>0</v>
      </c>
      <c r="N520" s="25">
        <v>0</v>
      </c>
      <c r="O520" s="43">
        <v>0</v>
      </c>
      <c r="P520" s="43">
        <v>0</v>
      </c>
      <c r="Q520" s="43">
        <v>0</v>
      </c>
      <c r="R520" s="43">
        <v>0</v>
      </c>
      <c r="S520" s="43">
        <v>0</v>
      </c>
      <c r="T520" s="43">
        <v>0</v>
      </c>
      <c r="U520" s="43">
        <v>0</v>
      </c>
      <c r="V520" s="43">
        <v>0</v>
      </c>
      <c r="W520" s="43">
        <v>6</v>
      </c>
      <c r="X520" s="43">
        <v>0</v>
      </c>
      <c r="Y520" s="43">
        <v>0</v>
      </c>
      <c r="Z520" s="43">
        <v>0</v>
      </c>
      <c r="AA520" s="44">
        <v>0</v>
      </c>
      <c r="AB520" s="44">
        <v>0</v>
      </c>
      <c r="AC520" s="44">
        <v>4</v>
      </c>
      <c r="AD520" s="44">
        <v>16</v>
      </c>
      <c r="AE520" s="44">
        <v>573</v>
      </c>
      <c r="AF520" s="44">
        <v>6</v>
      </c>
      <c r="AG520" s="44">
        <v>0</v>
      </c>
      <c r="AH520" s="44">
        <v>235</v>
      </c>
      <c r="AI520" s="32"/>
      <c r="AJ520" s="32"/>
      <c r="AK520" s="32"/>
      <c r="AL520" s="32"/>
      <c r="AM520" s="44">
        <v>17</v>
      </c>
      <c r="AN520" s="44">
        <v>243</v>
      </c>
      <c r="AO520" s="44">
        <v>552</v>
      </c>
      <c r="AP520" s="44"/>
      <c r="AQ520" s="44"/>
      <c r="AR520" s="51"/>
      <c r="AS520" s="51"/>
      <c r="AT520" s="51"/>
      <c r="AU520" s="51"/>
      <c r="AV520" s="51"/>
      <c r="AW520" s="50"/>
      <c r="AX520" s="50"/>
      <c r="AY520" s="50"/>
      <c r="AZ520" s="50"/>
      <c r="BA520" s="50"/>
      <c r="BB520" s="50"/>
      <c r="BC520" s="43">
        <v>507</v>
      </c>
      <c r="BD520" s="43">
        <v>315</v>
      </c>
      <c r="BE520" s="43">
        <v>443</v>
      </c>
      <c r="BF520" s="43">
        <v>364</v>
      </c>
      <c r="BG520" s="43">
        <v>521</v>
      </c>
      <c r="BH520" s="43">
        <v>296</v>
      </c>
      <c r="BI520" s="43">
        <v>566</v>
      </c>
      <c r="BJ520" s="43">
        <v>252</v>
      </c>
      <c r="BK520" s="43">
        <v>352</v>
      </c>
      <c r="BL520" s="43">
        <v>463</v>
      </c>
      <c r="BM520" s="43">
        <v>389</v>
      </c>
      <c r="BN520" s="43">
        <v>417</v>
      </c>
      <c r="BO520" s="43">
        <v>316</v>
      </c>
      <c r="BP520" s="43">
        <v>475</v>
      </c>
      <c r="BQ520" s="43">
        <v>546</v>
      </c>
      <c r="BR520" s="43">
        <v>253</v>
      </c>
      <c r="BS520" s="43">
        <v>568</v>
      </c>
      <c r="BT520" s="43">
        <v>354</v>
      </c>
      <c r="BU520" s="43">
        <v>437</v>
      </c>
      <c r="BV520" s="43">
        <v>535</v>
      </c>
      <c r="BW520" s="43">
        <v>387</v>
      </c>
      <c r="BX520" s="43">
        <v>259</v>
      </c>
      <c r="BY520" s="43">
        <v>467</v>
      </c>
      <c r="BZ520" s="43">
        <v>254</v>
      </c>
      <c r="CA520" s="43">
        <v>481</v>
      </c>
      <c r="CB520" s="43">
        <v>354</v>
      </c>
      <c r="CC520" s="43">
        <v>279</v>
      </c>
      <c r="CD520" s="43">
        <v>492</v>
      </c>
      <c r="CE520" s="43">
        <v>274</v>
      </c>
      <c r="CF520" s="43">
        <v>383</v>
      </c>
      <c r="CG520" s="43">
        <v>384</v>
      </c>
      <c r="CH520" s="43">
        <v>239</v>
      </c>
      <c r="CI520" s="43">
        <v>169</v>
      </c>
      <c r="CJ520" s="43">
        <v>487</v>
      </c>
      <c r="CK520" s="43">
        <v>384</v>
      </c>
      <c r="CL520" s="43">
        <v>238</v>
      </c>
      <c r="CM520" s="43">
        <v>462</v>
      </c>
      <c r="CN520" s="43">
        <v>462</v>
      </c>
      <c r="CO520" s="43">
        <v>231</v>
      </c>
      <c r="CP520" s="43">
        <v>398</v>
      </c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44"/>
      <c r="GA520" s="53"/>
      <c r="GB520" s="53"/>
      <c r="GC520" s="53"/>
      <c r="GD520" s="53"/>
      <c r="GE520" s="53"/>
      <c r="GF520" s="53"/>
      <c r="GG520" s="53"/>
      <c r="GH520" s="53"/>
      <c r="GI520" s="43"/>
      <c r="GJ520" s="43"/>
      <c r="GK520" s="43">
        <v>223</v>
      </c>
      <c r="GL520" s="43">
        <v>550</v>
      </c>
      <c r="GM520" s="53"/>
      <c r="GN520" s="53"/>
      <c r="GO520" s="43">
        <v>568</v>
      </c>
      <c r="GP520" s="43">
        <v>273</v>
      </c>
      <c r="GQ520" s="43">
        <v>551</v>
      </c>
      <c r="GR520" s="43">
        <v>286</v>
      </c>
    </row>
    <row r="521" spans="1:200">
      <c r="A521" s="8">
        <v>8723</v>
      </c>
      <c r="B521" s="1" t="s">
        <v>649</v>
      </c>
      <c r="C521" s="33">
        <v>1256</v>
      </c>
      <c r="D521" s="34">
        <v>964</v>
      </c>
      <c r="E521" s="19">
        <f t="shared" si="8"/>
        <v>0.76751592356687903</v>
      </c>
      <c r="F521" s="62">
        <v>534</v>
      </c>
      <c r="G521" s="43">
        <v>4</v>
      </c>
      <c r="H521" s="43">
        <v>27</v>
      </c>
      <c r="I521" s="43">
        <v>12</v>
      </c>
      <c r="J521" s="55">
        <v>361</v>
      </c>
      <c r="K521" s="6">
        <v>0</v>
      </c>
      <c r="L521" s="6">
        <v>0</v>
      </c>
      <c r="M521" s="43">
        <v>0</v>
      </c>
      <c r="N521" s="25">
        <v>0</v>
      </c>
      <c r="O521" s="43">
        <v>0</v>
      </c>
      <c r="P521" s="43">
        <v>0</v>
      </c>
      <c r="Q521" s="43">
        <v>0</v>
      </c>
      <c r="R521" s="43">
        <v>0</v>
      </c>
      <c r="S521" s="43">
        <v>0</v>
      </c>
      <c r="T521" s="43">
        <v>0</v>
      </c>
      <c r="U521" s="43">
        <v>0</v>
      </c>
      <c r="V521" s="43">
        <v>0</v>
      </c>
      <c r="W521" s="43">
        <v>7</v>
      </c>
      <c r="X521" s="43">
        <v>0</v>
      </c>
      <c r="Y521" s="43">
        <v>0</v>
      </c>
      <c r="Z521" s="43">
        <v>0</v>
      </c>
      <c r="AA521" s="44">
        <v>0</v>
      </c>
      <c r="AB521" s="44">
        <v>0</v>
      </c>
      <c r="AC521" s="44">
        <v>11</v>
      </c>
      <c r="AD521" s="44">
        <v>24</v>
      </c>
      <c r="AE521" s="44">
        <v>470</v>
      </c>
      <c r="AF521" s="44">
        <v>13</v>
      </c>
      <c r="AG521" s="44">
        <v>0</v>
      </c>
      <c r="AH521" s="44">
        <v>422</v>
      </c>
      <c r="AI521" s="32"/>
      <c r="AJ521" s="32"/>
      <c r="AK521" s="32"/>
      <c r="AL521" s="32"/>
      <c r="AM521" s="44">
        <v>22</v>
      </c>
      <c r="AN521" s="44">
        <v>448</v>
      </c>
      <c r="AO521" s="44">
        <v>449</v>
      </c>
      <c r="AP521" s="44"/>
      <c r="AQ521" s="44"/>
      <c r="AR521" s="51"/>
      <c r="AS521" s="51"/>
      <c r="AT521" s="51"/>
      <c r="AU521" s="51"/>
      <c r="AV521" s="51"/>
      <c r="AW521" s="50"/>
      <c r="AX521" s="50"/>
      <c r="AY521" s="50"/>
      <c r="AZ521" s="50"/>
      <c r="BA521" s="50"/>
      <c r="BB521" s="50"/>
      <c r="BC521" s="43">
        <v>426</v>
      </c>
      <c r="BD521" s="43">
        <v>502</v>
      </c>
      <c r="BE521" s="43">
        <v>340</v>
      </c>
      <c r="BF521" s="43">
        <v>579</v>
      </c>
      <c r="BG521" s="43">
        <v>434</v>
      </c>
      <c r="BH521" s="43">
        <v>493</v>
      </c>
      <c r="BI521" s="43">
        <v>466</v>
      </c>
      <c r="BJ521" s="43">
        <v>443</v>
      </c>
      <c r="BK521" s="43">
        <v>491</v>
      </c>
      <c r="BL521" s="43">
        <v>425</v>
      </c>
      <c r="BM521" s="43">
        <v>319</v>
      </c>
      <c r="BN521" s="43">
        <v>574</v>
      </c>
      <c r="BO521" s="43">
        <v>462</v>
      </c>
      <c r="BP521" s="43">
        <v>436</v>
      </c>
      <c r="BQ521" s="43">
        <v>462</v>
      </c>
      <c r="BR521" s="43">
        <v>433</v>
      </c>
      <c r="BS521" s="43">
        <v>539</v>
      </c>
      <c r="BT521" s="43">
        <v>289</v>
      </c>
      <c r="BU521" s="43">
        <v>608</v>
      </c>
      <c r="BV521" s="43">
        <v>564</v>
      </c>
      <c r="BW521" s="43">
        <v>372</v>
      </c>
      <c r="BX521" s="43">
        <v>344</v>
      </c>
      <c r="BY521" s="43">
        <v>445</v>
      </c>
      <c r="BZ521" s="43">
        <v>359</v>
      </c>
      <c r="CA521" s="43">
        <v>498</v>
      </c>
      <c r="CB521" s="43">
        <v>314</v>
      </c>
      <c r="CC521" s="43">
        <v>400</v>
      </c>
      <c r="CD521" s="43">
        <v>544</v>
      </c>
      <c r="CE521" s="43">
        <v>370</v>
      </c>
      <c r="CF521" s="43">
        <v>370</v>
      </c>
      <c r="CG521" s="43">
        <v>367</v>
      </c>
      <c r="CH521" s="43">
        <v>327</v>
      </c>
      <c r="CI521" s="43">
        <v>253</v>
      </c>
      <c r="CJ521" s="43">
        <v>465</v>
      </c>
      <c r="CK521" s="43">
        <v>396</v>
      </c>
      <c r="CL521" s="43">
        <v>317</v>
      </c>
      <c r="CM521" s="43">
        <v>485</v>
      </c>
      <c r="CN521" s="43">
        <v>494</v>
      </c>
      <c r="CO521" s="43">
        <v>322</v>
      </c>
      <c r="CP521" s="43">
        <v>402</v>
      </c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44"/>
      <c r="GA521" s="53"/>
      <c r="GB521" s="53"/>
      <c r="GC521" s="53"/>
      <c r="GD521" s="53"/>
      <c r="GE521" s="53"/>
      <c r="GF521" s="53"/>
      <c r="GG521" s="53"/>
      <c r="GH521" s="53"/>
      <c r="GI521" s="43"/>
      <c r="GJ521" s="43"/>
      <c r="GK521" s="53"/>
      <c r="GL521" s="53"/>
      <c r="GM521" s="53"/>
      <c r="GN521" s="53"/>
      <c r="GO521" s="43">
        <v>677</v>
      </c>
      <c r="GP521" s="43">
        <v>249</v>
      </c>
      <c r="GQ521" s="43">
        <v>690</v>
      </c>
      <c r="GR521" s="43">
        <v>232</v>
      </c>
    </row>
    <row r="522" spans="1:200">
      <c r="A522" s="7">
        <v>8724</v>
      </c>
      <c r="B522" s="1" t="s">
        <v>650</v>
      </c>
      <c r="C522" s="33">
        <v>721</v>
      </c>
      <c r="D522" s="34">
        <v>556</v>
      </c>
      <c r="E522" s="19">
        <f t="shared" si="8"/>
        <v>0.7711511789181692</v>
      </c>
      <c r="F522" s="62">
        <v>378</v>
      </c>
      <c r="G522" s="43">
        <v>1</v>
      </c>
      <c r="H522" s="43">
        <v>13</v>
      </c>
      <c r="I522" s="43">
        <v>4</v>
      </c>
      <c r="J522" s="55">
        <v>152</v>
      </c>
      <c r="K522" s="6">
        <v>0</v>
      </c>
      <c r="L522" s="6">
        <v>0</v>
      </c>
      <c r="M522" s="43">
        <v>0</v>
      </c>
      <c r="N522" s="25">
        <v>0</v>
      </c>
      <c r="O522" s="43">
        <v>0</v>
      </c>
      <c r="P522" s="43">
        <v>0</v>
      </c>
      <c r="Q522" s="43">
        <v>0</v>
      </c>
      <c r="R522" s="43">
        <v>0</v>
      </c>
      <c r="S522" s="43">
        <v>0</v>
      </c>
      <c r="T522" s="43">
        <v>0</v>
      </c>
      <c r="U522" s="43">
        <v>0</v>
      </c>
      <c r="V522" s="43">
        <v>0</v>
      </c>
      <c r="W522" s="43">
        <v>0</v>
      </c>
      <c r="X522" s="43">
        <v>0</v>
      </c>
      <c r="Y522" s="43">
        <v>0</v>
      </c>
      <c r="Z522" s="43">
        <v>0</v>
      </c>
      <c r="AA522" s="44">
        <v>0</v>
      </c>
      <c r="AB522" s="44">
        <v>0</v>
      </c>
      <c r="AC522" s="44">
        <v>5</v>
      </c>
      <c r="AD522" s="44">
        <v>6</v>
      </c>
      <c r="AE522" s="44">
        <v>193</v>
      </c>
      <c r="AF522" s="44">
        <v>6</v>
      </c>
      <c r="AG522" s="44">
        <v>0</v>
      </c>
      <c r="AH522" s="44">
        <v>329</v>
      </c>
      <c r="AI522" s="32"/>
      <c r="AJ522" s="32"/>
      <c r="AK522" s="32"/>
      <c r="AL522" s="32"/>
      <c r="AM522" s="44">
        <v>26</v>
      </c>
      <c r="AN522" s="44">
        <v>321</v>
      </c>
      <c r="AO522" s="44">
        <v>177</v>
      </c>
      <c r="AP522" s="44"/>
      <c r="AQ522" s="44"/>
      <c r="AR522" s="51"/>
      <c r="AS522" s="51"/>
      <c r="AT522" s="51"/>
      <c r="AU522" s="51"/>
      <c r="AV522" s="51"/>
      <c r="AW522" s="50"/>
      <c r="AX522" s="50"/>
      <c r="AY522" s="50"/>
      <c r="AZ522" s="50"/>
      <c r="BA522" s="50"/>
      <c r="BB522" s="50"/>
      <c r="BC522" s="43">
        <v>168</v>
      </c>
      <c r="BD522" s="43">
        <v>371</v>
      </c>
      <c r="BE522" s="43">
        <v>150</v>
      </c>
      <c r="BF522" s="43">
        <v>389</v>
      </c>
      <c r="BG522" s="43">
        <v>175</v>
      </c>
      <c r="BH522" s="43">
        <v>357</v>
      </c>
      <c r="BI522" s="43">
        <v>196</v>
      </c>
      <c r="BJ522" s="43">
        <v>334</v>
      </c>
      <c r="BK522" s="43">
        <v>340</v>
      </c>
      <c r="BL522" s="43">
        <v>186</v>
      </c>
      <c r="BM522" s="43">
        <v>141</v>
      </c>
      <c r="BN522" s="43">
        <v>381</v>
      </c>
      <c r="BO522" s="43">
        <v>350</v>
      </c>
      <c r="BP522" s="43">
        <v>172</v>
      </c>
      <c r="BQ522" s="43">
        <v>201</v>
      </c>
      <c r="BR522" s="43">
        <v>325</v>
      </c>
      <c r="BS522" s="43">
        <v>265</v>
      </c>
      <c r="BT522" s="43">
        <v>134</v>
      </c>
      <c r="BU522" s="43">
        <v>393</v>
      </c>
      <c r="BV522" s="43">
        <v>296</v>
      </c>
      <c r="BW522" s="43">
        <v>205</v>
      </c>
      <c r="BX522" s="43">
        <v>238</v>
      </c>
      <c r="BY522" s="43">
        <v>213</v>
      </c>
      <c r="BZ522" s="43">
        <v>264</v>
      </c>
      <c r="CA522" s="43">
        <v>260</v>
      </c>
      <c r="CB522" s="43">
        <v>159</v>
      </c>
      <c r="CC522" s="43">
        <v>276</v>
      </c>
      <c r="CD522" s="43">
        <v>312</v>
      </c>
      <c r="CE522" s="43">
        <v>276</v>
      </c>
      <c r="CF522" s="43">
        <v>179</v>
      </c>
      <c r="CG522" s="43">
        <v>182</v>
      </c>
      <c r="CH522" s="43">
        <v>244</v>
      </c>
      <c r="CI522" s="43">
        <v>215</v>
      </c>
      <c r="CJ522" s="43">
        <v>222</v>
      </c>
      <c r="CK522" s="43">
        <v>209</v>
      </c>
      <c r="CL522" s="43">
        <v>239</v>
      </c>
      <c r="CM522" s="43">
        <v>242</v>
      </c>
      <c r="CN522" s="43">
        <v>264</v>
      </c>
      <c r="CO522" s="43">
        <v>257</v>
      </c>
      <c r="CP522" s="43">
        <v>202</v>
      </c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44"/>
      <c r="GA522" s="53"/>
      <c r="GB522" s="53"/>
      <c r="GC522" s="53"/>
      <c r="GD522" s="53"/>
      <c r="GE522" s="53"/>
      <c r="GF522" s="53"/>
      <c r="GG522" s="53"/>
      <c r="GH522" s="53"/>
      <c r="GI522" s="43"/>
      <c r="GJ522" s="43"/>
      <c r="GK522" s="43">
        <v>65</v>
      </c>
      <c r="GL522" s="43">
        <v>172</v>
      </c>
      <c r="GM522" s="53"/>
      <c r="GN522" s="53"/>
      <c r="GO522" s="43">
        <v>352</v>
      </c>
      <c r="GP522" s="43">
        <v>179</v>
      </c>
      <c r="GQ522" s="43">
        <v>367</v>
      </c>
      <c r="GR522" s="43">
        <v>162</v>
      </c>
    </row>
    <row r="523" spans="1:200">
      <c r="A523" s="8">
        <v>8725</v>
      </c>
      <c r="B523" s="1" t="s">
        <v>651</v>
      </c>
      <c r="C523" s="33">
        <v>945</v>
      </c>
      <c r="D523" s="34">
        <v>678</v>
      </c>
      <c r="E523" s="19">
        <f t="shared" si="8"/>
        <v>0.71746031746031746</v>
      </c>
      <c r="F523" s="62">
        <v>464</v>
      </c>
      <c r="G523" s="43">
        <v>2</v>
      </c>
      <c r="H523" s="43">
        <v>17</v>
      </c>
      <c r="I523" s="43">
        <v>5</v>
      </c>
      <c r="J523" s="55">
        <v>173</v>
      </c>
      <c r="K523" s="6">
        <v>0</v>
      </c>
      <c r="L523" s="6">
        <v>0</v>
      </c>
      <c r="M523" s="43">
        <v>0</v>
      </c>
      <c r="N523" s="25">
        <v>0</v>
      </c>
      <c r="O523" s="43">
        <v>0</v>
      </c>
      <c r="P523" s="43">
        <v>0</v>
      </c>
      <c r="Q523" s="43">
        <v>0</v>
      </c>
      <c r="R523" s="43">
        <v>0</v>
      </c>
      <c r="S523" s="43">
        <v>0</v>
      </c>
      <c r="T523" s="43">
        <v>0</v>
      </c>
      <c r="U523" s="43">
        <v>0</v>
      </c>
      <c r="V523" s="43">
        <v>0</v>
      </c>
      <c r="W523" s="43">
        <v>1</v>
      </c>
      <c r="X523" s="43">
        <v>0</v>
      </c>
      <c r="Y523" s="43">
        <v>0</v>
      </c>
      <c r="Z523" s="43">
        <v>0</v>
      </c>
      <c r="AA523" s="44">
        <v>0</v>
      </c>
      <c r="AB523" s="44">
        <v>0</v>
      </c>
      <c r="AC523" s="44">
        <v>20</v>
      </c>
      <c r="AD523" s="44">
        <v>11</v>
      </c>
      <c r="AE523" s="44">
        <v>214</v>
      </c>
      <c r="AF523" s="44">
        <v>4</v>
      </c>
      <c r="AG523" s="44">
        <v>0</v>
      </c>
      <c r="AH523" s="44">
        <v>402</v>
      </c>
      <c r="AI523" s="32"/>
      <c r="AJ523" s="32"/>
      <c r="AK523" s="32"/>
      <c r="AL523" s="32"/>
      <c r="AM523" s="44">
        <v>12</v>
      </c>
      <c r="AN523" s="44">
        <v>417</v>
      </c>
      <c r="AO523" s="44">
        <v>204</v>
      </c>
      <c r="AP523" s="44"/>
      <c r="AQ523" s="44"/>
      <c r="AR523" s="51"/>
      <c r="AS523" s="51"/>
      <c r="AT523" s="51"/>
      <c r="AU523" s="51"/>
      <c r="AV523" s="51"/>
      <c r="AW523" s="50"/>
      <c r="AX523" s="50"/>
      <c r="AY523" s="50"/>
      <c r="AZ523" s="50"/>
      <c r="BA523" s="50"/>
      <c r="BB523" s="50"/>
      <c r="BC523" s="43">
        <v>193</v>
      </c>
      <c r="BD523" s="43">
        <v>451</v>
      </c>
      <c r="BE523" s="43">
        <v>155</v>
      </c>
      <c r="BF523" s="43">
        <v>489</v>
      </c>
      <c r="BG523" s="43">
        <v>204</v>
      </c>
      <c r="BH523" s="43">
        <v>438</v>
      </c>
      <c r="BI523" s="43">
        <v>229</v>
      </c>
      <c r="BJ523" s="43">
        <v>415</v>
      </c>
      <c r="BK523" s="43">
        <v>445</v>
      </c>
      <c r="BL523" s="43">
        <v>190</v>
      </c>
      <c r="BM523" s="43">
        <v>131</v>
      </c>
      <c r="BN523" s="43">
        <v>517</v>
      </c>
      <c r="BO523" s="43">
        <v>435</v>
      </c>
      <c r="BP523" s="43">
        <v>198</v>
      </c>
      <c r="BQ523" s="43">
        <v>231</v>
      </c>
      <c r="BR523" s="43">
        <v>412</v>
      </c>
      <c r="BS523" s="43">
        <v>316</v>
      </c>
      <c r="BT523" s="43">
        <v>132</v>
      </c>
      <c r="BU523" s="43">
        <v>496</v>
      </c>
      <c r="BV523" s="43">
        <v>392</v>
      </c>
      <c r="BW523" s="43">
        <v>237</v>
      </c>
      <c r="BX523" s="43">
        <v>295</v>
      </c>
      <c r="BY523" s="43">
        <v>242</v>
      </c>
      <c r="BZ523" s="43">
        <v>329</v>
      </c>
      <c r="CA523" s="43">
        <v>343</v>
      </c>
      <c r="CB523" s="43">
        <v>170</v>
      </c>
      <c r="CC523" s="43">
        <v>352</v>
      </c>
      <c r="CD523" s="43">
        <v>379</v>
      </c>
      <c r="CE523" s="43">
        <v>344</v>
      </c>
      <c r="CF523" s="43">
        <v>192</v>
      </c>
      <c r="CG523" s="43">
        <v>205</v>
      </c>
      <c r="CH523" s="43">
        <v>286</v>
      </c>
      <c r="CI523" s="43">
        <v>234</v>
      </c>
      <c r="CJ523" s="43">
        <v>284</v>
      </c>
      <c r="CK523" s="43">
        <v>264</v>
      </c>
      <c r="CL523" s="43">
        <v>257</v>
      </c>
      <c r="CM523" s="43">
        <v>321</v>
      </c>
      <c r="CN523" s="43">
        <v>349</v>
      </c>
      <c r="CO523" s="43">
        <v>253</v>
      </c>
      <c r="CP523" s="43">
        <v>281</v>
      </c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44"/>
      <c r="GA523" s="53"/>
      <c r="GB523" s="53"/>
      <c r="GC523" s="53"/>
      <c r="GD523" s="53"/>
      <c r="GE523" s="53"/>
      <c r="GF523" s="53"/>
      <c r="GG523" s="53"/>
      <c r="GH523" s="53"/>
      <c r="GI523" s="43"/>
      <c r="GJ523" s="43"/>
      <c r="GK523" s="53"/>
      <c r="GL523" s="53"/>
      <c r="GM523" s="53"/>
      <c r="GN523" s="53"/>
      <c r="GO523" s="43">
        <v>393</v>
      </c>
      <c r="GP523" s="43">
        <v>246</v>
      </c>
      <c r="GQ523" s="43">
        <v>454</v>
      </c>
      <c r="GR523" s="43">
        <v>189</v>
      </c>
    </row>
    <row r="524" spans="1:200">
      <c r="A524" s="8">
        <v>8726</v>
      </c>
      <c r="B524" s="1" t="s">
        <v>652</v>
      </c>
      <c r="C524" s="33">
        <v>614</v>
      </c>
      <c r="D524" s="34">
        <v>513</v>
      </c>
      <c r="E524" s="19">
        <f t="shared" si="8"/>
        <v>0.83550488599348538</v>
      </c>
      <c r="F524" s="62">
        <v>291</v>
      </c>
      <c r="G524" s="43">
        <v>1</v>
      </c>
      <c r="H524" s="43">
        <v>13</v>
      </c>
      <c r="I524" s="43">
        <v>3</v>
      </c>
      <c r="J524" s="55">
        <v>196</v>
      </c>
      <c r="K524" s="6">
        <v>0</v>
      </c>
      <c r="L524" s="6">
        <v>0</v>
      </c>
      <c r="M524" s="43">
        <v>0</v>
      </c>
      <c r="N524" s="25">
        <v>0</v>
      </c>
      <c r="O524" s="43">
        <v>0</v>
      </c>
      <c r="P524" s="43">
        <v>0</v>
      </c>
      <c r="Q524" s="43">
        <v>0</v>
      </c>
      <c r="R524" s="43">
        <v>0</v>
      </c>
      <c r="S524" s="43">
        <v>0</v>
      </c>
      <c r="T524" s="43">
        <v>0</v>
      </c>
      <c r="U524" s="43">
        <v>0</v>
      </c>
      <c r="V524" s="43">
        <v>0</v>
      </c>
      <c r="W524" s="43">
        <v>4</v>
      </c>
      <c r="X524" s="43">
        <v>0</v>
      </c>
      <c r="Y524" s="43">
        <v>0</v>
      </c>
      <c r="Z524" s="43">
        <v>0</v>
      </c>
      <c r="AA524" s="44">
        <v>0</v>
      </c>
      <c r="AB524" s="44">
        <v>0</v>
      </c>
      <c r="AC524" s="44">
        <v>7</v>
      </c>
      <c r="AD524" s="44">
        <v>10</v>
      </c>
      <c r="AE524" s="44">
        <v>230</v>
      </c>
      <c r="AF524" s="44">
        <v>2</v>
      </c>
      <c r="AG524" s="44">
        <v>0</v>
      </c>
      <c r="AH524" s="44">
        <v>251</v>
      </c>
      <c r="AI524" s="32"/>
      <c r="AJ524" s="32"/>
      <c r="AK524" s="32"/>
      <c r="AL524" s="32"/>
      <c r="AM524" s="44">
        <v>12</v>
      </c>
      <c r="AN524" s="44">
        <v>249</v>
      </c>
      <c r="AO524" s="44">
        <v>221</v>
      </c>
      <c r="AP524" s="44"/>
      <c r="AQ524" s="44"/>
      <c r="AR524" s="51"/>
      <c r="AS524" s="51"/>
      <c r="AT524" s="51"/>
      <c r="AU524" s="51"/>
      <c r="AV524" s="51"/>
      <c r="AW524" s="50"/>
      <c r="AX524" s="50"/>
      <c r="AY524" s="50"/>
      <c r="AZ524" s="50"/>
      <c r="BA524" s="50"/>
      <c r="BB524" s="50"/>
      <c r="BC524" s="43">
        <v>209</v>
      </c>
      <c r="BD524" s="43">
        <v>284</v>
      </c>
      <c r="BE524" s="43">
        <v>163</v>
      </c>
      <c r="BF524" s="43">
        <v>322</v>
      </c>
      <c r="BG524" s="43">
        <v>212</v>
      </c>
      <c r="BH524" s="43">
        <v>278</v>
      </c>
      <c r="BI524" s="43">
        <v>224</v>
      </c>
      <c r="BJ524" s="43">
        <v>255</v>
      </c>
      <c r="BK524" s="43">
        <v>276</v>
      </c>
      <c r="BL524" s="43">
        <v>209</v>
      </c>
      <c r="BM524" s="43">
        <v>160</v>
      </c>
      <c r="BN524" s="43">
        <v>317</v>
      </c>
      <c r="BO524" s="43">
        <v>280</v>
      </c>
      <c r="BP524" s="43">
        <v>202</v>
      </c>
      <c r="BQ524" s="43">
        <v>215</v>
      </c>
      <c r="BR524" s="43">
        <v>256</v>
      </c>
      <c r="BS524" s="43">
        <v>270</v>
      </c>
      <c r="BT524" s="43">
        <v>153</v>
      </c>
      <c r="BU524" s="43">
        <v>324</v>
      </c>
      <c r="BV524" s="43">
        <v>300</v>
      </c>
      <c r="BW524" s="43">
        <v>170</v>
      </c>
      <c r="BX524" s="43">
        <v>212</v>
      </c>
      <c r="BY524" s="43">
        <v>197</v>
      </c>
      <c r="BZ524" s="43">
        <v>223</v>
      </c>
      <c r="CA524" s="43">
        <v>250</v>
      </c>
      <c r="CB524" s="43">
        <v>155</v>
      </c>
      <c r="CC524" s="43">
        <v>231</v>
      </c>
      <c r="CD524" s="43">
        <v>294</v>
      </c>
      <c r="CE524" s="43">
        <v>227</v>
      </c>
      <c r="CF524" s="43">
        <v>176</v>
      </c>
      <c r="CG524" s="43">
        <v>165</v>
      </c>
      <c r="CH524" s="43">
        <v>210</v>
      </c>
      <c r="CI524" s="43">
        <v>179</v>
      </c>
      <c r="CJ524" s="43">
        <v>216</v>
      </c>
      <c r="CK524" s="43">
        <v>185</v>
      </c>
      <c r="CL524" s="43">
        <v>205</v>
      </c>
      <c r="CM524" s="43">
        <v>243</v>
      </c>
      <c r="CN524" s="43">
        <v>244</v>
      </c>
      <c r="CO524" s="43">
        <v>207</v>
      </c>
      <c r="CP524" s="43">
        <v>181</v>
      </c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44"/>
      <c r="GA524" s="53"/>
      <c r="GB524" s="53"/>
      <c r="GC524" s="53"/>
      <c r="GD524" s="53"/>
      <c r="GE524" s="53"/>
      <c r="GF524" s="53"/>
      <c r="GG524" s="53"/>
      <c r="GH524" s="53"/>
      <c r="GI524" s="43"/>
      <c r="GJ524" s="43"/>
      <c r="GK524" s="43"/>
      <c r="GL524" s="43"/>
      <c r="GM524" s="53"/>
      <c r="GN524" s="53"/>
      <c r="GO524" s="43">
        <v>353</v>
      </c>
      <c r="GP524" s="43">
        <v>126</v>
      </c>
      <c r="GQ524" s="43">
        <v>351</v>
      </c>
      <c r="GR524" s="43">
        <v>125</v>
      </c>
    </row>
    <row r="525" spans="1:200">
      <c r="A525" s="8">
        <v>8727</v>
      </c>
      <c r="B525" s="1" t="s">
        <v>653</v>
      </c>
      <c r="C525" s="33">
        <v>1094</v>
      </c>
      <c r="D525" s="34">
        <v>834</v>
      </c>
      <c r="E525" s="19">
        <f t="shared" si="8"/>
        <v>0.76234003656307125</v>
      </c>
      <c r="F525" s="62">
        <v>503</v>
      </c>
      <c r="G525" s="43">
        <v>3</v>
      </c>
      <c r="H525" s="43">
        <v>15</v>
      </c>
      <c r="I525" s="43">
        <v>4</v>
      </c>
      <c r="J525" s="55">
        <v>291</v>
      </c>
      <c r="K525" s="6">
        <v>0</v>
      </c>
      <c r="L525" s="6">
        <v>0</v>
      </c>
      <c r="M525" s="43">
        <v>0</v>
      </c>
      <c r="N525" s="25">
        <v>0</v>
      </c>
      <c r="O525" s="43">
        <v>0</v>
      </c>
      <c r="P525" s="43">
        <v>0</v>
      </c>
      <c r="Q525" s="43">
        <v>0</v>
      </c>
      <c r="R525" s="43">
        <v>0</v>
      </c>
      <c r="S525" s="43">
        <v>0</v>
      </c>
      <c r="T525" s="43">
        <v>0</v>
      </c>
      <c r="U525" s="43">
        <v>0</v>
      </c>
      <c r="V525" s="43">
        <v>0</v>
      </c>
      <c r="W525" s="43">
        <v>4</v>
      </c>
      <c r="X525" s="43">
        <v>0</v>
      </c>
      <c r="Y525" s="43">
        <v>0</v>
      </c>
      <c r="Z525" s="43">
        <v>0</v>
      </c>
      <c r="AA525" s="44">
        <v>0</v>
      </c>
      <c r="AB525" s="44">
        <v>0</v>
      </c>
      <c r="AC525" s="44">
        <v>12</v>
      </c>
      <c r="AD525" s="44">
        <v>15</v>
      </c>
      <c r="AE525" s="44">
        <v>363</v>
      </c>
      <c r="AF525" s="44">
        <v>7</v>
      </c>
      <c r="AG525" s="44">
        <v>0</v>
      </c>
      <c r="AH525" s="44">
        <v>408</v>
      </c>
      <c r="AI525" s="44">
        <v>353</v>
      </c>
      <c r="AJ525" s="44">
        <v>0</v>
      </c>
      <c r="AK525" s="44">
        <v>0</v>
      </c>
      <c r="AL525" s="44">
        <v>451</v>
      </c>
      <c r="AM525" s="48"/>
      <c r="AN525" s="48"/>
      <c r="AO525" s="48"/>
      <c r="AP525" s="44">
        <v>464</v>
      </c>
      <c r="AQ525" s="44">
        <v>307</v>
      </c>
      <c r="AR525" s="50"/>
      <c r="AS525" s="50"/>
      <c r="AT525" s="43">
        <v>335</v>
      </c>
      <c r="AU525" s="43">
        <v>444</v>
      </c>
      <c r="AV525" s="50"/>
      <c r="AW525" s="50"/>
      <c r="AX525" s="50"/>
      <c r="AY525" s="50"/>
      <c r="AZ525" s="50"/>
      <c r="BA525" s="50"/>
      <c r="BB525" s="50"/>
      <c r="BC525" s="50"/>
      <c r="BD525" s="50"/>
      <c r="BE525" s="43">
        <v>265</v>
      </c>
      <c r="BF525" s="43">
        <v>516</v>
      </c>
      <c r="BG525" s="43">
        <v>322</v>
      </c>
      <c r="BH525" s="43">
        <v>460</v>
      </c>
      <c r="BI525" s="43">
        <v>359</v>
      </c>
      <c r="BJ525" s="43">
        <v>415</v>
      </c>
      <c r="BK525" s="43">
        <v>454</v>
      </c>
      <c r="BL525" s="43">
        <v>325</v>
      </c>
      <c r="BM525" s="43">
        <v>248</v>
      </c>
      <c r="BN525" s="43">
        <v>533</v>
      </c>
      <c r="BO525" s="43">
        <v>461</v>
      </c>
      <c r="BP525" s="43">
        <v>305</v>
      </c>
      <c r="BQ525" s="43">
        <v>331</v>
      </c>
      <c r="BR525" s="43">
        <v>442</v>
      </c>
      <c r="BS525" s="43">
        <v>447</v>
      </c>
      <c r="BT525" s="43">
        <v>242</v>
      </c>
      <c r="BU525" s="43">
        <v>522</v>
      </c>
      <c r="BV525" s="43">
        <v>486</v>
      </c>
      <c r="BW525" s="43">
        <v>321</v>
      </c>
      <c r="BX525" s="43">
        <v>352</v>
      </c>
      <c r="BY525" s="43">
        <v>350</v>
      </c>
      <c r="BZ525" s="43">
        <v>353</v>
      </c>
      <c r="CA525" s="43">
        <v>462</v>
      </c>
      <c r="CB525" s="43">
        <v>270</v>
      </c>
      <c r="CC525" s="43">
        <v>388</v>
      </c>
      <c r="CD525" s="43">
        <v>496</v>
      </c>
      <c r="CE525" s="43">
        <v>353</v>
      </c>
      <c r="CF525" s="43">
        <v>303</v>
      </c>
      <c r="CG525" s="43">
        <v>292</v>
      </c>
      <c r="CH525" s="43">
        <v>343</v>
      </c>
      <c r="CI525" s="43">
        <v>294</v>
      </c>
      <c r="CJ525" s="43">
        <v>355</v>
      </c>
      <c r="CK525" s="43">
        <v>312</v>
      </c>
      <c r="CL525" s="43">
        <v>346</v>
      </c>
      <c r="CM525" s="43">
        <v>439</v>
      </c>
      <c r="CN525" s="43">
        <v>433</v>
      </c>
      <c r="CO525" s="43">
        <v>324</v>
      </c>
      <c r="CP525" s="43">
        <v>338</v>
      </c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44"/>
      <c r="GA525" s="53"/>
      <c r="GB525" s="53"/>
      <c r="GC525" s="53"/>
      <c r="GD525" s="53"/>
      <c r="GE525" s="53"/>
      <c r="GF525" s="53"/>
      <c r="GG525" s="53"/>
      <c r="GH525" s="53"/>
      <c r="GI525" s="43"/>
      <c r="GJ525" s="43"/>
      <c r="GK525" s="43"/>
      <c r="GL525" s="43"/>
      <c r="GM525" s="53"/>
      <c r="GN525" s="53"/>
      <c r="GO525" s="43">
        <v>576</v>
      </c>
      <c r="GP525" s="43">
        <v>202</v>
      </c>
      <c r="GQ525" s="43">
        <v>587</v>
      </c>
      <c r="GR525" s="43">
        <v>196</v>
      </c>
    </row>
    <row r="526" spans="1:200">
      <c r="A526" s="8">
        <v>8728</v>
      </c>
      <c r="B526" s="1" t="s">
        <v>654</v>
      </c>
      <c r="C526" s="33">
        <v>665</v>
      </c>
      <c r="D526" s="34">
        <v>560</v>
      </c>
      <c r="E526" s="19">
        <f t="shared" si="8"/>
        <v>0.84210526315789469</v>
      </c>
      <c r="F526" s="62">
        <v>219</v>
      </c>
      <c r="G526" s="43">
        <v>1</v>
      </c>
      <c r="H526" s="43">
        <v>21</v>
      </c>
      <c r="I526" s="43">
        <v>5</v>
      </c>
      <c r="J526" s="55">
        <v>301</v>
      </c>
      <c r="K526" s="6">
        <v>0</v>
      </c>
      <c r="L526" s="6">
        <v>0</v>
      </c>
      <c r="M526" s="43">
        <v>1</v>
      </c>
      <c r="N526" s="25">
        <v>0</v>
      </c>
      <c r="O526" s="43">
        <v>0</v>
      </c>
      <c r="P526" s="43">
        <v>0</v>
      </c>
      <c r="Q526" s="43">
        <v>0</v>
      </c>
      <c r="R526" s="43">
        <v>0</v>
      </c>
      <c r="S526" s="43">
        <v>0</v>
      </c>
      <c r="T526" s="43">
        <v>0</v>
      </c>
      <c r="U526" s="43">
        <v>0</v>
      </c>
      <c r="V526" s="43">
        <v>0</v>
      </c>
      <c r="W526" s="43">
        <v>1</v>
      </c>
      <c r="X526" s="43">
        <v>0</v>
      </c>
      <c r="Y526" s="43">
        <v>0</v>
      </c>
      <c r="Z526" s="43">
        <v>0</v>
      </c>
      <c r="AA526" s="44">
        <v>0</v>
      </c>
      <c r="AB526" s="44">
        <v>0</v>
      </c>
      <c r="AC526" s="44">
        <v>5</v>
      </c>
      <c r="AD526" s="44">
        <v>8</v>
      </c>
      <c r="AE526" s="44">
        <v>374</v>
      </c>
      <c r="AF526" s="44">
        <v>10</v>
      </c>
      <c r="AG526" s="44">
        <v>0</v>
      </c>
      <c r="AH526" s="44">
        <v>152</v>
      </c>
      <c r="AI526" s="32"/>
      <c r="AJ526" s="32"/>
      <c r="AK526" s="32"/>
      <c r="AL526" s="32"/>
      <c r="AM526" s="44">
        <v>7</v>
      </c>
      <c r="AN526" s="44">
        <v>168</v>
      </c>
      <c r="AO526" s="44">
        <v>359</v>
      </c>
      <c r="AP526" s="44"/>
      <c r="AQ526" s="44"/>
      <c r="AR526" s="51"/>
      <c r="AS526" s="51"/>
      <c r="AT526" s="51"/>
      <c r="AU526" s="51"/>
      <c r="AV526" s="51"/>
      <c r="AW526" s="50"/>
      <c r="AX526" s="50"/>
      <c r="AY526" s="50"/>
      <c r="AZ526" s="50"/>
      <c r="BA526" s="50"/>
      <c r="BB526" s="50"/>
      <c r="BC526" s="43">
        <v>347</v>
      </c>
      <c r="BD526" s="43">
        <v>189</v>
      </c>
      <c r="BE526" s="43">
        <v>300</v>
      </c>
      <c r="BF526" s="43">
        <v>230</v>
      </c>
      <c r="BG526" s="43">
        <v>349</v>
      </c>
      <c r="BH526" s="43">
        <v>186</v>
      </c>
      <c r="BI526" s="43">
        <v>361</v>
      </c>
      <c r="BJ526" s="43">
        <v>175</v>
      </c>
      <c r="BK526" s="43">
        <v>212</v>
      </c>
      <c r="BL526" s="43">
        <v>316</v>
      </c>
      <c r="BM526" s="43">
        <v>268</v>
      </c>
      <c r="BN526" s="43">
        <v>257</v>
      </c>
      <c r="BO526" s="43">
        <v>200</v>
      </c>
      <c r="BP526" s="43">
        <v>324</v>
      </c>
      <c r="BQ526" s="43">
        <v>366</v>
      </c>
      <c r="BR526" s="43">
        <v>165</v>
      </c>
      <c r="BS526" s="43">
        <v>379</v>
      </c>
      <c r="BT526" s="43">
        <v>261</v>
      </c>
      <c r="BU526" s="43">
        <v>260</v>
      </c>
      <c r="BV526" s="43">
        <v>349</v>
      </c>
      <c r="BW526" s="43">
        <v>275</v>
      </c>
      <c r="BX526" s="43">
        <v>155</v>
      </c>
      <c r="BY526" s="43">
        <v>312</v>
      </c>
      <c r="BZ526" s="43">
        <v>157</v>
      </c>
      <c r="CA526" s="43">
        <v>307</v>
      </c>
      <c r="CB526" s="43">
        <v>247</v>
      </c>
      <c r="CC526" s="43">
        <v>178</v>
      </c>
      <c r="CD526" s="43">
        <v>302</v>
      </c>
      <c r="CE526" s="43">
        <v>186</v>
      </c>
      <c r="CF526" s="43">
        <v>254</v>
      </c>
      <c r="CG526" s="43">
        <v>268</v>
      </c>
      <c r="CH526" s="43">
        <v>142</v>
      </c>
      <c r="CI526" s="43">
        <v>123</v>
      </c>
      <c r="CJ526" s="43">
        <v>301</v>
      </c>
      <c r="CK526" s="43">
        <v>243</v>
      </c>
      <c r="CL526" s="43">
        <v>167</v>
      </c>
      <c r="CM526" s="43">
        <v>296</v>
      </c>
      <c r="CN526" s="43">
        <v>302</v>
      </c>
      <c r="CO526" s="43">
        <v>141</v>
      </c>
      <c r="CP526" s="43">
        <v>264</v>
      </c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44"/>
      <c r="GA526" s="53"/>
      <c r="GB526" s="53"/>
      <c r="GC526" s="53"/>
      <c r="GD526" s="53"/>
      <c r="GE526" s="53"/>
      <c r="GF526" s="53"/>
      <c r="GG526" s="53"/>
      <c r="GH526" s="53"/>
      <c r="GI526" s="43"/>
      <c r="GJ526" s="43"/>
      <c r="GK526" s="43">
        <v>146</v>
      </c>
      <c r="GL526" s="43">
        <v>394</v>
      </c>
      <c r="GM526" s="53"/>
      <c r="GN526" s="53"/>
      <c r="GO526" s="43">
        <v>341</v>
      </c>
      <c r="GP526" s="43">
        <v>202</v>
      </c>
      <c r="GQ526" s="43">
        <v>329</v>
      </c>
      <c r="GR526" s="43">
        <v>214</v>
      </c>
    </row>
    <row r="527" spans="1:200">
      <c r="A527" s="7">
        <v>8901</v>
      </c>
      <c r="B527" s="1" t="s">
        <v>655</v>
      </c>
      <c r="C527" s="33">
        <v>126</v>
      </c>
      <c r="D527" s="34">
        <v>96</v>
      </c>
      <c r="E527" s="19">
        <f t="shared" si="8"/>
        <v>0.76190476190476186</v>
      </c>
      <c r="F527" s="62">
        <v>87</v>
      </c>
      <c r="G527" s="43">
        <v>0</v>
      </c>
      <c r="H527" s="43">
        <v>0</v>
      </c>
      <c r="I527" s="43">
        <v>1</v>
      </c>
      <c r="J527" s="55">
        <v>8</v>
      </c>
      <c r="K527" s="6">
        <v>0</v>
      </c>
      <c r="L527" s="6">
        <v>0</v>
      </c>
      <c r="M527" s="43">
        <v>0</v>
      </c>
      <c r="N527" s="25">
        <v>0</v>
      </c>
      <c r="O527" s="43">
        <v>0</v>
      </c>
      <c r="P527" s="43">
        <v>0</v>
      </c>
      <c r="Q527" s="43">
        <v>0</v>
      </c>
      <c r="R527" s="43">
        <v>0</v>
      </c>
      <c r="S527" s="43">
        <v>0</v>
      </c>
      <c r="T527" s="43">
        <v>0</v>
      </c>
      <c r="U527" s="43">
        <v>0</v>
      </c>
      <c r="V527" s="43">
        <v>0</v>
      </c>
      <c r="W527" s="43">
        <v>0</v>
      </c>
      <c r="X527" s="43">
        <v>0</v>
      </c>
      <c r="Y527" s="43">
        <v>0</v>
      </c>
      <c r="Z527" s="43">
        <v>0</v>
      </c>
      <c r="AA527" s="44">
        <v>0</v>
      </c>
      <c r="AB527" s="44">
        <v>0</v>
      </c>
      <c r="AC527" s="44">
        <v>1</v>
      </c>
      <c r="AD527" s="44">
        <v>0</v>
      </c>
      <c r="AE527" s="44">
        <v>19</v>
      </c>
      <c r="AF527" s="44">
        <v>0</v>
      </c>
      <c r="AG527" s="44">
        <v>0</v>
      </c>
      <c r="AH527" s="44">
        <v>72</v>
      </c>
      <c r="AI527" s="32"/>
      <c r="AJ527" s="32"/>
      <c r="AK527" s="32"/>
      <c r="AL527" s="32"/>
      <c r="AM527" s="44">
        <v>0</v>
      </c>
      <c r="AN527" s="44">
        <v>80</v>
      </c>
      <c r="AO527" s="44">
        <v>9</v>
      </c>
      <c r="AP527" s="44"/>
      <c r="AQ527" s="44"/>
      <c r="AR527" s="51"/>
      <c r="AS527" s="51"/>
      <c r="AT527" s="51"/>
      <c r="AU527" s="51"/>
      <c r="AV527" s="51"/>
      <c r="AW527" s="50"/>
      <c r="AX527" s="50"/>
      <c r="AY527" s="50"/>
      <c r="AZ527" s="50"/>
      <c r="BA527" s="50"/>
      <c r="BB527" s="50"/>
      <c r="BC527" s="43">
        <v>8</v>
      </c>
      <c r="BD527" s="43">
        <v>87</v>
      </c>
      <c r="BE527" s="43">
        <v>9</v>
      </c>
      <c r="BF527" s="43">
        <v>82</v>
      </c>
      <c r="BG527" s="43">
        <v>12</v>
      </c>
      <c r="BH527" s="43">
        <v>77</v>
      </c>
      <c r="BI527" s="43">
        <v>18</v>
      </c>
      <c r="BJ527" s="43">
        <v>71</v>
      </c>
      <c r="BK527" s="43">
        <v>75</v>
      </c>
      <c r="BL527" s="43">
        <v>14</v>
      </c>
      <c r="BM527" s="43">
        <v>7</v>
      </c>
      <c r="BN527" s="43">
        <v>82</v>
      </c>
      <c r="BO527" s="43">
        <v>74</v>
      </c>
      <c r="BP527" s="43">
        <v>12</v>
      </c>
      <c r="BQ527" s="43">
        <v>16</v>
      </c>
      <c r="BR527" s="43">
        <v>73</v>
      </c>
      <c r="BS527" s="43">
        <v>34</v>
      </c>
      <c r="BT527" s="43">
        <v>7</v>
      </c>
      <c r="BU527" s="43">
        <v>82</v>
      </c>
      <c r="BV527" s="43">
        <v>52</v>
      </c>
      <c r="BW527" s="43">
        <v>32</v>
      </c>
      <c r="BX527" s="43">
        <v>45</v>
      </c>
      <c r="BY527" s="43">
        <v>27</v>
      </c>
      <c r="BZ527" s="43">
        <v>55</v>
      </c>
      <c r="CA527" s="43">
        <v>49</v>
      </c>
      <c r="CB527" s="43">
        <v>15</v>
      </c>
      <c r="CC527" s="43">
        <v>60</v>
      </c>
      <c r="CD527" s="43">
        <v>56</v>
      </c>
      <c r="CE527" s="43">
        <v>57</v>
      </c>
      <c r="CF527" s="43">
        <v>19</v>
      </c>
      <c r="CG527" s="43">
        <v>33</v>
      </c>
      <c r="CH527" s="43">
        <v>36</v>
      </c>
      <c r="CI527" s="43">
        <v>42</v>
      </c>
      <c r="CJ527" s="43">
        <v>32</v>
      </c>
      <c r="CK527" s="43">
        <v>44</v>
      </c>
      <c r="CL527" s="43">
        <v>32</v>
      </c>
      <c r="CM527" s="43">
        <v>40</v>
      </c>
      <c r="CN527" s="43">
        <v>50</v>
      </c>
      <c r="CO527" s="43">
        <v>41</v>
      </c>
      <c r="CP527" s="43">
        <v>34</v>
      </c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44"/>
      <c r="GA527" s="53"/>
      <c r="GB527" s="53"/>
      <c r="GC527" s="53"/>
      <c r="GD527" s="53"/>
      <c r="GE527" s="53"/>
      <c r="GF527" s="53"/>
      <c r="GG527" s="53"/>
      <c r="GH527" s="53"/>
      <c r="GI527" s="43"/>
      <c r="GJ527" s="43"/>
      <c r="GK527" s="43"/>
      <c r="GL527" s="43"/>
      <c r="GM527" s="53"/>
      <c r="GN527" s="53"/>
      <c r="GO527" s="43">
        <v>67</v>
      </c>
      <c r="GP527" s="43">
        <v>23</v>
      </c>
      <c r="GQ527" s="43">
        <v>77</v>
      </c>
      <c r="GR527" s="43">
        <v>13</v>
      </c>
    </row>
    <row r="528" spans="1:200">
      <c r="A528" s="7">
        <v>8902</v>
      </c>
      <c r="B528" s="1" t="s">
        <v>656</v>
      </c>
      <c r="C528" s="33">
        <v>1213</v>
      </c>
      <c r="D528" s="34">
        <v>909</v>
      </c>
      <c r="E528" s="19">
        <f t="shared" si="8"/>
        <v>0.74938169826875511</v>
      </c>
      <c r="F528" s="62">
        <v>310</v>
      </c>
      <c r="G528" s="43">
        <v>7</v>
      </c>
      <c r="H528" s="43">
        <v>32</v>
      </c>
      <c r="I528" s="43">
        <v>7</v>
      </c>
      <c r="J528" s="55">
        <v>527</v>
      </c>
      <c r="K528" s="6">
        <v>0</v>
      </c>
      <c r="L528" s="6">
        <v>0</v>
      </c>
      <c r="M528" s="43">
        <v>1</v>
      </c>
      <c r="N528" s="25">
        <v>0</v>
      </c>
      <c r="O528" s="43">
        <v>0</v>
      </c>
      <c r="P528" s="43">
        <v>0</v>
      </c>
      <c r="Q528" s="43">
        <v>0</v>
      </c>
      <c r="R528" s="43">
        <v>0</v>
      </c>
      <c r="S528" s="43">
        <v>0</v>
      </c>
      <c r="T528" s="43">
        <v>0</v>
      </c>
      <c r="U528" s="43">
        <v>0</v>
      </c>
      <c r="V528" s="43">
        <v>0</v>
      </c>
      <c r="W528" s="43">
        <v>2</v>
      </c>
      <c r="X528" s="43">
        <v>0</v>
      </c>
      <c r="Y528" s="43">
        <v>0</v>
      </c>
      <c r="Z528" s="43">
        <v>0</v>
      </c>
      <c r="AA528" s="44">
        <v>0</v>
      </c>
      <c r="AB528" s="44">
        <v>0</v>
      </c>
      <c r="AC528" s="44">
        <v>20</v>
      </c>
      <c r="AD528" s="44">
        <v>11</v>
      </c>
      <c r="AE528" s="44">
        <v>598</v>
      </c>
      <c r="AF528" s="44">
        <v>13</v>
      </c>
      <c r="AG528" s="44">
        <v>0</v>
      </c>
      <c r="AH528" s="44">
        <v>238</v>
      </c>
      <c r="AI528" s="44">
        <v>602</v>
      </c>
      <c r="AJ528" s="44">
        <v>1</v>
      </c>
      <c r="AK528" s="44">
        <v>0</v>
      </c>
      <c r="AL528" s="44">
        <v>271</v>
      </c>
      <c r="AM528" s="48"/>
      <c r="AN528" s="48"/>
      <c r="AO528" s="48"/>
      <c r="AP528" s="44">
        <v>291</v>
      </c>
      <c r="AQ528" s="44">
        <v>537</v>
      </c>
      <c r="AR528" s="50"/>
      <c r="AS528" s="50"/>
      <c r="AT528" s="43">
        <v>602</v>
      </c>
      <c r="AU528" s="43">
        <v>252</v>
      </c>
      <c r="AV528" s="50"/>
      <c r="AW528" s="50"/>
      <c r="AX528" s="50"/>
      <c r="AY528" s="50"/>
      <c r="AZ528" s="50"/>
      <c r="BA528" s="50"/>
      <c r="BB528" s="50"/>
      <c r="BC528" s="50"/>
      <c r="BD528" s="50"/>
      <c r="BE528" s="43">
        <v>475</v>
      </c>
      <c r="BF528" s="43">
        <v>369</v>
      </c>
      <c r="BG528" s="43">
        <v>581</v>
      </c>
      <c r="BH528" s="43">
        <v>269</v>
      </c>
      <c r="BI528" s="43">
        <v>619</v>
      </c>
      <c r="BJ528" s="43">
        <v>226</v>
      </c>
      <c r="BK528" s="43">
        <v>322</v>
      </c>
      <c r="BL528" s="43">
        <v>523</v>
      </c>
      <c r="BM528" s="43">
        <v>452</v>
      </c>
      <c r="BN528" s="43">
        <v>384</v>
      </c>
      <c r="BO528" s="43">
        <v>278</v>
      </c>
      <c r="BP528" s="43">
        <v>550</v>
      </c>
      <c r="BQ528" s="43">
        <v>609</v>
      </c>
      <c r="BR528" s="43">
        <v>233</v>
      </c>
      <c r="BS528" s="43">
        <v>620</v>
      </c>
      <c r="BT528" s="43">
        <v>435</v>
      </c>
      <c r="BU528" s="43">
        <v>383</v>
      </c>
      <c r="BV528" s="43">
        <v>554</v>
      </c>
      <c r="BW528" s="43">
        <v>396</v>
      </c>
      <c r="BX528" s="43">
        <v>264</v>
      </c>
      <c r="BY528" s="43">
        <v>507</v>
      </c>
      <c r="BZ528" s="43">
        <v>225</v>
      </c>
      <c r="CA528" s="43">
        <v>506</v>
      </c>
      <c r="CB528" s="43">
        <v>396</v>
      </c>
      <c r="CC528" s="43">
        <v>227</v>
      </c>
      <c r="CD528" s="43">
        <v>480</v>
      </c>
      <c r="CE528" s="43">
        <v>254</v>
      </c>
      <c r="CF528" s="43">
        <v>412</v>
      </c>
      <c r="CG528" s="43">
        <v>397</v>
      </c>
      <c r="CH528" s="43">
        <v>221</v>
      </c>
      <c r="CI528" s="43">
        <v>169</v>
      </c>
      <c r="CJ528" s="43">
        <v>471</v>
      </c>
      <c r="CK528" s="43">
        <v>374</v>
      </c>
      <c r="CL528" s="43">
        <v>246</v>
      </c>
      <c r="CM528" s="43">
        <v>496</v>
      </c>
      <c r="CN528" s="43">
        <v>502</v>
      </c>
      <c r="CO528" s="43">
        <v>245</v>
      </c>
      <c r="CP528" s="43">
        <v>389</v>
      </c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44"/>
      <c r="GA528" s="53"/>
      <c r="GB528" s="53"/>
      <c r="GC528" s="53"/>
      <c r="GD528" s="53"/>
      <c r="GE528" s="53"/>
      <c r="GF528" s="53"/>
      <c r="GG528" s="53"/>
      <c r="GH528" s="53"/>
      <c r="GI528" s="43"/>
      <c r="GJ528" s="43"/>
      <c r="GK528" s="53"/>
      <c r="GL528" s="53"/>
      <c r="GM528" s="53"/>
      <c r="GN528" s="53"/>
      <c r="GO528" s="43">
        <v>571</v>
      </c>
      <c r="GP528" s="43">
        <v>287</v>
      </c>
      <c r="GQ528" s="43">
        <v>552</v>
      </c>
      <c r="GR528" s="43">
        <v>307</v>
      </c>
    </row>
    <row r="529" spans="1:200">
      <c r="A529" s="7">
        <v>8903</v>
      </c>
      <c r="B529" s="1" t="s">
        <v>657</v>
      </c>
      <c r="C529" s="33">
        <v>1561</v>
      </c>
      <c r="D529" s="34">
        <v>1104</v>
      </c>
      <c r="E529" s="19">
        <f t="shared" si="8"/>
        <v>0.70723894939141574</v>
      </c>
      <c r="F529" s="62">
        <v>414</v>
      </c>
      <c r="G529" s="43">
        <v>4</v>
      </c>
      <c r="H529" s="43">
        <v>49</v>
      </c>
      <c r="I529" s="43">
        <v>9</v>
      </c>
      <c r="J529" s="55">
        <v>602</v>
      </c>
      <c r="K529" s="6">
        <v>0</v>
      </c>
      <c r="L529" s="6">
        <v>0</v>
      </c>
      <c r="M529" s="43">
        <v>0</v>
      </c>
      <c r="N529" s="25">
        <v>0</v>
      </c>
      <c r="O529" s="43">
        <v>0</v>
      </c>
      <c r="P529" s="43">
        <v>0</v>
      </c>
      <c r="Q529" s="43">
        <v>0</v>
      </c>
      <c r="R529" s="43">
        <v>0</v>
      </c>
      <c r="S529" s="43">
        <v>0</v>
      </c>
      <c r="T529" s="43">
        <v>0</v>
      </c>
      <c r="U529" s="43">
        <v>0</v>
      </c>
      <c r="V529" s="43">
        <v>1</v>
      </c>
      <c r="W529" s="43">
        <v>5</v>
      </c>
      <c r="X529" s="43">
        <v>0</v>
      </c>
      <c r="Y529" s="43">
        <v>0</v>
      </c>
      <c r="Z529" s="43">
        <v>0</v>
      </c>
      <c r="AA529" s="44">
        <v>0</v>
      </c>
      <c r="AB529" s="44">
        <v>0</v>
      </c>
      <c r="AC529" s="44">
        <v>24</v>
      </c>
      <c r="AD529" s="44">
        <v>28</v>
      </c>
      <c r="AE529" s="44">
        <v>691</v>
      </c>
      <c r="AF529" s="44">
        <v>16</v>
      </c>
      <c r="AG529" s="44">
        <v>0</v>
      </c>
      <c r="AH529" s="44">
        <v>302</v>
      </c>
      <c r="AI529" s="32"/>
      <c r="AJ529" s="32"/>
      <c r="AK529" s="32"/>
      <c r="AL529" s="32"/>
      <c r="AM529" s="44">
        <v>6</v>
      </c>
      <c r="AN529" s="44">
        <v>354</v>
      </c>
      <c r="AO529" s="44">
        <v>662</v>
      </c>
      <c r="AP529" s="44">
        <v>401</v>
      </c>
      <c r="AQ529" s="44">
        <v>597</v>
      </c>
      <c r="AR529" s="50"/>
      <c r="AS529" s="50"/>
      <c r="AT529" s="43">
        <v>668</v>
      </c>
      <c r="AU529" s="43">
        <v>353</v>
      </c>
      <c r="AV529" s="50"/>
      <c r="AW529" s="50"/>
      <c r="AX529" s="50"/>
      <c r="AY529" s="50"/>
      <c r="AZ529" s="50"/>
      <c r="BA529" s="50"/>
      <c r="BB529" s="50"/>
      <c r="BC529" s="50"/>
      <c r="BD529" s="50"/>
      <c r="BE529" s="43">
        <v>507</v>
      </c>
      <c r="BF529" s="43">
        <v>502</v>
      </c>
      <c r="BG529" s="43">
        <v>647</v>
      </c>
      <c r="BH529" s="43">
        <v>372</v>
      </c>
      <c r="BI529" s="43">
        <v>680</v>
      </c>
      <c r="BJ529" s="43">
        <v>341</v>
      </c>
      <c r="BK529" s="43">
        <v>411</v>
      </c>
      <c r="BL529" s="43">
        <v>598</v>
      </c>
      <c r="BM529" s="43">
        <v>471</v>
      </c>
      <c r="BN529" s="43">
        <v>531</v>
      </c>
      <c r="BO529" s="43">
        <v>368</v>
      </c>
      <c r="BP529" s="43">
        <v>629</v>
      </c>
      <c r="BQ529" s="43">
        <v>650</v>
      </c>
      <c r="BR529" s="43">
        <v>348</v>
      </c>
      <c r="BS529" s="43">
        <v>755</v>
      </c>
      <c r="BT529" s="43">
        <v>462</v>
      </c>
      <c r="BU529" s="43">
        <v>532</v>
      </c>
      <c r="BV529" s="43">
        <v>730</v>
      </c>
      <c r="BW529" s="43">
        <v>464</v>
      </c>
      <c r="BX529" s="43">
        <v>381</v>
      </c>
      <c r="BY529" s="43">
        <v>600</v>
      </c>
      <c r="BZ529" s="43">
        <v>304</v>
      </c>
      <c r="CA529" s="43">
        <v>677</v>
      </c>
      <c r="CB529" s="43">
        <v>454</v>
      </c>
      <c r="CC529" s="43">
        <v>342</v>
      </c>
      <c r="CD529" s="43">
        <v>639</v>
      </c>
      <c r="CE529" s="43">
        <v>325</v>
      </c>
      <c r="CF529" s="43">
        <v>504</v>
      </c>
      <c r="CG529" s="43">
        <v>500</v>
      </c>
      <c r="CH529" s="43">
        <v>281</v>
      </c>
      <c r="CI529" s="43">
        <v>188</v>
      </c>
      <c r="CJ529" s="43">
        <v>624</v>
      </c>
      <c r="CK529" s="43">
        <v>473</v>
      </c>
      <c r="CL529" s="43">
        <v>329</v>
      </c>
      <c r="CM529" s="43">
        <v>641</v>
      </c>
      <c r="CN529" s="43">
        <v>646</v>
      </c>
      <c r="CO529" s="43">
        <v>252</v>
      </c>
      <c r="CP529" s="43">
        <v>534</v>
      </c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44"/>
      <c r="GA529" s="43">
        <v>623</v>
      </c>
      <c r="GB529" s="43">
        <v>422</v>
      </c>
      <c r="GC529" s="53"/>
      <c r="GD529" s="53"/>
      <c r="GE529" s="53"/>
      <c r="GF529" s="53"/>
      <c r="GG529" s="53"/>
      <c r="GH529" s="53"/>
      <c r="GI529" s="43"/>
      <c r="GJ529" s="43"/>
      <c r="GK529" s="53"/>
      <c r="GL529" s="53"/>
      <c r="GM529" s="53"/>
      <c r="GN529" s="53"/>
      <c r="GO529" s="43">
        <v>668</v>
      </c>
      <c r="GP529" s="43">
        <v>371</v>
      </c>
      <c r="GQ529" s="43">
        <v>671</v>
      </c>
      <c r="GR529" s="43">
        <v>360</v>
      </c>
    </row>
    <row r="530" spans="1:200">
      <c r="A530" s="7">
        <v>8904</v>
      </c>
      <c r="B530" s="1" t="s">
        <v>658</v>
      </c>
      <c r="C530" s="33">
        <v>785</v>
      </c>
      <c r="D530" s="34">
        <v>648</v>
      </c>
      <c r="E530" s="19">
        <f t="shared" si="8"/>
        <v>0.82547770700636947</v>
      </c>
      <c r="F530" s="62">
        <v>269</v>
      </c>
      <c r="G530" s="43">
        <v>1</v>
      </c>
      <c r="H530" s="43">
        <v>33</v>
      </c>
      <c r="I530" s="43">
        <v>2</v>
      </c>
      <c r="J530" s="55">
        <v>320</v>
      </c>
      <c r="K530" s="6">
        <v>0</v>
      </c>
      <c r="L530" s="6">
        <v>0</v>
      </c>
      <c r="M530" s="43">
        <v>0</v>
      </c>
      <c r="N530" s="25">
        <v>0</v>
      </c>
      <c r="O530" s="43">
        <v>0</v>
      </c>
      <c r="P530" s="43">
        <v>0</v>
      </c>
      <c r="Q530" s="43">
        <v>0</v>
      </c>
      <c r="R530" s="43">
        <v>0</v>
      </c>
      <c r="S530" s="43">
        <v>0</v>
      </c>
      <c r="T530" s="43">
        <v>0</v>
      </c>
      <c r="U530" s="43">
        <v>0</v>
      </c>
      <c r="V530" s="43">
        <v>0</v>
      </c>
      <c r="W530" s="43">
        <v>4</v>
      </c>
      <c r="X530" s="43">
        <v>0</v>
      </c>
      <c r="Y530" s="43">
        <v>0</v>
      </c>
      <c r="Z530" s="43">
        <v>0</v>
      </c>
      <c r="AA530" s="44">
        <v>0</v>
      </c>
      <c r="AB530" s="44">
        <v>0</v>
      </c>
      <c r="AC530" s="44">
        <v>10</v>
      </c>
      <c r="AD530" s="44">
        <v>8</v>
      </c>
      <c r="AE530" s="44">
        <v>434</v>
      </c>
      <c r="AF530" s="44">
        <v>4</v>
      </c>
      <c r="AG530" s="44">
        <v>0</v>
      </c>
      <c r="AH530" s="44">
        <v>168</v>
      </c>
      <c r="AI530" s="44">
        <v>418</v>
      </c>
      <c r="AJ530" s="44">
        <v>0</v>
      </c>
      <c r="AK530" s="44">
        <v>0</v>
      </c>
      <c r="AL530" s="44">
        <v>210</v>
      </c>
      <c r="AM530" s="48"/>
      <c r="AN530" s="48"/>
      <c r="AO530" s="48"/>
      <c r="AP530" s="44">
        <v>207</v>
      </c>
      <c r="AQ530" s="44">
        <v>395</v>
      </c>
      <c r="AR530" s="50"/>
      <c r="AS530" s="50"/>
      <c r="AT530" s="43">
        <v>418</v>
      </c>
      <c r="AU530" s="43">
        <v>192</v>
      </c>
      <c r="AV530" s="50"/>
      <c r="AW530" s="50"/>
      <c r="AX530" s="50"/>
      <c r="AY530" s="50"/>
      <c r="AZ530" s="50"/>
      <c r="BA530" s="50"/>
      <c r="BB530" s="50"/>
      <c r="BC530" s="50"/>
      <c r="BD530" s="50"/>
      <c r="BE530" s="43">
        <v>343</v>
      </c>
      <c r="BF530" s="43">
        <v>263</v>
      </c>
      <c r="BG530" s="43">
        <v>389</v>
      </c>
      <c r="BH530" s="43">
        <v>222</v>
      </c>
      <c r="BI530" s="43">
        <v>421</v>
      </c>
      <c r="BJ530" s="43">
        <v>175</v>
      </c>
      <c r="BK530" s="43">
        <v>248</v>
      </c>
      <c r="BL530" s="43">
        <v>354</v>
      </c>
      <c r="BM530" s="43">
        <v>333</v>
      </c>
      <c r="BN530" s="43">
        <v>263</v>
      </c>
      <c r="BO530" s="43">
        <v>211</v>
      </c>
      <c r="BP530" s="43">
        <v>384</v>
      </c>
      <c r="BQ530" s="43">
        <v>424</v>
      </c>
      <c r="BR530" s="43">
        <v>180</v>
      </c>
      <c r="BS530" s="43">
        <v>443</v>
      </c>
      <c r="BT530" s="43">
        <v>297</v>
      </c>
      <c r="BU530" s="43">
        <v>291</v>
      </c>
      <c r="BV530" s="43">
        <v>444</v>
      </c>
      <c r="BW530" s="43">
        <v>332</v>
      </c>
      <c r="BX530" s="43">
        <v>184</v>
      </c>
      <c r="BY530" s="43">
        <v>375</v>
      </c>
      <c r="BZ530" s="43">
        <v>178</v>
      </c>
      <c r="CA530" s="43">
        <v>408</v>
      </c>
      <c r="CB530" s="43">
        <v>312</v>
      </c>
      <c r="CC530" s="43">
        <v>193</v>
      </c>
      <c r="CD530" s="43">
        <v>364</v>
      </c>
      <c r="CE530" s="43">
        <v>197</v>
      </c>
      <c r="CF530" s="43">
        <v>304</v>
      </c>
      <c r="CG530" s="43">
        <v>322</v>
      </c>
      <c r="CH530" s="43">
        <v>161</v>
      </c>
      <c r="CI530" s="43">
        <v>136</v>
      </c>
      <c r="CJ530" s="43">
        <v>366</v>
      </c>
      <c r="CK530" s="43">
        <v>334</v>
      </c>
      <c r="CL530" s="43">
        <v>157</v>
      </c>
      <c r="CM530" s="43">
        <v>385</v>
      </c>
      <c r="CN530" s="43">
        <v>373</v>
      </c>
      <c r="CO530" s="43">
        <v>154</v>
      </c>
      <c r="CP530" s="43">
        <v>339</v>
      </c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44"/>
      <c r="GA530" s="53"/>
      <c r="GB530" s="53"/>
      <c r="GC530" s="53"/>
      <c r="GD530" s="53"/>
      <c r="GE530" s="53"/>
      <c r="GF530" s="53"/>
      <c r="GG530" s="53"/>
      <c r="GH530" s="53"/>
      <c r="GI530" s="43">
        <v>201</v>
      </c>
      <c r="GJ530" s="43">
        <v>112</v>
      </c>
      <c r="GK530" s="53"/>
      <c r="GL530" s="53"/>
      <c r="GM530" s="53"/>
      <c r="GN530" s="53"/>
      <c r="GO530" s="43">
        <v>443</v>
      </c>
      <c r="GP530" s="43">
        <v>184</v>
      </c>
      <c r="GQ530" s="43">
        <v>443</v>
      </c>
      <c r="GR530" s="43">
        <v>175</v>
      </c>
    </row>
    <row r="531" spans="1:200">
      <c r="A531" s="7">
        <v>8905</v>
      </c>
      <c r="B531" s="1" t="s">
        <v>659</v>
      </c>
      <c r="C531" s="33">
        <v>1342</v>
      </c>
      <c r="D531" s="34">
        <v>1106</v>
      </c>
      <c r="E531" s="19">
        <f t="shared" si="8"/>
        <v>0.82414307004470944</v>
      </c>
      <c r="F531" s="62">
        <v>433</v>
      </c>
      <c r="G531" s="43">
        <v>1</v>
      </c>
      <c r="H531" s="43">
        <v>39</v>
      </c>
      <c r="I531" s="43">
        <v>5</v>
      </c>
      <c r="J531" s="55">
        <v>589</v>
      </c>
      <c r="K531" s="6">
        <v>0</v>
      </c>
      <c r="L531" s="6">
        <v>0</v>
      </c>
      <c r="M531" s="43">
        <v>2</v>
      </c>
      <c r="N531" s="25">
        <v>0</v>
      </c>
      <c r="O531" s="43">
        <v>0</v>
      </c>
      <c r="P531" s="43">
        <v>0</v>
      </c>
      <c r="Q531" s="43">
        <v>0</v>
      </c>
      <c r="R531" s="43">
        <v>0</v>
      </c>
      <c r="S531" s="43">
        <v>0</v>
      </c>
      <c r="T531" s="43">
        <v>0</v>
      </c>
      <c r="U531" s="43">
        <v>0</v>
      </c>
      <c r="V531" s="43">
        <v>0</v>
      </c>
      <c r="W531" s="43">
        <v>8</v>
      </c>
      <c r="X531" s="43">
        <v>0</v>
      </c>
      <c r="Y531" s="43">
        <v>0</v>
      </c>
      <c r="Z531" s="43">
        <v>0</v>
      </c>
      <c r="AA531" s="44">
        <v>0</v>
      </c>
      <c r="AB531" s="44">
        <v>0</v>
      </c>
      <c r="AC531" s="44">
        <v>6</v>
      </c>
      <c r="AD531" s="44">
        <v>7</v>
      </c>
      <c r="AE531" s="44">
        <v>788</v>
      </c>
      <c r="AF531" s="44">
        <v>10</v>
      </c>
      <c r="AG531" s="44">
        <v>0</v>
      </c>
      <c r="AH531" s="44">
        <v>266</v>
      </c>
      <c r="AI531" s="32"/>
      <c r="AJ531" s="32"/>
      <c r="AK531" s="32"/>
      <c r="AL531" s="32"/>
      <c r="AM531" s="44">
        <v>31</v>
      </c>
      <c r="AN531" s="44">
        <v>248</v>
      </c>
      <c r="AO531" s="44">
        <v>768</v>
      </c>
      <c r="AP531" s="44">
        <v>315</v>
      </c>
      <c r="AQ531" s="44">
        <v>693</v>
      </c>
      <c r="AR531" s="50"/>
      <c r="AS531" s="50"/>
      <c r="AT531" s="43">
        <v>745</v>
      </c>
      <c r="AU531" s="43">
        <v>285</v>
      </c>
      <c r="AV531" s="50"/>
      <c r="AW531" s="50"/>
      <c r="AX531" s="50"/>
      <c r="AY531" s="50"/>
      <c r="AZ531" s="50"/>
      <c r="BA531" s="50"/>
      <c r="BB531" s="50"/>
      <c r="BC531" s="50"/>
      <c r="BD531" s="50"/>
      <c r="BE531" s="43">
        <v>596</v>
      </c>
      <c r="BF531" s="43">
        <v>426</v>
      </c>
      <c r="BG531" s="43">
        <v>681</v>
      </c>
      <c r="BH531" s="43">
        <v>357</v>
      </c>
      <c r="BI531" s="43">
        <v>747</v>
      </c>
      <c r="BJ531" s="43">
        <v>270</v>
      </c>
      <c r="BK531" s="43">
        <v>368</v>
      </c>
      <c r="BL531" s="43">
        <v>652</v>
      </c>
      <c r="BM531" s="43">
        <v>597</v>
      </c>
      <c r="BN531" s="43">
        <v>410</v>
      </c>
      <c r="BO531" s="43">
        <v>316</v>
      </c>
      <c r="BP531" s="43">
        <v>692</v>
      </c>
      <c r="BQ531" s="43">
        <v>753</v>
      </c>
      <c r="BR531" s="43">
        <v>257</v>
      </c>
      <c r="BS531" s="43">
        <v>786</v>
      </c>
      <c r="BT531" s="43">
        <v>492</v>
      </c>
      <c r="BU531" s="43">
        <v>495</v>
      </c>
      <c r="BV531" s="43">
        <v>737</v>
      </c>
      <c r="BW531" s="43">
        <v>517</v>
      </c>
      <c r="BX531" s="43">
        <v>317</v>
      </c>
      <c r="BY531" s="43">
        <v>615</v>
      </c>
      <c r="BZ531" s="43">
        <v>295</v>
      </c>
      <c r="CA531" s="43">
        <v>682</v>
      </c>
      <c r="CB531" s="43">
        <v>524</v>
      </c>
      <c r="CC531" s="43">
        <v>283</v>
      </c>
      <c r="CD531" s="43">
        <v>661</v>
      </c>
      <c r="CE531" s="43">
        <v>283</v>
      </c>
      <c r="CF531" s="43">
        <v>574</v>
      </c>
      <c r="CG531" s="43">
        <v>585</v>
      </c>
      <c r="CH531" s="43">
        <v>225</v>
      </c>
      <c r="CI531" s="43">
        <v>168</v>
      </c>
      <c r="CJ531" s="43">
        <v>619</v>
      </c>
      <c r="CK531" s="43">
        <v>482</v>
      </c>
      <c r="CL531" s="43">
        <v>300</v>
      </c>
      <c r="CM531" s="43">
        <v>659</v>
      </c>
      <c r="CN531" s="43">
        <v>662</v>
      </c>
      <c r="CO531" s="43">
        <v>232</v>
      </c>
      <c r="CP531" s="43">
        <v>574</v>
      </c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44"/>
      <c r="GA531" s="53"/>
      <c r="GB531" s="53"/>
      <c r="GC531" s="53"/>
      <c r="GD531" s="53"/>
      <c r="GE531" s="53"/>
      <c r="GF531" s="53"/>
      <c r="GG531" s="53"/>
      <c r="GH531" s="53"/>
      <c r="GI531" s="43">
        <v>90</v>
      </c>
      <c r="GJ531" s="43">
        <v>86</v>
      </c>
      <c r="GK531" s="53"/>
      <c r="GL531" s="53"/>
      <c r="GM531" s="53"/>
      <c r="GN531" s="53"/>
      <c r="GO531" s="43">
        <v>803</v>
      </c>
      <c r="GP531" s="43">
        <v>248</v>
      </c>
      <c r="GQ531" s="43">
        <v>842</v>
      </c>
      <c r="GR531" s="43">
        <v>205</v>
      </c>
    </row>
    <row r="532" spans="1:200">
      <c r="A532" s="8">
        <v>8906</v>
      </c>
      <c r="B532" s="1" t="s">
        <v>660</v>
      </c>
      <c r="C532" s="33">
        <v>836</v>
      </c>
      <c r="D532" s="34">
        <v>683</v>
      </c>
      <c r="E532" s="19">
        <f t="shared" si="8"/>
        <v>0.81698564593301437</v>
      </c>
      <c r="F532" s="62">
        <v>296</v>
      </c>
      <c r="G532" s="43">
        <v>1</v>
      </c>
      <c r="H532" s="43">
        <v>19</v>
      </c>
      <c r="I532" s="43">
        <v>5</v>
      </c>
      <c r="J532" s="55">
        <v>336</v>
      </c>
      <c r="K532" s="6">
        <v>0</v>
      </c>
      <c r="L532" s="6">
        <v>0</v>
      </c>
      <c r="M532" s="43">
        <v>0</v>
      </c>
      <c r="N532" s="25">
        <v>0</v>
      </c>
      <c r="O532" s="43">
        <v>1</v>
      </c>
      <c r="P532" s="43">
        <v>0</v>
      </c>
      <c r="Q532" s="43">
        <v>0</v>
      </c>
      <c r="R532" s="43">
        <v>0</v>
      </c>
      <c r="S532" s="43">
        <v>0</v>
      </c>
      <c r="T532" s="43">
        <v>0</v>
      </c>
      <c r="U532" s="43">
        <v>0</v>
      </c>
      <c r="V532" s="43">
        <v>1</v>
      </c>
      <c r="W532" s="43">
        <v>5</v>
      </c>
      <c r="X532" s="43">
        <v>0</v>
      </c>
      <c r="Y532" s="43">
        <v>0</v>
      </c>
      <c r="Z532" s="43">
        <v>0</v>
      </c>
      <c r="AA532" s="44">
        <v>0</v>
      </c>
      <c r="AB532" s="44">
        <v>0</v>
      </c>
      <c r="AC532" s="44">
        <v>3</v>
      </c>
      <c r="AD532" s="44">
        <v>5</v>
      </c>
      <c r="AE532" s="44">
        <v>447</v>
      </c>
      <c r="AF532" s="44">
        <v>2</v>
      </c>
      <c r="AG532" s="44">
        <v>0</v>
      </c>
      <c r="AH532" s="44">
        <v>198</v>
      </c>
      <c r="AI532" s="32"/>
      <c r="AJ532" s="32"/>
      <c r="AK532" s="32"/>
      <c r="AL532" s="32"/>
      <c r="AM532" s="44">
        <v>19</v>
      </c>
      <c r="AN532" s="44">
        <v>195</v>
      </c>
      <c r="AO532" s="44">
        <v>427</v>
      </c>
      <c r="AP532" s="44">
        <v>223</v>
      </c>
      <c r="AQ532" s="44">
        <v>381</v>
      </c>
      <c r="AR532" s="50"/>
      <c r="AS532" s="50"/>
      <c r="AT532" s="43">
        <v>424</v>
      </c>
      <c r="AU532" s="43">
        <v>212</v>
      </c>
      <c r="AV532" s="50"/>
      <c r="AW532" s="50"/>
      <c r="AX532" s="50"/>
      <c r="AY532" s="50"/>
      <c r="AZ532" s="50"/>
      <c r="BA532" s="50"/>
      <c r="BB532" s="50"/>
      <c r="BC532" s="50"/>
      <c r="BD532" s="50"/>
      <c r="BE532" s="43">
        <v>343</v>
      </c>
      <c r="BF532" s="43">
        <v>287</v>
      </c>
      <c r="BG532" s="43">
        <v>396</v>
      </c>
      <c r="BH532" s="43">
        <v>247</v>
      </c>
      <c r="BI532" s="43">
        <v>431</v>
      </c>
      <c r="BJ532" s="43">
        <v>197</v>
      </c>
      <c r="BK532" s="43">
        <v>266</v>
      </c>
      <c r="BL532" s="43">
        <v>358</v>
      </c>
      <c r="BM532" s="43">
        <v>338</v>
      </c>
      <c r="BN532" s="43">
        <v>292</v>
      </c>
      <c r="BO532" s="43">
        <v>226</v>
      </c>
      <c r="BP532" s="43">
        <v>391</v>
      </c>
      <c r="BQ532" s="43">
        <v>424</v>
      </c>
      <c r="BR532" s="43">
        <v>194</v>
      </c>
      <c r="BS532" s="43">
        <v>451</v>
      </c>
      <c r="BT532" s="43">
        <v>274</v>
      </c>
      <c r="BU532" s="43">
        <v>340</v>
      </c>
      <c r="BV532" s="43">
        <v>435</v>
      </c>
      <c r="BW532" s="43">
        <v>318</v>
      </c>
      <c r="BX532" s="43">
        <v>198</v>
      </c>
      <c r="BY532" s="43">
        <v>357</v>
      </c>
      <c r="BZ532" s="43">
        <v>197</v>
      </c>
      <c r="CA532" s="43">
        <v>399</v>
      </c>
      <c r="CB532" s="43">
        <v>303</v>
      </c>
      <c r="CC532" s="43">
        <v>201</v>
      </c>
      <c r="CD532" s="43">
        <v>374</v>
      </c>
      <c r="CE532" s="43">
        <v>212</v>
      </c>
      <c r="CF532" s="43">
        <v>312</v>
      </c>
      <c r="CG532" s="43">
        <v>338</v>
      </c>
      <c r="CH532" s="43">
        <v>147</v>
      </c>
      <c r="CI532" s="43">
        <v>129</v>
      </c>
      <c r="CJ532" s="43">
        <v>375</v>
      </c>
      <c r="CK532" s="43">
        <v>324</v>
      </c>
      <c r="CL532" s="43">
        <v>164</v>
      </c>
      <c r="CM532" s="43">
        <v>388</v>
      </c>
      <c r="CN532" s="43">
        <v>389</v>
      </c>
      <c r="CO532" s="43">
        <v>142</v>
      </c>
      <c r="CP532" s="43">
        <v>363</v>
      </c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44"/>
      <c r="GA532" s="53"/>
      <c r="GB532" s="53"/>
      <c r="GC532" s="53"/>
      <c r="GD532" s="53"/>
      <c r="GE532" s="53"/>
      <c r="GF532" s="53"/>
      <c r="GG532" s="53"/>
      <c r="GH532" s="53"/>
      <c r="GI532" s="53"/>
      <c r="GJ532" s="53"/>
      <c r="GK532" s="53"/>
      <c r="GL532" s="53"/>
      <c r="GM532" s="53"/>
      <c r="GN532" s="53"/>
      <c r="GO532" s="43">
        <v>499</v>
      </c>
      <c r="GP532" s="43">
        <v>156</v>
      </c>
      <c r="GQ532" s="43">
        <v>499</v>
      </c>
      <c r="GR532" s="43">
        <v>149</v>
      </c>
    </row>
    <row r="533" spans="1:200">
      <c r="A533" s="8">
        <v>8907</v>
      </c>
      <c r="B533" s="1" t="s">
        <v>661</v>
      </c>
      <c r="C533" s="33">
        <v>1117</v>
      </c>
      <c r="D533" s="34">
        <v>902</v>
      </c>
      <c r="E533" s="19">
        <f t="shared" si="8"/>
        <v>0.80752014324082366</v>
      </c>
      <c r="F533" s="62">
        <v>388</v>
      </c>
      <c r="G533" s="43">
        <v>2</v>
      </c>
      <c r="H533" s="43">
        <v>30</v>
      </c>
      <c r="I533" s="43">
        <v>3</v>
      </c>
      <c r="J533" s="55">
        <v>446</v>
      </c>
      <c r="K533" s="6">
        <v>0</v>
      </c>
      <c r="L533" s="6">
        <v>0</v>
      </c>
      <c r="M533" s="43">
        <v>0</v>
      </c>
      <c r="N533" s="25">
        <v>0</v>
      </c>
      <c r="O533" s="43">
        <v>0</v>
      </c>
      <c r="P533" s="43">
        <v>0</v>
      </c>
      <c r="Q533" s="43">
        <v>0</v>
      </c>
      <c r="R533" s="43">
        <v>0</v>
      </c>
      <c r="S533" s="43">
        <v>0</v>
      </c>
      <c r="T533" s="43">
        <v>0</v>
      </c>
      <c r="U533" s="43">
        <v>0</v>
      </c>
      <c r="V533" s="43">
        <v>0</v>
      </c>
      <c r="W533" s="43">
        <v>2</v>
      </c>
      <c r="X533" s="43">
        <v>0</v>
      </c>
      <c r="Y533" s="43">
        <v>0</v>
      </c>
      <c r="Z533" s="43">
        <v>0</v>
      </c>
      <c r="AA533" s="44">
        <v>0</v>
      </c>
      <c r="AB533" s="44">
        <v>0</v>
      </c>
      <c r="AC533" s="44">
        <v>4</v>
      </c>
      <c r="AD533" s="44">
        <v>9</v>
      </c>
      <c r="AE533" s="44">
        <v>588</v>
      </c>
      <c r="AF533" s="44">
        <v>4</v>
      </c>
      <c r="AG533" s="44">
        <v>0</v>
      </c>
      <c r="AH533" s="44">
        <v>272</v>
      </c>
      <c r="AI533" s="32"/>
      <c r="AJ533" s="32"/>
      <c r="AK533" s="32"/>
      <c r="AL533" s="32"/>
      <c r="AM533" s="44">
        <v>24</v>
      </c>
      <c r="AN533" s="44">
        <v>266</v>
      </c>
      <c r="AO533" s="44">
        <v>560</v>
      </c>
      <c r="AP533" s="44">
        <v>321</v>
      </c>
      <c r="AQ533" s="44">
        <v>519</v>
      </c>
      <c r="AR533" s="50"/>
      <c r="AS533" s="50"/>
      <c r="AT533" s="43">
        <v>554</v>
      </c>
      <c r="AU533" s="43">
        <v>296</v>
      </c>
      <c r="AV533" s="50"/>
      <c r="AW533" s="50"/>
      <c r="AX533" s="50"/>
      <c r="AY533" s="50"/>
      <c r="AZ533" s="50"/>
      <c r="BA533" s="50"/>
      <c r="BB533" s="50"/>
      <c r="BC533" s="50"/>
      <c r="BD533" s="50"/>
      <c r="BE533" s="43">
        <v>451</v>
      </c>
      <c r="BF533" s="43">
        <v>394</v>
      </c>
      <c r="BG533" s="43">
        <v>540</v>
      </c>
      <c r="BH533" s="43">
        <v>322</v>
      </c>
      <c r="BI533" s="43">
        <v>575</v>
      </c>
      <c r="BJ533" s="43">
        <v>271</v>
      </c>
      <c r="BK533" s="43">
        <v>375</v>
      </c>
      <c r="BL533" s="43">
        <v>476</v>
      </c>
      <c r="BM533" s="43">
        <v>432</v>
      </c>
      <c r="BN533" s="43">
        <v>412</v>
      </c>
      <c r="BO533" s="43">
        <v>317</v>
      </c>
      <c r="BP533" s="43">
        <v>519</v>
      </c>
      <c r="BQ533" s="43">
        <v>579</v>
      </c>
      <c r="BR533" s="43">
        <v>258</v>
      </c>
      <c r="BS533" s="43">
        <v>616</v>
      </c>
      <c r="BT533" s="43">
        <v>344</v>
      </c>
      <c r="BU533" s="43">
        <v>480</v>
      </c>
      <c r="BV533" s="43">
        <v>625</v>
      </c>
      <c r="BW533" s="43">
        <v>457</v>
      </c>
      <c r="BX533" s="43">
        <v>251</v>
      </c>
      <c r="BY533" s="43">
        <v>470</v>
      </c>
      <c r="BZ533" s="43">
        <v>286</v>
      </c>
      <c r="CA533" s="43">
        <v>562</v>
      </c>
      <c r="CB533" s="43">
        <v>408</v>
      </c>
      <c r="CC533" s="43">
        <v>277</v>
      </c>
      <c r="CD533" s="43">
        <v>531</v>
      </c>
      <c r="CE533" s="43">
        <v>268</v>
      </c>
      <c r="CF533" s="43">
        <v>443</v>
      </c>
      <c r="CG533" s="43">
        <v>448</v>
      </c>
      <c r="CH533" s="43">
        <v>231</v>
      </c>
      <c r="CI533" s="43">
        <v>161</v>
      </c>
      <c r="CJ533" s="43">
        <v>537</v>
      </c>
      <c r="CK533" s="43">
        <v>428</v>
      </c>
      <c r="CL533" s="43">
        <v>261</v>
      </c>
      <c r="CM533" s="43">
        <v>531</v>
      </c>
      <c r="CN533" s="43">
        <v>525</v>
      </c>
      <c r="CO533" s="43">
        <v>213</v>
      </c>
      <c r="CP533" s="43">
        <v>472</v>
      </c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44"/>
      <c r="GA533" s="43">
        <v>19</v>
      </c>
      <c r="GB533" s="43">
        <v>9</v>
      </c>
      <c r="GC533" s="53"/>
      <c r="GD533" s="53"/>
      <c r="GE533" s="53"/>
      <c r="GF533" s="53"/>
      <c r="GG533" s="53"/>
      <c r="GH533" s="53"/>
      <c r="GI533" s="53"/>
      <c r="GJ533" s="53"/>
      <c r="GK533" s="53"/>
      <c r="GL533" s="53"/>
      <c r="GM533" s="53"/>
      <c r="GN533" s="53"/>
      <c r="GO533" s="43">
        <v>645</v>
      </c>
      <c r="GP533" s="43">
        <v>209</v>
      </c>
      <c r="GQ533" s="43">
        <v>645</v>
      </c>
      <c r="GR533" s="43">
        <v>204</v>
      </c>
    </row>
    <row r="534" spans="1:200">
      <c r="A534" s="8">
        <v>8908</v>
      </c>
      <c r="B534" s="1" t="s">
        <v>662</v>
      </c>
      <c r="C534" s="33">
        <v>895</v>
      </c>
      <c r="D534" s="34">
        <v>693</v>
      </c>
      <c r="E534" s="19">
        <f t="shared" si="8"/>
        <v>0.77430167597765365</v>
      </c>
      <c r="F534" s="62">
        <v>357</v>
      </c>
      <c r="G534" s="43">
        <v>4</v>
      </c>
      <c r="H534" s="43">
        <v>31</v>
      </c>
      <c r="I534" s="43">
        <v>7</v>
      </c>
      <c r="J534" s="55">
        <v>269</v>
      </c>
      <c r="K534" s="6">
        <v>0</v>
      </c>
      <c r="L534" s="6">
        <v>0</v>
      </c>
      <c r="M534" s="43">
        <v>0</v>
      </c>
      <c r="N534" s="25">
        <v>0</v>
      </c>
      <c r="O534" s="43">
        <v>0</v>
      </c>
      <c r="P534" s="43">
        <v>0</v>
      </c>
      <c r="Q534" s="43">
        <v>0</v>
      </c>
      <c r="R534" s="43">
        <v>0</v>
      </c>
      <c r="S534" s="43">
        <v>0</v>
      </c>
      <c r="T534" s="43">
        <v>0</v>
      </c>
      <c r="U534" s="43">
        <v>0</v>
      </c>
      <c r="V534" s="43">
        <v>1</v>
      </c>
      <c r="W534" s="43">
        <v>5</v>
      </c>
      <c r="X534" s="43">
        <v>0</v>
      </c>
      <c r="Y534" s="43">
        <v>0</v>
      </c>
      <c r="Z534" s="43">
        <v>0</v>
      </c>
      <c r="AA534" s="44">
        <v>0</v>
      </c>
      <c r="AB534" s="44">
        <v>0</v>
      </c>
      <c r="AC534" s="44">
        <v>9</v>
      </c>
      <c r="AD534" s="44">
        <v>15</v>
      </c>
      <c r="AE534" s="44">
        <v>366</v>
      </c>
      <c r="AF534" s="44">
        <v>8</v>
      </c>
      <c r="AG534" s="44">
        <v>0</v>
      </c>
      <c r="AH534" s="44">
        <v>271</v>
      </c>
      <c r="AI534" s="32"/>
      <c r="AJ534" s="32"/>
      <c r="AK534" s="32"/>
      <c r="AL534" s="32"/>
      <c r="AM534" s="44">
        <v>27</v>
      </c>
      <c r="AN534" s="44">
        <v>261</v>
      </c>
      <c r="AO534" s="44">
        <v>356</v>
      </c>
      <c r="AP534" s="44">
        <v>310</v>
      </c>
      <c r="AQ534" s="44">
        <v>317</v>
      </c>
      <c r="AR534" s="50"/>
      <c r="AS534" s="50"/>
      <c r="AT534" s="43">
        <v>345</v>
      </c>
      <c r="AU534" s="43">
        <v>297</v>
      </c>
      <c r="AV534" s="50"/>
      <c r="AW534" s="50"/>
      <c r="AX534" s="50"/>
      <c r="AY534" s="50"/>
      <c r="AZ534" s="50"/>
      <c r="BA534" s="50"/>
      <c r="BB534" s="50"/>
      <c r="BC534" s="50"/>
      <c r="BD534" s="50"/>
      <c r="BE534" s="43">
        <v>268</v>
      </c>
      <c r="BF534" s="43">
        <v>379</v>
      </c>
      <c r="BG534" s="43">
        <v>336</v>
      </c>
      <c r="BH534" s="43">
        <v>316</v>
      </c>
      <c r="BI534" s="43">
        <v>369</v>
      </c>
      <c r="BJ534" s="43">
        <v>269</v>
      </c>
      <c r="BK534" s="43">
        <v>333</v>
      </c>
      <c r="BL534" s="43">
        <v>315</v>
      </c>
      <c r="BM534" s="43">
        <v>264</v>
      </c>
      <c r="BN534" s="43">
        <v>369</v>
      </c>
      <c r="BO534" s="43">
        <v>311</v>
      </c>
      <c r="BP534" s="43">
        <v>317</v>
      </c>
      <c r="BQ534" s="43">
        <v>366</v>
      </c>
      <c r="BR534" s="43">
        <v>265</v>
      </c>
      <c r="BS534" s="43">
        <v>418</v>
      </c>
      <c r="BT534" s="43">
        <v>230</v>
      </c>
      <c r="BU534" s="43">
        <v>399</v>
      </c>
      <c r="BV534" s="43">
        <v>418</v>
      </c>
      <c r="BW534" s="43">
        <v>283</v>
      </c>
      <c r="BX534" s="43">
        <v>233</v>
      </c>
      <c r="BY534" s="43">
        <v>322</v>
      </c>
      <c r="BZ534" s="43">
        <v>237</v>
      </c>
      <c r="CA534" s="43">
        <v>366</v>
      </c>
      <c r="CB534" s="43">
        <v>233</v>
      </c>
      <c r="CC534" s="43">
        <v>264</v>
      </c>
      <c r="CD534" s="43">
        <v>381</v>
      </c>
      <c r="CE534" s="43">
        <v>261</v>
      </c>
      <c r="CF534" s="43">
        <v>259</v>
      </c>
      <c r="CG534" s="43">
        <v>302</v>
      </c>
      <c r="CH534" s="43">
        <v>188</v>
      </c>
      <c r="CI534" s="43">
        <v>153</v>
      </c>
      <c r="CJ534" s="43">
        <v>350</v>
      </c>
      <c r="CK534" s="43">
        <v>292</v>
      </c>
      <c r="CL534" s="43">
        <v>207</v>
      </c>
      <c r="CM534" s="43">
        <v>342</v>
      </c>
      <c r="CN534" s="43">
        <v>353</v>
      </c>
      <c r="CO534" s="43">
        <v>177</v>
      </c>
      <c r="CP534" s="43">
        <v>315</v>
      </c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6"/>
      <c r="FY534" s="43">
        <v>188</v>
      </c>
      <c r="FZ534" s="43">
        <v>175</v>
      </c>
      <c r="GA534" s="53"/>
      <c r="GB534" s="53"/>
      <c r="GC534" s="53"/>
      <c r="GD534" s="53"/>
      <c r="GE534" s="53"/>
      <c r="GF534" s="53"/>
      <c r="GG534" s="53"/>
      <c r="GH534" s="53"/>
      <c r="GI534" s="53"/>
      <c r="GJ534" s="53"/>
      <c r="GK534" s="53"/>
      <c r="GL534" s="53"/>
      <c r="GM534" s="53"/>
      <c r="GN534" s="53"/>
      <c r="GO534" s="43">
        <v>496</v>
      </c>
      <c r="GP534" s="43">
        <v>154</v>
      </c>
      <c r="GQ534" s="43">
        <v>506</v>
      </c>
      <c r="GR534" s="43">
        <v>143</v>
      </c>
    </row>
    <row r="535" spans="1:200">
      <c r="A535" s="8">
        <v>8909</v>
      </c>
      <c r="B535" s="1" t="s">
        <v>663</v>
      </c>
      <c r="C535" s="33">
        <v>1221</v>
      </c>
      <c r="D535" s="34">
        <v>990</v>
      </c>
      <c r="E535" s="19">
        <f t="shared" si="8"/>
        <v>0.81081081081081086</v>
      </c>
      <c r="F535" s="62">
        <v>364</v>
      </c>
      <c r="G535" s="43">
        <v>1</v>
      </c>
      <c r="H535" s="43">
        <v>17</v>
      </c>
      <c r="I535" s="43">
        <v>1</v>
      </c>
      <c r="J535" s="55">
        <v>583</v>
      </c>
      <c r="K535" s="6">
        <v>0</v>
      </c>
      <c r="L535" s="6">
        <v>0</v>
      </c>
      <c r="M535" s="43">
        <v>0</v>
      </c>
      <c r="N535" s="25">
        <v>0</v>
      </c>
      <c r="O535" s="43">
        <v>0</v>
      </c>
      <c r="P535" s="43">
        <v>0</v>
      </c>
      <c r="Q535" s="43">
        <v>0</v>
      </c>
      <c r="R535" s="43">
        <v>0</v>
      </c>
      <c r="S535" s="43">
        <v>0</v>
      </c>
      <c r="T535" s="43">
        <v>0</v>
      </c>
      <c r="U535" s="43">
        <v>0</v>
      </c>
      <c r="V535" s="43">
        <v>0</v>
      </c>
      <c r="W535" s="43">
        <v>3</v>
      </c>
      <c r="X535" s="43">
        <v>0</v>
      </c>
      <c r="Y535" s="43">
        <v>0</v>
      </c>
      <c r="Z535" s="43">
        <v>0</v>
      </c>
      <c r="AA535" s="44">
        <v>0</v>
      </c>
      <c r="AB535" s="44">
        <v>0</v>
      </c>
      <c r="AC535" s="44">
        <v>7</v>
      </c>
      <c r="AD535" s="44">
        <v>7</v>
      </c>
      <c r="AE535" s="44">
        <v>704</v>
      </c>
      <c r="AF535" s="44">
        <v>7</v>
      </c>
      <c r="AG535" s="44">
        <v>0</v>
      </c>
      <c r="AH535" s="44">
        <v>238</v>
      </c>
      <c r="AI535" s="44">
        <v>678</v>
      </c>
      <c r="AJ535" s="44">
        <v>0</v>
      </c>
      <c r="AK535" s="44">
        <v>0</v>
      </c>
      <c r="AL535" s="44">
        <v>283</v>
      </c>
      <c r="AM535" s="48"/>
      <c r="AN535" s="48"/>
      <c r="AO535" s="48"/>
      <c r="AP535" s="44">
        <v>288</v>
      </c>
      <c r="AQ535" s="44">
        <v>635</v>
      </c>
      <c r="AR535" s="50"/>
      <c r="AS535" s="50"/>
      <c r="AT535" s="43">
        <v>666</v>
      </c>
      <c r="AU535" s="43">
        <v>264</v>
      </c>
      <c r="AV535" s="50"/>
      <c r="AW535" s="50"/>
      <c r="AX535" s="50"/>
      <c r="AY535" s="50"/>
      <c r="AZ535" s="50"/>
      <c r="BA535" s="50"/>
      <c r="BB535" s="50"/>
      <c r="BC535" s="50"/>
      <c r="BD535" s="50"/>
      <c r="BE535" s="43">
        <v>558</v>
      </c>
      <c r="BF535" s="43">
        <v>365</v>
      </c>
      <c r="BG535" s="43">
        <v>637</v>
      </c>
      <c r="BH535" s="43">
        <v>294</v>
      </c>
      <c r="BI535" s="43">
        <v>679</v>
      </c>
      <c r="BJ535" s="43">
        <v>254</v>
      </c>
      <c r="BK535" s="43">
        <v>323</v>
      </c>
      <c r="BL535" s="43">
        <v>613</v>
      </c>
      <c r="BM535" s="43">
        <v>562</v>
      </c>
      <c r="BN535" s="43">
        <v>354</v>
      </c>
      <c r="BO535" s="43">
        <v>262</v>
      </c>
      <c r="BP535" s="43">
        <v>647</v>
      </c>
      <c r="BQ535" s="43">
        <v>706</v>
      </c>
      <c r="BR535" s="43">
        <v>219</v>
      </c>
      <c r="BS535" s="43">
        <v>744</v>
      </c>
      <c r="BT535" s="43">
        <v>479</v>
      </c>
      <c r="BU535" s="43">
        <v>426</v>
      </c>
      <c r="BV535" s="43">
        <v>703</v>
      </c>
      <c r="BW535" s="43">
        <v>485</v>
      </c>
      <c r="BX535" s="43">
        <v>280</v>
      </c>
      <c r="BY535" s="43">
        <v>577</v>
      </c>
      <c r="BZ535" s="43">
        <v>254</v>
      </c>
      <c r="CA535" s="43">
        <v>649</v>
      </c>
      <c r="CB535" s="43">
        <v>473</v>
      </c>
      <c r="CC535" s="43">
        <v>287</v>
      </c>
      <c r="CD535" s="43">
        <v>602</v>
      </c>
      <c r="CE535" s="43">
        <v>278</v>
      </c>
      <c r="CF535" s="43">
        <v>509</v>
      </c>
      <c r="CG535" s="43">
        <v>499</v>
      </c>
      <c r="CH535" s="43">
        <v>249</v>
      </c>
      <c r="CI535" s="43">
        <v>167</v>
      </c>
      <c r="CJ535" s="43">
        <v>588</v>
      </c>
      <c r="CK535" s="43">
        <v>473</v>
      </c>
      <c r="CL535" s="43">
        <v>287</v>
      </c>
      <c r="CM535" s="43">
        <v>609</v>
      </c>
      <c r="CN535" s="43">
        <v>615</v>
      </c>
      <c r="CO535" s="43">
        <v>225</v>
      </c>
      <c r="CP535" s="43">
        <v>531</v>
      </c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44"/>
      <c r="GA535" s="53"/>
      <c r="GB535" s="53"/>
      <c r="GC535" s="53"/>
      <c r="GD535" s="53"/>
      <c r="GE535" s="53"/>
      <c r="GF535" s="53"/>
      <c r="GG535" s="53"/>
      <c r="GH535" s="53"/>
      <c r="GI535" s="53"/>
      <c r="GJ535" s="53"/>
      <c r="GK535" s="53"/>
      <c r="GL535" s="53"/>
      <c r="GM535" s="53"/>
      <c r="GN535" s="53"/>
      <c r="GO535" s="43">
        <v>666</v>
      </c>
      <c r="GP535" s="43">
        <v>267</v>
      </c>
      <c r="GQ535" s="43">
        <v>646</v>
      </c>
      <c r="GR535" s="43">
        <v>279</v>
      </c>
    </row>
    <row r="536" spans="1:200">
      <c r="A536" s="8">
        <v>8910</v>
      </c>
      <c r="B536" s="1" t="s">
        <v>664</v>
      </c>
      <c r="C536" s="33">
        <v>846</v>
      </c>
      <c r="D536" s="34">
        <v>606</v>
      </c>
      <c r="E536" s="19">
        <f t="shared" si="8"/>
        <v>0.71631205673758869</v>
      </c>
      <c r="F536" s="62">
        <v>317</v>
      </c>
      <c r="G536" s="43">
        <v>2</v>
      </c>
      <c r="H536" s="43">
        <v>23</v>
      </c>
      <c r="I536" s="43">
        <v>9</v>
      </c>
      <c r="J536" s="55">
        <v>241</v>
      </c>
      <c r="K536" s="6">
        <v>0</v>
      </c>
      <c r="L536" s="6">
        <v>0</v>
      </c>
      <c r="M536" s="43">
        <v>0</v>
      </c>
      <c r="N536" s="25">
        <v>0</v>
      </c>
      <c r="O536" s="43">
        <v>0</v>
      </c>
      <c r="P536" s="43">
        <v>0</v>
      </c>
      <c r="Q536" s="43">
        <v>0</v>
      </c>
      <c r="R536" s="43">
        <v>0</v>
      </c>
      <c r="S536" s="43">
        <v>0</v>
      </c>
      <c r="T536" s="43">
        <v>0</v>
      </c>
      <c r="U536" s="43">
        <v>0</v>
      </c>
      <c r="V536" s="43">
        <v>0</v>
      </c>
      <c r="W536" s="43">
        <v>1</v>
      </c>
      <c r="X536" s="43">
        <v>0</v>
      </c>
      <c r="Y536" s="43">
        <v>0</v>
      </c>
      <c r="Z536" s="43">
        <v>0</v>
      </c>
      <c r="AA536" s="44">
        <v>0</v>
      </c>
      <c r="AB536" s="44">
        <v>0</v>
      </c>
      <c r="AC536" s="44">
        <v>15</v>
      </c>
      <c r="AD536" s="44">
        <v>11</v>
      </c>
      <c r="AE536" s="44">
        <v>300</v>
      </c>
      <c r="AF536" s="44">
        <v>10</v>
      </c>
      <c r="AG536" s="44">
        <v>0</v>
      </c>
      <c r="AH536" s="44">
        <v>251</v>
      </c>
      <c r="AI536" s="44">
        <v>286</v>
      </c>
      <c r="AJ536" s="44">
        <v>0</v>
      </c>
      <c r="AK536" s="44">
        <v>0</v>
      </c>
      <c r="AL536" s="44">
        <v>298</v>
      </c>
      <c r="AM536" s="48"/>
      <c r="AN536" s="48"/>
      <c r="AO536" s="48"/>
      <c r="AP536" s="44">
        <v>297</v>
      </c>
      <c r="AQ536" s="44">
        <v>257</v>
      </c>
      <c r="AR536" s="50"/>
      <c r="AS536" s="50"/>
      <c r="AT536" s="43">
        <v>287</v>
      </c>
      <c r="AU536" s="43">
        <v>280</v>
      </c>
      <c r="AV536" s="50"/>
      <c r="AW536" s="50"/>
      <c r="AX536" s="50"/>
      <c r="AY536" s="50"/>
      <c r="AZ536" s="50"/>
      <c r="BA536" s="50"/>
      <c r="BB536" s="50"/>
      <c r="BC536" s="50"/>
      <c r="BD536" s="50"/>
      <c r="BE536" s="43">
        <v>238</v>
      </c>
      <c r="BF536" s="43">
        <v>316</v>
      </c>
      <c r="BG536" s="43">
        <v>277</v>
      </c>
      <c r="BH536" s="43">
        <v>289</v>
      </c>
      <c r="BI536" s="43">
        <v>305</v>
      </c>
      <c r="BJ536" s="43">
        <v>248</v>
      </c>
      <c r="BK536" s="43">
        <v>298</v>
      </c>
      <c r="BL536" s="43">
        <v>260</v>
      </c>
      <c r="BM536" s="43">
        <v>230</v>
      </c>
      <c r="BN536" s="43">
        <v>326</v>
      </c>
      <c r="BO536" s="43">
        <v>286</v>
      </c>
      <c r="BP536" s="43">
        <v>265</v>
      </c>
      <c r="BQ536" s="43">
        <v>288</v>
      </c>
      <c r="BR536" s="43">
        <v>261</v>
      </c>
      <c r="BS536" s="43">
        <v>376</v>
      </c>
      <c r="BT536" s="43">
        <v>223</v>
      </c>
      <c r="BU536" s="43">
        <v>315</v>
      </c>
      <c r="BV536" s="43">
        <v>395</v>
      </c>
      <c r="BW536" s="43">
        <v>225</v>
      </c>
      <c r="BX536" s="43">
        <v>212</v>
      </c>
      <c r="BY536" s="43">
        <v>262</v>
      </c>
      <c r="BZ536" s="43">
        <v>213</v>
      </c>
      <c r="CA536" s="43">
        <v>351</v>
      </c>
      <c r="CB536" s="43">
        <v>189</v>
      </c>
      <c r="CC536" s="43">
        <v>235</v>
      </c>
      <c r="CD536" s="43">
        <v>358</v>
      </c>
      <c r="CE536" s="43">
        <v>253</v>
      </c>
      <c r="CF536" s="43">
        <v>186</v>
      </c>
      <c r="CG536" s="43">
        <v>226</v>
      </c>
      <c r="CH536" s="43">
        <v>188</v>
      </c>
      <c r="CI536" s="43">
        <v>142</v>
      </c>
      <c r="CJ536" s="43">
        <v>297</v>
      </c>
      <c r="CK536" s="43">
        <v>256</v>
      </c>
      <c r="CL536" s="43">
        <v>170</v>
      </c>
      <c r="CM536" s="43">
        <v>340</v>
      </c>
      <c r="CN536" s="43">
        <v>351</v>
      </c>
      <c r="CO536" s="43">
        <v>172</v>
      </c>
      <c r="CP536" s="43">
        <v>254</v>
      </c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44"/>
      <c r="GA536" s="53"/>
      <c r="GB536" s="53"/>
      <c r="GC536" s="53"/>
      <c r="GD536" s="53"/>
      <c r="GE536" s="53"/>
      <c r="GF536" s="53"/>
      <c r="GG536" s="53"/>
      <c r="GH536" s="53"/>
      <c r="GI536" s="43">
        <v>384</v>
      </c>
      <c r="GJ536" s="43">
        <v>184</v>
      </c>
      <c r="GK536" s="53"/>
      <c r="GL536" s="53"/>
      <c r="GM536" s="53"/>
      <c r="GN536" s="53"/>
      <c r="GO536" s="43">
        <v>439</v>
      </c>
      <c r="GP536" s="43">
        <v>133</v>
      </c>
      <c r="GQ536" s="43">
        <v>426</v>
      </c>
      <c r="GR536" s="43">
        <v>139</v>
      </c>
    </row>
    <row r="537" spans="1:200">
      <c r="A537" s="8">
        <v>8911</v>
      </c>
      <c r="B537" s="1" t="s">
        <v>665</v>
      </c>
      <c r="C537" s="33">
        <v>1215</v>
      </c>
      <c r="D537" s="34">
        <v>916</v>
      </c>
      <c r="E537" s="19">
        <f t="shared" si="8"/>
        <v>0.7539094650205761</v>
      </c>
      <c r="F537" s="62">
        <v>430</v>
      </c>
      <c r="G537" s="43">
        <v>2</v>
      </c>
      <c r="H537" s="43">
        <v>38</v>
      </c>
      <c r="I537" s="43">
        <v>3</v>
      </c>
      <c r="J537" s="55">
        <v>409</v>
      </c>
      <c r="K537" s="6">
        <v>0</v>
      </c>
      <c r="L537" s="6">
        <v>0</v>
      </c>
      <c r="M537" s="43">
        <v>2</v>
      </c>
      <c r="N537" s="25">
        <v>0</v>
      </c>
      <c r="O537" s="43">
        <v>0</v>
      </c>
      <c r="P537" s="43">
        <v>0</v>
      </c>
      <c r="Q537" s="43">
        <v>0</v>
      </c>
      <c r="R537" s="43">
        <v>0</v>
      </c>
      <c r="S537" s="43">
        <v>0</v>
      </c>
      <c r="T537" s="43">
        <v>0</v>
      </c>
      <c r="U537" s="43">
        <v>0</v>
      </c>
      <c r="V537" s="43">
        <v>0</v>
      </c>
      <c r="W537" s="43">
        <v>4</v>
      </c>
      <c r="X537" s="43">
        <v>0</v>
      </c>
      <c r="Y537" s="43">
        <v>0</v>
      </c>
      <c r="Z537" s="43">
        <v>0</v>
      </c>
      <c r="AA537" s="44">
        <v>0</v>
      </c>
      <c r="AB537" s="44">
        <v>0</v>
      </c>
      <c r="AC537" s="44">
        <v>5</v>
      </c>
      <c r="AD537" s="44">
        <v>11</v>
      </c>
      <c r="AE537" s="44">
        <v>544</v>
      </c>
      <c r="AF537" s="44">
        <v>8</v>
      </c>
      <c r="AG537" s="44">
        <v>0</v>
      </c>
      <c r="AH537" s="44">
        <v>314</v>
      </c>
      <c r="AI537" s="32"/>
      <c r="AJ537" s="32"/>
      <c r="AK537" s="32"/>
      <c r="AL537" s="32"/>
      <c r="AM537" s="44">
        <v>18</v>
      </c>
      <c r="AN537" s="44">
        <v>313</v>
      </c>
      <c r="AO537" s="44">
        <v>515</v>
      </c>
      <c r="AP537" s="44">
        <v>353</v>
      </c>
      <c r="AQ537" s="44">
        <v>468</v>
      </c>
      <c r="AR537" s="50"/>
      <c r="AS537" s="50"/>
      <c r="AT537" s="43">
        <v>516</v>
      </c>
      <c r="AU537" s="43">
        <v>319</v>
      </c>
      <c r="AV537" s="50"/>
      <c r="AW537" s="50"/>
      <c r="AX537" s="50"/>
      <c r="AY537" s="50"/>
      <c r="AZ537" s="50"/>
      <c r="BA537" s="50"/>
      <c r="BB537" s="50"/>
      <c r="BC537" s="50"/>
      <c r="BD537" s="50"/>
      <c r="BE537" s="43">
        <v>424</v>
      </c>
      <c r="BF537" s="43">
        <v>413</v>
      </c>
      <c r="BG537" s="43">
        <v>471</v>
      </c>
      <c r="BH537" s="43">
        <v>376</v>
      </c>
      <c r="BI537" s="43">
        <v>504</v>
      </c>
      <c r="BJ537" s="43">
        <v>325</v>
      </c>
      <c r="BK537" s="43">
        <v>394</v>
      </c>
      <c r="BL537" s="43">
        <v>447</v>
      </c>
      <c r="BM537" s="43">
        <v>386</v>
      </c>
      <c r="BN537" s="43">
        <v>443</v>
      </c>
      <c r="BO537" s="43">
        <v>348</v>
      </c>
      <c r="BP537" s="43">
        <v>466</v>
      </c>
      <c r="BQ537" s="43">
        <v>519</v>
      </c>
      <c r="BR537" s="43">
        <v>316</v>
      </c>
      <c r="BS537" s="43">
        <v>592</v>
      </c>
      <c r="BT537" s="43">
        <v>329</v>
      </c>
      <c r="BU537" s="43">
        <v>488</v>
      </c>
      <c r="BV537" s="43">
        <v>601</v>
      </c>
      <c r="BW537" s="43">
        <v>389</v>
      </c>
      <c r="BX537" s="43">
        <v>275</v>
      </c>
      <c r="BY537" s="43">
        <v>413</v>
      </c>
      <c r="BZ537" s="43">
        <v>297</v>
      </c>
      <c r="CA537" s="43">
        <v>530</v>
      </c>
      <c r="CB537" s="43">
        <v>341</v>
      </c>
      <c r="CC537" s="43">
        <v>311</v>
      </c>
      <c r="CD537" s="43">
        <v>513</v>
      </c>
      <c r="CE537" s="43">
        <v>302</v>
      </c>
      <c r="CF537" s="43">
        <v>378</v>
      </c>
      <c r="CG537" s="43">
        <v>400</v>
      </c>
      <c r="CH537" s="43">
        <v>231</v>
      </c>
      <c r="CI537" s="43">
        <v>148</v>
      </c>
      <c r="CJ537" s="43">
        <v>511</v>
      </c>
      <c r="CK537" s="43">
        <v>382</v>
      </c>
      <c r="CL537" s="43">
        <v>262</v>
      </c>
      <c r="CM537" s="43">
        <v>511</v>
      </c>
      <c r="CN537" s="43">
        <v>521</v>
      </c>
      <c r="CO537" s="43">
        <v>208</v>
      </c>
      <c r="CP537" s="43">
        <v>443</v>
      </c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44"/>
      <c r="GA537" s="43">
        <v>152</v>
      </c>
      <c r="GB537" s="43">
        <v>86</v>
      </c>
      <c r="GC537" s="53"/>
      <c r="GD537" s="53"/>
      <c r="GE537" s="53"/>
      <c r="GF537" s="53"/>
      <c r="GG537" s="53"/>
      <c r="GH537" s="53"/>
      <c r="GI537" s="53"/>
      <c r="GJ537" s="53"/>
      <c r="GK537" s="53"/>
      <c r="GL537" s="53"/>
      <c r="GM537" s="53"/>
      <c r="GN537" s="53"/>
      <c r="GO537" s="43">
        <v>632</v>
      </c>
      <c r="GP537" s="43">
        <v>219</v>
      </c>
      <c r="GQ537" s="43">
        <v>642</v>
      </c>
      <c r="GR537" s="43">
        <v>211</v>
      </c>
    </row>
    <row r="538" spans="1:200">
      <c r="A538" s="8">
        <v>8912</v>
      </c>
      <c r="B538" s="1" t="s">
        <v>666</v>
      </c>
      <c r="C538" s="33">
        <v>1061</v>
      </c>
      <c r="D538" s="34">
        <v>818</v>
      </c>
      <c r="E538" s="19">
        <f t="shared" si="8"/>
        <v>0.77097078228086713</v>
      </c>
      <c r="F538" s="62">
        <v>267</v>
      </c>
      <c r="G538" s="43">
        <v>2</v>
      </c>
      <c r="H538" s="43">
        <v>37</v>
      </c>
      <c r="I538" s="43">
        <v>9</v>
      </c>
      <c r="J538" s="55">
        <v>486</v>
      </c>
      <c r="K538" s="6">
        <v>0</v>
      </c>
      <c r="L538" s="6">
        <v>0</v>
      </c>
      <c r="M538" s="43">
        <v>0</v>
      </c>
      <c r="N538" s="25">
        <v>0</v>
      </c>
      <c r="O538" s="43">
        <v>0</v>
      </c>
      <c r="P538" s="43">
        <v>0</v>
      </c>
      <c r="Q538" s="43">
        <v>0</v>
      </c>
      <c r="R538" s="43">
        <v>0</v>
      </c>
      <c r="S538" s="43">
        <v>0</v>
      </c>
      <c r="T538" s="43">
        <v>0</v>
      </c>
      <c r="U538" s="43">
        <v>0</v>
      </c>
      <c r="V538" s="43">
        <v>0</v>
      </c>
      <c r="W538" s="43">
        <v>0</v>
      </c>
      <c r="X538" s="43">
        <v>0</v>
      </c>
      <c r="Y538" s="43">
        <v>0</v>
      </c>
      <c r="Z538" s="43">
        <v>0</v>
      </c>
      <c r="AA538" s="44">
        <v>0</v>
      </c>
      <c r="AB538" s="44">
        <v>0</v>
      </c>
      <c r="AC538" s="44">
        <v>17</v>
      </c>
      <c r="AD538" s="44">
        <v>19</v>
      </c>
      <c r="AE538" s="44">
        <v>553</v>
      </c>
      <c r="AF538" s="44">
        <v>11</v>
      </c>
      <c r="AG538" s="44">
        <v>0</v>
      </c>
      <c r="AH538" s="44">
        <v>198</v>
      </c>
      <c r="AI538" s="32"/>
      <c r="AJ538" s="32"/>
      <c r="AK538" s="32"/>
      <c r="AL538" s="32"/>
      <c r="AM538" s="44">
        <v>19</v>
      </c>
      <c r="AN538" s="44">
        <v>216</v>
      </c>
      <c r="AO538" s="44">
        <v>529</v>
      </c>
      <c r="AP538" s="44">
        <v>256</v>
      </c>
      <c r="AQ538" s="44">
        <v>490</v>
      </c>
      <c r="AR538" s="50"/>
      <c r="AS538" s="50"/>
      <c r="AT538" s="43">
        <v>546</v>
      </c>
      <c r="AU538" s="43">
        <v>218</v>
      </c>
      <c r="AV538" s="50"/>
      <c r="AW538" s="50"/>
      <c r="AX538" s="50"/>
      <c r="AY538" s="50"/>
      <c r="AZ538" s="50"/>
      <c r="BA538" s="50"/>
      <c r="BB538" s="50"/>
      <c r="BC538" s="50"/>
      <c r="BD538" s="50"/>
      <c r="BE538" s="43">
        <v>407</v>
      </c>
      <c r="BF538" s="43">
        <v>341</v>
      </c>
      <c r="BG538" s="43">
        <v>523</v>
      </c>
      <c r="BH538" s="43">
        <v>242</v>
      </c>
      <c r="BI538" s="43">
        <v>540</v>
      </c>
      <c r="BJ538" s="43">
        <v>220</v>
      </c>
      <c r="BK538" s="43">
        <v>278</v>
      </c>
      <c r="BL538" s="43">
        <v>482</v>
      </c>
      <c r="BM538" s="43">
        <v>397</v>
      </c>
      <c r="BN538" s="43">
        <v>357</v>
      </c>
      <c r="BO538" s="43">
        <v>236</v>
      </c>
      <c r="BP538" s="43">
        <v>509</v>
      </c>
      <c r="BQ538" s="43">
        <v>549</v>
      </c>
      <c r="BR538" s="43">
        <v>201</v>
      </c>
      <c r="BS538" s="43">
        <v>599</v>
      </c>
      <c r="BT538" s="43">
        <v>390</v>
      </c>
      <c r="BU538" s="43">
        <v>356</v>
      </c>
      <c r="BV538" s="43">
        <v>555</v>
      </c>
      <c r="BW538" s="43">
        <v>387</v>
      </c>
      <c r="BX538" s="43">
        <v>237</v>
      </c>
      <c r="BY538" s="43">
        <v>488</v>
      </c>
      <c r="BZ538" s="43">
        <v>187</v>
      </c>
      <c r="CA538" s="43">
        <v>512</v>
      </c>
      <c r="CB538" s="43">
        <v>384</v>
      </c>
      <c r="CC538" s="43">
        <v>216</v>
      </c>
      <c r="CD538" s="43">
        <v>477</v>
      </c>
      <c r="CE538" s="43">
        <v>237</v>
      </c>
      <c r="CF538" s="43">
        <v>390</v>
      </c>
      <c r="CG538" s="43">
        <v>411</v>
      </c>
      <c r="CH538" s="43">
        <v>174</v>
      </c>
      <c r="CI538" s="43">
        <v>137</v>
      </c>
      <c r="CJ538" s="43">
        <v>475</v>
      </c>
      <c r="CK538" s="43">
        <v>400</v>
      </c>
      <c r="CL538" s="43">
        <v>217</v>
      </c>
      <c r="CM538" s="43">
        <v>489</v>
      </c>
      <c r="CN538" s="43">
        <v>489</v>
      </c>
      <c r="CO538" s="43">
        <v>198</v>
      </c>
      <c r="CP538" s="43">
        <v>405</v>
      </c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44"/>
      <c r="GA538" s="43">
        <v>504</v>
      </c>
      <c r="GB538" s="43">
        <v>286</v>
      </c>
      <c r="GC538" s="53"/>
      <c r="GD538" s="53"/>
      <c r="GE538" s="53"/>
      <c r="GF538" s="53"/>
      <c r="GG538" s="53"/>
      <c r="GH538" s="53"/>
      <c r="GI538" s="53"/>
      <c r="GJ538" s="53"/>
      <c r="GK538" s="53"/>
      <c r="GL538" s="53"/>
      <c r="GM538" s="53"/>
      <c r="GN538" s="53"/>
      <c r="GO538" s="43">
        <v>535</v>
      </c>
      <c r="GP538" s="43">
        <v>244</v>
      </c>
      <c r="GQ538" s="43">
        <v>531</v>
      </c>
      <c r="GR538" s="43">
        <v>241</v>
      </c>
    </row>
    <row r="539" spans="1:200">
      <c r="A539" s="8">
        <v>8913</v>
      </c>
      <c r="B539" s="1" t="s">
        <v>667</v>
      </c>
      <c r="C539" s="33">
        <v>684</v>
      </c>
      <c r="D539" s="34">
        <v>566</v>
      </c>
      <c r="E539" s="19">
        <f t="shared" si="8"/>
        <v>0.82748538011695905</v>
      </c>
      <c r="F539" s="62">
        <v>216</v>
      </c>
      <c r="G539" s="43">
        <v>1</v>
      </c>
      <c r="H539" s="43">
        <v>15</v>
      </c>
      <c r="I539" s="43">
        <v>3</v>
      </c>
      <c r="J539" s="55">
        <v>315</v>
      </c>
      <c r="K539" s="6">
        <v>0</v>
      </c>
      <c r="L539" s="6">
        <v>0</v>
      </c>
      <c r="M539" s="43">
        <v>0</v>
      </c>
      <c r="N539" s="25">
        <v>0</v>
      </c>
      <c r="O539" s="43">
        <v>0</v>
      </c>
      <c r="P539" s="43">
        <v>0</v>
      </c>
      <c r="Q539" s="43">
        <v>0</v>
      </c>
      <c r="R539" s="43">
        <v>0</v>
      </c>
      <c r="S539" s="43">
        <v>0</v>
      </c>
      <c r="T539" s="43">
        <v>0</v>
      </c>
      <c r="U539" s="43">
        <v>0</v>
      </c>
      <c r="V539" s="43">
        <v>0</v>
      </c>
      <c r="W539" s="43">
        <v>5</v>
      </c>
      <c r="X539" s="43">
        <v>0</v>
      </c>
      <c r="Y539" s="43">
        <v>0</v>
      </c>
      <c r="Z539" s="43">
        <v>0</v>
      </c>
      <c r="AA539" s="44">
        <v>0</v>
      </c>
      <c r="AB539" s="44">
        <v>0</v>
      </c>
      <c r="AC539" s="44">
        <v>3</v>
      </c>
      <c r="AD539" s="44">
        <v>3</v>
      </c>
      <c r="AE539" s="44">
        <v>414</v>
      </c>
      <c r="AF539" s="44">
        <v>2</v>
      </c>
      <c r="AG539" s="44">
        <v>0</v>
      </c>
      <c r="AH539" s="44">
        <v>119</v>
      </c>
      <c r="AI539" s="32"/>
      <c r="AJ539" s="32"/>
      <c r="AK539" s="32"/>
      <c r="AL539" s="32"/>
      <c r="AM539" s="44">
        <v>6</v>
      </c>
      <c r="AN539" s="44">
        <v>141</v>
      </c>
      <c r="AO539" s="44">
        <v>381</v>
      </c>
      <c r="AP539" s="44">
        <v>156</v>
      </c>
      <c r="AQ539" s="44">
        <v>356</v>
      </c>
      <c r="AR539" s="50"/>
      <c r="AS539" s="50"/>
      <c r="AT539" s="43">
        <v>376</v>
      </c>
      <c r="AU539" s="43">
        <v>144</v>
      </c>
      <c r="AV539" s="50"/>
      <c r="AW539" s="50"/>
      <c r="AX539" s="50"/>
      <c r="AY539" s="50"/>
      <c r="AZ539" s="50"/>
      <c r="BA539" s="50"/>
      <c r="BB539" s="50"/>
      <c r="BC539" s="50"/>
      <c r="BD539" s="50"/>
      <c r="BE539" s="43">
        <v>326</v>
      </c>
      <c r="BF539" s="43">
        <v>190</v>
      </c>
      <c r="BG539" s="43">
        <v>363</v>
      </c>
      <c r="BH539" s="43">
        <v>155</v>
      </c>
      <c r="BI539" s="43">
        <v>387</v>
      </c>
      <c r="BJ539" s="43">
        <v>128</v>
      </c>
      <c r="BK539" s="43">
        <v>181</v>
      </c>
      <c r="BL539" s="43">
        <v>339</v>
      </c>
      <c r="BM539" s="43">
        <v>291</v>
      </c>
      <c r="BN539" s="43">
        <v>220</v>
      </c>
      <c r="BO539" s="43">
        <v>152</v>
      </c>
      <c r="BP539" s="43">
        <v>353</v>
      </c>
      <c r="BQ539" s="43">
        <v>389</v>
      </c>
      <c r="BR539" s="43">
        <v>123</v>
      </c>
      <c r="BS539" s="43">
        <v>386</v>
      </c>
      <c r="BT539" s="43">
        <v>247</v>
      </c>
      <c r="BU539" s="43">
        <v>253</v>
      </c>
      <c r="BV539" s="43">
        <v>359</v>
      </c>
      <c r="BW539" s="43">
        <v>299</v>
      </c>
      <c r="BX539" s="43">
        <v>123</v>
      </c>
      <c r="BY539" s="43">
        <v>330</v>
      </c>
      <c r="BZ539" s="43">
        <v>129</v>
      </c>
      <c r="CA539" s="43">
        <v>335</v>
      </c>
      <c r="CB539" s="43">
        <v>265</v>
      </c>
      <c r="CC539" s="43">
        <v>136</v>
      </c>
      <c r="CD539" s="43">
        <v>298</v>
      </c>
      <c r="CE539" s="43">
        <v>132</v>
      </c>
      <c r="CF539" s="43">
        <v>282</v>
      </c>
      <c r="CG539" s="43">
        <v>298</v>
      </c>
      <c r="CH539" s="43">
        <v>106</v>
      </c>
      <c r="CI539" s="43">
        <v>62</v>
      </c>
      <c r="CJ539" s="43">
        <v>333</v>
      </c>
      <c r="CK539" s="43">
        <v>283</v>
      </c>
      <c r="CL539" s="43">
        <v>113</v>
      </c>
      <c r="CM539" s="43">
        <v>305</v>
      </c>
      <c r="CN539" s="43">
        <v>305</v>
      </c>
      <c r="CO539" s="43">
        <v>88</v>
      </c>
      <c r="CP539" s="43">
        <v>316</v>
      </c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44"/>
      <c r="GA539" s="53"/>
      <c r="GB539" s="53"/>
      <c r="GC539" s="53"/>
      <c r="GD539" s="53"/>
      <c r="GE539" s="53"/>
      <c r="GF539" s="53"/>
      <c r="GG539" s="53"/>
      <c r="GH539" s="53"/>
      <c r="GI539" s="43">
        <v>1</v>
      </c>
      <c r="GJ539" s="43">
        <v>2</v>
      </c>
      <c r="GK539" s="53"/>
      <c r="GL539" s="53"/>
      <c r="GM539" s="53"/>
      <c r="GN539" s="53"/>
      <c r="GO539" s="43">
        <v>395</v>
      </c>
      <c r="GP539" s="43">
        <v>125</v>
      </c>
      <c r="GQ539" s="43">
        <v>415</v>
      </c>
      <c r="GR539" s="43">
        <v>99</v>
      </c>
    </row>
    <row r="540" spans="1:200">
      <c r="A540" s="8">
        <v>8914</v>
      </c>
      <c r="B540" s="1" t="s">
        <v>668</v>
      </c>
      <c r="C540" s="33">
        <v>1221</v>
      </c>
      <c r="D540" s="34">
        <v>1024</v>
      </c>
      <c r="E540" s="19">
        <f t="shared" si="8"/>
        <v>0.83865683865683871</v>
      </c>
      <c r="F540" s="62">
        <v>374</v>
      </c>
      <c r="G540" s="43">
        <v>7</v>
      </c>
      <c r="H540" s="43">
        <v>37</v>
      </c>
      <c r="I540" s="43">
        <v>11</v>
      </c>
      <c r="J540" s="55">
        <v>566</v>
      </c>
      <c r="K540" s="6">
        <v>0</v>
      </c>
      <c r="L540" s="6">
        <v>0</v>
      </c>
      <c r="M540" s="43">
        <v>1</v>
      </c>
      <c r="N540" s="25">
        <v>0</v>
      </c>
      <c r="O540" s="43">
        <v>0</v>
      </c>
      <c r="P540" s="43">
        <v>0</v>
      </c>
      <c r="Q540" s="43">
        <v>0</v>
      </c>
      <c r="R540" s="43">
        <v>0</v>
      </c>
      <c r="S540" s="43">
        <v>0</v>
      </c>
      <c r="T540" s="43">
        <v>0</v>
      </c>
      <c r="U540" s="43">
        <v>0</v>
      </c>
      <c r="V540" s="43">
        <v>0</v>
      </c>
      <c r="W540" s="43">
        <v>8</v>
      </c>
      <c r="X540" s="43">
        <v>0</v>
      </c>
      <c r="Y540" s="43">
        <v>0</v>
      </c>
      <c r="Z540" s="43">
        <v>0</v>
      </c>
      <c r="AA540" s="44">
        <v>0</v>
      </c>
      <c r="AB540" s="44">
        <v>0</v>
      </c>
      <c r="AC540" s="44">
        <v>10</v>
      </c>
      <c r="AD540" s="44">
        <v>27</v>
      </c>
      <c r="AE540" s="44">
        <v>683</v>
      </c>
      <c r="AF540" s="44">
        <v>17</v>
      </c>
      <c r="AG540" s="44">
        <v>0</v>
      </c>
      <c r="AH540" s="44">
        <v>251</v>
      </c>
      <c r="AI540" s="32"/>
      <c r="AJ540" s="32"/>
      <c r="AK540" s="32"/>
      <c r="AL540" s="32"/>
      <c r="AM540" s="44">
        <v>16</v>
      </c>
      <c r="AN540" s="44">
        <v>281</v>
      </c>
      <c r="AO540" s="44">
        <v>672</v>
      </c>
      <c r="AP540" s="44">
        <v>327</v>
      </c>
      <c r="AQ540" s="44">
        <v>605</v>
      </c>
      <c r="AR540" s="50"/>
      <c r="AS540" s="50"/>
      <c r="AT540" s="43">
        <v>674</v>
      </c>
      <c r="AU540" s="43">
        <v>289</v>
      </c>
      <c r="AV540" s="50"/>
      <c r="AW540" s="50"/>
      <c r="AX540" s="50"/>
      <c r="AY540" s="50"/>
      <c r="AZ540" s="50"/>
      <c r="BA540" s="50"/>
      <c r="BB540" s="50"/>
      <c r="BC540" s="50"/>
      <c r="BD540" s="50"/>
      <c r="BE540" s="43">
        <v>506</v>
      </c>
      <c r="BF540" s="43">
        <v>442</v>
      </c>
      <c r="BG540" s="43">
        <v>629</v>
      </c>
      <c r="BH540" s="43">
        <v>337</v>
      </c>
      <c r="BI540" s="43">
        <v>663</v>
      </c>
      <c r="BJ540" s="43">
        <v>284</v>
      </c>
      <c r="BK540" s="43">
        <v>373</v>
      </c>
      <c r="BL540" s="43">
        <v>575</v>
      </c>
      <c r="BM540" s="43">
        <v>435</v>
      </c>
      <c r="BN540" s="43">
        <v>514</v>
      </c>
      <c r="BO540" s="43">
        <v>323</v>
      </c>
      <c r="BP540" s="43">
        <v>608</v>
      </c>
      <c r="BQ540" s="43">
        <v>680</v>
      </c>
      <c r="BR540" s="43">
        <v>262</v>
      </c>
      <c r="BS540" s="43">
        <v>716</v>
      </c>
      <c r="BT540" s="43">
        <v>446</v>
      </c>
      <c r="BU540" s="43">
        <v>476</v>
      </c>
      <c r="BV540" s="43">
        <v>703</v>
      </c>
      <c r="BW540" s="43">
        <v>503</v>
      </c>
      <c r="BX540" s="43">
        <v>289</v>
      </c>
      <c r="BY540" s="43">
        <v>607</v>
      </c>
      <c r="BZ540" s="43">
        <v>254</v>
      </c>
      <c r="CA540" s="43">
        <v>643</v>
      </c>
      <c r="CB540" s="43">
        <v>481</v>
      </c>
      <c r="CC540" s="43">
        <v>284</v>
      </c>
      <c r="CD540" s="43">
        <v>617</v>
      </c>
      <c r="CE540" s="43">
        <v>286</v>
      </c>
      <c r="CF540" s="43">
        <v>523</v>
      </c>
      <c r="CG540" s="43">
        <v>523</v>
      </c>
      <c r="CH540" s="43">
        <v>241</v>
      </c>
      <c r="CI540" s="43">
        <v>191</v>
      </c>
      <c r="CJ540" s="43">
        <v>607</v>
      </c>
      <c r="CK540" s="43">
        <v>493</v>
      </c>
      <c r="CL540" s="43">
        <v>286</v>
      </c>
      <c r="CM540" s="43">
        <v>617</v>
      </c>
      <c r="CN540" s="43">
        <v>622</v>
      </c>
      <c r="CO540" s="43">
        <v>277</v>
      </c>
      <c r="CP540" s="43">
        <v>506</v>
      </c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44"/>
      <c r="GA540" s="43">
        <v>625</v>
      </c>
      <c r="GB540" s="43">
        <v>369</v>
      </c>
      <c r="GC540" s="53"/>
      <c r="GD540" s="53"/>
      <c r="GE540" s="53"/>
      <c r="GF540" s="53"/>
      <c r="GG540" s="53"/>
      <c r="GH540" s="53"/>
      <c r="GI540" s="53"/>
      <c r="GJ540" s="53"/>
      <c r="GK540" s="53"/>
      <c r="GL540" s="53"/>
      <c r="GM540" s="53"/>
      <c r="GN540" s="53"/>
      <c r="GO540" s="43">
        <v>675</v>
      </c>
      <c r="GP540" s="43">
        <v>315</v>
      </c>
      <c r="GQ540" s="43">
        <v>675</v>
      </c>
      <c r="GR540" s="43">
        <v>306</v>
      </c>
    </row>
    <row r="541" spans="1:200">
      <c r="A541" s="7">
        <v>9101</v>
      </c>
      <c r="B541" s="1" t="s">
        <v>669</v>
      </c>
      <c r="C541" s="33">
        <v>310</v>
      </c>
      <c r="D541" s="34">
        <v>243</v>
      </c>
      <c r="E541" s="19">
        <f t="shared" si="8"/>
        <v>0.78387096774193543</v>
      </c>
      <c r="F541" s="62">
        <v>96</v>
      </c>
      <c r="G541" s="43">
        <v>0</v>
      </c>
      <c r="H541" s="43">
        <v>13</v>
      </c>
      <c r="I541" s="43">
        <v>4</v>
      </c>
      <c r="J541" s="55">
        <v>127</v>
      </c>
      <c r="K541" s="6">
        <v>0</v>
      </c>
      <c r="L541" s="6">
        <v>0</v>
      </c>
      <c r="M541" s="43">
        <v>0</v>
      </c>
      <c r="N541" s="25">
        <v>0</v>
      </c>
      <c r="O541" s="43">
        <v>0</v>
      </c>
      <c r="P541" s="43">
        <v>0</v>
      </c>
      <c r="Q541" s="43">
        <v>0</v>
      </c>
      <c r="R541" s="43">
        <v>0</v>
      </c>
      <c r="S541" s="43">
        <v>0</v>
      </c>
      <c r="T541" s="43">
        <v>0</v>
      </c>
      <c r="U541" s="43">
        <v>0</v>
      </c>
      <c r="V541" s="43">
        <v>0</v>
      </c>
      <c r="W541" s="43">
        <v>0</v>
      </c>
      <c r="X541" s="43">
        <v>0</v>
      </c>
      <c r="Y541" s="43">
        <v>0</v>
      </c>
      <c r="Z541" s="43">
        <v>0</v>
      </c>
      <c r="AA541" s="44">
        <v>0</v>
      </c>
      <c r="AB541" s="44">
        <v>0</v>
      </c>
      <c r="AC541" s="44">
        <v>4</v>
      </c>
      <c r="AD541" s="44">
        <v>10</v>
      </c>
      <c r="AE541" s="44">
        <v>144</v>
      </c>
      <c r="AF541" s="44">
        <v>8</v>
      </c>
      <c r="AG541" s="44">
        <v>0</v>
      </c>
      <c r="AH541" s="44">
        <v>72</v>
      </c>
      <c r="AI541" s="44">
        <v>134</v>
      </c>
      <c r="AJ541" s="44">
        <v>0</v>
      </c>
      <c r="AK541" s="44">
        <v>0</v>
      </c>
      <c r="AL541" s="44">
        <v>102</v>
      </c>
      <c r="AM541" s="48"/>
      <c r="AN541" s="48"/>
      <c r="AO541" s="48"/>
      <c r="AP541" s="48"/>
      <c r="AQ541" s="48"/>
      <c r="AR541" s="43">
        <v>126</v>
      </c>
      <c r="AS541" s="43">
        <v>97</v>
      </c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43">
        <v>100</v>
      </c>
      <c r="BF541" s="43">
        <v>127</v>
      </c>
      <c r="BG541" s="43">
        <v>132</v>
      </c>
      <c r="BH541" s="43">
        <v>99</v>
      </c>
      <c r="BI541" s="43">
        <v>136</v>
      </c>
      <c r="BJ541" s="43">
        <v>93</v>
      </c>
      <c r="BK541" s="43">
        <v>114</v>
      </c>
      <c r="BL541" s="43">
        <v>114</v>
      </c>
      <c r="BM541" s="43">
        <v>106</v>
      </c>
      <c r="BN541" s="43">
        <v>120</v>
      </c>
      <c r="BO541" s="43">
        <v>91</v>
      </c>
      <c r="BP541" s="43">
        <v>131</v>
      </c>
      <c r="BQ541" s="43">
        <v>137</v>
      </c>
      <c r="BR541" s="43">
        <v>87</v>
      </c>
      <c r="BS541" s="43">
        <v>142</v>
      </c>
      <c r="BT541" s="43">
        <v>89</v>
      </c>
      <c r="BU541" s="43">
        <v>129</v>
      </c>
      <c r="BV541" s="43">
        <v>141</v>
      </c>
      <c r="BW541" s="43">
        <v>101</v>
      </c>
      <c r="BX541" s="43">
        <v>86</v>
      </c>
      <c r="BY541" s="43">
        <v>126</v>
      </c>
      <c r="BZ541" s="43">
        <v>82</v>
      </c>
      <c r="CA541" s="43">
        <v>132</v>
      </c>
      <c r="CB541" s="43">
        <v>90</v>
      </c>
      <c r="CC541" s="43">
        <v>97</v>
      </c>
      <c r="CD541" s="43">
        <v>128</v>
      </c>
      <c r="CE541" s="43">
        <v>84</v>
      </c>
      <c r="CF541" s="43">
        <v>104</v>
      </c>
      <c r="CG541" s="43">
        <v>104</v>
      </c>
      <c r="CH541" s="43">
        <v>74</v>
      </c>
      <c r="CI541" s="43">
        <v>60</v>
      </c>
      <c r="CJ541" s="43">
        <v>119</v>
      </c>
      <c r="CK541" s="43">
        <v>112</v>
      </c>
      <c r="CL541" s="43">
        <v>73</v>
      </c>
      <c r="CM541" s="43">
        <v>126</v>
      </c>
      <c r="CN541" s="43">
        <v>131</v>
      </c>
      <c r="CO541" s="43">
        <v>71</v>
      </c>
      <c r="CP541" s="43">
        <v>114</v>
      </c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44"/>
      <c r="GA541" s="53"/>
      <c r="GB541" s="53"/>
      <c r="GC541" s="53"/>
      <c r="GD541" s="53"/>
      <c r="GE541" s="53"/>
      <c r="GF541" s="53"/>
      <c r="GG541" s="53"/>
      <c r="GH541" s="53"/>
      <c r="GI541" s="53"/>
      <c r="GJ541" s="53"/>
      <c r="GK541" s="53"/>
      <c r="GL541" s="53"/>
      <c r="GM541" s="53"/>
      <c r="GN541" s="53"/>
      <c r="GO541" s="43">
        <v>143</v>
      </c>
      <c r="GP541" s="43">
        <v>82</v>
      </c>
      <c r="GQ541" s="43">
        <v>150</v>
      </c>
      <c r="GR541" s="43">
        <v>71</v>
      </c>
    </row>
    <row r="542" spans="1:200">
      <c r="A542" s="7">
        <v>9102</v>
      </c>
      <c r="B542" s="1" t="s">
        <v>670</v>
      </c>
      <c r="C542" s="33">
        <v>1103</v>
      </c>
      <c r="D542" s="34">
        <v>881</v>
      </c>
      <c r="E542" s="19">
        <f t="shared" si="8"/>
        <v>0.79873073436083408</v>
      </c>
      <c r="F542" s="62">
        <v>383</v>
      </c>
      <c r="G542" s="43">
        <v>4</v>
      </c>
      <c r="H542" s="43">
        <v>31</v>
      </c>
      <c r="I542" s="43">
        <v>11</v>
      </c>
      <c r="J542" s="55">
        <v>419</v>
      </c>
      <c r="K542" s="6">
        <v>0</v>
      </c>
      <c r="L542" s="6">
        <v>0</v>
      </c>
      <c r="M542" s="43">
        <v>0</v>
      </c>
      <c r="N542" s="25">
        <v>0</v>
      </c>
      <c r="O542" s="43">
        <v>0</v>
      </c>
      <c r="P542" s="43">
        <v>0</v>
      </c>
      <c r="Q542" s="43">
        <v>0</v>
      </c>
      <c r="R542" s="43">
        <v>0</v>
      </c>
      <c r="S542" s="43">
        <v>0</v>
      </c>
      <c r="T542" s="43">
        <v>0</v>
      </c>
      <c r="U542" s="43">
        <v>0</v>
      </c>
      <c r="V542" s="43">
        <v>0</v>
      </c>
      <c r="W542" s="43">
        <v>4</v>
      </c>
      <c r="X542" s="43">
        <v>0</v>
      </c>
      <c r="Y542" s="43">
        <v>0</v>
      </c>
      <c r="Z542" s="43">
        <v>0</v>
      </c>
      <c r="AA542" s="44">
        <v>0</v>
      </c>
      <c r="AB542" s="44">
        <v>0</v>
      </c>
      <c r="AC542" s="44">
        <v>4</v>
      </c>
      <c r="AD542" s="44">
        <v>8</v>
      </c>
      <c r="AE542" s="44">
        <v>589</v>
      </c>
      <c r="AF542" s="44">
        <v>8</v>
      </c>
      <c r="AG542" s="44">
        <v>0</v>
      </c>
      <c r="AH542" s="44">
        <v>247</v>
      </c>
      <c r="AI542" s="44">
        <v>522</v>
      </c>
      <c r="AJ542" s="44">
        <v>0</v>
      </c>
      <c r="AK542" s="44">
        <v>0</v>
      </c>
      <c r="AL542" s="44">
        <v>321</v>
      </c>
      <c r="AM542" s="48"/>
      <c r="AN542" s="48"/>
      <c r="AO542" s="48"/>
      <c r="AP542" s="48"/>
      <c r="AQ542" s="48"/>
      <c r="AR542" s="43">
        <v>524</v>
      </c>
      <c r="AS542" s="43">
        <v>283</v>
      </c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43">
        <v>439</v>
      </c>
      <c r="BF542" s="43">
        <v>376</v>
      </c>
      <c r="BG542" s="43">
        <v>516</v>
      </c>
      <c r="BH542" s="43">
        <v>309</v>
      </c>
      <c r="BI542" s="43">
        <v>560</v>
      </c>
      <c r="BJ542" s="43">
        <v>262</v>
      </c>
      <c r="BK542" s="43">
        <v>365</v>
      </c>
      <c r="BL542" s="43">
        <v>457</v>
      </c>
      <c r="BM542" s="43">
        <v>435</v>
      </c>
      <c r="BN542" s="43">
        <v>371</v>
      </c>
      <c r="BO542" s="43">
        <v>298</v>
      </c>
      <c r="BP542" s="43">
        <v>497</v>
      </c>
      <c r="BQ542" s="43">
        <v>587</v>
      </c>
      <c r="BR542" s="43">
        <v>221</v>
      </c>
      <c r="BS542" s="43">
        <v>610</v>
      </c>
      <c r="BT542" s="43">
        <v>370</v>
      </c>
      <c r="BU542" s="43">
        <v>440</v>
      </c>
      <c r="BV542" s="43">
        <v>584</v>
      </c>
      <c r="BW542" s="43">
        <v>449</v>
      </c>
      <c r="BX542" s="43">
        <v>218</v>
      </c>
      <c r="BY542" s="43">
        <v>434</v>
      </c>
      <c r="BZ542" s="43">
        <v>276</v>
      </c>
      <c r="CA542" s="43">
        <v>544</v>
      </c>
      <c r="CB542" s="43">
        <v>387</v>
      </c>
      <c r="CC542" s="43">
        <v>265</v>
      </c>
      <c r="CD542" s="43">
        <v>496</v>
      </c>
      <c r="CE542" s="43">
        <v>275</v>
      </c>
      <c r="CF542" s="43">
        <v>388</v>
      </c>
      <c r="CG542" s="43">
        <v>443</v>
      </c>
      <c r="CH542" s="43">
        <v>193</v>
      </c>
      <c r="CI542" s="43">
        <v>151</v>
      </c>
      <c r="CJ542" s="43">
        <v>488</v>
      </c>
      <c r="CK542" s="43">
        <v>417</v>
      </c>
      <c r="CL542" s="43">
        <v>212</v>
      </c>
      <c r="CM542" s="43">
        <v>516</v>
      </c>
      <c r="CN542" s="43">
        <v>522</v>
      </c>
      <c r="CO542" s="43">
        <v>211</v>
      </c>
      <c r="CP542" s="43">
        <v>435</v>
      </c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44"/>
      <c r="GA542" s="53"/>
      <c r="GB542" s="53"/>
      <c r="GC542" s="53"/>
      <c r="GD542" s="53"/>
      <c r="GE542" s="53"/>
      <c r="GF542" s="53"/>
      <c r="GG542" s="53"/>
      <c r="GH542" s="53"/>
      <c r="GI542" s="43">
        <v>231</v>
      </c>
      <c r="GJ542" s="43">
        <v>126</v>
      </c>
      <c r="GK542" s="53"/>
      <c r="GL542" s="53"/>
      <c r="GM542" s="53"/>
      <c r="GN542" s="53"/>
      <c r="GO542" s="43">
        <v>643</v>
      </c>
      <c r="GP542" s="43">
        <v>201</v>
      </c>
      <c r="GQ542" s="43">
        <v>654</v>
      </c>
      <c r="GR542" s="43">
        <v>188</v>
      </c>
    </row>
    <row r="543" spans="1:200">
      <c r="A543" s="8">
        <v>9103</v>
      </c>
      <c r="B543" s="1" t="s">
        <v>671</v>
      </c>
      <c r="C543" s="33">
        <v>1216</v>
      </c>
      <c r="D543" s="34">
        <v>1009</v>
      </c>
      <c r="E543" s="19">
        <f t="shared" si="8"/>
        <v>0.82976973684210531</v>
      </c>
      <c r="F543" s="62">
        <v>366</v>
      </c>
      <c r="G543" s="43">
        <v>3</v>
      </c>
      <c r="H543" s="43">
        <v>38</v>
      </c>
      <c r="I543" s="43">
        <v>4</v>
      </c>
      <c r="J543" s="55">
        <v>568</v>
      </c>
      <c r="K543" s="6">
        <v>0</v>
      </c>
      <c r="L543" s="6">
        <v>0</v>
      </c>
      <c r="M543" s="43">
        <v>0</v>
      </c>
      <c r="N543" s="25">
        <v>0</v>
      </c>
      <c r="O543" s="43">
        <v>0</v>
      </c>
      <c r="P543" s="43">
        <v>0</v>
      </c>
      <c r="Q543" s="43">
        <v>0</v>
      </c>
      <c r="R543" s="43">
        <v>0</v>
      </c>
      <c r="S543" s="43">
        <v>0</v>
      </c>
      <c r="T543" s="43">
        <v>0</v>
      </c>
      <c r="U543" s="43">
        <v>0</v>
      </c>
      <c r="V543" s="43">
        <v>1</v>
      </c>
      <c r="W543" s="43">
        <v>10</v>
      </c>
      <c r="X543" s="43">
        <v>0</v>
      </c>
      <c r="Y543" s="43">
        <v>0</v>
      </c>
      <c r="Z543" s="43">
        <v>0</v>
      </c>
      <c r="AA543" s="44">
        <v>0</v>
      </c>
      <c r="AB543" s="44">
        <v>0</v>
      </c>
      <c r="AC543" s="44">
        <v>8</v>
      </c>
      <c r="AD543" s="44">
        <v>6</v>
      </c>
      <c r="AE543" s="44">
        <v>711</v>
      </c>
      <c r="AF543" s="44">
        <v>4</v>
      </c>
      <c r="AG543" s="44">
        <v>0</v>
      </c>
      <c r="AH543" s="44">
        <v>250</v>
      </c>
      <c r="AI543" s="44">
        <v>688</v>
      </c>
      <c r="AJ543" s="44">
        <v>0</v>
      </c>
      <c r="AK543" s="44">
        <v>0</v>
      </c>
      <c r="AL543" s="44">
        <v>281</v>
      </c>
      <c r="AM543" s="48"/>
      <c r="AN543" s="48"/>
      <c r="AO543" s="48"/>
      <c r="AP543" s="48"/>
      <c r="AQ543" s="48"/>
      <c r="AR543" s="43">
        <v>668</v>
      </c>
      <c r="AS543" s="43">
        <v>266</v>
      </c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43">
        <v>576</v>
      </c>
      <c r="BF543" s="43">
        <v>365</v>
      </c>
      <c r="BG543" s="43">
        <v>632</v>
      </c>
      <c r="BH543" s="43">
        <v>299</v>
      </c>
      <c r="BI543" s="43">
        <v>671</v>
      </c>
      <c r="BJ543" s="43">
        <v>259</v>
      </c>
      <c r="BK543" s="43">
        <v>331</v>
      </c>
      <c r="BL543" s="43">
        <v>598</v>
      </c>
      <c r="BM543" s="43">
        <v>546</v>
      </c>
      <c r="BN543" s="43">
        <v>376</v>
      </c>
      <c r="BO543" s="43">
        <v>268</v>
      </c>
      <c r="BP543" s="43">
        <v>631</v>
      </c>
      <c r="BQ543" s="43">
        <v>688</v>
      </c>
      <c r="BR543" s="43">
        <v>218</v>
      </c>
      <c r="BS543" s="43">
        <v>710</v>
      </c>
      <c r="BT543" s="43">
        <v>507</v>
      </c>
      <c r="BU543" s="43">
        <v>392</v>
      </c>
      <c r="BV543" s="43">
        <v>671</v>
      </c>
      <c r="BW543" s="43">
        <v>463</v>
      </c>
      <c r="BX543" s="43">
        <v>263</v>
      </c>
      <c r="BY543" s="43">
        <v>533</v>
      </c>
      <c r="BZ543" s="43">
        <v>263</v>
      </c>
      <c r="CA543" s="43">
        <v>595</v>
      </c>
      <c r="CB543" s="43">
        <v>449</v>
      </c>
      <c r="CC543" s="43">
        <v>238</v>
      </c>
      <c r="CD543" s="43">
        <v>541</v>
      </c>
      <c r="CE543" s="43">
        <v>257</v>
      </c>
      <c r="CF543" s="43">
        <v>448</v>
      </c>
      <c r="CG543" s="43">
        <v>423</v>
      </c>
      <c r="CH543" s="43">
        <v>237</v>
      </c>
      <c r="CI543" s="43">
        <v>130</v>
      </c>
      <c r="CJ543" s="43">
        <v>565</v>
      </c>
      <c r="CK543" s="43">
        <v>449</v>
      </c>
      <c r="CL543" s="43">
        <v>232</v>
      </c>
      <c r="CM543" s="43">
        <v>560</v>
      </c>
      <c r="CN543" s="43">
        <v>570</v>
      </c>
      <c r="CO543" s="43">
        <v>189</v>
      </c>
      <c r="CP543" s="43">
        <v>497</v>
      </c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44"/>
      <c r="GA543" s="53"/>
      <c r="GB543" s="53"/>
      <c r="GC543" s="53"/>
      <c r="GD543" s="53"/>
      <c r="GE543" s="53"/>
      <c r="GF543" s="53"/>
      <c r="GG543" s="53"/>
      <c r="GH543" s="53"/>
      <c r="GI543" s="53"/>
      <c r="GJ543" s="53"/>
      <c r="GK543" s="53"/>
      <c r="GL543" s="53"/>
      <c r="GM543" s="53"/>
      <c r="GN543" s="53"/>
      <c r="GO543" s="43">
        <v>677</v>
      </c>
      <c r="GP543" s="43">
        <v>289</v>
      </c>
      <c r="GQ543" s="43">
        <v>693</v>
      </c>
      <c r="GR543" s="43">
        <v>271</v>
      </c>
    </row>
    <row r="544" spans="1:200">
      <c r="A544" s="8">
        <v>9104</v>
      </c>
      <c r="B544" s="1" t="s">
        <v>672</v>
      </c>
      <c r="C544" s="33">
        <v>1071</v>
      </c>
      <c r="D544" s="34">
        <v>830</v>
      </c>
      <c r="E544" s="19">
        <f t="shared" si="8"/>
        <v>0.77497665732959853</v>
      </c>
      <c r="F544" s="62">
        <v>419</v>
      </c>
      <c r="G544" s="43">
        <v>1</v>
      </c>
      <c r="H544" s="43">
        <v>25</v>
      </c>
      <c r="I544" s="43">
        <v>3</v>
      </c>
      <c r="J544" s="55">
        <v>362</v>
      </c>
      <c r="K544" s="6">
        <v>0</v>
      </c>
      <c r="L544" s="6">
        <v>0</v>
      </c>
      <c r="M544" s="43">
        <v>0</v>
      </c>
      <c r="N544" s="25">
        <v>0</v>
      </c>
      <c r="O544" s="43">
        <v>0</v>
      </c>
      <c r="P544" s="43">
        <v>0</v>
      </c>
      <c r="Q544" s="43">
        <v>0</v>
      </c>
      <c r="R544" s="43">
        <v>0</v>
      </c>
      <c r="S544" s="43">
        <v>0</v>
      </c>
      <c r="T544" s="43">
        <v>0</v>
      </c>
      <c r="U544" s="43">
        <v>0</v>
      </c>
      <c r="V544" s="43">
        <v>0</v>
      </c>
      <c r="W544" s="43">
        <v>2</v>
      </c>
      <c r="X544" s="43">
        <v>0</v>
      </c>
      <c r="Y544" s="43">
        <v>0</v>
      </c>
      <c r="Z544" s="43">
        <v>0</v>
      </c>
      <c r="AA544" s="44">
        <v>0</v>
      </c>
      <c r="AB544" s="44">
        <v>0</v>
      </c>
      <c r="AC544" s="44">
        <v>8</v>
      </c>
      <c r="AD544" s="44">
        <v>13</v>
      </c>
      <c r="AE544" s="44">
        <v>507</v>
      </c>
      <c r="AF544" s="44">
        <v>7</v>
      </c>
      <c r="AG544" s="44">
        <v>0</v>
      </c>
      <c r="AH544" s="44">
        <v>269</v>
      </c>
      <c r="AI544" s="44">
        <v>456</v>
      </c>
      <c r="AJ544" s="44">
        <v>0</v>
      </c>
      <c r="AK544" s="44">
        <v>0</v>
      </c>
      <c r="AL544" s="44">
        <v>337</v>
      </c>
      <c r="AM544" s="48"/>
      <c r="AN544" s="48"/>
      <c r="AO544" s="48"/>
      <c r="AP544" s="48"/>
      <c r="AQ544" s="48"/>
      <c r="AR544" s="43">
        <v>454</v>
      </c>
      <c r="AS544" s="43">
        <v>316</v>
      </c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43">
        <v>375</v>
      </c>
      <c r="BF544" s="43">
        <v>385</v>
      </c>
      <c r="BG544" s="43">
        <v>440</v>
      </c>
      <c r="BH544" s="43">
        <v>336</v>
      </c>
      <c r="BI544" s="43">
        <v>491</v>
      </c>
      <c r="BJ544" s="43">
        <v>284</v>
      </c>
      <c r="BK544" s="43">
        <v>361</v>
      </c>
      <c r="BL544" s="43">
        <v>405</v>
      </c>
      <c r="BM544" s="43">
        <v>365</v>
      </c>
      <c r="BN544" s="43">
        <v>387</v>
      </c>
      <c r="BO544" s="43">
        <v>322</v>
      </c>
      <c r="BP544" s="43">
        <v>431</v>
      </c>
      <c r="BQ544" s="43">
        <v>470</v>
      </c>
      <c r="BR544" s="43">
        <v>289</v>
      </c>
      <c r="BS544" s="43">
        <v>530</v>
      </c>
      <c r="BT544" s="43">
        <v>322</v>
      </c>
      <c r="BU544" s="43">
        <v>436</v>
      </c>
      <c r="BV544" s="43">
        <v>551</v>
      </c>
      <c r="BW544" s="43">
        <v>380</v>
      </c>
      <c r="BX544" s="43">
        <v>242</v>
      </c>
      <c r="BY544" s="43">
        <v>403</v>
      </c>
      <c r="BZ544" s="43">
        <v>264</v>
      </c>
      <c r="CA544" s="43">
        <v>509</v>
      </c>
      <c r="CB544" s="43">
        <v>336</v>
      </c>
      <c r="CC544" s="43">
        <v>275</v>
      </c>
      <c r="CD544" s="43">
        <v>456</v>
      </c>
      <c r="CE544" s="43">
        <v>266</v>
      </c>
      <c r="CF544" s="43">
        <v>355</v>
      </c>
      <c r="CG544" s="43">
        <v>368</v>
      </c>
      <c r="CH544" s="43">
        <v>217</v>
      </c>
      <c r="CI544" s="43">
        <v>174</v>
      </c>
      <c r="CJ544" s="43">
        <v>441</v>
      </c>
      <c r="CK544" s="43">
        <v>374</v>
      </c>
      <c r="CL544" s="43">
        <v>228</v>
      </c>
      <c r="CM544" s="43">
        <v>475</v>
      </c>
      <c r="CN544" s="43">
        <v>483</v>
      </c>
      <c r="CO544" s="43">
        <v>207</v>
      </c>
      <c r="CP544" s="43">
        <v>407</v>
      </c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44"/>
      <c r="GA544" s="53"/>
      <c r="GB544" s="53"/>
      <c r="GC544" s="53"/>
      <c r="GD544" s="53"/>
      <c r="GE544" s="53"/>
      <c r="GF544" s="53"/>
      <c r="GG544" s="53"/>
      <c r="GH544" s="53"/>
      <c r="GI544" s="43">
        <v>512</v>
      </c>
      <c r="GJ544" s="43">
        <v>296</v>
      </c>
      <c r="GK544" s="53"/>
      <c r="GL544" s="53"/>
      <c r="GM544" s="53"/>
      <c r="GN544" s="53"/>
      <c r="GO544" s="43">
        <v>586</v>
      </c>
      <c r="GP544" s="43">
        <v>210</v>
      </c>
      <c r="GQ544" s="43">
        <v>570</v>
      </c>
      <c r="GR544" s="43">
        <v>219</v>
      </c>
    </row>
    <row r="545" spans="1:200">
      <c r="A545" s="8">
        <v>9105</v>
      </c>
      <c r="B545" s="1" t="s">
        <v>673</v>
      </c>
      <c r="C545" s="33">
        <v>1050</v>
      </c>
      <c r="D545" s="34">
        <v>875</v>
      </c>
      <c r="E545" s="19">
        <f t="shared" si="8"/>
        <v>0.83333333333333337</v>
      </c>
      <c r="F545" s="62">
        <v>332</v>
      </c>
      <c r="G545" s="43">
        <v>1</v>
      </c>
      <c r="H545" s="43">
        <v>26</v>
      </c>
      <c r="I545" s="43">
        <v>5</v>
      </c>
      <c r="J545" s="55">
        <v>483</v>
      </c>
      <c r="K545" s="6">
        <v>0</v>
      </c>
      <c r="L545" s="6">
        <v>0</v>
      </c>
      <c r="M545" s="43">
        <v>0</v>
      </c>
      <c r="N545" s="25">
        <v>0</v>
      </c>
      <c r="O545" s="43">
        <v>0</v>
      </c>
      <c r="P545" s="43">
        <v>0</v>
      </c>
      <c r="Q545" s="43">
        <v>0</v>
      </c>
      <c r="R545" s="43">
        <v>0</v>
      </c>
      <c r="S545" s="43">
        <v>0</v>
      </c>
      <c r="T545" s="43">
        <v>0</v>
      </c>
      <c r="U545" s="43">
        <v>0</v>
      </c>
      <c r="V545" s="43">
        <v>1</v>
      </c>
      <c r="W545" s="43">
        <v>6</v>
      </c>
      <c r="X545" s="43">
        <v>0</v>
      </c>
      <c r="Y545" s="43">
        <v>0</v>
      </c>
      <c r="Z545" s="43">
        <v>0</v>
      </c>
      <c r="AA545" s="44">
        <v>0</v>
      </c>
      <c r="AB545" s="44">
        <v>0</v>
      </c>
      <c r="AC545" s="44">
        <v>7</v>
      </c>
      <c r="AD545" s="44">
        <v>7</v>
      </c>
      <c r="AE545" s="44">
        <v>596</v>
      </c>
      <c r="AF545" s="44">
        <v>10</v>
      </c>
      <c r="AG545" s="44">
        <v>0</v>
      </c>
      <c r="AH545" s="44">
        <v>231</v>
      </c>
      <c r="AI545" s="44">
        <v>560</v>
      </c>
      <c r="AJ545" s="44">
        <v>0</v>
      </c>
      <c r="AK545" s="44">
        <v>0</v>
      </c>
      <c r="AL545" s="44">
        <v>289</v>
      </c>
      <c r="AM545" s="48"/>
      <c r="AN545" s="48"/>
      <c r="AO545" s="48"/>
      <c r="AP545" s="48"/>
      <c r="AQ545" s="48"/>
      <c r="AR545" s="43">
        <v>559</v>
      </c>
      <c r="AS545" s="43">
        <v>266</v>
      </c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43">
        <v>487</v>
      </c>
      <c r="BF545" s="43">
        <v>339</v>
      </c>
      <c r="BG545" s="43">
        <v>537</v>
      </c>
      <c r="BH545" s="43">
        <v>292</v>
      </c>
      <c r="BI545" s="43">
        <v>587</v>
      </c>
      <c r="BJ545" s="43">
        <v>232</v>
      </c>
      <c r="BK545" s="43">
        <v>323</v>
      </c>
      <c r="BL545" s="43">
        <v>493</v>
      </c>
      <c r="BM545" s="43">
        <v>451</v>
      </c>
      <c r="BN545" s="43">
        <v>364</v>
      </c>
      <c r="BO545" s="43">
        <v>257</v>
      </c>
      <c r="BP545" s="43">
        <v>540</v>
      </c>
      <c r="BQ545" s="43">
        <v>572</v>
      </c>
      <c r="BR545" s="43">
        <v>229</v>
      </c>
      <c r="BS545" s="43">
        <v>593</v>
      </c>
      <c r="BT545" s="43">
        <v>414</v>
      </c>
      <c r="BU545" s="43">
        <v>384</v>
      </c>
      <c r="BV545" s="43">
        <v>594</v>
      </c>
      <c r="BW545" s="43">
        <v>436</v>
      </c>
      <c r="BX545" s="43">
        <v>247</v>
      </c>
      <c r="BY545" s="43">
        <v>465</v>
      </c>
      <c r="BZ545" s="43">
        <v>254</v>
      </c>
      <c r="CA545" s="43">
        <v>547</v>
      </c>
      <c r="CB545" s="43">
        <v>418</v>
      </c>
      <c r="CC545" s="43">
        <v>240</v>
      </c>
      <c r="CD545" s="43">
        <v>468</v>
      </c>
      <c r="CE545" s="43">
        <v>229</v>
      </c>
      <c r="CF545" s="43">
        <v>436</v>
      </c>
      <c r="CG545" s="43">
        <v>446</v>
      </c>
      <c r="CH545" s="43">
        <v>186</v>
      </c>
      <c r="CI545" s="43">
        <v>140</v>
      </c>
      <c r="CJ545" s="43">
        <v>509</v>
      </c>
      <c r="CK545" s="43">
        <v>398</v>
      </c>
      <c r="CL545" s="43">
        <v>237</v>
      </c>
      <c r="CM545" s="43">
        <v>517</v>
      </c>
      <c r="CN545" s="43">
        <v>510</v>
      </c>
      <c r="CO545" s="43">
        <v>186</v>
      </c>
      <c r="CP545" s="43">
        <v>470</v>
      </c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44"/>
      <c r="GA545" s="53"/>
      <c r="GB545" s="53"/>
      <c r="GC545" s="53"/>
      <c r="GD545" s="53"/>
      <c r="GE545" s="53"/>
      <c r="GF545" s="53"/>
      <c r="GG545" s="53"/>
      <c r="GH545" s="53"/>
      <c r="GI545" s="43">
        <v>307</v>
      </c>
      <c r="GJ545" s="43">
        <v>149</v>
      </c>
      <c r="GK545" s="53"/>
      <c r="GL545" s="53"/>
      <c r="GM545" s="53"/>
      <c r="GN545" s="53"/>
      <c r="GO545" s="43">
        <v>606</v>
      </c>
      <c r="GP545" s="43">
        <v>228</v>
      </c>
      <c r="GQ545" s="43">
        <v>615</v>
      </c>
      <c r="GR545" s="43">
        <v>222</v>
      </c>
    </row>
    <row r="546" spans="1:200">
      <c r="A546" s="8">
        <v>9106</v>
      </c>
      <c r="B546" s="1" t="s">
        <v>674</v>
      </c>
      <c r="C546" s="33">
        <v>1379</v>
      </c>
      <c r="D546" s="34">
        <v>990</v>
      </c>
      <c r="E546" s="19">
        <f t="shared" si="8"/>
        <v>0.71791153009427122</v>
      </c>
      <c r="F546" s="62">
        <v>431</v>
      </c>
      <c r="G546" s="43">
        <v>2</v>
      </c>
      <c r="H546" s="43">
        <v>48</v>
      </c>
      <c r="I546" s="43">
        <v>7</v>
      </c>
      <c r="J546" s="55">
        <v>469</v>
      </c>
      <c r="K546" s="6">
        <v>0</v>
      </c>
      <c r="L546" s="6">
        <v>0</v>
      </c>
      <c r="M546" s="43">
        <v>0</v>
      </c>
      <c r="N546" s="25">
        <v>0</v>
      </c>
      <c r="O546" s="43">
        <v>0</v>
      </c>
      <c r="P546" s="43">
        <v>0</v>
      </c>
      <c r="Q546" s="43">
        <v>0</v>
      </c>
      <c r="R546" s="43">
        <v>0</v>
      </c>
      <c r="S546" s="43">
        <v>0</v>
      </c>
      <c r="T546" s="43">
        <v>0</v>
      </c>
      <c r="U546" s="43">
        <v>0</v>
      </c>
      <c r="V546" s="43">
        <v>0</v>
      </c>
      <c r="W546" s="43">
        <v>1</v>
      </c>
      <c r="X546" s="43">
        <v>0</v>
      </c>
      <c r="Y546" s="43">
        <v>0</v>
      </c>
      <c r="Z546" s="43">
        <v>0</v>
      </c>
      <c r="AA546" s="44">
        <v>0</v>
      </c>
      <c r="AB546" s="44">
        <v>0</v>
      </c>
      <c r="AC546" s="44">
        <v>11</v>
      </c>
      <c r="AD546" s="44">
        <v>11</v>
      </c>
      <c r="AE546" s="44">
        <v>609</v>
      </c>
      <c r="AF546" s="44">
        <v>8</v>
      </c>
      <c r="AG546" s="44">
        <v>0</v>
      </c>
      <c r="AH546" s="44">
        <v>318</v>
      </c>
      <c r="AI546" s="44">
        <v>565</v>
      </c>
      <c r="AJ546" s="44">
        <v>0</v>
      </c>
      <c r="AK546" s="44">
        <v>0</v>
      </c>
      <c r="AL546" s="44">
        <v>372</v>
      </c>
      <c r="AM546" s="48"/>
      <c r="AN546" s="48"/>
      <c r="AO546" s="48"/>
      <c r="AP546" s="48"/>
      <c r="AQ546" s="48"/>
      <c r="AR546" s="43">
        <v>569</v>
      </c>
      <c r="AS546" s="43">
        <v>338</v>
      </c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43">
        <v>504</v>
      </c>
      <c r="BF546" s="43">
        <v>410</v>
      </c>
      <c r="BG546" s="43">
        <v>543</v>
      </c>
      <c r="BH546" s="43">
        <v>369</v>
      </c>
      <c r="BI546" s="43">
        <v>597</v>
      </c>
      <c r="BJ546" s="43">
        <v>320</v>
      </c>
      <c r="BK546" s="43">
        <v>400</v>
      </c>
      <c r="BL546" s="43">
        <v>503</v>
      </c>
      <c r="BM546" s="43">
        <v>481</v>
      </c>
      <c r="BN546" s="43">
        <v>419</v>
      </c>
      <c r="BO546" s="43">
        <v>338</v>
      </c>
      <c r="BP546" s="43">
        <v>551</v>
      </c>
      <c r="BQ546" s="43">
        <v>575</v>
      </c>
      <c r="BR546" s="43">
        <v>316</v>
      </c>
      <c r="BS546" s="43">
        <v>679</v>
      </c>
      <c r="BT546" s="43">
        <v>448</v>
      </c>
      <c r="BU546" s="43">
        <v>438</v>
      </c>
      <c r="BV546" s="43">
        <v>649</v>
      </c>
      <c r="BW546" s="43">
        <v>450</v>
      </c>
      <c r="BX546" s="43">
        <v>301</v>
      </c>
      <c r="BY546" s="43">
        <v>478</v>
      </c>
      <c r="BZ546" s="43">
        <v>316</v>
      </c>
      <c r="CA546" s="43">
        <v>599</v>
      </c>
      <c r="CB546" s="43">
        <v>418</v>
      </c>
      <c r="CC546" s="43">
        <v>316</v>
      </c>
      <c r="CD546" s="43">
        <v>567</v>
      </c>
      <c r="CE546" s="43">
        <v>346</v>
      </c>
      <c r="CF546" s="43">
        <v>403</v>
      </c>
      <c r="CG546" s="43">
        <v>416</v>
      </c>
      <c r="CH546" s="43">
        <v>295</v>
      </c>
      <c r="CI546" s="43">
        <v>208</v>
      </c>
      <c r="CJ546" s="43">
        <v>511</v>
      </c>
      <c r="CK546" s="43">
        <v>431</v>
      </c>
      <c r="CL546" s="43">
        <v>291</v>
      </c>
      <c r="CM546" s="43">
        <v>567</v>
      </c>
      <c r="CN546" s="43">
        <v>568</v>
      </c>
      <c r="CO546" s="43">
        <v>265</v>
      </c>
      <c r="CP546" s="43">
        <v>447</v>
      </c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44"/>
      <c r="GA546" s="53"/>
      <c r="GB546" s="53"/>
      <c r="GC546" s="53"/>
      <c r="GD546" s="53"/>
      <c r="GE546" s="53"/>
      <c r="GF546" s="53"/>
      <c r="GG546" s="53"/>
      <c r="GH546" s="53"/>
      <c r="GI546" s="43">
        <v>584</v>
      </c>
      <c r="GJ546" s="43">
        <v>359</v>
      </c>
      <c r="GK546" s="53"/>
      <c r="GL546" s="53"/>
      <c r="GM546" s="53"/>
      <c r="GN546" s="53"/>
      <c r="GO546" s="43">
        <v>704</v>
      </c>
      <c r="GP546" s="43">
        <v>238</v>
      </c>
      <c r="GQ546" s="43">
        <v>688</v>
      </c>
      <c r="GR546" s="43">
        <v>247</v>
      </c>
    </row>
    <row r="547" spans="1:200">
      <c r="A547" s="8">
        <v>9107</v>
      </c>
      <c r="B547" s="1" t="s">
        <v>675</v>
      </c>
      <c r="C547" s="33">
        <v>655</v>
      </c>
      <c r="D547" s="34">
        <v>539</v>
      </c>
      <c r="E547" s="19">
        <f t="shared" si="8"/>
        <v>0.8229007633587786</v>
      </c>
      <c r="F547" s="62">
        <v>246</v>
      </c>
      <c r="G547" s="43">
        <v>1</v>
      </c>
      <c r="H547" s="43">
        <v>15</v>
      </c>
      <c r="I547" s="43">
        <v>2</v>
      </c>
      <c r="J547" s="55">
        <v>258</v>
      </c>
      <c r="K547" s="6">
        <v>0</v>
      </c>
      <c r="L547" s="6">
        <v>0</v>
      </c>
      <c r="M547" s="43">
        <v>0</v>
      </c>
      <c r="N547" s="25">
        <v>0</v>
      </c>
      <c r="O547" s="43">
        <v>0</v>
      </c>
      <c r="P547" s="43">
        <v>0</v>
      </c>
      <c r="Q547" s="43">
        <v>0</v>
      </c>
      <c r="R547" s="43">
        <v>0</v>
      </c>
      <c r="S547" s="43">
        <v>0</v>
      </c>
      <c r="T547" s="43">
        <v>0</v>
      </c>
      <c r="U547" s="43">
        <v>0</v>
      </c>
      <c r="V547" s="43">
        <v>0</v>
      </c>
      <c r="W547" s="43">
        <v>4</v>
      </c>
      <c r="X547" s="43">
        <v>0</v>
      </c>
      <c r="Y547" s="43">
        <v>0</v>
      </c>
      <c r="Z547" s="43">
        <v>0</v>
      </c>
      <c r="AA547" s="44">
        <v>0</v>
      </c>
      <c r="AB547" s="44">
        <v>0</v>
      </c>
      <c r="AC547" s="44">
        <v>4</v>
      </c>
      <c r="AD547" s="44">
        <v>4</v>
      </c>
      <c r="AE547" s="44">
        <v>362</v>
      </c>
      <c r="AF547" s="44">
        <v>2</v>
      </c>
      <c r="AG547" s="44">
        <v>0</v>
      </c>
      <c r="AH547" s="44">
        <v>158</v>
      </c>
      <c r="AI547" s="44">
        <v>343</v>
      </c>
      <c r="AJ547" s="44">
        <v>0</v>
      </c>
      <c r="AK547" s="44">
        <v>0</v>
      </c>
      <c r="AL547" s="44">
        <v>186</v>
      </c>
      <c r="AM547" s="48"/>
      <c r="AN547" s="48"/>
      <c r="AO547" s="48"/>
      <c r="AP547" s="48"/>
      <c r="AQ547" s="48"/>
      <c r="AR547" s="43">
        <v>332</v>
      </c>
      <c r="AS547" s="43">
        <v>179</v>
      </c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43">
        <v>276</v>
      </c>
      <c r="BF547" s="43">
        <v>237</v>
      </c>
      <c r="BG547" s="43">
        <v>327</v>
      </c>
      <c r="BH547" s="43">
        <v>185</v>
      </c>
      <c r="BI547" s="43">
        <v>348</v>
      </c>
      <c r="BJ547" s="43">
        <v>163</v>
      </c>
      <c r="BK547" s="43">
        <v>209</v>
      </c>
      <c r="BL547" s="43">
        <v>294</v>
      </c>
      <c r="BM547" s="43">
        <v>272</v>
      </c>
      <c r="BN547" s="43">
        <v>232</v>
      </c>
      <c r="BO547" s="43">
        <v>176</v>
      </c>
      <c r="BP547" s="43">
        <v>321</v>
      </c>
      <c r="BQ547" s="43">
        <v>351</v>
      </c>
      <c r="BR547" s="43">
        <v>150</v>
      </c>
      <c r="BS547" s="43">
        <v>373</v>
      </c>
      <c r="BT547" s="43">
        <v>251</v>
      </c>
      <c r="BU547" s="43">
        <v>245</v>
      </c>
      <c r="BV547" s="43">
        <v>377</v>
      </c>
      <c r="BW547" s="43">
        <v>283</v>
      </c>
      <c r="BX547" s="43">
        <v>139</v>
      </c>
      <c r="BY547" s="43">
        <v>282</v>
      </c>
      <c r="BZ547" s="43">
        <v>162</v>
      </c>
      <c r="CA547" s="43">
        <v>354</v>
      </c>
      <c r="CB547" s="43">
        <v>253</v>
      </c>
      <c r="CC547" s="43">
        <v>161</v>
      </c>
      <c r="CD547" s="43">
        <v>316</v>
      </c>
      <c r="CE547" s="43">
        <v>168</v>
      </c>
      <c r="CF547" s="43">
        <v>250</v>
      </c>
      <c r="CG547" s="43">
        <v>261</v>
      </c>
      <c r="CH547" s="43">
        <v>145</v>
      </c>
      <c r="CI547" s="43">
        <v>100</v>
      </c>
      <c r="CJ547" s="43">
        <v>308</v>
      </c>
      <c r="CK547" s="43">
        <v>248</v>
      </c>
      <c r="CL547" s="43">
        <v>152</v>
      </c>
      <c r="CM547" s="43">
        <v>335</v>
      </c>
      <c r="CN547" s="43">
        <v>332</v>
      </c>
      <c r="CO547" s="43">
        <v>125</v>
      </c>
      <c r="CP547" s="43">
        <v>291</v>
      </c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44"/>
      <c r="GA547" s="53"/>
      <c r="GB547" s="53"/>
      <c r="GC547" s="53"/>
      <c r="GD547" s="53"/>
      <c r="GE547" s="53"/>
      <c r="GF547" s="53"/>
      <c r="GG547" s="53"/>
      <c r="GH547" s="53"/>
      <c r="GI547" s="43">
        <v>342</v>
      </c>
      <c r="GJ547" s="43">
        <v>179</v>
      </c>
      <c r="GK547" s="53"/>
      <c r="GL547" s="53"/>
      <c r="GM547" s="53"/>
      <c r="GN547" s="53"/>
      <c r="GO547" s="43">
        <v>370</v>
      </c>
      <c r="GP547" s="43">
        <v>150</v>
      </c>
      <c r="GQ547" s="43">
        <v>367</v>
      </c>
      <c r="GR547" s="43">
        <v>153</v>
      </c>
    </row>
    <row r="548" spans="1:200">
      <c r="A548" s="8">
        <v>9108</v>
      </c>
      <c r="B548" s="1" t="s">
        <v>676</v>
      </c>
      <c r="C548" s="33">
        <v>462</v>
      </c>
      <c r="D548" s="34">
        <v>398</v>
      </c>
      <c r="E548" s="19">
        <f t="shared" si="8"/>
        <v>0.8614718614718615</v>
      </c>
      <c r="F548" s="62">
        <v>136</v>
      </c>
      <c r="G548" s="43">
        <v>0</v>
      </c>
      <c r="H548" s="43">
        <v>16</v>
      </c>
      <c r="I548" s="43">
        <v>3</v>
      </c>
      <c r="J548" s="55">
        <v>227</v>
      </c>
      <c r="K548" s="6">
        <v>0</v>
      </c>
      <c r="L548" s="6">
        <v>0</v>
      </c>
      <c r="M548" s="43">
        <v>0</v>
      </c>
      <c r="N548" s="25">
        <v>0</v>
      </c>
      <c r="O548" s="43">
        <v>0</v>
      </c>
      <c r="P548" s="43">
        <v>0</v>
      </c>
      <c r="Q548" s="43">
        <v>0</v>
      </c>
      <c r="R548" s="43">
        <v>0</v>
      </c>
      <c r="S548" s="43">
        <v>0</v>
      </c>
      <c r="T548" s="43">
        <v>0</v>
      </c>
      <c r="U548" s="43">
        <v>0</v>
      </c>
      <c r="V548" s="43">
        <v>0</v>
      </c>
      <c r="W548" s="43">
        <v>1</v>
      </c>
      <c r="X548" s="43">
        <v>0</v>
      </c>
      <c r="Y548" s="43">
        <v>0</v>
      </c>
      <c r="Z548" s="43">
        <v>0</v>
      </c>
      <c r="AA548" s="44">
        <v>0</v>
      </c>
      <c r="AB548" s="44">
        <v>0</v>
      </c>
      <c r="AC548" s="44">
        <v>7</v>
      </c>
      <c r="AD548" s="44">
        <v>4</v>
      </c>
      <c r="AE548" s="44">
        <v>285</v>
      </c>
      <c r="AF548" s="44">
        <v>3</v>
      </c>
      <c r="AG548" s="44">
        <v>0</v>
      </c>
      <c r="AH548" s="44">
        <v>91</v>
      </c>
      <c r="AI548" s="44">
        <v>261</v>
      </c>
      <c r="AJ548" s="44">
        <v>0</v>
      </c>
      <c r="AK548" s="44">
        <v>0</v>
      </c>
      <c r="AL548" s="44">
        <v>120</v>
      </c>
      <c r="AM548" s="48"/>
      <c r="AN548" s="48"/>
      <c r="AO548" s="48"/>
      <c r="AP548" s="48"/>
      <c r="AQ548" s="48"/>
      <c r="AR548" s="43">
        <v>265</v>
      </c>
      <c r="AS548" s="43">
        <v>110</v>
      </c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43">
        <v>224</v>
      </c>
      <c r="BF548" s="43">
        <v>147</v>
      </c>
      <c r="BG548" s="43">
        <v>261</v>
      </c>
      <c r="BH548" s="43">
        <v>108</v>
      </c>
      <c r="BI548" s="43">
        <v>274</v>
      </c>
      <c r="BJ548" s="43">
        <v>92</v>
      </c>
      <c r="BK548" s="43">
        <v>138</v>
      </c>
      <c r="BL548" s="43">
        <v>231</v>
      </c>
      <c r="BM548" s="43">
        <v>215</v>
      </c>
      <c r="BN548" s="43">
        <v>151</v>
      </c>
      <c r="BO548" s="43">
        <v>107</v>
      </c>
      <c r="BP548" s="43">
        <v>252</v>
      </c>
      <c r="BQ548" s="43">
        <v>270</v>
      </c>
      <c r="BR548" s="43">
        <v>98</v>
      </c>
      <c r="BS548" s="43">
        <v>290</v>
      </c>
      <c r="BT548" s="43">
        <v>206</v>
      </c>
      <c r="BU548" s="43">
        <v>155</v>
      </c>
      <c r="BV548" s="43">
        <v>265</v>
      </c>
      <c r="BW548" s="43">
        <v>180</v>
      </c>
      <c r="BX548" s="43">
        <v>106</v>
      </c>
      <c r="BY548" s="43">
        <v>223</v>
      </c>
      <c r="BZ548" s="43">
        <v>100</v>
      </c>
      <c r="CA548" s="43">
        <v>242</v>
      </c>
      <c r="CB548" s="43">
        <v>184</v>
      </c>
      <c r="CC548" s="43">
        <v>94</v>
      </c>
      <c r="CD548" s="43">
        <v>229</v>
      </c>
      <c r="CE548" s="43">
        <v>106</v>
      </c>
      <c r="CF548" s="43">
        <v>179</v>
      </c>
      <c r="CG548" s="43">
        <v>181</v>
      </c>
      <c r="CH548" s="43">
        <v>84</v>
      </c>
      <c r="CI548" s="43">
        <v>54</v>
      </c>
      <c r="CJ548" s="43">
        <v>230</v>
      </c>
      <c r="CK548" s="43">
        <v>178</v>
      </c>
      <c r="CL548" s="43">
        <v>90</v>
      </c>
      <c r="CM548" s="43">
        <v>227</v>
      </c>
      <c r="CN548" s="43">
        <v>230</v>
      </c>
      <c r="CO548" s="43">
        <v>81</v>
      </c>
      <c r="CP548" s="43">
        <v>188</v>
      </c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44"/>
      <c r="GA548" s="53"/>
      <c r="GB548" s="53"/>
      <c r="GC548" s="53"/>
      <c r="GD548" s="53"/>
      <c r="GE548" s="53"/>
      <c r="GF548" s="53"/>
      <c r="GG548" s="53"/>
      <c r="GH548" s="53"/>
      <c r="GI548" s="43">
        <v>13</v>
      </c>
      <c r="GJ548" s="43">
        <v>13</v>
      </c>
      <c r="GK548" s="53"/>
      <c r="GL548" s="53"/>
      <c r="GM548" s="53"/>
      <c r="GN548" s="53"/>
      <c r="GO548" s="43">
        <v>248</v>
      </c>
      <c r="GP548" s="43">
        <v>138</v>
      </c>
      <c r="GQ548" s="43">
        <v>240</v>
      </c>
      <c r="GR548" s="43">
        <v>141</v>
      </c>
    </row>
    <row r="549" spans="1:200">
      <c r="A549" s="8">
        <v>9109</v>
      </c>
      <c r="B549" s="1" t="s">
        <v>677</v>
      </c>
      <c r="C549" s="33">
        <v>996</v>
      </c>
      <c r="D549" s="34">
        <v>674</v>
      </c>
      <c r="E549" s="19">
        <f t="shared" si="8"/>
        <v>0.67670682730923692</v>
      </c>
      <c r="F549" s="62">
        <v>376</v>
      </c>
      <c r="G549" s="43">
        <v>1</v>
      </c>
      <c r="H549" s="43">
        <v>28</v>
      </c>
      <c r="I549" s="43">
        <v>10</v>
      </c>
      <c r="J549" s="55">
        <v>241</v>
      </c>
      <c r="K549" s="6">
        <v>0</v>
      </c>
      <c r="L549" s="6">
        <v>0</v>
      </c>
      <c r="M549" s="43">
        <v>0</v>
      </c>
      <c r="N549" s="25">
        <v>0</v>
      </c>
      <c r="O549" s="43">
        <v>0</v>
      </c>
      <c r="P549" s="43">
        <v>0</v>
      </c>
      <c r="Q549" s="43">
        <v>0</v>
      </c>
      <c r="R549" s="43">
        <v>0</v>
      </c>
      <c r="S549" s="43">
        <v>0</v>
      </c>
      <c r="T549" s="43">
        <v>0</v>
      </c>
      <c r="U549" s="43">
        <v>0</v>
      </c>
      <c r="V549" s="43">
        <v>0</v>
      </c>
      <c r="W549" s="43">
        <v>4</v>
      </c>
      <c r="X549" s="43">
        <v>0</v>
      </c>
      <c r="Y549" s="43">
        <v>0</v>
      </c>
      <c r="Z549" s="43">
        <v>0</v>
      </c>
      <c r="AA549" s="44">
        <v>0</v>
      </c>
      <c r="AB549" s="44">
        <v>0</v>
      </c>
      <c r="AC549" s="44">
        <v>10</v>
      </c>
      <c r="AD549" s="44">
        <v>5</v>
      </c>
      <c r="AE549" s="44">
        <v>348</v>
      </c>
      <c r="AF549" s="44">
        <v>6</v>
      </c>
      <c r="AG549" s="44">
        <v>0</v>
      </c>
      <c r="AH549" s="44">
        <v>280</v>
      </c>
      <c r="AI549" s="44">
        <v>322</v>
      </c>
      <c r="AJ549" s="44">
        <v>0</v>
      </c>
      <c r="AK549" s="44">
        <v>0</v>
      </c>
      <c r="AL549" s="44">
        <v>318</v>
      </c>
      <c r="AM549" s="48"/>
      <c r="AN549" s="48"/>
      <c r="AO549" s="48"/>
      <c r="AP549" s="48"/>
      <c r="AQ549" s="48"/>
      <c r="AR549" s="43">
        <v>320</v>
      </c>
      <c r="AS549" s="43">
        <v>306</v>
      </c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43">
        <v>274</v>
      </c>
      <c r="BF549" s="43">
        <v>345</v>
      </c>
      <c r="BG549" s="43">
        <v>305</v>
      </c>
      <c r="BH549" s="43">
        <v>318</v>
      </c>
      <c r="BI549" s="43">
        <v>344</v>
      </c>
      <c r="BJ549" s="43">
        <v>278</v>
      </c>
      <c r="BK549" s="43">
        <v>334</v>
      </c>
      <c r="BL549" s="43">
        <v>288</v>
      </c>
      <c r="BM549" s="43">
        <v>277</v>
      </c>
      <c r="BN549" s="43">
        <v>342</v>
      </c>
      <c r="BO549" s="43">
        <v>303</v>
      </c>
      <c r="BP549" s="43">
        <v>304</v>
      </c>
      <c r="BQ549" s="43">
        <v>332</v>
      </c>
      <c r="BR549" s="43">
        <v>277</v>
      </c>
      <c r="BS549" s="43">
        <v>410</v>
      </c>
      <c r="BT549" s="43">
        <v>247</v>
      </c>
      <c r="BU549" s="43">
        <v>364</v>
      </c>
      <c r="BV549" s="43">
        <v>417</v>
      </c>
      <c r="BW549" s="43">
        <v>260</v>
      </c>
      <c r="BX549" s="43">
        <v>241</v>
      </c>
      <c r="BY549" s="43">
        <v>283</v>
      </c>
      <c r="BZ549" s="43">
        <v>253</v>
      </c>
      <c r="CA549" s="43">
        <v>383</v>
      </c>
      <c r="CB549" s="43">
        <v>241</v>
      </c>
      <c r="CC549" s="43">
        <v>253</v>
      </c>
      <c r="CD549" s="43">
        <v>375</v>
      </c>
      <c r="CE549" s="43">
        <v>246</v>
      </c>
      <c r="CF549" s="43">
        <v>253</v>
      </c>
      <c r="CG549" s="43">
        <v>251</v>
      </c>
      <c r="CH549" s="43">
        <v>217</v>
      </c>
      <c r="CI549" s="43">
        <v>163</v>
      </c>
      <c r="CJ549" s="43">
        <v>320</v>
      </c>
      <c r="CK549" s="43">
        <v>290</v>
      </c>
      <c r="CL549" s="43">
        <v>191</v>
      </c>
      <c r="CM549" s="43">
        <v>357</v>
      </c>
      <c r="CN549" s="43">
        <v>361</v>
      </c>
      <c r="CO549" s="43">
        <v>177</v>
      </c>
      <c r="CP549" s="43">
        <v>312</v>
      </c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44"/>
      <c r="GA549" s="53"/>
      <c r="GB549" s="53"/>
      <c r="GC549" s="53"/>
      <c r="GD549" s="53"/>
      <c r="GE549" s="53"/>
      <c r="GF549" s="53"/>
      <c r="GG549" s="53"/>
      <c r="GH549" s="53"/>
      <c r="GI549" s="43">
        <v>420</v>
      </c>
      <c r="GJ549" s="43">
        <v>227</v>
      </c>
      <c r="GK549" s="53"/>
      <c r="GL549" s="53"/>
      <c r="GM549" s="53"/>
      <c r="GN549" s="53"/>
      <c r="GO549" s="43">
        <v>459</v>
      </c>
      <c r="GP549" s="43">
        <v>180</v>
      </c>
      <c r="GQ549" s="43">
        <v>463</v>
      </c>
      <c r="GR549" s="43">
        <v>170</v>
      </c>
    </row>
    <row r="550" spans="1:200">
      <c r="A550" s="8">
        <v>9110</v>
      </c>
      <c r="B550" s="1" t="s">
        <v>678</v>
      </c>
      <c r="C550" s="33">
        <v>1261</v>
      </c>
      <c r="D550" s="34">
        <v>915</v>
      </c>
      <c r="E550" s="19">
        <f t="shared" si="8"/>
        <v>0.72561459159397301</v>
      </c>
      <c r="F550" s="62">
        <v>326</v>
      </c>
      <c r="G550" s="43">
        <v>2</v>
      </c>
      <c r="H550" s="43">
        <v>26</v>
      </c>
      <c r="I550" s="43">
        <v>5</v>
      </c>
      <c r="J550" s="55">
        <v>533</v>
      </c>
      <c r="K550" s="6">
        <v>0</v>
      </c>
      <c r="L550" s="6">
        <v>0</v>
      </c>
      <c r="M550" s="43">
        <v>0</v>
      </c>
      <c r="N550" s="25">
        <v>0</v>
      </c>
      <c r="O550" s="43">
        <v>0</v>
      </c>
      <c r="P550" s="43">
        <v>0</v>
      </c>
      <c r="Q550" s="43">
        <v>0</v>
      </c>
      <c r="R550" s="43">
        <v>0</v>
      </c>
      <c r="S550" s="43">
        <v>0</v>
      </c>
      <c r="T550" s="43">
        <v>0</v>
      </c>
      <c r="U550" s="43">
        <v>0</v>
      </c>
      <c r="V550" s="43">
        <v>0</v>
      </c>
      <c r="W550" s="43">
        <v>8</v>
      </c>
      <c r="X550" s="43">
        <v>0</v>
      </c>
      <c r="Y550" s="43">
        <v>0</v>
      </c>
      <c r="Z550" s="43">
        <v>0</v>
      </c>
      <c r="AA550" s="44">
        <v>0</v>
      </c>
      <c r="AB550" s="44">
        <v>0</v>
      </c>
      <c r="AC550" s="44">
        <v>11</v>
      </c>
      <c r="AD550" s="44">
        <v>11</v>
      </c>
      <c r="AE550" s="44">
        <v>620</v>
      </c>
      <c r="AF550" s="44">
        <v>7</v>
      </c>
      <c r="AG550" s="44">
        <v>0</v>
      </c>
      <c r="AH550" s="44">
        <v>240</v>
      </c>
      <c r="AI550" s="44">
        <v>590</v>
      </c>
      <c r="AJ550" s="44">
        <v>0</v>
      </c>
      <c r="AK550" s="44">
        <v>0</v>
      </c>
      <c r="AL550" s="44">
        <v>291</v>
      </c>
      <c r="AM550" s="48"/>
      <c r="AN550" s="48"/>
      <c r="AO550" s="48"/>
      <c r="AP550" s="48"/>
      <c r="AQ550" s="48"/>
      <c r="AR550" s="43">
        <v>588</v>
      </c>
      <c r="AS550" s="43">
        <v>266</v>
      </c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43">
        <v>519</v>
      </c>
      <c r="BF550" s="43">
        <v>336</v>
      </c>
      <c r="BG550" s="43">
        <v>577</v>
      </c>
      <c r="BH550" s="43">
        <v>286</v>
      </c>
      <c r="BI550" s="43">
        <v>603</v>
      </c>
      <c r="BJ550" s="43">
        <v>257</v>
      </c>
      <c r="BK550" s="43">
        <v>324</v>
      </c>
      <c r="BL550" s="43">
        <v>537</v>
      </c>
      <c r="BM550" s="43">
        <v>493</v>
      </c>
      <c r="BN550" s="43">
        <v>364</v>
      </c>
      <c r="BO550" s="43">
        <v>262</v>
      </c>
      <c r="BP550" s="43">
        <v>581</v>
      </c>
      <c r="BQ550" s="43">
        <v>601</v>
      </c>
      <c r="BR550" s="43">
        <v>245</v>
      </c>
      <c r="BS550" s="43">
        <v>665</v>
      </c>
      <c r="BT550" s="43">
        <v>472</v>
      </c>
      <c r="BU550" s="43">
        <v>371</v>
      </c>
      <c r="BV550" s="43">
        <v>648</v>
      </c>
      <c r="BW550" s="43">
        <v>487</v>
      </c>
      <c r="BX550" s="43">
        <v>241</v>
      </c>
      <c r="BY550" s="43">
        <v>550</v>
      </c>
      <c r="BZ550" s="43">
        <v>238</v>
      </c>
      <c r="CA550" s="43">
        <v>590</v>
      </c>
      <c r="CB550" s="43">
        <v>461</v>
      </c>
      <c r="CC550" s="43">
        <v>250</v>
      </c>
      <c r="CD550" s="43">
        <v>512</v>
      </c>
      <c r="CE550" s="43">
        <v>280</v>
      </c>
      <c r="CF550" s="43">
        <v>443</v>
      </c>
      <c r="CG550" s="43">
        <v>467</v>
      </c>
      <c r="CH550" s="43">
        <v>222</v>
      </c>
      <c r="CI550" s="43">
        <v>177</v>
      </c>
      <c r="CJ550" s="43">
        <v>532</v>
      </c>
      <c r="CK550" s="43">
        <v>461</v>
      </c>
      <c r="CL550" s="43">
        <v>238</v>
      </c>
      <c r="CM550" s="43">
        <v>579</v>
      </c>
      <c r="CN550" s="43">
        <v>577</v>
      </c>
      <c r="CO550" s="43">
        <v>221</v>
      </c>
      <c r="CP550" s="43">
        <v>481</v>
      </c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44"/>
      <c r="GA550" s="53"/>
      <c r="GB550" s="53"/>
      <c r="GC550" s="53"/>
      <c r="GD550" s="53"/>
      <c r="GE550" s="53"/>
      <c r="GF550" s="53"/>
      <c r="GG550" s="53"/>
      <c r="GH550" s="53"/>
      <c r="GI550" s="43">
        <v>65</v>
      </c>
      <c r="GJ550" s="43">
        <v>54</v>
      </c>
      <c r="GK550" s="53"/>
      <c r="GL550" s="53"/>
      <c r="GM550" s="53"/>
      <c r="GN550" s="53"/>
      <c r="GO550" s="43">
        <v>632</v>
      </c>
      <c r="GP550" s="43">
        <v>252</v>
      </c>
      <c r="GQ550" s="43">
        <v>635</v>
      </c>
      <c r="GR550" s="43">
        <v>245</v>
      </c>
    </row>
    <row r="551" spans="1:200">
      <c r="A551" s="8">
        <v>9111</v>
      </c>
      <c r="B551" s="1" t="s">
        <v>679</v>
      </c>
      <c r="C551" s="33">
        <v>385</v>
      </c>
      <c r="D551" s="34">
        <v>318</v>
      </c>
      <c r="E551" s="19">
        <f t="shared" si="8"/>
        <v>0.82597402597402603</v>
      </c>
      <c r="F551" s="62">
        <v>90</v>
      </c>
      <c r="G551" s="43">
        <v>0</v>
      </c>
      <c r="H551" s="43">
        <v>17</v>
      </c>
      <c r="I551" s="43">
        <v>3</v>
      </c>
      <c r="J551" s="55">
        <v>201</v>
      </c>
      <c r="K551" s="6">
        <v>0</v>
      </c>
      <c r="L551" s="6">
        <v>0</v>
      </c>
      <c r="M551" s="43">
        <v>0</v>
      </c>
      <c r="N551" s="25">
        <v>0</v>
      </c>
      <c r="O551" s="43">
        <v>0</v>
      </c>
      <c r="P551" s="43">
        <v>0</v>
      </c>
      <c r="Q551" s="43">
        <v>0</v>
      </c>
      <c r="R551" s="43">
        <v>0</v>
      </c>
      <c r="S551" s="43">
        <v>0</v>
      </c>
      <c r="T551" s="43">
        <v>0</v>
      </c>
      <c r="U551" s="43">
        <v>0</v>
      </c>
      <c r="V551" s="43">
        <v>0</v>
      </c>
      <c r="W551" s="43">
        <v>0</v>
      </c>
      <c r="X551" s="43">
        <v>0</v>
      </c>
      <c r="Y551" s="43">
        <v>0</v>
      </c>
      <c r="Z551" s="43">
        <v>0</v>
      </c>
      <c r="AA551" s="44">
        <v>0</v>
      </c>
      <c r="AB551" s="44">
        <v>0</v>
      </c>
      <c r="AC551" s="44">
        <v>1</v>
      </c>
      <c r="AD551" s="44">
        <v>5</v>
      </c>
      <c r="AE551" s="44">
        <v>244</v>
      </c>
      <c r="AF551" s="44">
        <v>3</v>
      </c>
      <c r="AG551" s="44">
        <v>0</v>
      </c>
      <c r="AH551" s="44">
        <v>55</v>
      </c>
      <c r="AI551" s="44">
        <v>243</v>
      </c>
      <c r="AJ551" s="44">
        <v>0</v>
      </c>
      <c r="AK551" s="44">
        <v>0</v>
      </c>
      <c r="AL551" s="44">
        <v>68</v>
      </c>
      <c r="AM551" s="48"/>
      <c r="AN551" s="48"/>
      <c r="AO551" s="48"/>
      <c r="AP551" s="48"/>
      <c r="AQ551" s="48"/>
      <c r="AR551" s="43">
        <v>244</v>
      </c>
      <c r="AS551" s="43">
        <v>59</v>
      </c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43">
        <v>206</v>
      </c>
      <c r="BF551" s="43">
        <v>98</v>
      </c>
      <c r="BG551" s="43">
        <v>231</v>
      </c>
      <c r="BH551" s="43">
        <v>72</v>
      </c>
      <c r="BI551" s="43">
        <v>246</v>
      </c>
      <c r="BJ551" s="43">
        <v>53</v>
      </c>
      <c r="BK551" s="43">
        <v>81</v>
      </c>
      <c r="BL551" s="43">
        <v>210</v>
      </c>
      <c r="BM551" s="43">
        <v>193</v>
      </c>
      <c r="BN551" s="43">
        <v>100</v>
      </c>
      <c r="BO551" s="43">
        <v>65</v>
      </c>
      <c r="BP551" s="43">
        <v>223</v>
      </c>
      <c r="BQ551" s="43">
        <v>237</v>
      </c>
      <c r="BR551" s="43">
        <v>58</v>
      </c>
      <c r="BS551" s="43">
        <v>234</v>
      </c>
      <c r="BT551" s="43">
        <v>186</v>
      </c>
      <c r="BU551" s="43">
        <v>104</v>
      </c>
      <c r="BV551" s="43">
        <v>219</v>
      </c>
      <c r="BW551" s="43">
        <v>159</v>
      </c>
      <c r="BX551" s="43">
        <v>87</v>
      </c>
      <c r="BY551" s="43">
        <v>196</v>
      </c>
      <c r="BZ551" s="43">
        <v>66</v>
      </c>
      <c r="CA551" s="43">
        <v>197</v>
      </c>
      <c r="CB551" s="43">
        <v>170</v>
      </c>
      <c r="CC551" s="43">
        <v>76</v>
      </c>
      <c r="CD551" s="43">
        <v>165</v>
      </c>
      <c r="CE551" s="43">
        <v>66</v>
      </c>
      <c r="CF551" s="43">
        <v>179</v>
      </c>
      <c r="CG551" s="43">
        <v>164</v>
      </c>
      <c r="CH551" s="43">
        <v>67</v>
      </c>
      <c r="CI551" s="43">
        <v>39</v>
      </c>
      <c r="CJ551" s="43">
        <v>200</v>
      </c>
      <c r="CK551" s="43">
        <v>158</v>
      </c>
      <c r="CL551" s="43">
        <v>82</v>
      </c>
      <c r="CM551" s="43">
        <v>198</v>
      </c>
      <c r="CN551" s="43">
        <v>199</v>
      </c>
      <c r="CO551" s="43">
        <v>55</v>
      </c>
      <c r="CP551" s="43">
        <v>185</v>
      </c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44"/>
      <c r="GA551" s="53"/>
      <c r="GB551" s="53"/>
      <c r="GC551" s="53"/>
      <c r="GD551" s="53"/>
      <c r="GE551" s="53"/>
      <c r="GF551" s="53"/>
      <c r="GG551" s="53"/>
      <c r="GH551" s="53"/>
      <c r="GI551" s="53"/>
      <c r="GJ551" s="53"/>
      <c r="GK551" s="53"/>
      <c r="GL551" s="53"/>
      <c r="GM551" s="53"/>
      <c r="GN551" s="53"/>
      <c r="GO551" s="43">
        <v>207</v>
      </c>
      <c r="GP551" s="43">
        <v>98</v>
      </c>
      <c r="GQ551" s="43">
        <v>193</v>
      </c>
      <c r="GR551" s="43">
        <v>110</v>
      </c>
    </row>
    <row r="552" spans="1:200">
      <c r="A552" s="8">
        <v>9112</v>
      </c>
      <c r="B552" s="1" t="s">
        <v>680</v>
      </c>
      <c r="C552" s="33">
        <v>1028</v>
      </c>
      <c r="D552" s="34">
        <v>870</v>
      </c>
      <c r="E552" s="19">
        <f t="shared" si="8"/>
        <v>0.84630350194552528</v>
      </c>
      <c r="F552" s="62">
        <v>336</v>
      </c>
      <c r="G552" s="43">
        <v>4</v>
      </c>
      <c r="H552" s="43">
        <v>35</v>
      </c>
      <c r="I552" s="43">
        <v>4</v>
      </c>
      <c r="J552" s="55">
        <v>455</v>
      </c>
      <c r="K552" s="6">
        <v>0</v>
      </c>
      <c r="L552" s="6">
        <v>0</v>
      </c>
      <c r="M552" s="43">
        <v>0</v>
      </c>
      <c r="N552" s="25">
        <v>0</v>
      </c>
      <c r="O552" s="43">
        <v>0</v>
      </c>
      <c r="P552" s="43">
        <v>0</v>
      </c>
      <c r="Q552" s="43">
        <v>0</v>
      </c>
      <c r="R552" s="43">
        <v>0</v>
      </c>
      <c r="S552" s="43">
        <v>0</v>
      </c>
      <c r="T552" s="43">
        <v>0</v>
      </c>
      <c r="U552" s="43">
        <v>0</v>
      </c>
      <c r="V552" s="43">
        <v>0</v>
      </c>
      <c r="W552" s="43">
        <v>5</v>
      </c>
      <c r="X552" s="43">
        <v>0</v>
      </c>
      <c r="Y552" s="43">
        <v>0</v>
      </c>
      <c r="Z552" s="43">
        <v>0</v>
      </c>
      <c r="AA552" s="44">
        <v>0</v>
      </c>
      <c r="AB552" s="44">
        <v>0</v>
      </c>
      <c r="AC552" s="44">
        <v>4</v>
      </c>
      <c r="AD552" s="44">
        <v>8</v>
      </c>
      <c r="AE552" s="44">
        <v>631</v>
      </c>
      <c r="AF552" s="44">
        <v>3</v>
      </c>
      <c r="AG552" s="44">
        <v>0</v>
      </c>
      <c r="AH552" s="44">
        <v>204</v>
      </c>
      <c r="AI552" s="44">
        <v>586</v>
      </c>
      <c r="AJ552" s="44">
        <v>0</v>
      </c>
      <c r="AK552" s="44">
        <v>0</v>
      </c>
      <c r="AL552" s="44">
        <v>258</v>
      </c>
      <c r="AM552" s="48"/>
      <c r="AN552" s="48"/>
      <c r="AO552" s="48"/>
      <c r="AP552" s="48"/>
      <c r="AQ552" s="48"/>
      <c r="AR552" s="43">
        <v>575</v>
      </c>
      <c r="AS552" s="43">
        <v>242</v>
      </c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43">
        <v>483</v>
      </c>
      <c r="BF552" s="43">
        <v>330</v>
      </c>
      <c r="BG552" s="43">
        <v>540</v>
      </c>
      <c r="BH552" s="43">
        <v>281</v>
      </c>
      <c r="BI552" s="43">
        <v>605</v>
      </c>
      <c r="BJ552" s="43">
        <v>217</v>
      </c>
      <c r="BK552" s="43">
        <v>308</v>
      </c>
      <c r="BL552" s="43">
        <v>498</v>
      </c>
      <c r="BM552" s="43">
        <v>469</v>
      </c>
      <c r="BN552" s="43">
        <v>330</v>
      </c>
      <c r="BO552" s="43">
        <v>259</v>
      </c>
      <c r="BP552" s="43">
        <v>533</v>
      </c>
      <c r="BQ552" s="43">
        <v>592</v>
      </c>
      <c r="BR552" s="43">
        <v>204</v>
      </c>
      <c r="BS552" s="43">
        <v>620</v>
      </c>
      <c r="BT552" s="43">
        <v>445</v>
      </c>
      <c r="BU552" s="43">
        <v>337</v>
      </c>
      <c r="BV552" s="43">
        <v>577</v>
      </c>
      <c r="BW552" s="43">
        <v>430</v>
      </c>
      <c r="BX552" s="43">
        <v>216</v>
      </c>
      <c r="BY552" s="43">
        <v>469</v>
      </c>
      <c r="BZ552" s="43">
        <v>243</v>
      </c>
      <c r="CA552" s="43">
        <v>530</v>
      </c>
      <c r="CB552" s="43">
        <v>423</v>
      </c>
      <c r="CC552" s="43">
        <v>231</v>
      </c>
      <c r="CD552" s="43">
        <v>471</v>
      </c>
      <c r="CE552" s="43">
        <v>248</v>
      </c>
      <c r="CF552" s="43">
        <v>416</v>
      </c>
      <c r="CG552" s="43">
        <v>449</v>
      </c>
      <c r="CH552" s="43">
        <v>177</v>
      </c>
      <c r="CI552" s="43">
        <v>140</v>
      </c>
      <c r="CJ552" s="43">
        <v>508</v>
      </c>
      <c r="CK552" s="43">
        <v>423</v>
      </c>
      <c r="CL552" s="43">
        <v>215</v>
      </c>
      <c r="CM552" s="43">
        <v>506</v>
      </c>
      <c r="CN552" s="43">
        <v>506</v>
      </c>
      <c r="CO552" s="43">
        <v>184</v>
      </c>
      <c r="CP552" s="43">
        <v>456</v>
      </c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44"/>
      <c r="GA552" s="53"/>
      <c r="GB552" s="53"/>
      <c r="GC552" s="53"/>
      <c r="GD552" s="53"/>
      <c r="GE552" s="53"/>
      <c r="GF552" s="53"/>
      <c r="GG552" s="53"/>
      <c r="GH552" s="53"/>
      <c r="GI552" s="43">
        <v>120</v>
      </c>
      <c r="GJ552" s="43">
        <v>72</v>
      </c>
      <c r="GK552" s="53"/>
      <c r="GL552" s="53"/>
      <c r="GM552" s="53"/>
      <c r="GN552" s="53"/>
      <c r="GO552" s="43">
        <v>568</v>
      </c>
      <c r="GP552" s="43">
        <v>255</v>
      </c>
      <c r="GQ552" s="43">
        <v>598</v>
      </c>
      <c r="GR552" s="43">
        <v>220</v>
      </c>
    </row>
    <row r="553" spans="1:200">
      <c r="A553" s="8">
        <v>9301</v>
      </c>
      <c r="B553" s="1" t="s">
        <v>681</v>
      </c>
      <c r="C553" s="33">
        <v>1140</v>
      </c>
      <c r="D553" s="34">
        <v>940</v>
      </c>
      <c r="E553" s="19">
        <f t="shared" si="8"/>
        <v>0.82456140350877194</v>
      </c>
      <c r="F553" s="62">
        <v>383</v>
      </c>
      <c r="G553" s="43">
        <v>3</v>
      </c>
      <c r="H553" s="43">
        <v>37</v>
      </c>
      <c r="I553" s="43">
        <v>5</v>
      </c>
      <c r="J553" s="55">
        <v>474</v>
      </c>
      <c r="K553" s="6">
        <v>0</v>
      </c>
      <c r="L553" s="6">
        <v>0</v>
      </c>
      <c r="M553" s="43">
        <v>0</v>
      </c>
      <c r="N553" s="25">
        <v>0</v>
      </c>
      <c r="O553" s="43">
        <v>0</v>
      </c>
      <c r="P553" s="43">
        <v>0</v>
      </c>
      <c r="Q553" s="43">
        <v>0</v>
      </c>
      <c r="R553" s="43">
        <v>0</v>
      </c>
      <c r="S553" s="43">
        <v>0</v>
      </c>
      <c r="T553" s="43">
        <v>0</v>
      </c>
      <c r="U553" s="43">
        <v>0</v>
      </c>
      <c r="V553" s="43">
        <v>0</v>
      </c>
      <c r="W553" s="43">
        <v>6</v>
      </c>
      <c r="X553" s="43">
        <v>0</v>
      </c>
      <c r="Y553" s="43">
        <v>0</v>
      </c>
      <c r="Z553" s="43">
        <v>0</v>
      </c>
      <c r="AA553" s="44">
        <v>0</v>
      </c>
      <c r="AB553" s="44">
        <v>0</v>
      </c>
      <c r="AC553" s="44">
        <v>6</v>
      </c>
      <c r="AD553" s="44">
        <v>8</v>
      </c>
      <c r="AE553" s="44">
        <v>714</v>
      </c>
      <c r="AF553" s="44">
        <v>3</v>
      </c>
      <c r="AG553" s="44">
        <v>0</v>
      </c>
      <c r="AH553" s="44">
        <v>199</v>
      </c>
      <c r="AI553" s="32"/>
      <c r="AJ553" s="32"/>
      <c r="AK553" s="32"/>
      <c r="AL553" s="32"/>
      <c r="AM553" s="44">
        <v>15</v>
      </c>
      <c r="AN553" s="44">
        <v>223</v>
      </c>
      <c r="AO553" s="44">
        <v>660</v>
      </c>
      <c r="AP553" s="48"/>
      <c r="AQ553" s="48"/>
      <c r="AR553" s="43">
        <v>612</v>
      </c>
      <c r="AS553" s="43">
        <v>263</v>
      </c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43">
        <v>526</v>
      </c>
      <c r="BF553" s="43">
        <v>346</v>
      </c>
      <c r="BG553" s="43">
        <v>578</v>
      </c>
      <c r="BH553" s="43">
        <v>314</v>
      </c>
      <c r="BI553" s="43">
        <v>640</v>
      </c>
      <c r="BJ553" s="43">
        <v>241</v>
      </c>
      <c r="BK553" s="43">
        <v>335</v>
      </c>
      <c r="BL553" s="43">
        <v>535</v>
      </c>
      <c r="BM553" s="43">
        <v>520</v>
      </c>
      <c r="BN553" s="43">
        <v>332</v>
      </c>
      <c r="BO553" s="43">
        <v>282</v>
      </c>
      <c r="BP553" s="43">
        <v>560</v>
      </c>
      <c r="BQ553" s="43">
        <v>654</v>
      </c>
      <c r="BR553" s="43">
        <v>206</v>
      </c>
      <c r="BS553" s="43">
        <v>653</v>
      </c>
      <c r="BT553" s="43">
        <v>457</v>
      </c>
      <c r="BU553" s="43">
        <v>379</v>
      </c>
      <c r="BV553" s="43">
        <v>625</v>
      </c>
      <c r="BW553" s="43">
        <v>435</v>
      </c>
      <c r="BX553" s="43">
        <v>252</v>
      </c>
      <c r="BY553" s="43">
        <v>466</v>
      </c>
      <c r="BZ553" s="43">
        <v>278</v>
      </c>
      <c r="CA553" s="43">
        <v>552</v>
      </c>
      <c r="CB553" s="43">
        <v>548</v>
      </c>
      <c r="CC553" s="43">
        <v>193</v>
      </c>
      <c r="CD553" s="43">
        <v>500</v>
      </c>
      <c r="CE553" s="43">
        <v>282</v>
      </c>
      <c r="CF553" s="43">
        <v>399</v>
      </c>
      <c r="CG553" s="43">
        <v>470</v>
      </c>
      <c r="CH553" s="43">
        <v>184</v>
      </c>
      <c r="CI553" s="43">
        <v>134</v>
      </c>
      <c r="CJ553" s="43">
        <v>518</v>
      </c>
      <c r="CK553" s="43">
        <v>400</v>
      </c>
      <c r="CL553" s="43">
        <v>241</v>
      </c>
      <c r="CM553" s="43">
        <v>524</v>
      </c>
      <c r="CN553" s="43">
        <v>526</v>
      </c>
      <c r="CO553" s="43">
        <v>174</v>
      </c>
      <c r="CP553" s="43">
        <v>475</v>
      </c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43">
        <v>694</v>
      </c>
      <c r="ET553" s="43">
        <v>208</v>
      </c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44"/>
      <c r="GA553" s="53"/>
      <c r="GB553" s="53"/>
      <c r="GC553" s="53"/>
      <c r="GD553" s="53"/>
      <c r="GE553" s="53"/>
      <c r="GF553" s="53"/>
      <c r="GG553" s="53"/>
      <c r="GH553" s="53"/>
      <c r="GI553" s="43"/>
      <c r="GJ553" s="53"/>
      <c r="GK553" s="53"/>
      <c r="GL553" s="53"/>
      <c r="GM553" s="53"/>
      <c r="GN553" s="53"/>
      <c r="GO553" s="43">
        <v>700</v>
      </c>
      <c r="GP553" s="43">
        <v>196</v>
      </c>
      <c r="GQ553" s="43">
        <v>673</v>
      </c>
      <c r="GR553" s="43">
        <v>230</v>
      </c>
    </row>
    <row r="554" spans="1:200">
      <c r="A554" s="8">
        <v>9302</v>
      </c>
      <c r="B554" s="1" t="s">
        <v>682</v>
      </c>
      <c r="C554" s="33">
        <v>645</v>
      </c>
      <c r="D554" s="34">
        <v>540</v>
      </c>
      <c r="E554" s="19">
        <f t="shared" si="8"/>
        <v>0.83720930232558144</v>
      </c>
      <c r="F554" s="62">
        <v>227</v>
      </c>
      <c r="G554" s="43">
        <v>3</v>
      </c>
      <c r="H554" s="43">
        <v>23</v>
      </c>
      <c r="I554" s="43">
        <v>0</v>
      </c>
      <c r="J554" s="55">
        <v>256</v>
      </c>
      <c r="K554" s="6">
        <v>0</v>
      </c>
      <c r="L554" s="6">
        <v>0</v>
      </c>
      <c r="M554" s="43">
        <v>0</v>
      </c>
      <c r="N554" s="25">
        <v>0</v>
      </c>
      <c r="O554" s="43">
        <v>0</v>
      </c>
      <c r="P554" s="43">
        <v>0</v>
      </c>
      <c r="Q554" s="43">
        <v>0</v>
      </c>
      <c r="R554" s="43">
        <v>0</v>
      </c>
      <c r="S554" s="43">
        <v>0</v>
      </c>
      <c r="T554" s="43">
        <v>0</v>
      </c>
      <c r="U554" s="43">
        <v>0</v>
      </c>
      <c r="V554" s="43">
        <v>0</v>
      </c>
      <c r="W554" s="43">
        <v>7</v>
      </c>
      <c r="X554" s="43">
        <v>0</v>
      </c>
      <c r="Y554" s="43">
        <v>0</v>
      </c>
      <c r="Z554" s="43">
        <v>0</v>
      </c>
      <c r="AA554" s="44">
        <v>0</v>
      </c>
      <c r="AB554" s="44">
        <v>0</v>
      </c>
      <c r="AC554" s="44">
        <v>1</v>
      </c>
      <c r="AD554" s="44">
        <v>2</v>
      </c>
      <c r="AE554" s="44">
        <v>433</v>
      </c>
      <c r="AF554" s="44">
        <v>2</v>
      </c>
      <c r="AG554" s="44">
        <v>0</v>
      </c>
      <c r="AH554" s="44">
        <v>94</v>
      </c>
      <c r="AI554" s="32"/>
      <c r="AJ554" s="32"/>
      <c r="AK554" s="32"/>
      <c r="AL554" s="32"/>
      <c r="AM554" s="44">
        <v>8</v>
      </c>
      <c r="AN554" s="44">
        <v>119</v>
      </c>
      <c r="AO554" s="44">
        <v>389</v>
      </c>
      <c r="AP554" s="48"/>
      <c r="AQ554" s="48"/>
      <c r="AR554" s="43">
        <v>359</v>
      </c>
      <c r="AS554" s="43">
        <v>144</v>
      </c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43">
        <v>308</v>
      </c>
      <c r="BF554" s="43">
        <v>186</v>
      </c>
      <c r="BG554" s="43">
        <v>342</v>
      </c>
      <c r="BH554" s="43">
        <v>161</v>
      </c>
      <c r="BI554" s="43">
        <v>377</v>
      </c>
      <c r="BJ554" s="43">
        <v>126</v>
      </c>
      <c r="BK554" s="43">
        <v>182</v>
      </c>
      <c r="BL554" s="43">
        <v>316</v>
      </c>
      <c r="BM554" s="43">
        <v>315</v>
      </c>
      <c r="BN554" s="43">
        <v>181</v>
      </c>
      <c r="BO554" s="43">
        <v>149</v>
      </c>
      <c r="BP554" s="43">
        <v>332</v>
      </c>
      <c r="BQ554" s="43">
        <v>374</v>
      </c>
      <c r="BR554" s="43">
        <v>110</v>
      </c>
      <c r="BS554" s="43">
        <v>378</v>
      </c>
      <c r="BT554" s="43">
        <v>259</v>
      </c>
      <c r="BU554" s="43">
        <v>226</v>
      </c>
      <c r="BV554" s="43">
        <v>354</v>
      </c>
      <c r="BW554" s="43">
        <v>233</v>
      </c>
      <c r="BX554" s="43">
        <v>135</v>
      </c>
      <c r="BY554" s="43">
        <v>273</v>
      </c>
      <c r="BZ554" s="43">
        <v>150</v>
      </c>
      <c r="CA554" s="43">
        <v>309</v>
      </c>
      <c r="CB554" s="43">
        <v>328</v>
      </c>
      <c r="CC554" s="43">
        <v>97</v>
      </c>
      <c r="CD554" s="43">
        <v>273</v>
      </c>
      <c r="CE554" s="43">
        <v>149</v>
      </c>
      <c r="CF554" s="43">
        <v>226</v>
      </c>
      <c r="CG554" s="43">
        <v>267</v>
      </c>
      <c r="CH554" s="43">
        <v>99</v>
      </c>
      <c r="CI554" s="43">
        <v>68</v>
      </c>
      <c r="CJ554" s="43">
        <v>290</v>
      </c>
      <c r="CK554" s="43">
        <v>229</v>
      </c>
      <c r="CL554" s="43">
        <v>118</v>
      </c>
      <c r="CM554" s="43">
        <v>274</v>
      </c>
      <c r="CN554" s="43">
        <v>281</v>
      </c>
      <c r="CO554" s="43">
        <v>85</v>
      </c>
      <c r="CP554" s="43">
        <v>257</v>
      </c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43">
        <v>430</v>
      </c>
      <c r="ET554" s="43">
        <v>89</v>
      </c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44"/>
      <c r="GA554" s="53"/>
      <c r="GB554" s="53"/>
      <c r="GC554" s="53"/>
      <c r="GD554" s="53"/>
      <c r="GE554" s="53"/>
      <c r="GF554" s="53"/>
      <c r="GG554" s="53"/>
      <c r="GH554" s="53"/>
      <c r="GI554" s="43"/>
      <c r="GJ554" s="53"/>
      <c r="GK554" s="53"/>
      <c r="GL554" s="53"/>
      <c r="GM554" s="53"/>
      <c r="GN554" s="53"/>
      <c r="GO554" s="43">
        <v>412</v>
      </c>
      <c r="GP554" s="43">
        <v>102</v>
      </c>
      <c r="GQ554" s="43">
        <v>400</v>
      </c>
      <c r="GR554" s="43">
        <v>114</v>
      </c>
    </row>
    <row r="555" spans="1:200">
      <c r="A555" s="8">
        <v>9501</v>
      </c>
      <c r="B555" s="1" t="s">
        <v>683</v>
      </c>
      <c r="C555" s="33">
        <v>1611</v>
      </c>
      <c r="D555" s="34">
        <v>1144</v>
      </c>
      <c r="E555" s="19">
        <f t="shared" si="8"/>
        <v>0.71011793916821853</v>
      </c>
      <c r="F555" s="62">
        <v>227</v>
      </c>
      <c r="G555" s="43">
        <v>4</v>
      </c>
      <c r="H555" s="43">
        <v>36</v>
      </c>
      <c r="I555" s="43">
        <v>5</v>
      </c>
      <c r="J555" s="55">
        <v>858</v>
      </c>
      <c r="K555" s="6">
        <v>0</v>
      </c>
      <c r="L555" s="6">
        <v>0</v>
      </c>
      <c r="M555" s="43">
        <v>0</v>
      </c>
      <c r="N555" s="25">
        <v>0</v>
      </c>
      <c r="O555" s="43">
        <v>0</v>
      </c>
      <c r="P555" s="43">
        <v>0</v>
      </c>
      <c r="Q555" s="43">
        <v>0</v>
      </c>
      <c r="R555" s="43">
        <v>0</v>
      </c>
      <c r="S555" s="43">
        <v>0</v>
      </c>
      <c r="T555" s="43">
        <v>0</v>
      </c>
      <c r="U555" s="43">
        <v>0</v>
      </c>
      <c r="V555" s="43">
        <v>0</v>
      </c>
      <c r="W555" s="43">
        <v>3</v>
      </c>
      <c r="X555" s="43">
        <v>0</v>
      </c>
      <c r="Y555" s="43">
        <v>0</v>
      </c>
      <c r="Z555" s="43">
        <v>0</v>
      </c>
      <c r="AA555" s="44">
        <v>0</v>
      </c>
      <c r="AB555" s="44">
        <v>0</v>
      </c>
      <c r="AC555" s="44">
        <v>21</v>
      </c>
      <c r="AD555" s="44">
        <v>23</v>
      </c>
      <c r="AE555" s="44">
        <v>881</v>
      </c>
      <c r="AF555" s="44">
        <v>14</v>
      </c>
      <c r="AG555" s="44">
        <v>0</v>
      </c>
      <c r="AH555" s="44">
        <v>158</v>
      </c>
      <c r="AI555" s="44">
        <v>871</v>
      </c>
      <c r="AJ555" s="44">
        <v>0</v>
      </c>
      <c r="AK555" s="44">
        <v>0</v>
      </c>
      <c r="AL555" s="44">
        <v>234</v>
      </c>
      <c r="AM555" s="48"/>
      <c r="AN555" s="48"/>
      <c r="AO555" s="48"/>
      <c r="AP555" s="44">
        <v>250</v>
      </c>
      <c r="AQ555" s="44">
        <v>785</v>
      </c>
      <c r="AR555" s="51"/>
      <c r="AS555" s="51"/>
      <c r="AT555" s="51"/>
      <c r="AU555" s="51"/>
      <c r="AV555" s="43">
        <v>826</v>
      </c>
      <c r="AW555" s="50"/>
      <c r="AX555" s="50"/>
      <c r="AY555" s="50"/>
      <c r="AZ555" s="50"/>
      <c r="BA555" s="50"/>
      <c r="BB555" s="50"/>
      <c r="BC555" s="50"/>
      <c r="BD555" s="50"/>
      <c r="BE555" s="43">
        <v>678</v>
      </c>
      <c r="BF555" s="43">
        <v>380</v>
      </c>
      <c r="BG555" s="43">
        <v>830</v>
      </c>
      <c r="BH555" s="43">
        <v>242</v>
      </c>
      <c r="BI555" s="43">
        <v>831</v>
      </c>
      <c r="BJ555" s="43">
        <v>239</v>
      </c>
      <c r="BK555" s="43">
        <v>290</v>
      </c>
      <c r="BL555" s="43">
        <v>769</v>
      </c>
      <c r="BM555" s="43">
        <v>545</v>
      </c>
      <c r="BN555" s="43">
        <v>535</v>
      </c>
      <c r="BO555" s="43">
        <v>225</v>
      </c>
      <c r="BP555" s="43">
        <v>815</v>
      </c>
      <c r="BQ555" s="43">
        <v>882</v>
      </c>
      <c r="BR555" s="43">
        <v>185</v>
      </c>
      <c r="BS555" s="43">
        <v>857</v>
      </c>
      <c r="BT555" s="43">
        <v>658</v>
      </c>
      <c r="BU555" s="43">
        <v>376</v>
      </c>
      <c r="BV555" s="43">
        <v>752</v>
      </c>
      <c r="BW555" s="43">
        <v>499</v>
      </c>
      <c r="BX555" s="43">
        <v>344</v>
      </c>
      <c r="BY555" s="43">
        <v>720</v>
      </c>
      <c r="BZ555" s="43">
        <v>208</v>
      </c>
      <c r="CA555" s="43">
        <v>682</v>
      </c>
      <c r="CB555" s="43">
        <v>511</v>
      </c>
      <c r="CC555" s="43">
        <v>295</v>
      </c>
      <c r="CD555" s="43">
        <v>641</v>
      </c>
      <c r="CE555" s="43">
        <v>258</v>
      </c>
      <c r="CF555" s="43">
        <v>597</v>
      </c>
      <c r="CG555" s="43">
        <v>525</v>
      </c>
      <c r="CH555" s="43">
        <v>262</v>
      </c>
      <c r="CI555" s="43">
        <v>169</v>
      </c>
      <c r="CJ555" s="43">
        <v>644</v>
      </c>
      <c r="CK555" s="43">
        <v>503</v>
      </c>
      <c r="CL555" s="43">
        <v>328</v>
      </c>
      <c r="CM555" s="43">
        <v>685</v>
      </c>
      <c r="CN555" s="43">
        <v>674</v>
      </c>
      <c r="CO555" s="43">
        <v>274</v>
      </c>
      <c r="CP555" s="43">
        <v>549</v>
      </c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44"/>
      <c r="GA555" s="53"/>
      <c r="GB555" s="53"/>
      <c r="GC555" s="53"/>
      <c r="GD555" s="53"/>
      <c r="GE555" s="53"/>
      <c r="GF555" s="53"/>
      <c r="GG555" s="53"/>
      <c r="GH555" s="53"/>
      <c r="GI555" s="43"/>
      <c r="GJ555" s="53"/>
      <c r="GK555" s="53"/>
      <c r="GL555" s="53"/>
      <c r="GM555" s="53"/>
      <c r="GN555" s="53"/>
      <c r="GO555" s="43">
        <v>571</v>
      </c>
      <c r="GP555" s="43">
        <v>536</v>
      </c>
      <c r="GQ555" s="43">
        <v>551</v>
      </c>
      <c r="GR555" s="43">
        <v>548</v>
      </c>
    </row>
    <row r="556" spans="1:200">
      <c r="A556" s="8">
        <v>9502</v>
      </c>
      <c r="B556" s="1" t="s">
        <v>684</v>
      </c>
      <c r="C556" s="33">
        <v>1182</v>
      </c>
      <c r="D556" s="34">
        <v>886</v>
      </c>
      <c r="E556" s="19">
        <f t="shared" si="8"/>
        <v>0.74957698815566831</v>
      </c>
      <c r="F556" s="62">
        <v>155</v>
      </c>
      <c r="G556" s="43">
        <v>5</v>
      </c>
      <c r="H556" s="43">
        <v>21</v>
      </c>
      <c r="I556" s="43">
        <v>13</v>
      </c>
      <c r="J556" s="55">
        <v>670</v>
      </c>
      <c r="K556" s="6">
        <v>0</v>
      </c>
      <c r="L556" s="6">
        <v>0</v>
      </c>
      <c r="M556" s="43">
        <v>0</v>
      </c>
      <c r="N556" s="25">
        <v>0</v>
      </c>
      <c r="O556" s="43">
        <v>0</v>
      </c>
      <c r="P556" s="43">
        <v>0</v>
      </c>
      <c r="Q556" s="43">
        <v>0</v>
      </c>
      <c r="R556" s="43">
        <v>0</v>
      </c>
      <c r="S556" s="43">
        <v>0</v>
      </c>
      <c r="T556" s="43">
        <v>0</v>
      </c>
      <c r="U556" s="43">
        <v>0</v>
      </c>
      <c r="V556" s="43">
        <v>0</v>
      </c>
      <c r="W556" s="43">
        <v>6</v>
      </c>
      <c r="X556" s="43">
        <v>0</v>
      </c>
      <c r="Y556" s="43">
        <v>0</v>
      </c>
      <c r="Z556" s="43">
        <v>0</v>
      </c>
      <c r="AA556" s="44">
        <v>0</v>
      </c>
      <c r="AB556" s="44">
        <v>0</v>
      </c>
      <c r="AC556" s="44">
        <v>7</v>
      </c>
      <c r="AD556" s="44">
        <v>9</v>
      </c>
      <c r="AE556" s="44">
        <v>698</v>
      </c>
      <c r="AF556" s="44">
        <v>15</v>
      </c>
      <c r="AG556" s="44">
        <v>0</v>
      </c>
      <c r="AH556" s="44">
        <v>128</v>
      </c>
      <c r="AI556" s="44">
        <v>694</v>
      </c>
      <c r="AJ556" s="44">
        <v>0</v>
      </c>
      <c r="AK556" s="44">
        <v>0</v>
      </c>
      <c r="AL556" s="44">
        <v>157</v>
      </c>
      <c r="AM556" s="48"/>
      <c r="AN556" s="48"/>
      <c r="AO556" s="48"/>
      <c r="AP556" s="44">
        <v>169</v>
      </c>
      <c r="AQ556" s="44">
        <v>632</v>
      </c>
      <c r="AR556" s="51"/>
      <c r="AS556" s="51"/>
      <c r="AT556" s="51"/>
      <c r="AU556" s="51"/>
      <c r="AV556" s="43">
        <v>641</v>
      </c>
      <c r="AW556" s="50"/>
      <c r="AX556" s="50"/>
      <c r="AY556" s="50"/>
      <c r="AZ556" s="50"/>
      <c r="BA556" s="50"/>
      <c r="BB556" s="50"/>
      <c r="BC556" s="50"/>
      <c r="BD556" s="50"/>
      <c r="BE556" s="43">
        <v>521</v>
      </c>
      <c r="BF556" s="43">
        <v>284</v>
      </c>
      <c r="BG556" s="43">
        <v>647</v>
      </c>
      <c r="BH556" s="43">
        <v>177</v>
      </c>
      <c r="BI556" s="43">
        <v>666</v>
      </c>
      <c r="BJ556" s="43">
        <v>158</v>
      </c>
      <c r="BK556" s="43">
        <v>215</v>
      </c>
      <c r="BL556" s="43">
        <v>604</v>
      </c>
      <c r="BM556" s="43">
        <v>471</v>
      </c>
      <c r="BN556" s="43">
        <v>351</v>
      </c>
      <c r="BO556" s="43">
        <v>162</v>
      </c>
      <c r="BP556" s="43">
        <v>634</v>
      </c>
      <c r="BQ556" s="43">
        <v>682</v>
      </c>
      <c r="BR556" s="43">
        <v>124</v>
      </c>
      <c r="BS556" s="43">
        <v>668</v>
      </c>
      <c r="BT556" s="43">
        <v>516</v>
      </c>
      <c r="BU556" s="43">
        <v>258</v>
      </c>
      <c r="BV556" s="43">
        <v>583</v>
      </c>
      <c r="BW556" s="43">
        <v>427</v>
      </c>
      <c r="BX556" s="43">
        <v>229</v>
      </c>
      <c r="BY556" s="43">
        <v>558</v>
      </c>
      <c r="BZ556" s="43">
        <v>149</v>
      </c>
      <c r="CA556" s="43">
        <v>548</v>
      </c>
      <c r="CB556" s="43">
        <v>450</v>
      </c>
      <c r="CC556" s="43">
        <v>173</v>
      </c>
      <c r="CD556" s="43">
        <v>479</v>
      </c>
      <c r="CE556" s="43">
        <v>172</v>
      </c>
      <c r="CF556" s="43">
        <v>499</v>
      </c>
      <c r="CG556" s="43">
        <v>450</v>
      </c>
      <c r="CH556" s="43">
        <v>168</v>
      </c>
      <c r="CI556" s="43">
        <v>118</v>
      </c>
      <c r="CJ556" s="43">
        <v>531</v>
      </c>
      <c r="CK556" s="43">
        <v>442</v>
      </c>
      <c r="CL556" s="43">
        <v>199</v>
      </c>
      <c r="CM556" s="43">
        <v>536</v>
      </c>
      <c r="CN556" s="43">
        <v>531</v>
      </c>
      <c r="CO556" s="43">
        <v>164</v>
      </c>
      <c r="CP556" s="43">
        <v>478</v>
      </c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44"/>
      <c r="GA556" s="53"/>
      <c r="GB556" s="53"/>
      <c r="GC556" s="53"/>
      <c r="GD556" s="53"/>
      <c r="GE556" s="53"/>
      <c r="GF556" s="53"/>
      <c r="GG556" s="53"/>
      <c r="GH556" s="53"/>
      <c r="GI556" s="43"/>
      <c r="GJ556" s="53"/>
      <c r="GK556" s="53"/>
      <c r="GL556" s="53"/>
      <c r="GM556" s="53"/>
      <c r="GN556" s="53"/>
      <c r="GO556" s="43">
        <v>528</v>
      </c>
      <c r="GP556" s="43">
        <v>315</v>
      </c>
      <c r="GQ556" s="43">
        <v>479</v>
      </c>
      <c r="GR556" s="43">
        <v>351</v>
      </c>
    </row>
    <row r="557" spans="1:200">
      <c r="A557" s="8">
        <v>9503</v>
      </c>
      <c r="B557" s="1" t="s">
        <v>685</v>
      </c>
      <c r="C557" s="33">
        <v>561</v>
      </c>
      <c r="D557" s="34">
        <v>343</v>
      </c>
      <c r="E557" s="19">
        <f t="shared" si="8"/>
        <v>0.6114081996434938</v>
      </c>
      <c r="F557" s="62">
        <v>59</v>
      </c>
      <c r="G557" s="43">
        <v>0</v>
      </c>
      <c r="H557" s="43">
        <v>8</v>
      </c>
      <c r="I557" s="43">
        <v>2</v>
      </c>
      <c r="J557" s="55">
        <v>271</v>
      </c>
      <c r="K557" s="6">
        <v>0</v>
      </c>
      <c r="L557" s="6">
        <v>0</v>
      </c>
      <c r="M557" s="43">
        <v>0</v>
      </c>
      <c r="N557" s="25">
        <v>0</v>
      </c>
      <c r="O557" s="43">
        <v>0</v>
      </c>
      <c r="P557" s="43">
        <v>0</v>
      </c>
      <c r="Q557" s="43">
        <v>0</v>
      </c>
      <c r="R557" s="43">
        <v>0</v>
      </c>
      <c r="S557" s="43">
        <v>0</v>
      </c>
      <c r="T557" s="43">
        <v>0</v>
      </c>
      <c r="U557" s="43">
        <v>0</v>
      </c>
      <c r="V557" s="43">
        <v>0</v>
      </c>
      <c r="W557" s="43">
        <v>0</v>
      </c>
      <c r="X557" s="43">
        <v>0</v>
      </c>
      <c r="Y557" s="43">
        <v>0</v>
      </c>
      <c r="Z557" s="43">
        <v>0</v>
      </c>
      <c r="AA557" s="44">
        <v>0</v>
      </c>
      <c r="AB557" s="44">
        <v>0</v>
      </c>
      <c r="AC557" s="44">
        <v>4</v>
      </c>
      <c r="AD557" s="44">
        <v>5</v>
      </c>
      <c r="AE557" s="44">
        <v>261</v>
      </c>
      <c r="AF557" s="44">
        <v>3</v>
      </c>
      <c r="AG557" s="44">
        <v>0</v>
      </c>
      <c r="AH557" s="44">
        <v>56</v>
      </c>
      <c r="AI557" s="44">
        <v>265</v>
      </c>
      <c r="AJ557" s="44">
        <v>0</v>
      </c>
      <c r="AK557" s="44">
        <v>0</v>
      </c>
      <c r="AL557" s="44">
        <v>63</v>
      </c>
      <c r="AM557" s="48"/>
      <c r="AN557" s="48"/>
      <c r="AO557" s="48"/>
      <c r="AP557" s="44">
        <v>71</v>
      </c>
      <c r="AQ557" s="44">
        <v>241</v>
      </c>
      <c r="AR557" s="51"/>
      <c r="AS557" s="51"/>
      <c r="AT557" s="51"/>
      <c r="AU557" s="51"/>
      <c r="AV557" s="43">
        <v>248</v>
      </c>
      <c r="AW557" s="50"/>
      <c r="AX557" s="50"/>
      <c r="AY557" s="50"/>
      <c r="AZ557" s="50"/>
      <c r="BA557" s="50"/>
      <c r="BB557" s="50"/>
      <c r="BC557" s="50"/>
      <c r="BD557" s="50"/>
      <c r="BE557" s="43">
        <v>221</v>
      </c>
      <c r="BF557" s="43">
        <v>89</v>
      </c>
      <c r="BG557" s="43">
        <v>260</v>
      </c>
      <c r="BH557" s="43">
        <v>57</v>
      </c>
      <c r="BI557" s="43">
        <v>266</v>
      </c>
      <c r="BJ557" s="43">
        <v>51</v>
      </c>
      <c r="BK557" s="43">
        <v>70</v>
      </c>
      <c r="BL557" s="43">
        <v>249</v>
      </c>
      <c r="BM557" s="43">
        <v>185</v>
      </c>
      <c r="BN557" s="43">
        <v>141</v>
      </c>
      <c r="BO557" s="43">
        <v>64</v>
      </c>
      <c r="BP557" s="43">
        <v>247</v>
      </c>
      <c r="BQ557" s="43">
        <v>265</v>
      </c>
      <c r="BR557" s="43">
        <v>51</v>
      </c>
      <c r="BS557" s="43">
        <v>256</v>
      </c>
      <c r="BT557" s="43">
        <v>208</v>
      </c>
      <c r="BU557" s="43">
        <v>98</v>
      </c>
      <c r="BV557" s="43">
        <v>229</v>
      </c>
      <c r="BW557" s="43">
        <v>159</v>
      </c>
      <c r="BX557" s="43">
        <v>90</v>
      </c>
      <c r="BY557" s="43">
        <v>227</v>
      </c>
      <c r="BZ557" s="43">
        <v>54</v>
      </c>
      <c r="CA557" s="43">
        <v>210</v>
      </c>
      <c r="CB557" s="43">
        <v>173</v>
      </c>
      <c r="CC557" s="43">
        <v>71</v>
      </c>
      <c r="CD557" s="43">
        <v>172</v>
      </c>
      <c r="CE557" s="43">
        <v>66</v>
      </c>
      <c r="CF557" s="43">
        <v>187</v>
      </c>
      <c r="CG557" s="43">
        <v>160</v>
      </c>
      <c r="CH557" s="43">
        <v>71</v>
      </c>
      <c r="CI557" s="43">
        <v>35</v>
      </c>
      <c r="CJ557" s="43">
        <v>205</v>
      </c>
      <c r="CK557" s="43">
        <v>163</v>
      </c>
      <c r="CL557" s="43">
        <v>75</v>
      </c>
      <c r="CM557" s="43">
        <v>198</v>
      </c>
      <c r="CN557" s="43">
        <v>195</v>
      </c>
      <c r="CO557" s="43">
        <v>73</v>
      </c>
      <c r="CP557" s="43">
        <v>170</v>
      </c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44"/>
      <c r="GA557" s="53"/>
      <c r="GB557" s="53"/>
      <c r="GC557" s="53"/>
      <c r="GD557" s="53"/>
      <c r="GE557" s="53"/>
      <c r="GF557" s="53"/>
      <c r="GG557" s="53"/>
      <c r="GH557" s="53"/>
      <c r="GI557" s="43"/>
      <c r="GJ557" s="53"/>
      <c r="GK557" s="53"/>
      <c r="GL557" s="53"/>
      <c r="GM557" s="53"/>
      <c r="GN557" s="53"/>
      <c r="GO557" s="43">
        <v>186</v>
      </c>
      <c r="GP557" s="43">
        <v>135</v>
      </c>
      <c r="GQ557" s="43">
        <v>184</v>
      </c>
      <c r="GR557" s="43">
        <v>136</v>
      </c>
    </row>
    <row r="558" spans="1:200">
      <c r="A558" s="8">
        <v>9701</v>
      </c>
      <c r="B558" s="1" t="s">
        <v>686</v>
      </c>
      <c r="C558" s="33">
        <v>1062</v>
      </c>
      <c r="D558" s="34">
        <v>742</v>
      </c>
      <c r="E558" s="19">
        <f t="shared" si="8"/>
        <v>0.69868173258003763</v>
      </c>
      <c r="F558" s="62">
        <v>622</v>
      </c>
      <c r="G558" s="43">
        <v>0</v>
      </c>
      <c r="H558" s="43">
        <v>10</v>
      </c>
      <c r="I558" s="43">
        <v>12</v>
      </c>
      <c r="J558" s="55">
        <v>85</v>
      </c>
      <c r="K558" s="6">
        <v>0</v>
      </c>
      <c r="L558" s="6">
        <v>0</v>
      </c>
      <c r="M558" s="43">
        <v>0</v>
      </c>
      <c r="N558" s="25">
        <v>0</v>
      </c>
      <c r="O558" s="43">
        <v>0</v>
      </c>
      <c r="P558" s="43">
        <v>0</v>
      </c>
      <c r="Q558" s="43">
        <v>0</v>
      </c>
      <c r="R558" s="43">
        <v>0</v>
      </c>
      <c r="S558" s="43">
        <v>0</v>
      </c>
      <c r="T558" s="43">
        <v>0</v>
      </c>
      <c r="U558" s="43">
        <v>0</v>
      </c>
      <c r="V558" s="43">
        <v>0</v>
      </c>
      <c r="W558" s="43">
        <v>0</v>
      </c>
      <c r="X558" s="43">
        <v>0</v>
      </c>
      <c r="Y558" s="43">
        <v>0</v>
      </c>
      <c r="Z558" s="43">
        <v>0</v>
      </c>
      <c r="AA558" s="44">
        <v>0</v>
      </c>
      <c r="AB558" s="44">
        <v>0</v>
      </c>
      <c r="AC558" s="44">
        <v>8</v>
      </c>
      <c r="AD558" s="44">
        <v>10</v>
      </c>
      <c r="AE558" s="44">
        <v>125</v>
      </c>
      <c r="AF558" s="44">
        <v>4</v>
      </c>
      <c r="AG558" s="44">
        <v>0</v>
      </c>
      <c r="AH558" s="44">
        <v>561</v>
      </c>
      <c r="AI558" s="32"/>
      <c r="AJ558" s="32"/>
      <c r="AK558" s="32"/>
      <c r="AL558" s="32"/>
      <c r="AM558" s="44">
        <v>44</v>
      </c>
      <c r="AN558" s="44">
        <v>554</v>
      </c>
      <c r="AO558" s="44">
        <v>100</v>
      </c>
      <c r="AP558" s="48"/>
      <c r="AQ558" s="48"/>
      <c r="AR558" s="51"/>
      <c r="AS558" s="51"/>
      <c r="AT558" s="51"/>
      <c r="AU558" s="51"/>
      <c r="AV558" s="51"/>
      <c r="AW558" s="50"/>
      <c r="AX558" s="50"/>
      <c r="AY558" s="50"/>
      <c r="AZ558" s="50"/>
      <c r="BA558" s="50"/>
      <c r="BB558" s="50"/>
      <c r="BC558" s="43">
        <v>84</v>
      </c>
      <c r="BD558" s="43">
        <v>635</v>
      </c>
      <c r="BE558" s="43">
        <v>83</v>
      </c>
      <c r="BF558" s="43">
        <v>627</v>
      </c>
      <c r="BG558" s="43">
        <v>108</v>
      </c>
      <c r="BH558" s="43">
        <v>591</v>
      </c>
      <c r="BI558" s="43">
        <v>135</v>
      </c>
      <c r="BJ558" s="43">
        <v>575</v>
      </c>
      <c r="BK558" s="43">
        <v>590</v>
      </c>
      <c r="BL558" s="43">
        <v>108</v>
      </c>
      <c r="BM558" s="43">
        <v>77</v>
      </c>
      <c r="BN558" s="43">
        <v>619</v>
      </c>
      <c r="BO558" s="43">
        <v>593</v>
      </c>
      <c r="BP558" s="43">
        <v>104</v>
      </c>
      <c r="BQ558" s="43">
        <v>130</v>
      </c>
      <c r="BR558" s="43">
        <v>571</v>
      </c>
      <c r="BS558" s="43">
        <v>273</v>
      </c>
      <c r="BT558" s="43">
        <v>78</v>
      </c>
      <c r="BU558" s="43">
        <v>629</v>
      </c>
      <c r="BV558" s="43">
        <v>376</v>
      </c>
      <c r="BW558" s="43">
        <v>175</v>
      </c>
      <c r="BX558" s="43">
        <v>402</v>
      </c>
      <c r="BY558" s="43">
        <v>168</v>
      </c>
      <c r="BZ558" s="43">
        <v>471</v>
      </c>
      <c r="CA558" s="43">
        <v>329</v>
      </c>
      <c r="CB558" s="43">
        <v>104</v>
      </c>
      <c r="CC558" s="43">
        <v>485</v>
      </c>
      <c r="CD558" s="43">
        <v>436</v>
      </c>
      <c r="CE558" s="43">
        <v>468</v>
      </c>
      <c r="CF558" s="43">
        <v>126</v>
      </c>
      <c r="CG558" s="43">
        <v>158</v>
      </c>
      <c r="CH558" s="43">
        <v>399</v>
      </c>
      <c r="CI558" s="43">
        <v>399</v>
      </c>
      <c r="CJ558" s="43">
        <v>184</v>
      </c>
      <c r="CK558" s="43">
        <v>210</v>
      </c>
      <c r="CL558" s="43">
        <v>388</v>
      </c>
      <c r="CM558" s="43">
        <v>312</v>
      </c>
      <c r="CN558" s="43">
        <v>339</v>
      </c>
      <c r="CO558" s="43">
        <v>415</v>
      </c>
      <c r="CP558" s="43">
        <v>193</v>
      </c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43">
        <v>432</v>
      </c>
      <c r="EV558" s="43">
        <v>214</v>
      </c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44"/>
      <c r="GA558" s="53"/>
      <c r="GB558" s="53"/>
      <c r="GC558" s="53"/>
      <c r="GD558" s="53"/>
      <c r="GE558" s="53"/>
      <c r="GF558" s="53"/>
      <c r="GG558" s="53"/>
      <c r="GH558" s="53"/>
      <c r="GI558" s="43"/>
      <c r="GJ558" s="53"/>
      <c r="GK558" s="53"/>
      <c r="GL558" s="53"/>
      <c r="GM558" s="53"/>
      <c r="GN558" s="53"/>
      <c r="GO558" s="43">
        <v>467</v>
      </c>
      <c r="GP558" s="43">
        <v>234</v>
      </c>
      <c r="GQ558" s="43">
        <v>519</v>
      </c>
      <c r="GR558" s="43">
        <v>179</v>
      </c>
    </row>
    <row r="559" spans="1:200" ht="13.5" thickBot="1">
      <c r="A559" s="38">
        <v>9702</v>
      </c>
      <c r="B559" s="39" t="s">
        <v>687</v>
      </c>
      <c r="C559" s="40">
        <v>1525</v>
      </c>
      <c r="D559" s="41">
        <v>1006</v>
      </c>
      <c r="E559" s="42">
        <f t="shared" si="8"/>
        <v>0.65967213114754097</v>
      </c>
      <c r="F559" s="63">
        <v>847</v>
      </c>
      <c r="G559" s="46">
        <v>3</v>
      </c>
      <c r="H559" s="46">
        <v>20</v>
      </c>
      <c r="I559" s="46">
        <v>13</v>
      </c>
      <c r="J559" s="56">
        <v>115</v>
      </c>
      <c r="K559" s="45">
        <v>0</v>
      </c>
      <c r="L559" s="45">
        <v>0</v>
      </c>
      <c r="M559" s="46">
        <v>0</v>
      </c>
      <c r="N559" s="45">
        <v>0</v>
      </c>
      <c r="O559" s="46">
        <v>0</v>
      </c>
      <c r="P559" s="46">
        <v>0</v>
      </c>
      <c r="Q559" s="46">
        <v>0</v>
      </c>
      <c r="R559" s="46">
        <v>0</v>
      </c>
      <c r="S559" s="46">
        <v>0</v>
      </c>
      <c r="T559" s="46">
        <v>0</v>
      </c>
      <c r="U559" s="46">
        <v>0</v>
      </c>
      <c r="V559" s="46">
        <v>0</v>
      </c>
      <c r="W559" s="46">
        <v>1</v>
      </c>
      <c r="X559" s="46">
        <v>0</v>
      </c>
      <c r="Y559" s="46">
        <v>0</v>
      </c>
      <c r="Z559" s="46">
        <v>0</v>
      </c>
      <c r="AA559" s="47">
        <v>0</v>
      </c>
      <c r="AB559" s="47">
        <v>0</v>
      </c>
      <c r="AC559" s="47">
        <v>14</v>
      </c>
      <c r="AD559" s="47">
        <v>22</v>
      </c>
      <c r="AE559" s="47">
        <v>200</v>
      </c>
      <c r="AF559" s="47">
        <v>8</v>
      </c>
      <c r="AG559" s="47">
        <v>0</v>
      </c>
      <c r="AH559" s="47">
        <v>731</v>
      </c>
      <c r="AI559" s="68"/>
      <c r="AJ559" s="68"/>
      <c r="AK559" s="68"/>
      <c r="AL559" s="68"/>
      <c r="AM559" s="47">
        <v>41</v>
      </c>
      <c r="AN559" s="47">
        <v>749</v>
      </c>
      <c r="AO559" s="47">
        <v>155</v>
      </c>
      <c r="AP559" s="69"/>
      <c r="AQ559" s="69"/>
      <c r="AR559" s="70"/>
      <c r="AS559" s="70"/>
      <c r="AT559" s="70"/>
      <c r="AU559" s="70"/>
      <c r="AV559" s="70"/>
      <c r="AW559" s="71"/>
      <c r="AX559" s="71"/>
      <c r="AY559" s="71"/>
      <c r="AZ559" s="71"/>
      <c r="BA559" s="71"/>
      <c r="BB559" s="71"/>
      <c r="BC559" s="46">
        <v>128</v>
      </c>
      <c r="BD559" s="46">
        <v>855</v>
      </c>
      <c r="BE559" s="46">
        <v>115</v>
      </c>
      <c r="BF559" s="46">
        <v>835</v>
      </c>
      <c r="BG559" s="46">
        <v>147</v>
      </c>
      <c r="BH559" s="46">
        <v>809</v>
      </c>
      <c r="BI559" s="46">
        <v>186</v>
      </c>
      <c r="BJ559" s="46">
        <v>769</v>
      </c>
      <c r="BK559" s="46">
        <v>759</v>
      </c>
      <c r="BL559" s="46">
        <v>193</v>
      </c>
      <c r="BM559" s="46">
        <v>131</v>
      </c>
      <c r="BN559" s="46">
        <v>809</v>
      </c>
      <c r="BO559" s="46">
        <v>798</v>
      </c>
      <c r="BP559" s="46">
        <v>145</v>
      </c>
      <c r="BQ559" s="46">
        <v>170</v>
      </c>
      <c r="BR559" s="46">
        <v>772</v>
      </c>
      <c r="BS559" s="46">
        <v>426</v>
      </c>
      <c r="BT559" s="46">
        <v>118</v>
      </c>
      <c r="BU559" s="46">
        <v>822</v>
      </c>
      <c r="BV559" s="46">
        <v>548</v>
      </c>
      <c r="BW559" s="46">
        <v>258</v>
      </c>
      <c r="BX559" s="46">
        <v>539</v>
      </c>
      <c r="BY559" s="46">
        <v>219</v>
      </c>
      <c r="BZ559" s="46">
        <v>622</v>
      </c>
      <c r="CA559" s="46">
        <v>479</v>
      </c>
      <c r="CB559" s="46">
        <v>140</v>
      </c>
      <c r="CC559" s="46">
        <v>669</v>
      </c>
      <c r="CD559" s="46">
        <v>610</v>
      </c>
      <c r="CE559" s="46">
        <v>620</v>
      </c>
      <c r="CF559" s="46">
        <v>191</v>
      </c>
      <c r="CG559" s="46">
        <v>198</v>
      </c>
      <c r="CH559" s="46">
        <v>553</v>
      </c>
      <c r="CI559" s="46">
        <v>490</v>
      </c>
      <c r="CJ559" s="46">
        <v>302</v>
      </c>
      <c r="CK559" s="46">
        <v>313</v>
      </c>
      <c r="CL559" s="46">
        <v>495</v>
      </c>
      <c r="CM559" s="46">
        <v>457</v>
      </c>
      <c r="CN559" s="46">
        <v>502</v>
      </c>
      <c r="CO559" s="46">
        <v>523</v>
      </c>
      <c r="CP559" s="46">
        <v>300</v>
      </c>
      <c r="CQ559" s="45"/>
      <c r="CR559" s="45"/>
      <c r="CS559" s="45"/>
      <c r="CT559" s="45"/>
      <c r="CU559" s="45"/>
      <c r="CV559" s="45"/>
      <c r="CW559" s="45"/>
      <c r="CX559" s="45"/>
      <c r="CY559" s="45"/>
      <c r="CZ559" s="45"/>
      <c r="DA559" s="45"/>
      <c r="DB559" s="45"/>
      <c r="DC559" s="45"/>
      <c r="DD559" s="45"/>
      <c r="DE559" s="45"/>
      <c r="DF559" s="45"/>
      <c r="DG559" s="45"/>
      <c r="DH559" s="45"/>
      <c r="DI559" s="45"/>
      <c r="DJ559" s="45"/>
      <c r="DK559" s="45"/>
      <c r="DL559" s="45"/>
      <c r="DM559" s="45"/>
      <c r="DN559" s="45"/>
      <c r="DO559" s="45"/>
      <c r="DP559" s="45"/>
      <c r="DQ559" s="45"/>
      <c r="DR559" s="45"/>
      <c r="DS559" s="45"/>
      <c r="DT559" s="45"/>
      <c r="DU559" s="45"/>
      <c r="DV559" s="45"/>
      <c r="DW559" s="45"/>
      <c r="DX559" s="45"/>
      <c r="DY559" s="45"/>
      <c r="DZ559" s="45"/>
      <c r="EA559" s="45"/>
      <c r="EB559" s="45"/>
      <c r="EC559" s="45"/>
      <c r="ED559" s="45"/>
      <c r="EE559" s="45"/>
      <c r="EF559" s="45"/>
      <c r="EG559" s="45"/>
      <c r="EH559" s="45"/>
      <c r="EI559" s="45"/>
      <c r="EJ559" s="45"/>
      <c r="EK559" s="45"/>
      <c r="EL559" s="45"/>
      <c r="EM559" s="45"/>
      <c r="EN559" s="45"/>
      <c r="EO559" s="45"/>
      <c r="EP559" s="45"/>
      <c r="EQ559" s="45"/>
      <c r="ER559" s="45"/>
      <c r="ES559" s="45"/>
      <c r="ET559" s="45"/>
      <c r="EU559" s="46">
        <v>594</v>
      </c>
      <c r="EV559" s="46">
        <v>237</v>
      </c>
      <c r="EW559" s="45"/>
      <c r="EX559" s="45"/>
      <c r="EY559" s="45"/>
      <c r="EZ559" s="45"/>
      <c r="FA559" s="45"/>
      <c r="FB559" s="45"/>
      <c r="FC559" s="45"/>
      <c r="FD559" s="45"/>
      <c r="FE559" s="45"/>
      <c r="FF559" s="45"/>
      <c r="FG559" s="45"/>
      <c r="FH559" s="45"/>
      <c r="FI559" s="45"/>
      <c r="FJ559" s="45"/>
      <c r="FK559" s="45"/>
      <c r="FL559" s="45"/>
      <c r="FM559" s="45"/>
      <c r="FN559" s="45"/>
      <c r="FO559" s="45"/>
      <c r="FP559" s="45"/>
      <c r="FQ559" s="45"/>
      <c r="FR559" s="45"/>
      <c r="FS559" s="45"/>
      <c r="FT559" s="45"/>
      <c r="FU559" s="45"/>
      <c r="FV559" s="45"/>
      <c r="FW559" s="45"/>
      <c r="FX559" s="45"/>
      <c r="FY559" s="45"/>
      <c r="FZ559" s="47"/>
      <c r="GA559" s="72"/>
      <c r="GB559" s="72"/>
      <c r="GC559" s="72"/>
      <c r="GD559" s="72"/>
      <c r="GE559" s="72"/>
      <c r="GF559" s="72"/>
      <c r="GG559" s="72"/>
      <c r="GH559" s="72"/>
      <c r="GI559" s="46"/>
      <c r="GJ559" s="72"/>
      <c r="GK559" s="72"/>
      <c r="GL559" s="72"/>
      <c r="GM559" s="72"/>
      <c r="GN559" s="72"/>
      <c r="GO559" s="46">
        <v>710</v>
      </c>
      <c r="GP559" s="46">
        <v>240</v>
      </c>
      <c r="GQ559" s="46">
        <v>762</v>
      </c>
      <c r="GR559" s="46">
        <v>183</v>
      </c>
    </row>
    <row r="560" spans="1:200">
      <c r="A560" s="25"/>
      <c r="B560" s="35" t="s">
        <v>29</v>
      </c>
      <c r="C560" s="36">
        <f>SUM(C4:C559)</f>
        <v>580354</v>
      </c>
      <c r="D560" s="36">
        <f>SUM(D4:D559)</f>
        <v>417456</v>
      </c>
      <c r="E560" s="37">
        <f t="shared" ref="E560" si="9">SUM(D560/C560)</f>
        <v>0.71931269535490405</v>
      </c>
      <c r="F560" s="64">
        <f t="shared" ref="F560:O560" si="10">SUM(F4:F559)</f>
        <v>215719</v>
      </c>
      <c r="G560" s="36">
        <f t="shared" si="10"/>
        <v>1211</v>
      </c>
      <c r="H560" s="36">
        <f t="shared" si="10"/>
        <v>13200</v>
      </c>
      <c r="I560" s="36">
        <f t="shared" si="10"/>
        <v>3723</v>
      </c>
      <c r="J560" s="57">
        <f t="shared" si="10"/>
        <v>173665</v>
      </c>
      <c r="K560" s="36">
        <f t="shared" si="10"/>
        <v>0</v>
      </c>
      <c r="L560" s="36">
        <f t="shared" si="10"/>
        <v>0</v>
      </c>
      <c r="M560" s="36">
        <f t="shared" si="10"/>
        <v>98</v>
      </c>
      <c r="N560" s="36">
        <f t="shared" si="10"/>
        <v>0</v>
      </c>
      <c r="O560" s="36">
        <f t="shared" si="10"/>
        <v>6</v>
      </c>
      <c r="P560" s="36">
        <f t="shared" ref="P560" si="11">SUM(P4:P559)</f>
        <v>18</v>
      </c>
      <c r="Q560" s="36">
        <f t="shared" ref="Q560:AB560" si="12">SUM(Q4:Q559)</f>
        <v>0</v>
      </c>
      <c r="R560" s="36">
        <f t="shared" si="12"/>
        <v>2</v>
      </c>
      <c r="S560" s="36">
        <f t="shared" si="12"/>
        <v>10</v>
      </c>
      <c r="T560" s="36">
        <f t="shared" si="12"/>
        <v>6</v>
      </c>
      <c r="U560" s="36">
        <f t="shared" si="12"/>
        <v>0</v>
      </c>
      <c r="V560" s="36">
        <f t="shared" si="12"/>
        <v>64</v>
      </c>
      <c r="W560" s="36">
        <f t="shared" si="12"/>
        <v>1377</v>
      </c>
      <c r="X560" s="36">
        <f t="shared" si="12"/>
        <v>1</v>
      </c>
      <c r="Y560" s="36">
        <f t="shared" si="12"/>
        <v>5</v>
      </c>
      <c r="Z560" s="36">
        <f t="shared" si="12"/>
        <v>2</v>
      </c>
      <c r="AA560" s="36">
        <f t="shared" si="12"/>
        <v>1</v>
      </c>
      <c r="AB560" s="36">
        <f t="shared" si="12"/>
        <v>1</v>
      </c>
      <c r="AC560" s="36">
        <f t="shared" ref="AC560:CA560" si="13">SUM(AC4:AC559)</f>
        <v>4753</v>
      </c>
      <c r="AD560" s="36">
        <f t="shared" si="13"/>
        <v>6847</v>
      </c>
      <c r="AE560" s="36">
        <f t="shared" si="13"/>
        <v>216298</v>
      </c>
      <c r="AF560" s="36">
        <f t="shared" si="13"/>
        <v>4137</v>
      </c>
      <c r="AG560" s="36">
        <f t="shared" si="13"/>
        <v>8</v>
      </c>
      <c r="AH560" s="36">
        <f t="shared" si="13"/>
        <v>170427</v>
      </c>
      <c r="AI560" s="36">
        <f t="shared" si="13"/>
        <v>125612</v>
      </c>
      <c r="AJ560" s="36">
        <f t="shared" si="13"/>
        <v>103</v>
      </c>
      <c r="AK560" s="36">
        <f t="shared" si="13"/>
        <v>9</v>
      </c>
      <c r="AL560" s="36">
        <f t="shared" si="13"/>
        <v>114497</v>
      </c>
      <c r="AM560" s="36">
        <f t="shared" si="13"/>
        <v>5848</v>
      </c>
      <c r="AN560" s="36">
        <f t="shared" si="13"/>
        <v>65224</v>
      </c>
      <c r="AO560" s="36">
        <f t="shared" si="13"/>
        <v>85450</v>
      </c>
      <c r="AP560" s="36">
        <f t="shared" si="13"/>
        <v>62693</v>
      </c>
      <c r="AQ560" s="36">
        <f t="shared" si="13"/>
        <v>106215</v>
      </c>
      <c r="AR560" s="36">
        <f t="shared" si="13"/>
        <v>40556</v>
      </c>
      <c r="AS560" s="36">
        <f t="shared" si="13"/>
        <v>22447</v>
      </c>
      <c r="AT560" s="36">
        <f t="shared" si="13"/>
        <v>36098</v>
      </c>
      <c r="AU560" s="36">
        <f t="shared" si="13"/>
        <v>26808</v>
      </c>
      <c r="AV560" s="36">
        <f t="shared" si="13"/>
        <v>37138</v>
      </c>
      <c r="AW560" s="36">
        <f t="shared" si="13"/>
        <v>14975</v>
      </c>
      <c r="AX560" s="36">
        <f t="shared" si="13"/>
        <v>40718</v>
      </c>
      <c r="AY560" s="36">
        <f t="shared" si="13"/>
        <v>34581</v>
      </c>
      <c r="AZ560" s="36">
        <f t="shared" si="13"/>
        <v>16231</v>
      </c>
      <c r="BA560" s="36">
        <f t="shared" si="13"/>
        <v>37595</v>
      </c>
      <c r="BB560" s="36">
        <f t="shared" si="13"/>
        <v>11308</v>
      </c>
      <c r="BC560" s="36">
        <f t="shared" si="13"/>
        <v>14396</v>
      </c>
      <c r="BD560" s="36">
        <f t="shared" si="13"/>
        <v>40005</v>
      </c>
      <c r="BE560" s="36">
        <f t="shared" si="13"/>
        <v>161600</v>
      </c>
      <c r="BF560" s="36">
        <f t="shared" si="13"/>
        <v>227241</v>
      </c>
      <c r="BG560" s="36">
        <f t="shared" si="13"/>
        <v>193390</v>
      </c>
      <c r="BH560" s="36">
        <f t="shared" si="13"/>
        <v>198132</v>
      </c>
      <c r="BI560" s="36">
        <f t="shared" si="13"/>
        <v>211201</v>
      </c>
      <c r="BJ560" s="36">
        <f t="shared" si="13"/>
        <v>176521</v>
      </c>
      <c r="BK560" s="36">
        <f t="shared" si="13"/>
        <v>203542</v>
      </c>
      <c r="BL560" s="36">
        <f t="shared" si="13"/>
        <v>184869</v>
      </c>
      <c r="BM560" s="36">
        <f t="shared" si="13"/>
        <v>147622</v>
      </c>
      <c r="BN560" s="36">
        <f t="shared" si="13"/>
        <v>238170</v>
      </c>
      <c r="BO560" s="36">
        <f t="shared" si="13"/>
        <v>188096</v>
      </c>
      <c r="BP560" s="36">
        <f t="shared" si="13"/>
        <v>190248</v>
      </c>
      <c r="BQ560" s="36">
        <f t="shared" si="13"/>
        <v>208506</v>
      </c>
      <c r="BR560" s="36">
        <f t="shared" si="13"/>
        <v>172672</v>
      </c>
      <c r="BS560" s="36">
        <f t="shared" si="13"/>
        <v>243058</v>
      </c>
      <c r="BT560" s="36">
        <f t="shared" si="13"/>
        <v>140429</v>
      </c>
      <c r="BU560" s="36">
        <f t="shared" si="13"/>
        <v>238785</v>
      </c>
      <c r="BV560" s="36">
        <f t="shared" si="13"/>
        <v>248699</v>
      </c>
      <c r="BW560" s="36">
        <f t="shared" si="13"/>
        <v>167985</v>
      </c>
      <c r="BX560" s="36">
        <f t="shared" si="13"/>
        <v>145664</v>
      </c>
      <c r="BY560" s="36">
        <f t="shared" si="13"/>
        <v>191230</v>
      </c>
      <c r="BZ560" s="36">
        <f t="shared" si="13"/>
        <v>149441</v>
      </c>
      <c r="CA560" s="36">
        <f t="shared" si="13"/>
        <v>224316</v>
      </c>
      <c r="CB560" s="36">
        <f t="shared" ref="CB560:CF560" si="14">SUM(CB4:CB559)</f>
        <v>153119</v>
      </c>
      <c r="CC560" s="36">
        <f t="shared" si="14"/>
        <v>156687</v>
      </c>
      <c r="CD560" s="36">
        <f t="shared" si="14"/>
        <v>229679</v>
      </c>
      <c r="CE560" s="36">
        <f t="shared" si="14"/>
        <v>153881</v>
      </c>
      <c r="CF560" s="36">
        <f t="shared" si="14"/>
        <v>164509</v>
      </c>
      <c r="CG560" s="36">
        <f t="shared" ref="CG560:EM560" si="15">SUM(CG4:CG559)</f>
        <v>162575</v>
      </c>
      <c r="CH560" s="36">
        <f t="shared" si="15"/>
        <v>135474</v>
      </c>
      <c r="CI560" s="36">
        <f t="shared" si="15"/>
        <v>107024</v>
      </c>
      <c r="CJ560" s="36">
        <f t="shared" si="15"/>
        <v>201691</v>
      </c>
      <c r="CK560" s="36">
        <f t="shared" si="15"/>
        <v>170576</v>
      </c>
      <c r="CL560" s="36">
        <f t="shared" si="15"/>
        <v>138048</v>
      </c>
      <c r="CM560" s="36">
        <f t="shared" si="15"/>
        <v>215223</v>
      </c>
      <c r="CN560" s="36">
        <f t="shared" si="15"/>
        <v>220298</v>
      </c>
      <c r="CO560" s="36">
        <f t="shared" si="15"/>
        <v>128989</v>
      </c>
      <c r="CP560" s="36">
        <f t="shared" si="15"/>
        <v>180923</v>
      </c>
      <c r="CQ560" s="36">
        <f t="shared" si="15"/>
        <v>4032</v>
      </c>
      <c r="CR560" s="36">
        <f t="shared" si="15"/>
        <v>1834</v>
      </c>
      <c r="CS560" s="36">
        <f t="shared" si="15"/>
        <v>339</v>
      </c>
      <c r="CT560" s="36">
        <f t="shared" si="15"/>
        <v>470</v>
      </c>
      <c r="CU560" s="36">
        <f t="shared" si="15"/>
        <v>1764</v>
      </c>
      <c r="CV560" s="36">
        <f t="shared" si="15"/>
        <v>1053</v>
      </c>
      <c r="CW560" s="36">
        <f t="shared" si="15"/>
        <v>2426</v>
      </c>
      <c r="CX560" s="36">
        <f t="shared" si="15"/>
        <v>1657</v>
      </c>
      <c r="CY560" s="36">
        <f t="shared" si="15"/>
        <v>3628</v>
      </c>
      <c r="CZ560" s="36">
        <f t="shared" si="15"/>
        <v>3383</v>
      </c>
      <c r="DA560" s="36">
        <f t="shared" si="15"/>
        <v>4333</v>
      </c>
      <c r="DB560" s="36">
        <f t="shared" si="15"/>
        <v>3140</v>
      </c>
      <c r="DC560" s="36">
        <f t="shared" si="15"/>
        <v>2620</v>
      </c>
      <c r="DD560" s="36">
        <f t="shared" si="15"/>
        <v>1309</v>
      </c>
      <c r="DE560" s="36">
        <f t="shared" si="15"/>
        <v>3240</v>
      </c>
      <c r="DF560" s="36">
        <f t="shared" si="15"/>
        <v>1096</v>
      </c>
      <c r="DG560" s="36">
        <f t="shared" si="15"/>
        <v>191</v>
      </c>
      <c r="DH560" s="36">
        <f t="shared" si="15"/>
        <v>107</v>
      </c>
      <c r="DI560" s="36">
        <f t="shared" si="15"/>
        <v>186</v>
      </c>
      <c r="DJ560" s="36">
        <f t="shared" si="15"/>
        <v>110</v>
      </c>
      <c r="DK560" s="36">
        <f t="shared" si="15"/>
        <v>968</v>
      </c>
      <c r="DL560" s="36">
        <f t="shared" si="15"/>
        <v>485</v>
      </c>
      <c r="DM560" s="36">
        <f t="shared" si="15"/>
        <v>1136</v>
      </c>
      <c r="DN560" s="36">
        <f t="shared" si="15"/>
        <v>612</v>
      </c>
      <c r="DO560" s="36">
        <f t="shared" si="15"/>
        <v>1596</v>
      </c>
      <c r="DP560" s="36">
        <f t="shared" si="15"/>
        <v>192</v>
      </c>
      <c r="DQ560" s="36">
        <f t="shared" si="15"/>
        <v>1407</v>
      </c>
      <c r="DR560" s="36">
        <f t="shared" si="15"/>
        <v>329</v>
      </c>
      <c r="DS560" s="36">
        <f t="shared" si="15"/>
        <v>1409</v>
      </c>
      <c r="DT560" s="36">
        <f t="shared" si="15"/>
        <v>324</v>
      </c>
      <c r="DU560" s="36">
        <f t="shared" si="15"/>
        <v>1398</v>
      </c>
      <c r="DV560" s="36">
        <f t="shared" si="15"/>
        <v>300</v>
      </c>
      <c r="DW560" s="36">
        <f t="shared" si="15"/>
        <v>947</v>
      </c>
      <c r="DX560" s="36">
        <f t="shared" si="15"/>
        <v>791</v>
      </c>
      <c r="DY560" s="36">
        <f t="shared" si="15"/>
        <v>448</v>
      </c>
      <c r="DZ560" s="36">
        <f t="shared" si="15"/>
        <v>427</v>
      </c>
      <c r="EA560" s="36">
        <f t="shared" si="15"/>
        <v>1090</v>
      </c>
      <c r="EB560" s="36">
        <f t="shared" si="15"/>
        <v>461</v>
      </c>
      <c r="EC560" s="36">
        <f t="shared" si="15"/>
        <v>1214</v>
      </c>
      <c r="ED560" s="36">
        <f t="shared" si="15"/>
        <v>573</v>
      </c>
      <c r="EE560" s="36">
        <f t="shared" si="15"/>
        <v>1298</v>
      </c>
      <c r="EF560" s="36">
        <f t="shared" si="15"/>
        <v>479</v>
      </c>
      <c r="EG560" s="36">
        <f t="shared" si="15"/>
        <v>1204</v>
      </c>
      <c r="EH560" s="36">
        <f t="shared" si="15"/>
        <v>714</v>
      </c>
      <c r="EI560" s="36">
        <f t="shared" si="15"/>
        <v>801</v>
      </c>
      <c r="EJ560" s="36">
        <f t="shared" si="15"/>
        <v>413</v>
      </c>
      <c r="EK560" s="36">
        <f t="shared" si="15"/>
        <v>708</v>
      </c>
      <c r="EL560" s="36">
        <f t="shared" si="15"/>
        <v>509</v>
      </c>
      <c r="EM560" s="36">
        <f t="shared" si="15"/>
        <v>1423</v>
      </c>
      <c r="EN560" s="36">
        <f t="shared" ref="EN560:GR560" si="16">SUM(EN4:EN559)</f>
        <v>581</v>
      </c>
      <c r="EO560" s="36">
        <f t="shared" si="16"/>
        <v>860</v>
      </c>
      <c r="EP560" s="36">
        <f t="shared" si="16"/>
        <v>1163</v>
      </c>
      <c r="EQ560" s="36">
        <f t="shared" si="16"/>
        <v>439</v>
      </c>
      <c r="ER560" s="36">
        <f t="shared" si="16"/>
        <v>161</v>
      </c>
      <c r="ES560" s="36">
        <f t="shared" si="16"/>
        <v>1124</v>
      </c>
      <c r="ET560" s="36">
        <f t="shared" si="16"/>
        <v>297</v>
      </c>
      <c r="EU560" s="36">
        <f t="shared" si="16"/>
        <v>1026</v>
      </c>
      <c r="EV560" s="36">
        <f t="shared" si="16"/>
        <v>451</v>
      </c>
      <c r="EW560" s="36">
        <f t="shared" si="16"/>
        <v>17117</v>
      </c>
      <c r="EX560" s="36">
        <f t="shared" si="16"/>
        <v>8669</v>
      </c>
      <c r="EY560" s="36">
        <f t="shared" si="16"/>
        <v>14343</v>
      </c>
      <c r="EZ560" s="36">
        <f t="shared" si="16"/>
        <v>9081</v>
      </c>
      <c r="FA560" s="36">
        <f t="shared" si="16"/>
        <v>527</v>
      </c>
      <c r="FB560" s="36">
        <f t="shared" si="16"/>
        <v>157</v>
      </c>
      <c r="FC560" s="36">
        <f t="shared" si="16"/>
        <v>8405</v>
      </c>
      <c r="FD560" s="36">
        <f t="shared" si="16"/>
        <v>6456</v>
      </c>
      <c r="FE560" s="36">
        <f t="shared" si="16"/>
        <v>25360</v>
      </c>
      <c r="FF560" s="36">
        <f t="shared" si="16"/>
        <v>8281</v>
      </c>
      <c r="FG560" s="36">
        <f t="shared" si="16"/>
        <v>27770</v>
      </c>
      <c r="FH560" s="36">
        <f t="shared" si="16"/>
        <v>6063</v>
      </c>
      <c r="FI560" s="36">
        <f t="shared" si="16"/>
        <v>5682</v>
      </c>
      <c r="FJ560" s="36">
        <f t="shared" si="16"/>
        <v>2867</v>
      </c>
      <c r="FK560" s="36">
        <f t="shared" si="16"/>
        <v>604</v>
      </c>
      <c r="FL560" s="36">
        <f t="shared" si="16"/>
        <v>266</v>
      </c>
      <c r="FM560" s="36">
        <f t="shared" si="16"/>
        <v>53</v>
      </c>
      <c r="FN560" s="36">
        <f t="shared" si="16"/>
        <v>144</v>
      </c>
      <c r="FO560" s="36">
        <f t="shared" si="16"/>
        <v>63</v>
      </c>
      <c r="FP560" s="36">
        <f t="shared" si="16"/>
        <v>132</v>
      </c>
      <c r="FQ560" s="36">
        <f t="shared" si="16"/>
        <v>53</v>
      </c>
      <c r="FR560" s="36">
        <f t="shared" si="16"/>
        <v>143</v>
      </c>
      <c r="FS560" s="36">
        <f t="shared" si="16"/>
        <v>62</v>
      </c>
      <c r="FT560" s="36">
        <f t="shared" si="16"/>
        <v>137</v>
      </c>
      <c r="FU560" s="36">
        <f t="shared" si="16"/>
        <v>64</v>
      </c>
      <c r="FV560" s="36">
        <f t="shared" si="16"/>
        <v>133</v>
      </c>
      <c r="FW560" s="36">
        <f t="shared" si="16"/>
        <v>76</v>
      </c>
      <c r="FX560" s="36">
        <f t="shared" si="16"/>
        <v>123</v>
      </c>
      <c r="FY560" s="36">
        <f t="shared" si="16"/>
        <v>91627</v>
      </c>
      <c r="FZ560" s="36">
        <f t="shared" si="16"/>
        <v>55511</v>
      </c>
      <c r="GA560" s="36">
        <f t="shared" si="16"/>
        <v>3693</v>
      </c>
      <c r="GB560" s="36">
        <f t="shared" si="16"/>
        <v>2397</v>
      </c>
      <c r="GC560" s="36">
        <f t="shared" si="16"/>
        <v>3388</v>
      </c>
      <c r="GD560" s="36">
        <f t="shared" si="16"/>
        <v>2171</v>
      </c>
      <c r="GE560" s="36">
        <f t="shared" si="16"/>
        <v>4432</v>
      </c>
      <c r="GF560" s="36">
        <f t="shared" si="16"/>
        <v>3125</v>
      </c>
      <c r="GG560" s="36">
        <f t="shared" si="16"/>
        <v>1567</v>
      </c>
      <c r="GH560" s="36">
        <f t="shared" si="16"/>
        <v>1140</v>
      </c>
      <c r="GI560" s="36">
        <f t="shared" si="16"/>
        <v>11786</v>
      </c>
      <c r="GJ560" s="36">
        <f t="shared" si="16"/>
        <v>7584</v>
      </c>
      <c r="GK560" s="36">
        <f t="shared" si="16"/>
        <v>7147</v>
      </c>
      <c r="GL560" s="36">
        <f t="shared" si="16"/>
        <v>6374</v>
      </c>
      <c r="GM560" s="36">
        <f t="shared" si="16"/>
        <v>15849</v>
      </c>
      <c r="GN560" s="36">
        <f t="shared" si="16"/>
        <v>10159</v>
      </c>
      <c r="GO560" s="36">
        <f t="shared" si="16"/>
        <v>273761</v>
      </c>
      <c r="GP560" s="36">
        <f t="shared" si="16"/>
        <v>120636</v>
      </c>
      <c r="GQ560" s="36">
        <f t="shared" si="16"/>
        <v>281596</v>
      </c>
      <c r="GR560" s="36">
        <f t="shared" si="16"/>
        <v>112341</v>
      </c>
    </row>
    <row r="561" spans="1:200">
      <c r="A561" s="6"/>
      <c r="B561" s="9" t="s">
        <v>30</v>
      </c>
      <c r="C561" s="6"/>
      <c r="D561" s="10">
        <v>305612</v>
      </c>
      <c r="E561" s="20">
        <f>SUM(D561/C560)</f>
        <v>0.52659583633437523</v>
      </c>
      <c r="F561" s="65">
        <v>152569</v>
      </c>
      <c r="G561" s="11">
        <v>842</v>
      </c>
      <c r="H561" s="11">
        <v>10233</v>
      </c>
      <c r="I561" s="11">
        <v>2929</v>
      </c>
      <c r="J561" s="58">
        <v>132134</v>
      </c>
      <c r="K561" s="11">
        <v>0</v>
      </c>
      <c r="L561" s="11">
        <v>0</v>
      </c>
      <c r="M561" s="11">
        <v>68</v>
      </c>
      <c r="N561" s="11">
        <v>0</v>
      </c>
      <c r="O561" s="11">
        <v>4</v>
      </c>
      <c r="P561" s="11">
        <v>15</v>
      </c>
      <c r="Q561" s="11">
        <v>0</v>
      </c>
      <c r="R561" s="11">
        <v>2</v>
      </c>
      <c r="S561" s="11">
        <v>8</v>
      </c>
      <c r="T561" s="11">
        <v>6</v>
      </c>
      <c r="U561" s="11">
        <v>0</v>
      </c>
      <c r="V561" s="11">
        <v>44</v>
      </c>
      <c r="W561" s="11">
        <v>1093</v>
      </c>
      <c r="X561" s="11">
        <v>1</v>
      </c>
      <c r="Y561" s="11">
        <v>4</v>
      </c>
      <c r="Z561" s="11">
        <v>2</v>
      </c>
      <c r="AA561" s="11">
        <v>0</v>
      </c>
      <c r="AB561" s="11">
        <v>0</v>
      </c>
      <c r="AC561" s="11">
        <v>3617</v>
      </c>
      <c r="AD561" s="11">
        <v>5358</v>
      </c>
      <c r="AE561" s="11">
        <v>160904</v>
      </c>
      <c r="AF561" s="11">
        <v>3113</v>
      </c>
      <c r="AG561" s="11">
        <v>6</v>
      </c>
      <c r="AH561" s="11">
        <v>121710</v>
      </c>
      <c r="AI561" s="11">
        <v>94739</v>
      </c>
      <c r="AJ561" s="11">
        <v>72</v>
      </c>
      <c r="AK561" s="11">
        <v>9</v>
      </c>
      <c r="AL561" s="11">
        <v>82170</v>
      </c>
      <c r="AM561" s="11">
        <v>3595</v>
      </c>
      <c r="AN561" s="11">
        <v>45827</v>
      </c>
      <c r="AO561" s="11">
        <v>63861</v>
      </c>
      <c r="AP561" s="11">
        <v>46287</v>
      </c>
      <c r="AQ561" s="11">
        <v>80053</v>
      </c>
      <c r="AR561" s="11">
        <v>30350</v>
      </c>
      <c r="AS561" s="11">
        <v>14972</v>
      </c>
      <c r="AT561" s="11">
        <v>27183</v>
      </c>
      <c r="AU561" s="11">
        <v>19107</v>
      </c>
      <c r="AV561" s="11">
        <v>28354</v>
      </c>
      <c r="AW561" s="11">
        <v>11084</v>
      </c>
      <c r="AX561" s="11">
        <v>30353</v>
      </c>
      <c r="AY561" s="11">
        <v>24100</v>
      </c>
      <c r="AZ561" s="11">
        <v>12475</v>
      </c>
      <c r="BA561" s="11">
        <v>27040</v>
      </c>
      <c r="BB561" s="11">
        <v>7944</v>
      </c>
      <c r="BC561" s="11">
        <v>10678</v>
      </c>
      <c r="BD561" s="11">
        <v>28222</v>
      </c>
      <c r="BE561" s="11">
        <v>122558</v>
      </c>
      <c r="BF561" s="11">
        <v>161275</v>
      </c>
      <c r="BG561" s="11">
        <v>145610</v>
      </c>
      <c r="BH561" s="11">
        <v>140589</v>
      </c>
      <c r="BI561" s="11">
        <v>156426</v>
      </c>
      <c r="BJ561" s="11">
        <v>126523</v>
      </c>
      <c r="BK561" s="11">
        <v>149039</v>
      </c>
      <c r="BL561" s="11">
        <v>135111</v>
      </c>
      <c r="BM561" s="11">
        <v>110764</v>
      </c>
      <c r="BN561" s="11">
        <v>171574</v>
      </c>
      <c r="BO561" s="11">
        <v>133782</v>
      </c>
      <c r="BP561" s="11">
        <v>142005</v>
      </c>
      <c r="BQ561" s="11">
        <v>154131</v>
      </c>
      <c r="BR561" s="11">
        <v>123822</v>
      </c>
      <c r="BS561" s="11">
        <v>180368</v>
      </c>
      <c r="BT561" s="11">
        <v>107155</v>
      </c>
      <c r="BU561" s="11">
        <v>169059</v>
      </c>
      <c r="BV561" s="11">
        <v>184133</v>
      </c>
      <c r="BW561" s="11">
        <v>121887</v>
      </c>
      <c r="BX561" s="11">
        <v>104403</v>
      </c>
      <c r="BY561" s="11">
        <v>143375</v>
      </c>
      <c r="BZ561" s="11">
        <v>103752</v>
      </c>
      <c r="CA561" s="11">
        <v>165532</v>
      </c>
      <c r="CB561" s="11">
        <v>112378</v>
      </c>
      <c r="CC561" s="11">
        <v>110170</v>
      </c>
      <c r="CD561" s="11">
        <v>165055</v>
      </c>
      <c r="CE561" s="11">
        <v>108977</v>
      </c>
      <c r="CF561" s="11">
        <v>120125</v>
      </c>
      <c r="CG561" s="11">
        <v>118437</v>
      </c>
      <c r="CH561" s="11">
        <v>95437</v>
      </c>
      <c r="CI561" s="11">
        <v>73943</v>
      </c>
      <c r="CJ561" s="11">
        <v>148832</v>
      </c>
      <c r="CK561" s="11">
        <v>125030</v>
      </c>
      <c r="CL561" s="11">
        <v>97311</v>
      </c>
      <c r="CM561" s="11">
        <v>159590</v>
      </c>
      <c r="CN561" s="11">
        <v>162903</v>
      </c>
      <c r="CO561" s="11">
        <v>90825</v>
      </c>
      <c r="CP561" s="11">
        <v>132384</v>
      </c>
      <c r="CQ561" s="11">
        <v>2841</v>
      </c>
      <c r="CR561" s="11">
        <v>1342</v>
      </c>
      <c r="CS561" s="11">
        <v>266</v>
      </c>
      <c r="CT561" s="11">
        <v>328</v>
      </c>
      <c r="CU561" s="11">
        <v>1399</v>
      </c>
      <c r="CV561" s="11">
        <v>810</v>
      </c>
      <c r="CW561" s="11">
        <v>1809</v>
      </c>
      <c r="CX561" s="11">
        <v>1300</v>
      </c>
      <c r="CY561" s="11">
        <v>2871</v>
      </c>
      <c r="CZ561" s="11">
        <v>2719</v>
      </c>
      <c r="DA561" s="11">
        <v>3453</v>
      </c>
      <c r="DB561" s="11">
        <v>2508</v>
      </c>
      <c r="DC561" s="11">
        <v>1871</v>
      </c>
      <c r="DD561" s="11">
        <v>983</v>
      </c>
      <c r="DE561" s="11">
        <v>2125</v>
      </c>
      <c r="DF561" s="11">
        <v>801</v>
      </c>
      <c r="DG561" s="11">
        <v>170</v>
      </c>
      <c r="DH561" s="11">
        <v>100</v>
      </c>
      <c r="DI561" s="11">
        <v>166</v>
      </c>
      <c r="DJ561" s="11">
        <v>102</v>
      </c>
      <c r="DK561" s="11">
        <v>776</v>
      </c>
      <c r="DL561" s="11">
        <v>386</v>
      </c>
      <c r="DM561" s="11">
        <v>813</v>
      </c>
      <c r="DN561" s="11">
        <v>456</v>
      </c>
      <c r="DO561" s="11">
        <v>1159</v>
      </c>
      <c r="DP561" s="11">
        <v>133</v>
      </c>
      <c r="DQ561" s="11">
        <v>1015</v>
      </c>
      <c r="DR561" s="11">
        <v>246</v>
      </c>
      <c r="DS561" s="11">
        <v>1017</v>
      </c>
      <c r="DT561" s="11">
        <v>243</v>
      </c>
      <c r="DU561" s="11">
        <v>1020</v>
      </c>
      <c r="DV561" s="11">
        <v>216</v>
      </c>
      <c r="DW561" s="11">
        <v>647</v>
      </c>
      <c r="DX561" s="11">
        <v>621</v>
      </c>
      <c r="DY561" s="11">
        <v>379</v>
      </c>
      <c r="DZ561" s="11">
        <v>354</v>
      </c>
      <c r="EA561" s="11">
        <v>807</v>
      </c>
      <c r="EB561" s="11">
        <v>348</v>
      </c>
      <c r="EC561" s="11">
        <v>888</v>
      </c>
      <c r="ED561" s="11">
        <v>404</v>
      </c>
      <c r="EE561" s="11">
        <v>948</v>
      </c>
      <c r="EF561" s="11">
        <v>338</v>
      </c>
      <c r="EG561" s="11">
        <v>960</v>
      </c>
      <c r="EH561" s="11">
        <v>611</v>
      </c>
      <c r="EI561" s="11">
        <v>644</v>
      </c>
      <c r="EJ561" s="11">
        <v>342</v>
      </c>
      <c r="EK561" s="11">
        <v>566</v>
      </c>
      <c r="EL561" s="11">
        <v>421</v>
      </c>
      <c r="EM561" s="11">
        <v>969</v>
      </c>
      <c r="EN561" s="11">
        <v>400</v>
      </c>
      <c r="EO561" s="11">
        <v>565</v>
      </c>
      <c r="EP561" s="11">
        <v>828</v>
      </c>
      <c r="EQ561" s="11">
        <v>283</v>
      </c>
      <c r="ER561" s="11">
        <v>115</v>
      </c>
      <c r="ES561" s="11">
        <v>802</v>
      </c>
      <c r="ET561" s="11">
        <v>219</v>
      </c>
      <c r="EU561" s="11">
        <v>708</v>
      </c>
      <c r="EV561" s="11">
        <v>325</v>
      </c>
      <c r="EW561" s="11">
        <v>12451</v>
      </c>
      <c r="EX561" s="11">
        <v>6319</v>
      </c>
      <c r="EY561" s="11">
        <v>10164</v>
      </c>
      <c r="EZ561" s="11">
        <v>6805</v>
      </c>
      <c r="FA561" s="11">
        <v>370</v>
      </c>
      <c r="FB561" s="11">
        <v>115</v>
      </c>
      <c r="FC561" s="11">
        <v>6541</v>
      </c>
      <c r="FD561" s="11">
        <v>4937</v>
      </c>
      <c r="FE561" s="11">
        <v>17825</v>
      </c>
      <c r="FF561" s="11">
        <v>6427</v>
      </c>
      <c r="FG561" s="11">
        <v>19677</v>
      </c>
      <c r="FH561" s="11">
        <v>4708</v>
      </c>
      <c r="FI561" s="11">
        <v>4012</v>
      </c>
      <c r="FJ561" s="11">
        <v>2228</v>
      </c>
      <c r="FK561" s="11">
        <v>464</v>
      </c>
      <c r="FL561" s="11">
        <v>177</v>
      </c>
      <c r="FM561" s="11">
        <v>44</v>
      </c>
      <c r="FN561" s="11">
        <v>97</v>
      </c>
      <c r="FO561" s="11">
        <v>51</v>
      </c>
      <c r="FP561" s="11">
        <v>90</v>
      </c>
      <c r="FQ561" s="11">
        <v>45</v>
      </c>
      <c r="FR561" s="11">
        <v>95</v>
      </c>
      <c r="FS561" s="11">
        <v>50</v>
      </c>
      <c r="FT561" s="11">
        <v>93</v>
      </c>
      <c r="FU561" s="11">
        <v>54</v>
      </c>
      <c r="FV561" s="11">
        <v>87</v>
      </c>
      <c r="FW561" s="11">
        <v>63</v>
      </c>
      <c r="FX561" s="11">
        <v>80</v>
      </c>
      <c r="FY561" s="11">
        <v>66073</v>
      </c>
      <c r="FZ561" s="11">
        <v>38777</v>
      </c>
      <c r="GA561" s="11">
        <v>2954</v>
      </c>
      <c r="GB561" s="11">
        <v>1799</v>
      </c>
      <c r="GC561" s="11">
        <v>2325</v>
      </c>
      <c r="GD561" s="11">
        <v>1521</v>
      </c>
      <c r="GE561" s="11">
        <v>3591</v>
      </c>
      <c r="GF561" s="11">
        <v>2433</v>
      </c>
      <c r="GG561" s="11">
        <v>1294</v>
      </c>
      <c r="GH561" s="11">
        <v>899</v>
      </c>
      <c r="GI561" s="11">
        <v>8514</v>
      </c>
      <c r="GJ561" s="11">
        <v>5254</v>
      </c>
      <c r="GK561" s="11">
        <v>5579</v>
      </c>
      <c r="GL561" s="11">
        <v>4687</v>
      </c>
      <c r="GM561" s="11">
        <v>11672</v>
      </c>
      <c r="GN561" s="11">
        <v>7286</v>
      </c>
      <c r="GO561" s="11">
        <v>200742</v>
      </c>
      <c r="GP561" s="11">
        <v>87638</v>
      </c>
      <c r="GQ561" s="11">
        <v>203900</v>
      </c>
      <c r="GR561" s="11">
        <v>83933</v>
      </c>
    </row>
    <row r="562" spans="1:200">
      <c r="A562" s="6"/>
      <c r="B562" s="9" t="s">
        <v>31</v>
      </c>
      <c r="C562" s="6"/>
      <c r="D562" s="10">
        <v>111844</v>
      </c>
      <c r="E562" s="20">
        <f>SUM(D562/C560)</f>
        <v>0.19271685902052885</v>
      </c>
      <c r="F562" s="65">
        <f t="shared" ref="F562:O562" si="17">SUM(F560-F561)</f>
        <v>63150</v>
      </c>
      <c r="G562" s="11">
        <f t="shared" si="17"/>
        <v>369</v>
      </c>
      <c r="H562" s="11">
        <f t="shared" si="17"/>
        <v>2967</v>
      </c>
      <c r="I562" s="11">
        <f t="shared" si="17"/>
        <v>794</v>
      </c>
      <c r="J562" s="58">
        <f t="shared" si="17"/>
        <v>41531</v>
      </c>
      <c r="K562" s="11">
        <f t="shared" si="17"/>
        <v>0</v>
      </c>
      <c r="L562" s="11">
        <f t="shared" si="17"/>
        <v>0</v>
      </c>
      <c r="M562" s="11">
        <f t="shared" si="17"/>
        <v>30</v>
      </c>
      <c r="N562" s="11">
        <f t="shared" si="17"/>
        <v>0</v>
      </c>
      <c r="O562" s="11">
        <f t="shared" si="17"/>
        <v>2</v>
      </c>
      <c r="P562" s="11">
        <f t="shared" ref="P562" si="18">SUM(P560-P561)</f>
        <v>3</v>
      </c>
      <c r="Q562" s="11">
        <f t="shared" ref="Q562:AB562" si="19">SUM(Q560-Q561)</f>
        <v>0</v>
      </c>
      <c r="R562" s="11">
        <f t="shared" si="19"/>
        <v>0</v>
      </c>
      <c r="S562" s="11">
        <f t="shared" si="19"/>
        <v>2</v>
      </c>
      <c r="T562" s="11">
        <f t="shared" si="19"/>
        <v>0</v>
      </c>
      <c r="U562" s="11">
        <f t="shared" si="19"/>
        <v>0</v>
      </c>
      <c r="V562" s="11">
        <f t="shared" si="19"/>
        <v>20</v>
      </c>
      <c r="W562" s="11">
        <f t="shared" si="19"/>
        <v>284</v>
      </c>
      <c r="X562" s="11">
        <f t="shared" si="19"/>
        <v>0</v>
      </c>
      <c r="Y562" s="11">
        <f t="shared" si="19"/>
        <v>1</v>
      </c>
      <c r="Z562" s="11">
        <f t="shared" si="19"/>
        <v>0</v>
      </c>
      <c r="AA562" s="11">
        <f t="shared" si="19"/>
        <v>1</v>
      </c>
      <c r="AB562" s="11">
        <f t="shared" si="19"/>
        <v>1</v>
      </c>
      <c r="AC562" s="11">
        <f t="shared" ref="AC562:CA562" si="20">SUM(AC560-AC561)</f>
        <v>1136</v>
      </c>
      <c r="AD562" s="11">
        <f t="shared" si="20"/>
        <v>1489</v>
      </c>
      <c r="AE562" s="11">
        <f t="shared" si="20"/>
        <v>55394</v>
      </c>
      <c r="AF562" s="11">
        <f t="shared" si="20"/>
        <v>1024</v>
      </c>
      <c r="AG562" s="11">
        <f t="shared" si="20"/>
        <v>2</v>
      </c>
      <c r="AH562" s="11">
        <f t="shared" si="20"/>
        <v>48717</v>
      </c>
      <c r="AI562" s="11">
        <f t="shared" si="20"/>
        <v>30873</v>
      </c>
      <c r="AJ562" s="11">
        <f t="shared" si="20"/>
        <v>31</v>
      </c>
      <c r="AK562" s="11">
        <f t="shared" si="20"/>
        <v>0</v>
      </c>
      <c r="AL562" s="11">
        <f t="shared" si="20"/>
        <v>32327</v>
      </c>
      <c r="AM562" s="11">
        <f t="shared" si="20"/>
        <v>2253</v>
      </c>
      <c r="AN562" s="11">
        <f t="shared" si="20"/>
        <v>19397</v>
      </c>
      <c r="AO562" s="11">
        <f t="shared" si="20"/>
        <v>21589</v>
      </c>
      <c r="AP562" s="11">
        <f t="shared" si="20"/>
        <v>16406</v>
      </c>
      <c r="AQ562" s="11">
        <f t="shared" si="20"/>
        <v>26162</v>
      </c>
      <c r="AR562" s="11">
        <f t="shared" si="20"/>
        <v>10206</v>
      </c>
      <c r="AS562" s="11">
        <f t="shared" si="20"/>
        <v>7475</v>
      </c>
      <c r="AT562" s="11">
        <f t="shared" si="20"/>
        <v>8915</v>
      </c>
      <c r="AU562" s="11">
        <f t="shared" si="20"/>
        <v>7701</v>
      </c>
      <c r="AV562" s="11">
        <f t="shared" si="20"/>
        <v>8784</v>
      </c>
      <c r="AW562" s="11">
        <f t="shared" si="20"/>
        <v>3891</v>
      </c>
      <c r="AX562" s="11">
        <f t="shared" si="20"/>
        <v>10365</v>
      </c>
      <c r="AY562" s="11">
        <f t="shared" si="20"/>
        <v>10481</v>
      </c>
      <c r="AZ562" s="11">
        <f t="shared" si="20"/>
        <v>3756</v>
      </c>
      <c r="BA562" s="11">
        <f t="shared" si="20"/>
        <v>10555</v>
      </c>
      <c r="BB562" s="11">
        <f t="shared" si="20"/>
        <v>3364</v>
      </c>
      <c r="BC562" s="11">
        <f t="shared" si="20"/>
        <v>3718</v>
      </c>
      <c r="BD562" s="11">
        <f t="shared" si="20"/>
        <v>11783</v>
      </c>
      <c r="BE562" s="11">
        <f t="shared" si="20"/>
        <v>39042</v>
      </c>
      <c r="BF562" s="11">
        <f t="shared" si="20"/>
        <v>65966</v>
      </c>
      <c r="BG562" s="11">
        <f t="shared" si="20"/>
        <v>47780</v>
      </c>
      <c r="BH562" s="11">
        <f t="shared" si="20"/>
        <v>57543</v>
      </c>
      <c r="BI562" s="11">
        <f t="shared" si="20"/>
        <v>54775</v>
      </c>
      <c r="BJ562" s="11">
        <f t="shared" si="20"/>
        <v>49998</v>
      </c>
      <c r="BK562" s="11">
        <f t="shared" si="20"/>
        <v>54503</v>
      </c>
      <c r="BL562" s="11">
        <f t="shared" si="20"/>
        <v>49758</v>
      </c>
      <c r="BM562" s="11">
        <f t="shared" si="20"/>
        <v>36858</v>
      </c>
      <c r="BN562" s="11">
        <f t="shared" si="20"/>
        <v>66596</v>
      </c>
      <c r="BO562" s="11">
        <f t="shared" si="20"/>
        <v>54314</v>
      </c>
      <c r="BP562" s="11">
        <f t="shared" si="20"/>
        <v>48243</v>
      </c>
      <c r="BQ562" s="11">
        <f t="shared" si="20"/>
        <v>54375</v>
      </c>
      <c r="BR562" s="11">
        <f t="shared" si="20"/>
        <v>48850</v>
      </c>
      <c r="BS562" s="11">
        <f t="shared" si="20"/>
        <v>62690</v>
      </c>
      <c r="BT562" s="11">
        <f t="shared" si="20"/>
        <v>33274</v>
      </c>
      <c r="BU562" s="11">
        <f t="shared" si="20"/>
        <v>69726</v>
      </c>
      <c r="BV562" s="11">
        <f t="shared" si="20"/>
        <v>64566</v>
      </c>
      <c r="BW562" s="11">
        <f t="shared" si="20"/>
        <v>46098</v>
      </c>
      <c r="BX562" s="11">
        <f t="shared" si="20"/>
        <v>41261</v>
      </c>
      <c r="BY562" s="11">
        <f t="shared" si="20"/>
        <v>47855</v>
      </c>
      <c r="BZ562" s="11">
        <f t="shared" si="20"/>
        <v>45689</v>
      </c>
      <c r="CA562" s="11">
        <f t="shared" si="20"/>
        <v>58784</v>
      </c>
      <c r="CB562" s="11">
        <f t="shared" ref="CB562:EM562" si="21">SUM(CB560-CB561)</f>
        <v>40741</v>
      </c>
      <c r="CC562" s="11">
        <f t="shared" si="21"/>
        <v>46517</v>
      </c>
      <c r="CD562" s="11">
        <f t="shared" si="21"/>
        <v>64624</v>
      </c>
      <c r="CE562" s="11">
        <f t="shared" si="21"/>
        <v>44904</v>
      </c>
      <c r="CF562" s="11">
        <f t="shared" si="21"/>
        <v>44384</v>
      </c>
      <c r="CG562" s="11">
        <f t="shared" si="21"/>
        <v>44138</v>
      </c>
      <c r="CH562" s="11">
        <f t="shared" si="21"/>
        <v>40037</v>
      </c>
      <c r="CI562" s="11">
        <f t="shared" si="21"/>
        <v>33081</v>
      </c>
      <c r="CJ562" s="11">
        <f t="shared" si="21"/>
        <v>52859</v>
      </c>
      <c r="CK562" s="11">
        <f t="shared" si="21"/>
        <v>45546</v>
      </c>
      <c r="CL562" s="11">
        <f t="shared" si="21"/>
        <v>40737</v>
      </c>
      <c r="CM562" s="11">
        <f t="shared" si="21"/>
        <v>55633</v>
      </c>
      <c r="CN562" s="11">
        <f t="shared" si="21"/>
        <v>57395</v>
      </c>
      <c r="CO562" s="11">
        <f t="shared" si="21"/>
        <v>38164</v>
      </c>
      <c r="CP562" s="11">
        <f t="shared" si="21"/>
        <v>48539</v>
      </c>
      <c r="CQ562" s="11">
        <f t="shared" si="21"/>
        <v>1191</v>
      </c>
      <c r="CR562" s="11">
        <f t="shared" si="21"/>
        <v>492</v>
      </c>
      <c r="CS562" s="11">
        <f t="shared" si="21"/>
        <v>73</v>
      </c>
      <c r="CT562" s="11">
        <f t="shared" si="21"/>
        <v>142</v>
      </c>
      <c r="CU562" s="11">
        <f t="shared" si="21"/>
        <v>365</v>
      </c>
      <c r="CV562" s="11">
        <f t="shared" si="21"/>
        <v>243</v>
      </c>
      <c r="CW562" s="11">
        <f t="shared" si="21"/>
        <v>617</v>
      </c>
      <c r="CX562" s="11">
        <f t="shared" si="21"/>
        <v>357</v>
      </c>
      <c r="CY562" s="11">
        <f t="shared" si="21"/>
        <v>757</v>
      </c>
      <c r="CZ562" s="11">
        <f t="shared" si="21"/>
        <v>664</v>
      </c>
      <c r="DA562" s="11">
        <f t="shared" si="21"/>
        <v>880</v>
      </c>
      <c r="DB562" s="11">
        <f t="shared" si="21"/>
        <v>632</v>
      </c>
      <c r="DC562" s="11">
        <f t="shared" si="21"/>
        <v>749</v>
      </c>
      <c r="DD562" s="11">
        <f t="shared" si="21"/>
        <v>326</v>
      </c>
      <c r="DE562" s="11">
        <f t="shared" si="21"/>
        <v>1115</v>
      </c>
      <c r="DF562" s="11">
        <f t="shared" si="21"/>
        <v>295</v>
      </c>
      <c r="DG562" s="11">
        <f t="shared" si="21"/>
        <v>21</v>
      </c>
      <c r="DH562" s="11">
        <f t="shared" si="21"/>
        <v>7</v>
      </c>
      <c r="DI562" s="11">
        <f t="shared" si="21"/>
        <v>20</v>
      </c>
      <c r="DJ562" s="11">
        <f t="shared" si="21"/>
        <v>8</v>
      </c>
      <c r="DK562" s="11">
        <f t="shared" si="21"/>
        <v>192</v>
      </c>
      <c r="DL562" s="11">
        <f t="shared" si="21"/>
        <v>99</v>
      </c>
      <c r="DM562" s="11">
        <f t="shared" si="21"/>
        <v>323</v>
      </c>
      <c r="DN562" s="11">
        <f t="shared" si="21"/>
        <v>156</v>
      </c>
      <c r="DO562" s="11">
        <f t="shared" si="21"/>
        <v>437</v>
      </c>
      <c r="DP562" s="11">
        <f t="shared" si="21"/>
        <v>59</v>
      </c>
      <c r="DQ562" s="11">
        <f t="shared" si="21"/>
        <v>392</v>
      </c>
      <c r="DR562" s="11">
        <f t="shared" si="21"/>
        <v>83</v>
      </c>
      <c r="DS562" s="11">
        <f t="shared" si="21"/>
        <v>392</v>
      </c>
      <c r="DT562" s="11">
        <f t="shared" si="21"/>
        <v>81</v>
      </c>
      <c r="DU562" s="11">
        <f t="shared" si="21"/>
        <v>378</v>
      </c>
      <c r="DV562" s="11">
        <f t="shared" si="21"/>
        <v>84</v>
      </c>
      <c r="DW562" s="11">
        <f t="shared" si="21"/>
        <v>300</v>
      </c>
      <c r="DX562" s="11">
        <f t="shared" si="21"/>
        <v>170</v>
      </c>
      <c r="DY562" s="11">
        <f t="shared" si="21"/>
        <v>69</v>
      </c>
      <c r="DZ562" s="11">
        <f t="shared" si="21"/>
        <v>73</v>
      </c>
      <c r="EA562" s="11">
        <f t="shared" si="21"/>
        <v>283</v>
      </c>
      <c r="EB562" s="11">
        <f t="shared" si="21"/>
        <v>113</v>
      </c>
      <c r="EC562" s="11">
        <f t="shared" si="21"/>
        <v>326</v>
      </c>
      <c r="ED562" s="11">
        <f t="shared" si="21"/>
        <v>169</v>
      </c>
      <c r="EE562" s="11">
        <f t="shared" si="21"/>
        <v>350</v>
      </c>
      <c r="EF562" s="11">
        <f t="shared" si="21"/>
        <v>141</v>
      </c>
      <c r="EG562" s="11">
        <f t="shared" si="21"/>
        <v>244</v>
      </c>
      <c r="EH562" s="11">
        <f t="shared" si="21"/>
        <v>103</v>
      </c>
      <c r="EI562" s="11">
        <f t="shared" si="21"/>
        <v>157</v>
      </c>
      <c r="EJ562" s="11">
        <f t="shared" si="21"/>
        <v>71</v>
      </c>
      <c r="EK562" s="11">
        <f t="shared" si="21"/>
        <v>142</v>
      </c>
      <c r="EL562" s="11">
        <f t="shared" si="21"/>
        <v>88</v>
      </c>
      <c r="EM562" s="11">
        <f t="shared" si="21"/>
        <v>454</v>
      </c>
      <c r="EN562" s="11">
        <f t="shared" ref="EN562:GR562" si="22">SUM(EN560-EN561)</f>
        <v>181</v>
      </c>
      <c r="EO562" s="11">
        <f t="shared" si="22"/>
        <v>295</v>
      </c>
      <c r="EP562" s="11">
        <f t="shared" si="22"/>
        <v>335</v>
      </c>
      <c r="EQ562" s="11">
        <f t="shared" si="22"/>
        <v>156</v>
      </c>
      <c r="ER562" s="11">
        <f t="shared" si="22"/>
        <v>46</v>
      </c>
      <c r="ES562" s="11">
        <f t="shared" si="22"/>
        <v>322</v>
      </c>
      <c r="ET562" s="11">
        <f t="shared" si="22"/>
        <v>78</v>
      </c>
      <c r="EU562" s="11">
        <f t="shared" si="22"/>
        <v>318</v>
      </c>
      <c r="EV562" s="11">
        <f t="shared" si="22"/>
        <v>126</v>
      </c>
      <c r="EW562" s="11">
        <f t="shared" si="22"/>
        <v>4666</v>
      </c>
      <c r="EX562" s="11">
        <f t="shared" si="22"/>
        <v>2350</v>
      </c>
      <c r="EY562" s="11">
        <f t="shared" si="22"/>
        <v>4179</v>
      </c>
      <c r="EZ562" s="11">
        <f t="shared" si="22"/>
        <v>2276</v>
      </c>
      <c r="FA562" s="11">
        <f t="shared" si="22"/>
        <v>157</v>
      </c>
      <c r="FB562" s="11">
        <f t="shared" si="22"/>
        <v>42</v>
      </c>
      <c r="FC562" s="11">
        <f t="shared" si="22"/>
        <v>1864</v>
      </c>
      <c r="FD562" s="11">
        <f t="shared" si="22"/>
        <v>1519</v>
      </c>
      <c r="FE562" s="11">
        <f t="shared" si="22"/>
        <v>7535</v>
      </c>
      <c r="FF562" s="11">
        <f t="shared" si="22"/>
        <v>1854</v>
      </c>
      <c r="FG562" s="11">
        <f t="shared" si="22"/>
        <v>8093</v>
      </c>
      <c r="FH562" s="11">
        <f t="shared" si="22"/>
        <v>1355</v>
      </c>
      <c r="FI562" s="11">
        <f t="shared" si="22"/>
        <v>1670</v>
      </c>
      <c r="FJ562" s="11">
        <f t="shared" si="22"/>
        <v>639</v>
      </c>
      <c r="FK562" s="11">
        <f t="shared" si="22"/>
        <v>140</v>
      </c>
      <c r="FL562" s="11">
        <f t="shared" si="22"/>
        <v>89</v>
      </c>
      <c r="FM562" s="11">
        <f t="shared" si="22"/>
        <v>9</v>
      </c>
      <c r="FN562" s="11">
        <f t="shared" si="22"/>
        <v>47</v>
      </c>
      <c r="FO562" s="11">
        <f t="shared" si="22"/>
        <v>12</v>
      </c>
      <c r="FP562" s="11">
        <f t="shared" si="22"/>
        <v>42</v>
      </c>
      <c r="FQ562" s="11">
        <f t="shared" si="22"/>
        <v>8</v>
      </c>
      <c r="FR562" s="11">
        <f t="shared" si="22"/>
        <v>48</v>
      </c>
      <c r="FS562" s="11">
        <f t="shared" si="22"/>
        <v>12</v>
      </c>
      <c r="FT562" s="11">
        <f t="shared" si="22"/>
        <v>44</v>
      </c>
      <c r="FU562" s="11">
        <f t="shared" si="22"/>
        <v>10</v>
      </c>
      <c r="FV562" s="11">
        <f t="shared" si="22"/>
        <v>46</v>
      </c>
      <c r="FW562" s="11">
        <f t="shared" si="22"/>
        <v>13</v>
      </c>
      <c r="FX562" s="11">
        <f t="shared" si="22"/>
        <v>43</v>
      </c>
      <c r="FY562" s="11">
        <f t="shared" si="22"/>
        <v>25554</v>
      </c>
      <c r="FZ562" s="11">
        <f t="shared" si="22"/>
        <v>16734</v>
      </c>
      <c r="GA562" s="11">
        <f t="shared" si="22"/>
        <v>739</v>
      </c>
      <c r="GB562" s="11">
        <f t="shared" si="22"/>
        <v>598</v>
      </c>
      <c r="GC562" s="11">
        <f t="shared" si="22"/>
        <v>1063</v>
      </c>
      <c r="GD562" s="11">
        <f t="shared" si="22"/>
        <v>650</v>
      </c>
      <c r="GE562" s="11">
        <f t="shared" si="22"/>
        <v>841</v>
      </c>
      <c r="GF562" s="11">
        <f t="shared" si="22"/>
        <v>692</v>
      </c>
      <c r="GG562" s="11">
        <f t="shared" si="22"/>
        <v>273</v>
      </c>
      <c r="GH562" s="11">
        <f t="shared" si="22"/>
        <v>241</v>
      </c>
      <c r="GI562" s="11">
        <f t="shared" si="22"/>
        <v>3272</v>
      </c>
      <c r="GJ562" s="11">
        <f t="shared" si="22"/>
        <v>2330</v>
      </c>
      <c r="GK562" s="11">
        <f t="shared" si="22"/>
        <v>1568</v>
      </c>
      <c r="GL562" s="11">
        <f t="shared" si="22"/>
        <v>1687</v>
      </c>
      <c r="GM562" s="11">
        <f t="shared" si="22"/>
        <v>4177</v>
      </c>
      <c r="GN562" s="11">
        <f t="shared" si="22"/>
        <v>2873</v>
      </c>
      <c r="GO562" s="11">
        <f t="shared" si="22"/>
        <v>73019</v>
      </c>
      <c r="GP562" s="11">
        <f t="shared" si="22"/>
        <v>32998</v>
      </c>
      <c r="GQ562" s="11">
        <f t="shared" si="22"/>
        <v>77696</v>
      </c>
      <c r="GR562" s="11">
        <f t="shared" si="22"/>
        <v>28408</v>
      </c>
    </row>
    <row r="563" spans="1:200">
      <c r="A563" s="6"/>
      <c r="B563" s="12"/>
      <c r="C563" s="6"/>
      <c r="D563" s="6"/>
      <c r="E563" s="6"/>
      <c r="F563" s="66"/>
      <c r="G563" s="6"/>
      <c r="H563" s="6"/>
      <c r="I563" s="6"/>
      <c r="J563" s="59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</row>
    <row r="564" spans="1:200">
      <c r="A564" s="6"/>
      <c r="B564" s="13" t="s">
        <v>692</v>
      </c>
      <c r="C564" s="14">
        <f>SUM(C4:C188)</f>
        <v>217605</v>
      </c>
      <c r="D564" s="14">
        <f>SUM(D4:D188)</f>
        <v>138197</v>
      </c>
      <c r="E564" s="15">
        <f>SUM(D564/C564)</f>
        <v>0.63508191447806805</v>
      </c>
      <c r="F564" s="66">
        <f t="shared" ref="F564:AB564" si="23">SUM(F4:F188)</f>
        <v>100866</v>
      </c>
      <c r="G564" s="6">
        <f t="shared" si="23"/>
        <v>359</v>
      </c>
      <c r="H564" s="6">
        <f t="shared" si="23"/>
        <v>3689</v>
      </c>
      <c r="I564" s="6">
        <f t="shared" si="23"/>
        <v>1541</v>
      </c>
      <c r="J564" s="59">
        <f t="shared" si="23"/>
        <v>28797</v>
      </c>
      <c r="K564" s="6">
        <f t="shared" si="23"/>
        <v>0</v>
      </c>
      <c r="L564" s="6">
        <f t="shared" si="23"/>
        <v>0</v>
      </c>
      <c r="M564" s="6">
        <f t="shared" si="23"/>
        <v>29</v>
      </c>
      <c r="N564" s="6">
        <f t="shared" si="23"/>
        <v>0</v>
      </c>
      <c r="O564" s="6">
        <f t="shared" si="23"/>
        <v>1</v>
      </c>
      <c r="P564" s="6">
        <f t="shared" si="23"/>
        <v>5</v>
      </c>
      <c r="Q564" s="6">
        <f t="shared" si="23"/>
        <v>0</v>
      </c>
      <c r="R564" s="6">
        <f t="shared" si="23"/>
        <v>0</v>
      </c>
      <c r="S564" s="6">
        <f t="shared" si="23"/>
        <v>10</v>
      </c>
      <c r="T564" s="6">
        <f t="shared" si="23"/>
        <v>2</v>
      </c>
      <c r="U564" s="6">
        <f t="shared" si="23"/>
        <v>0</v>
      </c>
      <c r="V564" s="6">
        <f t="shared" si="23"/>
        <v>16</v>
      </c>
      <c r="W564" s="6">
        <f t="shared" si="23"/>
        <v>397</v>
      </c>
      <c r="X564" s="6">
        <f t="shared" si="23"/>
        <v>1</v>
      </c>
      <c r="Y564" s="6">
        <f t="shared" si="23"/>
        <v>0</v>
      </c>
      <c r="Z564" s="6">
        <f t="shared" si="23"/>
        <v>0</v>
      </c>
      <c r="AA564" s="6">
        <f t="shared" si="23"/>
        <v>0</v>
      </c>
      <c r="AB564" s="6">
        <f t="shared" si="23"/>
        <v>0</v>
      </c>
      <c r="AC564" s="6">
        <f t="shared" ref="AC564:BZ564" si="24">SUM(AC4:AC188)</f>
        <v>1633</v>
      </c>
      <c r="AD564" s="6">
        <f t="shared" si="24"/>
        <v>2931</v>
      </c>
      <c r="AE564" s="6">
        <f t="shared" si="24"/>
        <v>43379</v>
      </c>
      <c r="AF564" s="6">
        <f t="shared" si="24"/>
        <v>1221</v>
      </c>
      <c r="AG564" s="6">
        <f t="shared" si="24"/>
        <v>4</v>
      </c>
      <c r="AH564" s="6">
        <f t="shared" si="24"/>
        <v>83348</v>
      </c>
      <c r="AI564" s="6">
        <f t="shared" si="24"/>
        <v>21834</v>
      </c>
      <c r="AJ564" s="6">
        <f t="shared" si="24"/>
        <v>76</v>
      </c>
      <c r="AK564" s="6">
        <f t="shared" si="24"/>
        <v>7</v>
      </c>
      <c r="AL564" s="6">
        <f t="shared" si="24"/>
        <v>64424</v>
      </c>
      <c r="AM564" s="6">
        <f t="shared" si="24"/>
        <v>2269</v>
      </c>
      <c r="AN564" s="6">
        <f t="shared" si="24"/>
        <v>22113</v>
      </c>
      <c r="AO564" s="6">
        <f t="shared" si="24"/>
        <v>19769</v>
      </c>
      <c r="AP564" s="6">
        <f t="shared" si="24"/>
        <v>6001</v>
      </c>
      <c r="AQ564" s="6">
        <f t="shared" si="24"/>
        <v>4604</v>
      </c>
      <c r="AR564" s="6">
        <f t="shared" si="24"/>
        <v>8011</v>
      </c>
      <c r="AS564" s="6">
        <f t="shared" si="24"/>
        <v>7512</v>
      </c>
      <c r="AT564" s="6">
        <f t="shared" si="24"/>
        <v>0</v>
      </c>
      <c r="AU564" s="6">
        <f t="shared" si="24"/>
        <v>0</v>
      </c>
      <c r="AV564" s="6">
        <f t="shared" si="24"/>
        <v>2763</v>
      </c>
      <c r="AW564" s="6">
        <f t="shared" si="24"/>
        <v>2991</v>
      </c>
      <c r="AX564" s="6">
        <f t="shared" si="24"/>
        <v>2455</v>
      </c>
      <c r="AY564" s="6">
        <f t="shared" si="24"/>
        <v>25264</v>
      </c>
      <c r="AZ564" s="6">
        <f t="shared" si="24"/>
        <v>9474</v>
      </c>
      <c r="BA564" s="6">
        <f t="shared" si="24"/>
        <v>32600</v>
      </c>
      <c r="BB564" s="6">
        <f t="shared" si="24"/>
        <v>8945</v>
      </c>
      <c r="BC564" s="6">
        <f t="shared" si="24"/>
        <v>3656</v>
      </c>
      <c r="BD564" s="6">
        <f t="shared" si="24"/>
        <v>22263</v>
      </c>
      <c r="BE564" s="6">
        <f t="shared" si="24"/>
        <v>30132</v>
      </c>
      <c r="BF564" s="6">
        <f t="shared" si="24"/>
        <v>98547</v>
      </c>
      <c r="BG564" s="6">
        <f t="shared" si="24"/>
        <v>36347</v>
      </c>
      <c r="BH564" s="6">
        <f t="shared" si="24"/>
        <v>92684</v>
      </c>
      <c r="BI564" s="6">
        <f t="shared" si="24"/>
        <v>44263</v>
      </c>
      <c r="BJ564" s="6">
        <f t="shared" si="24"/>
        <v>83767</v>
      </c>
      <c r="BK564" s="6">
        <f t="shared" si="24"/>
        <v>91462</v>
      </c>
      <c r="BL564" s="6">
        <f t="shared" si="24"/>
        <v>36733</v>
      </c>
      <c r="BM564" s="6">
        <f t="shared" si="24"/>
        <v>28595</v>
      </c>
      <c r="BN564" s="6">
        <f t="shared" si="24"/>
        <v>98276</v>
      </c>
      <c r="BO564" s="6">
        <f t="shared" si="24"/>
        <v>87720</v>
      </c>
      <c r="BP564" s="6">
        <f t="shared" si="24"/>
        <v>36958</v>
      </c>
      <c r="BQ564" s="6">
        <f t="shared" si="24"/>
        <v>41122</v>
      </c>
      <c r="BR564" s="6">
        <f t="shared" si="24"/>
        <v>84314</v>
      </c>
      <c r="BS564" s="6">
        <f t="shared" si="24"/>
        <v>62755</v>
      </c>
      <c r="BT564" s="6">
        <f t="shared" si="24"/>
        <v>26278</v>
      </c>
      <c r="BU564" s="6">
        <f t="shared" si="24"/>
        <v>100246</v>
      </c>
      <c r="BV564" s="6">
        <f t="shared" si="24"/>
        <v>73064</v>
      </c>
      <c r="BW564" s="6">
        <f t="shared" si="24"/>
        <v>43592</v>
      </c>
      <c r="BX564" s="6">
        <f t="shared" si="24"/>
        <v>59037</v>
      </c>
      <c r="BY564" s="6">
        <f t="shared" si="24"/>
        <v>43925</v>
      </c>
      <c r="BZ564" s="6">
        <f t="shared" si="24"/>
        <v>67312</v>
      </c>
      <c r="CA564" s="6">
        <f t="shared" ref="CA564:CP564" si="25">SUM(CA4:CA188)</f>
        <v>64391</v>
      </c>
      <c r="CB564" s="6">
        <f t="shared" si="25"/>
        <v>33414</v>
      </c>
      <c r="CC564" s="6">
        <f t="shared" si="25"/>
        <v>68907</v>
      </c>
      <c r="CD564" s="6">
        <f t="shared" si="25"/>
        <v>75368</v>
      </c>
      <c r="CE564" s="6">
        <f t="shared" si="25"/>
        <v>67584</v>
      </c>
      <c r="CF564" s="6">
        <f t="shared" si="25"/>
        <v>35968</v>
      </c>
      <c r="CG564" s="6">
        <f t="shared" si="25"/>
        <v>39259</v>
      </c>
      <c r="CH564" s="6">
        <f t="shared" si="25"/>
        <v>58717</v>
      </c>
      <c r="CI564" s="6">
        <f t="shared" si="25"/>
        <v>49815</v>
      </c>
      <c r="CJ564" s="6">
        <f t="shared" si="25"/>
        <v>51530</v>
      </c>
      <c r="CK564" s="6">
        <f t="shared" si="25"/>
        <v>45849</v>
      </c>
      <c r="CL564" s="6">
        <f t="shared" si="25"/>
        <v>57102</v>
      </c>
      <c r="CM564" s="6">
        <f t="shared" si="25"/>
        <v>61252</v>
      </c>
      <c r="CN564" s="6">
        <f t="shared" si="25"/>
        <v>65357</v>
      </c>
      <c r="CO564" s="6">
        <f t="shared" si="25"/>
        <v>55584</v>
      </c>
      <c r="CP564" s="6">
        <f t="shared" si="25"/>
        <v>47473</v>
      </c>
      <c r="CQ564" s="6">
        <f t="shared" ref="CQ564:EM564" si="26">SUM(CQ4:CQ188)</f>
        <v>0</v>
      </c>
      <c r="CR564" s="6">
        <f t="shared" si="26"/>
        <v>0</v>
      </c>
      <c r="CS564" s="6">
        <f t="shared" si="26"/>
        <v>339</v>
      </c>
      <c r="CT564" s="6">
        <f t="shared" si="26"/>
        <v>470</v>
      </c>
      <c r="CU564" s="6">
        <f t="shared" si="26"/>
        <v>0</v>
      </c>
      <c r="CV564" s="6">
        <f t="shared" si="26"/>
        <v>0</v>
      </c>
      <c r="CW564" s="6">
        <f t="shared" si="26"/>
        <v>0</v>
      </c>
      <c r="CX564" s="6">
        <f t="shared" si="26"/>
        <v>0</v>
      </c>
      <c r="CY564" s="6">
        <f t="shared" si="26"/>
        <v>0</v>
      </c>
      <c r="CZ564" s="6">
        <f t="shared" si="26"/>
        <v>0</v>
      </c>
      <c r="DA564" s="6">
        <f t="shared" si="26"/>
        <v>0</v>
      </c>
      <c r="DB564" s="6">
        <f t="shared" si="26"/>
        <v>0</v>
      </c>
      <c r="DC564" s="6">
        <f t="shared" si="26"/>
        <v>0</v>
      </c>
      <c r="DD564" s="6">
        <f t="shared" si="26"/>
        <v>0</v>
      </c>
      <c r="DE564" s="6">
        <f t="shared" si="26"/>
        <v>0</v>
      </c>
      <c r="DF564" s="6">
        <f t="shared" si="26"/>
        <v>0</v>
      </c>
      <c r="DG564" s="6">
        <f t="shared" si="26"/>
        <v>0</v>
      </c>
      <c r="DH564" s="6">
        <f t="shared" si="26"/>
        <v>0</v>
      </c>
      <c r="DI564" s="6">
        <f t="shared" si="26"/>
        <v>0</v>
      </c>
      <c r="DJ564" s="6">
        <f t="shared" si="26"/>
        <v>0</v>
      </c>
      <c r="DK564" s="6">
        <f t="shared" si="26"/>
        <v>0</v>
      </c>
      <c r="DL564" s="6">
        <f t="shared" si="26"/>
        <v>0</v>
      </c>
      <c r="DM564" s="6">
        <f t="shared" si="26"/>
        <v>0</v>
      </c>
      <c r="DN564" s="6">
        <f t="shared" si="26"/>
        <v>0</v>
      </c>
      <c r="DO564" s="6">
        <f t="shared" si="26"/>
        <v>0</v>
      </c>
      <c r="DP564" s="6">
        <f t="shared" si="26"/>
        <v>0</v>
      </c>
      <c r="DQ564" s="6">
        <f t="shared" si="26"/>
        <v>0</v>
      </c>
      <c r="DR564" s="6">
        <f t="shared" si="26"/>
        <v>0</v>
      </c>
      <c r="DS564" s="6">
        <f t="shared" si="26"/>
        <v>0</v>
      </c>
      <c r="DT564" s="6">
        <f t="shared" si="26"/>
        <v>0</v>
      </c>
      <c r="DU564" s="6">
        <f t="shared" si="26"/>
        <v>0</v>
      </c>
      <c r="DV564" s="6">
        <f t="shared" si="26"/>
        <v>0</v>
      </c>
      <c r="DW564" s="6">
        <f t="shared" si="26"/>
        <v>0</v>
      </c>
      <c r="DX564" s="6">
        <f t="shared" si="26"/>
        <v>0</v>
      </c>
      <c r="DY564" s="6">
        <f t="shared" si="26"/>
        <v>0</v>
      </c>
      <c r="DZ564" s="6">
        <f t="shared" si="26"/>
        <v>0</v>
      </c>
      <c r="EA564" s="6">
        <f t="shared" si="26"/>
        <v>0</v>
      </c>
      <c r="EB564" s="6">
        <f t="shared" si="26"/>
        <v>0</v>
      </c>
      <c r="EC564" s="6">
        <f t="shared" si="26"/>
        <v>0</v>
      </c>
      <c r="ED564" s="6">
        <f t="shared" si="26"/>
        <v>0</v>
      </c>
      <c r="EE564" s="6">
        <f t="shared" si="26"/>
        <v>0</v>
      </c>
      <c r="EF564" s="6">
        <f t="shared" si="26"/>
        <v>0</v>
      </c>
      <c r="EG564" s="6">
        <f t="shared" si="26"/>
        <v>0</v>
      </c>
      <c r="EH564" s="6">
        <f t="shared" si="26"/>
        <v>0</v>
      </c>
      <c r="EI564" s="6">
        <f t="shared" si="26"/>
        <v>0</v>
      </c>
      <c r="EJ564" s="6">
        <f t="shared" si="26"/>
        <v>0</v>
      </c>
      <c r="EK564" s="6">
        <f t="shared" si="26"/>
        <v>0</v>
      </c>
      <c r="EL564" s="6">
        <f t="shared" si="26"/>
        <v>0</v>
      </c>
      <c r="EM564" s="6">
        <f t="shared" si="26"/>
        <v>0</v>
      </c>
      <c r="EN564" s="6">
        <f t="shared" ref="EN564:GR564" si="27">SUM(EN4:EN188)</f>
        <v>0</v>
      </c>
      <c r="EO564" s="6">
        <f t="shared" si="27"/>
        <v>0</v>
      </c>
      <c r="EP564" s="6">
        <f t="shared" si="27"/>
        <v>0</v>
      </c>
      <c r="EQ564" s="6">
        <f t="shared" si="27"/>
        <v>0</v>
      </c>
      <c r="ER564" s="6">
        <f t="shared" si="27"/>
        <v>0</v>
      </c>
      <c r="ES564" s="6">
        <f t="shared" si="27"/>
        <v>0</v>
      </c>
      <c r="ET564" s="6">
        <f t="shared" si="27"/>
        <v>0</v>
      </c>
      <c r="EU564" s="6">
        <f t="shared" si="27"/>
        <v>0</v>
      </c>
      <c r="EV564" s="6">
        <f t="shared" si="27"/>
        <v>0</v>
      </c>
      <c r="EW564" s="6">
        <f t="shared" si="27"/>
        <v>0</v>
      </c>
      <c r="EX564" s="6">
        <f t="shared" si="27"/>
        <v>0</v>
      </c>
      <c r="EY564" s="6">
        <f t="shared" si="27"/>
        <v>0</v>
      </c>
      <c r="EZ564" s="6">
        <f t="shared" si="27"/>
        <v>0</v>
      </c>
      <c r="FA564" s="6">
        <f t="shared" si="27"/>
        <v>0</v>
      </c>
      <c r="FB564" s="6">
        <f t="shared" si="27"/>
        <v>0</v>
      </c>
      <c r="FC564" s="6">
        <f t="shared" si="27"/>
        <v>0</v>
      </c>
      <c r="FD564" s="6">
        <f t="shared" si="27"/>
        <v>0</v>
      </c>
      <c r="FE564" s="6">
        <f t="shared" si="27"/>
        <v>0</v>
      </c>
      <c r="FF564" s="6">
        <f t="shared" si="27"/>
        <v>0</v>
      </c>
      <c r="FG564" s="6">
        <f t="shared" si="27"/>
        <v>0</v>
      </c>
      <c r="FH564" s="6">
        <f t="shared" si="27"/>
        <v>0</v>
      </c>
      <c r="FI564" s="6">
        <f t="shared" si="27"/>
        <v>0</v>
      </c>
      <c r="FJ564" s="6">
        <f t="shared" si="27"/>
        <v>0</v>
      </c>
      <c r="FK564" s="6">
        <f t="shared" si="27"/>
        <v>0</v>
      </c>
      <c r="FL564" s="6">
        <f t="shared" si="27"/>
        <v>0</v>
      </c>
      <c r="FM564" s="6">
        <f t="shared" si="27"/>
        <v>0</v>
      </c>
      <c r="FN564" s="6">
        <f t="shared" si="27"/>
        <v>0</v>
      </c>
      <c r="FO564" s="6">
        <f t="shared" si="27"/>
        <v>0</v>
      </c>
      <c r="FP564" s="6">
        <f t="shared" si="27"/>
        <v>0</v>
      </c>
      <c r="FQ564" s="6">
        <f t="shared" si="27"/>
        <v>0</v>
      </c>
      <c r="FR564" s="6">
        <f t="shared" si="27"/>
        <v>0</v>
      </c>
      <c r="FS564" s="6">
        <f t="shared" si="27"/>
        <v>0</v>
      </c>
      <c r="FT564" s="6">
        <f t="shared" si="27"/>
        <v>0</v>
      </c>
      <c r="FU564" s="6">
        <f t="shared" si="27"/>
        <v>0</v>
      </c>
      <c r="FV564" s="6">
        <f t="shared" si="27"/>
        <v>0</v>
      </c>
      <c r="FW564" s="6">
        <f t="shared" si="27"/>
        <v>0</v>
      </c>
      <c r="FX564" s="6">
        <f t="shared" si="27"/>
        <v>0</v>
      </c>
      <c r="FY564" s="6">
        <f t="shared" si="27"/>
        <v>83366</v>
      </c>
      <c r="FZ564" s="6">
        <f t="shared" si="27"/>
        <v>46418</v>
      </c>
      <c r="GA564" s="6">
        <f t="shared" si="27"/>
        <v>0</v>
      </c>
      <c r="GB564" s="6">
        <f t="shared" si="27"/>
        <v>0</v>
      </c>
      <c r="GC564" s="6">
        <f t="shared" si="27"/>
        <v>0</v>
      </c>
      <c r="GD564" s="6">
        <f t="shared" si="27"/>
        <v>0</v>
      </c>
      <c r="GE564" s="6">
        <f t="shared" si="27"/>
        <v>0</v>
      </c>
      <c r="GF564" s="6">
        <f t="shared" si="27"/>
        <v>0</v>
      </c>
      <c r="GG564" s="6">
        <f t="shared" si="27"/>
        <v>0</v>
      </c>
      <c r="GH564" s="6">
        <f t="shared" si="27"/>
        <v>0</v>
      </c>
      <c r="GI564" s="6">
        <f t="shared" si="27"/>
        <v>0</v>
      </c>
      <c r="GJ564" s="6">
        <f t="shared" si="27"/>
        <v>0</v>
      </c>
      <c r="GK564" s="6">
        <f t="shared" si="27"/>
        <v>0</v>
      </c>
      <c r="GL564" s="6">
        <f t="shared" si="27"/>
        <v>0</v>
      </c>
      <c r="GM564" s="6">
        <f t="shared" si="27"/>
        <v>0</v>
      </c>
      <c r="GN564" s="6">
        <f t="shared" si="27"/>
        <v>0</v>
      </c>
      <c r="GO564" s="6">
        <f t="shared" si="27"/>
        <v>93525</v>
      </c>
      <c r="GP564" s="6">
        <f t="shared" si="27"/>
        <v>34926</v>
      </c>
      <c r="GQ564" s="6">
        <f t="shared" si="27"/>
        <v>98808</v>
      </c>
      <c r="GR564" s="6">
        <f t="shared" si="27"/>
        <v>29953</v>
      </c>
    </row>
    <row r="565" spans="1:200">
      <c r="A565" s="6"/>
      <c r="B565" s="13" t="s">
        <v>42</v>
      </c>
      <c r="C565" s="14">
        <f>SUM(C4:C16)</f>
        <v>12230</v>
      </c>
      <c r="D565" s="14">
        <f>SUM(D4:D16)</f>
        <v>9033</v>
      </c>
      <c r="E565" s="15">
        <f t="shared" ref="E565:E628" si="28">SUM(D565/C565)</f>
        <v>0.73859362224039249</v>
      </c>
      <c r="F565" s="66">
        <f t="shared" ref="F565:AB565" si="29">SUM(F4:F16)</f>
        <v>4754</v>
      </c>
      <c r="G565" s="6">
        <f t="shared" si="29"/>
        <v>33</v>
      </c>
      <c r="H565" s="6">
        <f t="shared" si="29"/>
        <v>409</v>
      </c>
      <c r="I565" s="6">
        <f t="shared" si="29"/>
        <v>107</v>
      </c>
      <c r="J565" s="59">
        <f t="shared" si="29"/>
        <v>3494</v>
      </c>
      <c r="K565" s="6">
        <f t="shared" si="29"/>
        <v>0</v>
      </c>
      <c r="L565" s="6">
        <f t="shared" si="29"/>
        <v>0</v>
      </c>
      <c r="M565" s="6">
        <f t="shared" si="29"/>
        <v>1</v>
      </c>
      <c r="N565" s="6">
        <f t="shared" si="29"/>
        <v>0</v>
      </c>
      <c r="O565" s="6">
        <f t="shared" si="29"/>
        <v>0</v>
      </c>
      <c r="P565" s="6">
        <f t="shared" si="29"/>
        <v>0</v>
      </c>
      <c r="Q565" s="6">
        <f t="shared" si="29"/>
        <v>0</v>
      </c>
      <c r="R565" s="6">
        <f t="shared" si="29"/>
        <v>0</v>
      </c>
      <c r="S565" s="6">
        <f t="shared" si="29"/>
        <v>0</v>
      </c>
      <c r="T565" s="6">
        <f t="shared" si="29"/>
        <v>1</v>
      </c>
      <c r="U565" s="6">
        <f t="shared" si="29"/>
        <v>0</v>
      </c>
      <c r="V565" s="6">
        <f t="shared" si="29"/>
        <v>2</v>
      </c>
      <c r="W565" s="6">
        <f t="shared" si="29"/>
        <v>33</v>
      </c>
      <c r="X565" s="6">
        <f t="shared" si="29"/>
        <v>0</v>
      </c>
      <c r="Y565" s="6">
        <f t="shared" si="29"/>
        <v>0</v>
      </c>
      <c r="Z565" s="6">
        <f t="shared" si="29"/>
        <v>0</v>
      </c>
      <c r="AA565" s="6">
        <f t="shared" si="29"/>
        <v>0</v>
      </c>
      <c r="AB565" s="6">
        <f t="shared" si="29"/>
        <v>0</v>
      </c>
      <c r="AC565" s="6">
        <f t="shared" ref="AC565:BZ565" si="30">SUM(AC4:AC16)</f>
        <v>100</v>
      </c>
      <c r="AD565" s="6">
        <f t="shared" si="30"/>
        <v>179</v>
      </c>
      <c r="AE565" s="6">
        <f t="shared" si="30"/>
        <v>4872</v>
      </c>
      <c r="AF565" s="6">
        <f t="shared" si="30"/>
        <v>84</v>
      </c>
      <c r="AG565" s="6">
        <f t="shared" si="30"/>
        <v>0</v>
      </c>
      <c r="AH565" s="6">
        <f t="shared" si="30"/>
        <v>3507</v>
      </c>
      <c r="AI565" s="6">
        <f t="shared" si="30"/>
        <v>0</v>
      </c>
      <c r="AJ565" s="6">
        <f t="shared" si="30"/>
        <v>0</v>
      </c>
      <c r="AK565" s="6">
        <f t="shared" si="30"/>
        <v>0</v>
      </c>
      <c r="AL565" s="6">
        <f t="shared" si="30"/>
        <v>0</v>
      </c>
      <c r="AM565" s="6">
        <f t="shared" si="30"/>
        <v>420</v>
      </c>
      <c r="AN565" s="6">
        <f t="shared" si="30"/>
        <v>3231</v>
      </c>
      <c r="AO565" s="6">
        <f t="shared" si="30"/>
        <v>4786</v>
      </c>
      <c r="AP565" s="6">
        <f t="shared" si="30"/>
        <v>0</v>
      </c>
      <c r="AQ565" s="6">
        <f t="shared" si="30"/>
        <v>0</v>
      </c>
      <c r="AR565" s="6">
        <f t="shared" si="30"/>
        <v>4396</v>
      </c>
      <c r="AS565" s="6">
        <f t="shared" si="30"/>
        <v>3927</v>
      </c>
      <c r="AT565" s="6">
        <f t="shared" si="30"/>
        <v>0</v>
      </c>
      <c r="AU565" s="6">
        <f t="shared" si="30"/>
        <v>0</v>
      </c>
      <c r="AV565" s="6">
        <f t="shared" si="30"/>
        <v>0</v>
      </c>
      <c r="AW565" s="6">
        <f t="shared" si="30"/>
        <v>0</v>
      </c>
      <c r="AX565" s="6">
        <f t="shared" si="30"/>
        <v>0</v>
      </c>
      <c r="AY565" s="6">
        <f t="shared" si="30"/>
        <v>0</v>
      </c>
      <c r="AZ565" s="6">
        <f t="shared" si="30"/>
        <v>0</v>
      </c>
      <c r="BA565" s="6">
        <f t="shared" si="30"/>
        <v>0</v>
      </c>
      <c r="BB565" s="6">
        <f t="shared" si="30"/>
        <v>0</v>
      </c>
      <c r="BC565" s="6">
        <f t="shared" si="30"/>
        <v>0</v>
      </c>
      <c r="BD565" s="6">
        <f t="shared" si="30"/>
        <v>0</v>
      </c>
      <c r="BE565" s="6">
        <f t="shared" si="30"/>
        <v>3818</v>
      </c>
      <c r="BF565" s="6">
        <f t="shared" si="30"/>
        <v>4594</v>
      </c>
      <c r="BG565" s="6">
        <f t="shared" si="30"/>
        <v>4269</v>
      </c>
      <c r="BH565" s="6">
        <f t="shared" si="30"/>
        <v>4167</v>
      </c>
      <c r="BI565" s="6">
        <f t="shared" si="30"/>
        <v>4772</v>
      </c>
      <c r="BJ565" s="6">
        <f t="shared" si="30"/>
        <v>3580</v>
      </c>
      <c r="BK565" s="6">
        <f t="shared" si="30"/>
        <v>4580</v>
      </c>
      <c r="BL565" s="6">
        <f t="shared" si="30"/>
        <v>3763</v>
      </c>
      <c r="BM565" s="6">
        <f t="shared" si="30"/>
        <v>3345</v>
      </c>
      <c r="BN565" s="6">
        <f t="shared" si="30"/>
        <v>4932</v>
      </c>
      <c r="BO565" s="6">
        <f t="shared" si="30"/>
        <v>3882</v>
      </c>
      <c r="BP565" s="6">
        <f t="shared" si="30"/>
        <v>4185</v>
      </c>
      <c r="BQ565" s="6">
        <f t="shared" si="30"/>
        <v>4666</v>
      </c>
      <c r="BR565" s="6">
        <f t="shared" si="30"/>
        <v>3473</v>
      </c>
      <c r="BS565" s="6">
        <f t="shared" si="30"/>
        <v>5466</v>
      </c>
      <c r="BT565" s="6">
        <f t="shared" si="30"/>
        <v>3043</v>
      </c>
      <c r="BU565" s="6">
        <f t="shared" si="30"/>
        <v>5123</v>
      </c>
      <c r="BV565" s="6">
        <f t="shared" si="30"/>
        <v>5413</v>
      </c>
      <c r="BW565" s="6">
        <f t="shared" si="30"/>
        <v>3635</v>
      </c>
      <c r="BX565" s="6">
        <f t="shared" si="30"/>
        <v>3006</v>
      </c>
      <c r="BY565" s="6">
        <f t="shared" si="30"/>
        <v>3910</v>
      </c>
      <c r="BZ565" s="6">
        <f t="shared" si="30"/>
        <v>3319</v>
      </c>
      <c r="CA565" s="6">
        <f t="shared" ref="CA565:CP565" si="31">SUM(CA4:CA16)</f>
        <v>4834</v>
      </c>
      <c r="CB565" s="6">
        <f t="shared" si="31"/>
        <v>3532</v>
      </c>
      <c r="CC565" s="6">
        <f t="shared" si="31"/>
        <v>3245</v>
      </c>
      <c r="CD565" s="6">
        <f t="shared" si="31"/>
        <v>4977</v>
      </c>
      <c r="CE565" s="6">
        <f t="shared" si="31"/>
        <v>3339</v>
      </c>
      <c r="CF565" s="6">
        <f t="shared" si="31"/>
        <v>3350</v>
      </c>
      <c r="CG565" s="6">
        <f t="shared" si="31"/>
        <v>3749</v>
      </c>
      <c r="CH565" s="6">
        <f t="shared" si="31"/>
        <v>2743</v>
      </c>
      <c r="CI565" s="6">
        <f t="shared" si="31"/>
        <v>2082</v>
      </c>
      <c r="CJ565" s="6">
        <f t="shared" si="31"/>
        <v>4531</v>
      </c>
      <c r="CK565" s="6">
        <f t="shared" si="31"/>
        <v>3439</v>
      </c>
      <c r="CL565" s="6">
        <f t="shared" si="31"/>
        <v>3029</v>
      </c>
      <c r="CM565" s="6">
        <f t="shared" si="31"/>
        <v>4565</v>
      </c>
      <c r="CN565" s="6">
        <f t="shared" si="31"/>
        <v>4677</v>
      </c>
      <c r="CO565" s="6">
        <f t="shared" si="31"/>
        <v>2578</v>
      </c>
      <c r="CP565" s="6">
        <f t="shared" si="31"/>
        <v>3923</v>
      </c>
      <c r="CQ565" s="6">
        <f t="shared" ref="CQ565:EM565" si="32">SUM(CQ4:CQ16)</f>
        <v>0</v>
      </c>
      <c r="CR565" s="6">
        <f t="shared" si="32"/>
        <v>0</v>
      </c>
      <c r="CS565" s="6">
        <f t="shared" si="32"/>
        <v>0</v>
      </c>
      <c r="CT565" s="6">
        <f t="shared" si="32"/>
        <v>0</v>
      </c>
      <c r="CU565" s="6">
        <f t="shared" si="32"/>
        <v>0</v>
      </c>
      <c r="CV565" s="6">
        <f t="shared" si="32"/>
        <v>0</v>
      </c>
      <c r="CW565" s="6">
        <f t="shared" si="32"/>
        <v>0</v>
      </c>
      <c r="CX565" s="6">
        <f t="shared" si="32"/>
        <v>0</v>
      </c>
      <c r="CY565" s="6">
        <f t="shared" si="32"/>
        <v>0</v>
      </c>
      <c r="CZ565" s="6">
        <f t="shared" si="32"/>
        <v>0</v>
      </c>
      <c r="DA565" s="6">
        <f t="shared" si="32"/>
        <v>0</v>
      </c>
      <c r="DB565" s="6">
        <f t="shared" si="32"/>
        <v>0</v>
      </c>
      <c r="DC565" s="6">
        <f t="shared" si="32"/>
        <v>0</v>
      </c>
      <c r="DD565" s="6">
        <f t="shared" si="32"/>
        <v>0</v>
      </c>
      <c r="DE565" s="6">
        <f t="shared" si="32"/>
        <v>0</v>
      </c>
      <c r="DF565" s="6">
        <f t="shared" si="32"/>
        <v>0</v>
      </c>
      <c r="DG565" s="6">
        <f t="shared" si="32"/>
        <v>0</v>
      </c>
      <c r="DH565" s="6">
        <f t="shared" si="32"/>
        <v>0</v>
      </c>
      <c r="DI565" s="6">
        <f t="shared" si="32"/>
        <v>0</v>
      </c>
      <c r="DJ565" s="6">
        <f t="shared" si="32"/>
        <v>0</v>
      </c>
      <c r="DK565" s="6">
        <f t="shared" si="32"/>
        <v>0</v>
      </c>
      <c r="DL565" s="6">
        <f t="shared" si="32"/>
        <v>0</v>
      </c>
      <c r="DM565" s="6">
        <f t="shared" si="32"/>
        <v>0</v>
      </c>
      <c r="DN565" s="6">
        <f t="shared" si="32"/>
        <v>0</v>
      </c>
      <c r="DO565" s="6">
        <f t="shared" si="32"/>
        <v>0</v>
      </c>
      <c r="DP565" s="6">
        <f t="shared" si="32"/>
        <v>0</v>
      </c>
      <c r="DQ565" s="6">
        <f t="shared" si="32"/>
        <v>0</v>
      </c>
      <c r="DR565" s="6">
        <f t="shared" si="32"/>
        <v>0</v>
      </c>
      <c r="DS565" s="6">
        <f t="shared" si="32"/>
        <v>0</v>
      </c>
      <c r="DT565" s="6">
        <f t="shared" si="32"/>
        <v>0</v>
      </c>
      <c r="DU565" s="6">
        <f t="shared" si="32"/>
        <v>0</v>
      </c>
      <c r="DV565" s="6">
        <f t="shared" si="32"/>
        <v>0</v>
      </c>
      <c r="DW565" s="6">
        <f t="shared" si="32"/>
        <v>0</v>
      </c>
      <c r="DX565" s="6">
        <f t="shared" si="32"/>
        <v>0</v>
      </c>
      <c r="DY565" s="6">
        <f t="shared" si="32"/>
        <v>0</v>
      </c>
      <c r="DZ565" s="6">
        <f t="shared" si="32"/>
        <v>0</v>
      </c>
      <c r="EA565" s="6">
        <f t="shared" si="32"/>
        <v>0</v>
      </c>
      <c r="EB565" s="6">
        <f t="shared" si="32"/>
        <v>0</v>
      </c>
      <c r="EC565" s="6">
        <f t="shared" si="32"/>
        <v>0</v>
      </c>
      <c r="ED565" s="6">
        <f t="shared" si="32"/>
        <v>0</v>
      </c>
      <c r="EE565" s="6">
        <f t="shared" si="32"/>
        <v>0</v>
      </c>
      <c r="EF565" s="6">
        <f t="shared" si="32"/>
        <v>0</v>
      </c>
      <c r="EG565" s="6">
        <f t="shared" si="32"/>
        <v>0</v>
      </c>
      <c r="EH565" s="6">
        <f t="shared" si="32"/>
        <v>0</v>
      </c>
      <c r="EI565" s="6">
        <f t="shared" si="32"/>
        <v>0</v>
      </c>
      <c r="EJ565" s="6">
        <f t="shared" si="32"/>
        <v>0</v>
      </c>
      <c r="EK565" s="6">
        <f t="shared" si="32"/>
        <v>0</v>
      </c>
      <c r="EL565" s="6">
        <f t="shared" si="32"/>
        <v>0</v>
      </c>
      <c r="EM565" s="6">
        <f t="shared" si="32"/>
        <v>0</v>
      </c>
      <c r="EN565" s="6">
        <f t="shared" ref="EN565:GR565" si="33">SUM(EN4:EN16)</f>
        <v>0</v>
      </c>
      <c r="EO565" s="6">
        <f t="shared" si="33"/>
        <v>0</v>
      </c>
      <c r="EP565" s="6">
        <f t="shared" si="33"/>
        <v>0</v>
      </c>
      <c r="EQ565" s="6">
        <f t="shared" si="33"/>
        <v>0</v>
      </c>
      <c r="ER565" s="6">
        <f t="shared" si="33"/>
        <v>0</v>
      </c>
      <c r="ES565" s="6">
        <f t="shared" si="33"/>
        <v>0</v>
      </c>
      <c r="ET565" s="6">
        <f t="shared" si="33"/>
        <v>0</v>
      </c>
      <c r="EU565" s="6">
        <f t="shared" si="33"/>
        <v>0</v>
      </c>
      <c r="EV565" s="6">
        <f t="shared" si="33"/>
        <v>0</v>
      </c>
      <c r="EW565" s="6">
        <f t="shared" si="33"/>
        <v>0</v>
      </c>
      <c r="EX565" s="6">
        <f t="shared" si="33"/>
        <v>0</v>
      </c>
      <c r="EY565" s="6">
        <f t="shared" si="33"/>
        <v>0</v>
      </c>
      <c r="EZ565" s="6">
        <f t="shared" si="33"/>
        <v>0</v>
      </c>
      <c r="FA565" s="6">
        <f t="shared" si="33"/>
        <v>0</v>
      </c>
      <c r="FB565" s="6">
        <f t="shared" si="33"/>
        <v>0</v>
      </c>
      <c r="FC565" s="6">
        <f t="shared" si="33"/>
        <v>0</v>
      </c>
      <c r="FD565" s="6">
        <f t="shared" si="33"/>
        <v>0</v>
      </c>
      <c r="FE565" s="6">
        <f t="shared" si="33"/>
        <v>0</v>
      </c>
      <c r="FF565" s="6">
        <f t="shared" si="33"/>
        <v>0</v>
      </c>
      <c r="FG565" s="6">
        <f t="shared" si="33"/>
        <v>0</v>
      </c>
      <c r="FH565" s="6">
        <f t="shared" si="33"/>
        <v>0</v>
      </c>
      <c r="FI565" s="6">
        <f t="shared" si="33"/>
        <v>0</v>
      </c>
      <c r="FJ565" s="6">
        <f t="shared" si="33"/>
        <v>0</v>
      </c>
      <c r="FK565" s="6">
        <f t="shared" si="33"/>
        <v>0</v>
      </c>
      <c r="FL565" s="6">
        <f t="shared" si="33"/>
        <v>0</v>
      </c>
      <c r="FM565" s="6">
        <f t="shared" si="33"/>
        <v>0</v>
      </c>
      <c r="FN565" s="6">
        <f t="shared" si="33"/>
        <v>0</v>
      </c>
      <c r="FO565" s="6">
        <f t="shared" si="33"/>
        <v>0</v>
      </c>
      <c r="FP565" s="6">
        <f t="shared" si="33"/>
        <v>0</v>
      </c>
      <c r="FQ565" s="6">
        <f t="shared" si="33"/>
        <v>0</v>
      </c>
      <c r="FR565" s="6">
        <f t="shared" si="33"/>
        <v>0</v>
      </c>
      <c r="FS565" s="6">
        <f t="shared" si="33"/>
        <v>0</v>
      </c>
      <c r="FT565" s="6">
        <f t="shared" si="33"/>
        <v>0</v>
      </c>
      <c r="FU565" s="6">
        <f t="shared" si="33"/>
        <v>0</v>
      </c>
      <c r="FV565" s="6">
        <f t="shared" si="33"/>
        <v>0</v>
      </c>
      <c r="FW565" s="6">
        <f t="shared" si="33"/>
        <v>0</v>
      </c>
      <c r="FX565" s="6">
        <f t="shared" si="33"/>
        <v>0</v>
      </c>
      <c r="FY565" s="6">
        <f t="shared" si="33"/>
        <v>4291</v>
      </c>
      <c r="FZ565" s="6">
        <f t="shared" si="33"/>
        <v>4332</v>
      </c>
      <c r="GA565" s="6">
        <f t="shared" si="33"/>
        <v>0</v>
      </c>
      <c r="GB565" s="6">
        <f t="shared" si="33"/>
        <v>0</v>
      </c>
      <c r="GC565" s="6">
        <f t="shared" si="33"/>
        <v>0</v>
      </c>
      <c r="GD565" s="6">
        <f t="shared" si="33"/>
        <v>0</v>
      </c>
      <c r="GE565" s="6">
        <f t="shared" si="33"/>
        <v>0</v>
      </c>
      <c r="GF565" s="6">
        <f t="shared" si="33"/>
        <v>0</v>
      </c>
      <c r="GG565" s="6">
        <f t="shared" si="33"/>
        <v>0</v>
      </c>
      <c r="GH565" s="6">
        <f t="shared" si="33"/>
        <v>0</v>
      </c>
      <c r="GI565" s="6">
        <f t="shared" si="33"/>
        <v>0</v>
      </c>
      <c r="GJ565" s="6">
        <f t="shared" si="33"/>
        <v>0</v>
      </c>
      <c r="GK565" s="6">
        <f t="shared" si="33"/>
        <v>0</v>
      </c>
      <c r="GL565" s="6">
        <f t="shared" si="33"/>
        <v>0</v>
      </c>
      <c r="GM565" s="6">
        <f t="shared" si="33"/>
        <v>0</v>
      </c>
      <c r="GN565" s="6">
        <f t="shared" si="33"/>
        <v>0</v>
      </c>
      <c r="GO565" s="6">
        <f t="shared" si="33"/>
        <v>6222</v>
      </c>
      <c r="GP565" s="6">
        <f t="shared" si="33"/>
        <v>2428</v>
      </c>
      <c r="GQ565" s="6">
        <f t="shared" si="33"/>
        <v>6172</v>
      </c>
      <c r="GR565" s="6">
        <f t="shared" si="33"/>
        <v>2419</v>
      </c>
    </row>
    <row r="566" spans="1:200">
      <c r="A566" s="6"/>
      <c r="B566" s="13" t="s">
        <v>43</v>
      </c>
      <c r="C566" s="14">
        <f>SUM(C17:C27)</f>
        <v>13920</v>
      </c>
      <c r="D566" s="14">
        <f>SUM(D17:D27)</f>
        <v>9716</v>
      </c>
      <c r="E566" s="15">
        <f t="shared" si="28"/>
        <v>0.69798850574712645</v>
      </c>
      <c r="F566" s="66">
        <f t="shared" ref="F566:AB566" si="34">SUM(F17:F27)</f>
        <v>6582</v>
      </c>
      <c r="G566" s="6">
        <f t="shared" si="34"/>
        <v>24</v>
      </c>
      <c r="H566" s="6">
        <f t="shared" si="34"/>
        <v>340</v>
      </c>
      <c r="I566" s="6">
        <f t="shared" si="34"/>
        <v>101</v>
      </c>
      <c r="J566" s="59">
        <f t="shared" si="34"/>
        <v>2438</v>
      </c>
      <c r="K566" s="6">
        <f t="shared" si="34"/>
        <v>0</v>
      </c>
      <c r="L566" s="6">
        <f t="shared" si="34"/>
        <v>0</v>
      </c>
      <c r="M566" s="6">
        <f t="shared" si="34"/>
        <v>1</v>
      </c>
      <c r="N566" s="6">
        <f t="shared" si="34"/>
        <v>0</v>
      </c>
      <c r="O566" s="6">
        <f t="shared" si="34"/>
        <v>1</v>
      </c>
      <c r="P566" s="6">
        <f t="shared" si="34"/>
        <v>0</v>
      </c>
      <c r="Q566" s="6">
        <f t="shared" si="34"/>
        <v>0</v>
      </c>
      <c r="R566" s="6">
        <f t="shared" si="34"/>
        <v>0</v>
      </c>
      <c r="S566" s="6">
        <f t="shared" si="34"/>
        <v>0</v>
      </c>
      <c r="T566" s="6">
        <f t="shared" si="34"/>
        <v>0</v>
      </c>
      <c r="U566" s="6">
        <f t="shared" si="34"/>
        <v>0</v>
      </c>
      <c r="V566" s="6">
        <f t="shared" si="34"/>
        <v>1</v>
      </c>
      <c r="W566" s="6">
        <f t="shared" si="34"/>
        <v>43</v>
      </c>
      <c r="X566" s="6">
        <f t="shared" si="34"/>
        <v>0</v>
      </c>
      <c r="Y566" s="6">
        <f t="shared" si="34"/>
        <v>0</v>
      </c>
      <c r="Z566" s="6">
        <f t="shared" si="34"/>
        <v>0</v>
      </c>
      <c r="AA566" s="6">
        <f t="shared" si="34"/>
        <v>0</v>
      </c>
      <c r="AB566" s="6">
        <f t="shared" si="34"/>
        <v>0</v>
      </c>
      <c r="AC566" s="6">
        <f t="shared" ref="AC566:BZ566" si="35">SUM(AC17:AC27)</f>
        <v>105</v>
      </c>
      <c r="AD566" s="6">
        <f t="shared" si="35"/>
        <v>194</v>
      </c>
      <c r="AE566" s="6">
        <f t="shared" si="35"/>
        <v>3862</v>
      </c>
      <c r="AF566" s="6">
        <f t="shared" si="35"/>
        <v>78</v>
      </c>
      <c r="AG566" s="6">
        <f t="shared" si="35"/>
        <v>0</v>
      </c>
      <c r="AH566" s="6">
        <f t="shared" si="35"/>
        <v>5088</v>
      </c>
      <c r="AI566" s="6">
        <f t="shared" si="35"/>
        <v>0</v>
      </c>
      <c r="AJ566" s="6">
        <f t="shared" si="35"/>
        <v>0</v>
      </c>
      <c r="AK566" s="6">
        <f t="shared" si="35"/>
        <v>0</v>
      </c>
      <c r="AL566" s="6">
        <f t="shared" si="35"/>
        <v>0</v>
      </c>
      <c r="AM566" s="6">
        <f t="shared" si="35"/>
        <v>381</v>
      </c>
      <c r="AN566" s="6">
        <f t="shared" si="35"/>
        <v>5025</v>
      </c>
      <c r="AO566" s="6">
        <f t="shared" si="35"/>
        <v>3563</v>
      </c>
      <c r="AP566" s="6">
        <f t="shared" si="35"/>
        <v>0</v>
      </c>
      <c r="AQ566" s="6">
        <f t="shared" si="35"/>
        <v>0</v>
      </c>
      <c r="AR566" s="6">
        <f t="shared" si="35"/>
        <v>0</v>
      </c>
      <c r="AS566" s="6">
        <f t="shared" si="35"/>
        <v>0</v>
      </c>
      <c r="AT566" s="6">
        <f t="shared" si="35"/>
        <v>0</v>
      </c>
      <c r="AU566" s="6">
        <f t="shared" si="35"/>
        <v>0</v>
      </c>
      <c r="AV566" s="6">
        <f t="shared" si="35"/>
        <v>0</v>
      </c>
      <c r="AW566" s="6">
        <f t="shared" si="35"/>
        <v>0</v>
      </c>
      <c r="AX566" s="6">
        <f t="shared" si="35"/>
        <v>0</v>
      </c>
      <c r="AY566" s="6">
        <f t="shared" si="35"/>
        <v>5929</v>
      </c>
      <c r="AZ566" s="6">
        <f t="shared" si="35"/>
        <v>2952</v>
      </c>
      <c r="BA566" s="6">
        <f t="shared" si="35"/>
        <v>0</v>
      </c>
      <c r="BB566" s="6">
        <f t="shared" si="35"/>
        <v>0</v>
      </c>
      <c r="BC566" s="6">
        <f t="shared" si="35"/>
        <v>0</v>
      </c>
      <c r="BD566" s="6">
        <f t="shared" si="35"/>
        <v>0</v>
      </c>
      <c r="BE566" s="6">
        <f t="shared" si="35"/>
        <v>2717</v>
      </c>
      <c r="BF566" s="6">
        <f t="shared" si="35"/>
        <v>6247</v>
      </c>
      <c r="BG566" s="6">
        <f t="shared" si="35"/>
        <v>3173</v>
      </c>
      <c r="BH566" s="6">
        <f t="shared" si="35"/>
        <v>5824</v>
      </c>
      <c r="BI566" s="6">
        <f t="shared" si="35"/>
        <v>3692</v>
      </c>
      <c r="BJ566" s="6">
        <f t="shared" si="35"/>
        <v>5214</v>
      </c>
      <c r="BK566" s="6">
        <f t="shared" si="35"/>
        <v>5848</v>
      </c>
      <c r="BL566" s="6">
        <f t="shared" si="35"/>
        <v>3034</v>
      </c>
      <c r="BM566" s="6">
        <f t="shared" si="35"/>
        <v>2578</v>
      </c>
      <c r="BN566" s="6">
        <f t="shared" si="35"/>
        <v>6232</v>
      </c>
      <c r="BO566" s="6">
        <f t="shared" si="35"/>
        <v>5454</v>
      </c>
      <c r="BP566" s="6">
        <f t="shared" si="35"/>
        <v>3185</v>
      </c>
      <c r="BQ566" s="6">
        <f t="shared" si="35"/>
        <v>3536</v>
      </c>
      <c r="BR566" s="6">
        <f t="shared" si="35"/>
        <v>5157</v>
      </c>
      <c r="BS566" s="6">
        <f t="shared" si="35"/>
        <v>4965</v>
      </c>
      <c r="BT566" s="6">
        <f t="shared" si="35"/>
        <v>2368</v>
      </c>
      <c r="BU566" s="6">
        <f t="shared" si="35"/>
        <v>6387</v>
      </c>
      <c r="BV566" s="6">
        <f t="shared" si="35"/>
        <v>5502</v>
      </c>
      <c r="BW566" s="6">
        <f t="shared" si="35"/>
        <v>3215</v>
      </c>
      <c r="BX566" s="6">
        <f t="shared" si="35"/>
        <v>3862</v>
      </c>
      <c r="BY566" s="6">
        <f t="shared" si="35"/>
        <v>3394</v>
      </c>
      <c r="BZ566" s="6">
        <f t="shared" si="35"/>
        <v>4257</v>
      </c>
      <c r="CA566" s="6">
        <f t="shared" ref="CA566:CP566" si="36">SUM(CA17:CA27)</f>
        <v>4842</v>
      </c>
      <c r="CB566" s="6">
        <f t="shared" si="36"/>
        <v>2642</v>
      </c>
      <c r="CC566" s="6">
        <f t="shared" si="36"/>
        <v>4372</v>
      </c>
      <c r="CD566" s="6">
        <f t="shared" si="36"/>
        <v>5346</v>
      </c>
      <c r="CE566" s="6">
        <f t="shared" si="36"/>
        <v>4336</v>
      </c>
      <c r="CF566" s="6">
        <f t="shared" si="36"/>
        <v>2725</v>
      </c>
      <c r="CG566" s="6">
        <f t="shared" si="36"/>
        <v>3082</v>
      </c>
      <c r="CH566" s="6">
        <f t="shared" si="36"/>
        <v>3711</v>
      </c>
      <c r="CI566" s="6">
        <f t="shared" si="36"/>
        <v>2966</v>
      </c>
      <c r="CJ566" s="6">
        <f t="shared" si="36"/>
        <v>3956</v>
      </c>
      <c r="CK566" s="6">
        <f t="shared" si="36"/>
        <v>3266</v>
      </c>
      <c r="CL566" s="6">
        <f t="shared" si="36"/>
        <v>3695</v>
      </c>
      <c r="CM566" s="6">
        <f t="shared" si="36"/>
        <v>4624</v>
      </c>
      <c r="CN566" s="6">
        <f t="shared" si="36"/>
        <v>4821</v>
      </c>
      <c r="CO566" s="6">
        <f t="shared" si="36"/>
        <v>3506</v>
      </c>
      <c r="CP566" s="6">
        <f t="shared" si="36"/>
        <v>3511</v>
      </c>
      <c r="CQ566" s="6">
        <f t="shared" ref="CQ566:EM566" si="37">SUM(CQ17:CQ27)</f>
        <v>0</v>
      </c>
      <c r="CR566" s="6">
        <f t="shared" si="37"/>
        <v>0</v>
      </c>
      <c r="CS566" s="6">
        <f t="shared" si="37"/>
        <v>0</v>
      </c>
      <c r="CT566" s="6">
        <f t="shared" si="37"/>
        <v>0</v>
      </c>
      <c r="CU566" s="6">
        <f t="shared" si="37"/>
        <v>0</v>
      </c>
      <c r="CV566" s="6">
        <f t="shared" si="37"/>
        <v>0</v>
      </c>
      <c r="CW566" s="6">
        <f t="shared" si="37"/>
        <v>0</v>
      </c>
      <c r="CX566" s="6">
        <f t="shared" si="37"/>
        <v>0</v>
      </c>
      <c r="CY566" s="6">
        <f t="shared" si="37"/>
        <v>0</v>
      </c>
      <c r="CZ566" s="6">
        <f t="shared" si="37"/>
        <v>0</v>
      </c>
      <c r="DA566" s="6">
        <f t="shared" si="37"/>
        <v>0</v>
      </c>
      <c r="DB566" s="6">
        <f t="shared" si="37"/>
        <v>0</v>
      </c>
      <c r="DC566" s="6">
        <f t="shared" si="37"/>
        <v>0</v>
      </c>
      <c r="DD566" s="6">
        <f t="shared" si="37"/>
        <v>0</v>
      </c>
      <c r="DE566" s="6">
        <f t="shared" si="37"/>
        <v>0</v>
      </c>
      <c r="DF566" s="6">
        <f t="shared" si="37"/>
        <v>0</v>
      </c>
      <c r="DG566" s="6">
        <f t="shared" si="37"/>
        <v>0</v>
      </c>
      <c r="DH566" s="6">
        <f t="shared" si="37"/>
        <v>0</v>
      </c>
      <c r="DI566" s="6">
        <f t="shared" si="37"/>
        <v>0</v>
      </c>
      <c r="DJ566" s="6">
        <f t="shared" si="37"/>
        <v>0</v>
      </c>
      <c r="DK566" s="6">
        <f t="shared" si="37"/>
        <v>0</v>
      </c>
      <c r="DL566" s="6">
        <f t="shared" si="37"/>
        <v>0</v>
      </c>
      <c r="DM566" s="6">
        <f t="shared" si="37"/>
        <v>0</v>
      </c>
      <c r="DN566" s="6">
        <f t="shared" si="37"/>
        <v>0</v>
      </c>
      <c r="DO566" s="6">
        <f t="shared" si="37"/>
        <v>0</v>
      </c>
      <c r="DP566" s="6">
        <f t="shared" si="37"/>
        <v>0</v>
      </c>
      <c r="DQ566" s="6">
        <f t="shared" si="37"/>
        <v>0</v>
      </c>
      <c r="DR566" s="6">
        <f t="shared" si="37"/>
        <v>0</v>
      </c>
      <c r="DS566" s="6">
        <f t="shared" si="37"/>
        <v>0</v>
      </c>
      <c r="DT566" s="6">
        <f t="shared" si="37"/>
        <v>0</v>
      </c>
      <c r="DU566" s="6">
        <f t="shared" si="37"/>
        <v>0</v>
      </c>
      <c r="DV566" s="6">
        <f t="shared" si="37"/>
        <v>0</v>
      </c>
      <c r="DW566" s="6">
        <f t="shared" si="37"/>
        <v>0</v>
      </c>
      <c r="DX566" s="6">
        <f t="shared" si="37"/>
        <v>0</v>
      </c>
      <c r="DY566" s="6">
        <f t="shared" si="37"/>
        <v>0</v>
      </c>
      <c r="DZ566" s="6">
        <f t="shared" si="37"/>
        <v>0</v>
      </c>
      <c r="EA566" s="6">
        <f t="shared" si="37"/>
        <v>0</v>
      </c>
      <c r="EB566" s="6">
        <f t="shared" si="37"/>
        <v>0</v>
      </c>
      <c r="EC566" s="6">
        <f t="shared" si="37"/>
        <v>0</v>
      </c>
      <c r="ED566" s="6">
        <f t="shared" si="37"/>
        <v>0</v>
      </c>
      <c r="EE566" s="6">
        <f t="shared" si="37"/>
        <v>0</v>
      </c>
      <c r="EF566" s="6">
        <f t="shared" si="37"/>
        <v>0</v>
      </c>
      <c r="EG566" s="6">
        <f t="shared" si="37"/>
        <v>0</v>
      </c>
      <c r="EH566" s="6">
        <f t="shared" si="37"/>
        <v>0</v>
      </c>
      <c r="EI566" s="6">
        <f t="shared" si="37"/>
        <v>0</v>
      </c>
      <c r="EJ566" s="6">
        <f t="shared" si="37"/>
        <v>0</v>
      </c>
      <c r="EK566" s="6">
        <f t="shared" si="37"/>
        <v>0</v>
      </c>
      <c r="EL566" s="6">
        <f t="shared" si="37"/>
        <v>0</v>
      </c>
      <c r="EM566" s="6">
        <f t="shared" si="37"/>
        <v>0</v>
      </c>
      <c r="EN566" s="6">
        <f t="shared" ref="EN566:GR566" si="38">SUM(EN17:EN27)</f>
        <v>0</v>
      </c>
      <c r="EO566" s="6">
        <f t="shared" si="38"/>
        <v>0</v>
      </c>
      <c r="EP566" s="6">
        <f t="shared" si="38"/>
        <v>0</v>
      </c>
      <c r="EQ566" s="6">
        <f t="shared" si="38"/>
        <v>0</v>
      </c>
      <c r="ER566" s="6">
        <f t="shared" si="38"/>
        <v>0</v>
      </c>
      <c r="ES566" s="6">
        <f t="shared" si="38"/>
        <v>0</v>
      </c>
      <c r="ET566" s="6">
        <f t="shared" si="38"/>
        <v>0</v>
      </c>
      <c r="EU566" s="6">
        <f t="shared" si="38"/>
        <v>0</v>
      </c>
      <c r="EV566" s="6">
        <f t="shared" si="38"/>
        <v>0</v>
      </c>
      <c r="EW566" s="6">
        <f t="shared" si="38"/>
        <v>0</v>
      </c>
      <c r="EX566" s="6">
        <f t="shared" si="38"/>
        <v>0</v>
      </c>
      <c r="EY566" s="6">
        <f t="shared" si="38"/>
        <v>0</v>
      </c>
      <c r="EZ566" s="6">
        <f t="shared" si="38"/>
        <v>0</v>
      </c>
      <c r="FA566" s="6">
        <f t="shared" si="38"/>
        <v>0</v>
      </c>
      <c r="FB566" s="6">
        <f t="shared" si="38"/>
        <v>0</v>
      </c>
      <c r="FC566" s="6">
        <f t="shared" si="38"/>
        <v>0</v>
      </c>
      <c r="FD566" s="6">
        <f t="shared" si="38"/>
        <v>0</v>
      </c>
      <c r="FE566" s="6">
        <f t="shared" si="38"/>
        <v>0</v>
      </c>
      <c r="FF566" s="6">
        <f t="shared" si="38"/>
        <v>0</v>
      </c>
      <c r="FG566" s="6">
        <f t="shared" si="38"/>
        <v>0</v>
      </c>
      <c r="FH566" s="6">
        <f t="shared" si="38"/>
        <v>0</v>
      </c>
      <c r="FI566" s="6">
        <f t="shared" si="38"/>
        <v>0</v>
      </c>
      <c r="FJ566" s="6">
        <f t="shared" si="38"/>
        <v>0</v>
      </c>
      <c r="FK566" s="6">
        <f t="shared" si="38"/>
        <v>0</v>
      </c>
      <c r="FL566" s="6">
        <f t="shared" si="38"/>
        <v>0</v>
      </c>
      <c r="FM566" s="6">
        <f t="shared" si="38"/>
        <v>0</v>
      </c>
      <c r="FN566" s="6">
        <f t="shared" si="38"/>
        <v>0</v>
      </c>
      <c r="FO566" s="6">
        <f t="shared" si="38"/>
        <v>0</v>
      </c>
      <c r="FP566" s="6">
        <f t="shared" si="38"/>
        <v>0</v>
      </c>
      <c r="FQ566" s="6">
        <f t="shared" si="38"/>
        <v>0</v>
      </c>
      <c r="FR566" s="6">
        <f t="shared" si="38"/>
        <v>0</v>
      </c>
      <c r="FS566" s="6">
        <f t="shared" si="38"/>
        <v>0</v>
      </c>
      <c r="FT566" s="6">
        <f t="shared" si="38"/>
        <v>0</v>
      </c>
      <c r="FU566" s="6">
        <f t="shared" si="38"/>
        <v>0</v>
      </c>
      <c r="FV566" s="6">
        <f t="shared" si="38"/>
        <v>0</v>
      </c>
      <c r="FW566" s="6">
        <f t="shared" si="38"/>
        <v>0</v>
      </c>
      <c r="FX566" s="6">
        <f t="shared" si="38"/>
        <v>0</v>
      </c>
      <c r="FY566" s="6">
        <f t="shared" si="38"/>
        <v>5541</v>
      </c>
      <c r="FZ566" s="6">
        <f t="shared" si="38"/>
        <v>3615</v>
      </c>
      <c r="GA566" s="6">
        <f t="shared" si="38"/>
        <v>0</v>
      </c>
      <c r="GB566" s="6">
        <f t="shared" si="38"/>
        <v>0</v>
      </c>
      <c r="GC566" s="6">
        <f t="shared" si="38"/>
        <v>0</v>
      </c>
      <c r="GD566" s="6">
        <f t="shared" si="38"/>
        <v>0</v>
      </c>
      <c r="GE566" s="6">
        <f t="shared" si="38"/>
        <v>0</v>
      </c>
      <c r="GF566" s="6">
        <f t="shared" si="38"/>
        <v>0</v>
      </c>
      <c r="GG566" s="6">
        <f t="shared" si="38"/>
        <v>0</v>
      </c>
      <c r="GH566" s="6">
        <f t="shared" si="38"/>
        <v>0</v>
      </c>
      <c r="GI566" s="6">
        <f t="shared" si="38"/>
        <v>0</v>
      </c>
      <c r="GJ566" s="6">
        <f t="shared" si="38"/>
        <v>0</v>
      </c>
      <c r="GK566" s="6">
        <f t="shared" si="38"/>
        <v>0</v>
      </c>
      <c r="GL566" s="6">
        <f t="shared" si="38"/>
        <v>0</v>
      </c>
      <c r="GM566" s="6">
        <f t="shared" si="38"/>
        <v>0</v>
      </c>
      <c r="GN566" s="6">
        <f t="shared" si="38"/>
        <v>0</v>
      </c>
      <c r="GO566" s="6">
        <f t="shared" si="38"/>
        <v>6592</v>
      </c>
      <c r="GP566" s="6">
        <f t="shared" si="38"/>
        <v>2492</v>
      </c>
      <c r="GQ566" s="6">
        <f t="shared" si="38"/>
        <v>6809</v>
      </c>
      <c r="GR566" s="6">
        <f t="shared" si="38"/>
        <v>2260</v>
      </c>
    </row>
    <row r="567" spans="1:200">
      <c r="A567" s="6"/>
      <c r="B567" s="13" t="s">
        <v>44</v>
      </c>
      <c r="C567" s="14">
        <f>SUM(C28:C32)</f>
        <v>6397</v>
      </c>
      <c r="D567" s="14">
        <f>SUM(D28:D32)</f>
        <v>3960</v>
      </c>
      <c r="E567" s="15">
        <f t="shared" si="28"/>
        <v>0.61904017508206977</v>
      </c>
      <c r="F567" s="66">
        <f t="shared" ref="F567:AB567" si="39">SUM(F28:F32)</f>
        <v>3382</v>
      </c>
      <c r="G567" s="6">
        <f t="shared" si="39"/>
        <v>9</v>
      </c>
      <c r="H567" s="6">
        <f t="shared" si="39"/>
        <v>70</v>
      </c>
      <c r="I567" s="6">
        <f t="shared" si="39"/>
        <v>33</v>
      </c>
      <c r="J567" s="59">
        <f t="shared" si="39"/>
        <v>369</v>
      </c>
      <c r="K567" s="6">
        <f t="shared" si="39"/>
        <v>0</v>
      </c>
      <c r="L567" s="6">
        <f t="shared" si="39"/>
        <v>0</v>
      </c>
      <c r="M567" s="6">
        <f t="shared" si="39"/>
        <v>0</v>
      </c>
      <c r="N567" s="6">
        <f t="shared" si="39"/>
        <v>0</v>
      </c>
      <c r="O567" s="6">
        <f t="shared" si="39"/>
        <v>0</v>
      </c>
      <c r="P567" s="6">
        <f t="shared" si="39"/>
        <v>0</v>
      </c>
      <c r="Q567" s="6">
        <f t="shared" si="39"/>
        <v>0</v>
      </c>
      <c r="R567" s="6">
        <f t="shared" si="39"/>
        <v>0</v>
      </c>
      <c r="S567" s="6">
        <f t="shared" si="39"/>
        <v>1</v>
      </c>
      <c r="T567" s="6">
        <f t="shared" si="39"/>
        <v>0</v>
      </c>
      <c r="U567" s="6">
        <f t="shared" si="39"/>
        <v>0</v>
      </c>
      <c r="V567" s="6">
        <f t="shared" si="39"/>
        <v>1</v>
      </c>
      <c r="W567" s="6">
        <f t="shared" si="39"/>
        <v>6</v>
      </c>
      <c r="X567" s="6">
        <f t="shared" si="39"/>
        <v>0</v>
      </c>
      <c r="Y567" s="6">
        <f t="shared" si="39"/>
        <v>0</v>
      </c>
      <c r="Z567" s="6">
        <f t="shared" si="39"/>
        <v>0</v>
      </c>
      <c r="AA567" s="6">
        <f t="shared" si="39"/>
        <v>0</v>
      </c>
      <c r="AB567" s="6">
        <f t="shared" si="39"/>
        <v>0</v>
      </c>
      <c r="AC567" s="6">
        <f t="shared" ref="AC567:BZ567" si="40">SUM(AC28:AC32)</f>
        <v>43</v>
      </c>
      <c r="AD567" s="6">
        <f t="shared" si="40"/>
        <v>67</v>
      </c>
      <c r="AE567" s="6">
        <f t="shared" si="40"/>
        <v>761</v>
      </c>
      <c r="AF567" s="6">
        <f t="shared" si="40"/>
        <v>33</v>
      </c>
      <c r="AG567" s="6">
        <f t="shared" si="40"/>
        <v>0</v>
      </c>
      <c r="AH567" s="6">
        <f t="shared" si="40"/>
        <v>2874</v>
      </c>
      <c r="AI567" s="6">
        <f t="shared" si="40"/>
        <v>216</v>
      </c>
      <c r="AJ567" s="6">
        <f t="shared" si="40"/>
        <v>0</v>
      </c>
      <c r="AK567" s="6">
        <f t="shared" si="40"/>
        <v>0</v>
      </c>
      <c r="AL567" s="6">
        <f t="shared" si="40"/>
        <v>2136</v>
      </c>
      <c r="AM567" s="6">
        <f t="shared" si="40"/>
        <v>68</v>
      </c>
      <c r="AN567" s="6">
        <f t="shared" si="40"/>
        <v>821</v>
      </c>
      <c r="AO567" s="6">
        <f t="shared" si="40"/>
        <v>473</v>
      </c>
      <c r="AP567" s="6">
        <f t="shared" si="40"/>
        <v>0</v>
      </c>
      <c r="AQ567" s="6">
        <f t="shared" si="40"/>
        <v>0</v>
      </c>
      <c r="AR567" s="6">
        <f t="shared" si="40"/>
        <v>0</v>
      </c>
      <c r="AS567" s="6">
        <f t="shared" si="40"/>
        <v>0</v>
      </c>
      <c r="AT567" s="6">
        <f t="shared" si="40"/>
        <v>0</v>
      </c>
      <c r="AU567" s="6">
        <f t="shared" si="40"/>
        <v>0</v>
      </c>
      <c r="AV567" s="6">
        <f t="shared" si="40"/>
        <v>0</v>
      </c>
      <c r="AW567" s="6">
        <f t="shared" si="40"/>
        <v>0</v>
      </c>
      <c r="AX567" s="6">
        <f t="shared" si="40"/>
        <v>0</v>
      </c>
      <c r="AY567" s="6">
        <f t="shared" si="40"/>
        <v>3172</v>
      </c>
      <c r="AZ567" s="6">
        <f t="shared" si="40"/>
        <v>521</v>
      </c>
      <c r="BA567" s="6">
        <f t="shared" si="40"/>
        <v>0</v>
      </c>
      <c r="BB567" s="6">
        <f t="shared" si="40"/>
        <v>0</v>
      </c>
      <c r="BC567" s="6">
        <f t="shared" si="40"/>
        <v>0</v>
      </c>
      <c r="BD567" s="6">
        <f t="shared" si="40"/>
        <v>0</v>
      </c>
      <c r="BE567" s="6">
        <f t="shared" si="40"/>
        <v>455</v>
      </c>
      <c r="BF567" s="6">
        <f t="shared" si="40"/>
        <v>3269</v>
      </c>
      <c r="BG567" s="6">
        <f t="shared" si="40"/>
        <v>571</v>
      </c>
      <c r="BH567" s="6">
        <f t="shared" si="40"/>
        <v>3155</v>
      </c>
      <c r="BI567" s="6">
        <f t="shared" si="40"/>
        <v>749</v>
      </c>
      <c r="BJ567" s="6">
        <f t="shared" si="40"/>
        <v>2993</v>
      </c>
      <c r="BK567" s="6">
        <f t="shared" si="40"/>
        <v>3075</v>
      </c>
      <c r="BL567" s="6">
        <f t="shared" si="40"/>
        <v>637</v>
      </c>
      <c r="BM567" s="6">
        <f t="shared" si="40"/>
        <v>487</v>
      </c>
      <c r="BN567" s="6">
        <f t="shared" si="40"/>
        <v>3160</v>
      </c>
      <c r="BO567" s="6">
        <f t="shared" si="40"/>
        <v>3037</v>
      </c>
      <c r="BP567" s="6">
        <f t="shared" si="40"/>
        <v>585</v>
      </c>
      <c r="BQ567" s="6">
        <f t="shared" si="40"/>
        <v>700</v>
      </c>
      <c r="BR567" s="6">
        <f t="shared" si="40"/>
        <v>2941</v>
      </c>
      <c r="BS567" s="6">
        <f t="shared" si="40"/>
        <v>1364</v>
      </c>
      <c r="BT567" s="6">
        <f t="shared" si="40"/>
        <v>389</v>
      </c>
      <c r="BU567" s="6">
        <f t="shared" si="40"/>
        <v>3300</v>
      </c>
      <c r="BV567" s="6">
        <f t="shared" si="40"/>
        <v>1874</v>
      </c>
      <c r="BW567" s="6">
        <f t="shared" si="40"/>
        <v>1047</v>
      </c>
      <c r="BX567" s="6">
        <f t="shared" si="40"/>
        <v>1930</v>
      </c>
      <c r="BY567" s="6">
        <f t="shared" si="40"/>
        <v>1012</v>
      </c>
      <c r="BZ567" s="6">
        <f t="shared" si="40"/>
        <v>2255</v>
      </c>
      <c r="CA567" s="6">
        <f t="shared" ref="CA567:CP567" si="41">SUM(CA28:CA32)</f>
        <v>1622</v>
      </c>
      <c r="CB567" s="6">
        <f t="shared" si="41"/>
        <v>687</v>
      </c>
      <c r="CC567" s="6">
        <f t="shared" si="41"/>
        <v>2313</v>
      </c>
      <c r="CD567" s="6">
        <f t="shared" si="41"/>
        <v>2096</v>
      </c>
      <c r="CE567" s="6">
        <f t="shared" si="41"/>
        <v>2246</v>
      </c>
      <c r="CF567" s="6">
        <f t="shared" si="41"/>
        <v>760</v>
      </c>
      <c r="CG567" s="6">
        <f t="shared" si="41"/>
        <v>927</v>
      </c>
      <c r="CH567" s="6">
        <f t="shared" si="41"/>
        <v>1904</v>
      </c>
      <c r="CI567" s="6">
        <f t="shared" si="41"/>
        <v>1789</v>
      </c>
      <c r="CJ567" s="6">
        <f t="shared" si="41"/>
        <v>1192</v>
      </c>
      <c r="CK567" s="6">
        <f t="shared" si="41"/>
        <v>1201</v>
      </c>
      <c r="CL567" s="6">
        <f t="shared" si="41"/>
        <v>1829</v>
      </c>
      <c r="CM567" s="6">
        <f t="shared" si="41"/>
        <v>1542</v>
      </c>
      <c r="CN567" s="6">
        <f t="shared" si="41"/>
        <v>1723</v>
      </c>
      <c r="CO567" s="6">
        <f t="shared" si="41"/>
        <v>1959</v>
      </c>
      <c r="CP567" s="6">
        <f t="shared" si="41"/>
        <v>1097</v>
      </c>
      <c r="CQ567" s="6">
        <f t="shared" ref="CQ567:EM567" si="42">SUM(CQ28:CQ32)</f>
        <v>0</v>
      </c>
      <c r="CR567" s="6">
        <f t="shared" si="42"/>
        <v>0</v>
      </c>
      <c r="CS567" s="6">
        <f t="shared" si="42"/>
        <v>0</v>
      </c>
      <c r="CT567" s="6">
        <f t="shared" si="42"/>
        <v>0</v>
      </c>
      <c r="CU567" s="6">
        <f t="shared" si="42"/>
        <v>0</v>
      </c>
      <c r="CV567" s="6">
        <f t="shared" si="42"/>
        <v>0</v>
      </c>
      <c r="CW567" s="6">
        <f t="shared" si="42"/>
        <v>0</v>
      </c>
      <c r="CX567" s="6">
        <f t="shared" si="42"/>
        <v>0</v>
      </c>
      <c r="CY567" s="6">
        <f t="shared" si="42"/>
        <v>0</v>
      </c>
      <c r="CZ567" s="6">
        <f t="shared" si="42"/>
        <v>0</v>
      </c>
      <c r="DA567" s="6">
        <f t="shared" si="42"/>
        <v>0</v>
      </c>
      <c r="DB567" s="6">
        <f t="shared" si="42"/>
        <v>0</v>
      </c>
      <c r="DC567" s="6">
        <f t="shared" si="42"/>
        <v>0</v>
      </c>
      <c r="DD567" s="6">
        <f t="shared" si="42"/>
        <v>0</v>
      </c>
      <c r="DE567" s="6">
        <f t="shared" si="42"/>
        <v>0</v>
      </c>
      <c r="DF567" s="6">
        <f t="shared" si="42"/>
        <v>0</v>
      </c>
      <c r="DG567" s="6">
        <f t="shared" si="42"/>
        <v>0</v>
      </c>
      <c r="DH567" s="6">
        <f t="shared" si="42"/>
        <v>0</v>
      </c>
      <c r="DI567" s="6">
        <f t="shared" si="42"/>
        <v>0</v>
      </c>
      <c r="DJ567" s="6">
        <f t="shared" si="42"/>
        <v>0</v>
      </c>
      <c r="DK567" s="6">
        <f t="shared" si="42"/>
        <v>0</v>
      </c>
      <c r="DL567" s="6">
        <f t="shared" si="42"/>
        <v>0</v>
      </c>
      <c r="DM567" s="6">
        <f t="shared" si="42"/>
        <v>0</v>
      </c>
      <c r="DN567" s="6">
        <f t="shared" si="42"/>
        <v>0</v>
      </c>
      <c r="DO567" s="6">
        <f t="shared" si="42"/>
        <v>0</v>
      </c>
      <c r="DP567" s="6">
        <f t="shared" si="42"/>
        <v>0</v>
      </c>
      <c r="DQ567" s="6">
        <f t="shared" si="42"/>
        <v>0</v>
      </c>
      <c r="DR567" s="6">
        <f t="shared" si="42"/>
        <v>0</v>
      </c>
      <c r="DS567" s="6">
        <f t="shared" si="42"/>
        <v>0</v>
      </c>
      <c r="DT567" s="6">
        <f t="shared" si="42"/>
        <v>0</v>
      </c>
      <c r="DU567" s="6">
        <f t="shared" si="42"/>
        <v>0</v>
      </c>
      <c r="DV567" s="6">
        <f t="shared" si="42"/>
        <v>0</v>
      </c>
      <c r="DW567" s="6">
        <f t="shared" si="42"/>
        <v>0</v>
      </c>
      <c r="DX567" s="6">
        <f t="shared" si="42"/>
        <v>0</v>
      </c>
      <c r="DY567" s="6">
        <f t="shared" si="42"/>
        <v>0</v>
      </c>
      <c r="DZ567" s="6">
        <f t="shared" si="42"/>
        <v>0</v>
      </c>
      <c r="EA567" s="6">
        <f t="shared" si="42"/>
        <v>0</v>
      </c>
      <c r="EB567" s="6">
        <f t="shared" si="42"/>
        <v>0</v>
      </c>
      <c r="EC567" s="6">
        <f t="shared" si="42"/>
        <v>0</v>
      </c>
      <c r="ED567" s="6">
        <f t="shared" si="42"/>
        <v>0</v>
      </c>
      <c r="EE567" s="6">
        <f t="shared" si="42"/>
        <v>0</v>
      </c>
      <c r="EF567" s="6">
        <f t="shared" si="42"/>
        <v>0</v>
      </c>
      <c r="EG567" s="6">
        <f t="shared" si="42"/>
        <v>0</v>
      </c>
      <c r="EH567" s="6">
        <f t="shared" si="42"/>
        <v>0</v>
      </c>
      <c r="EI567" s="6">
        <f t="shared" si="42"/>
        <v>0</v>
      </c>
      <c r="EJ567" s="6">
        <f t="shared" si="42"/>
        <v>0</v>
      </c>
      <c r="EK567" s="6">
        <f t="shared" si="42"/>
        <v>0</v>
      </c>
      <c r="EL567" s="6">
        <f t="shared" si="42"/>
        <v>0</v>
      </c>
      <c r="EM567" s="6">
        <f t="shared" si="42"/>
        <v>0</v>
      </c>
      <c r="EN567" s="6">
        <f t="shared" ref="EN567:GR567" si="43">SUM(EN28:EN32)</f>
        <v>0</v>
      </c>
      <c r="EO567" s="6">
        <f t="shared" si="43"/>
        <v>0</v>
      </c>
      <c r="EP567" s="6">
        <f t="shared" si="43"/>
        <v>0</v>
      </c>
      <c r="EQ567" s="6">
        <f t="shared" si="43"/>
        <v>0</v>
      </c>
      <c r="ER567" s="6">
        <f t="shared" si="43"/>
        <v>0</v>
      </c>
      <c r="ES567" s="6">
        <f t="shared" si="43"/>
        <v>0</v>
      </c>
      <c r="ET567" s="6">
        <f t="shared" si="43"/>
        <v>0</v>
      </c>
      <c r="EU567" s="6">
        <f t="shared" si="43"/>
        <v>0</v>
      </c>
      <c r="EV567" s="6">
        <f t="shared" si="43"/>
        <v>0</v>
      </c>
      <c r="EW567" s="6">
        <f t="shared" si="43"/>
        <v>0</v>
      </c>
      <c r="EX567" s="6">
        <f t="shared" si="43"/>
        <v>0</v>
      </c>
      <c r="EY567" s="6">
        <f t="shared" si="43"/>
        <v>0</v>
      </c>
      <c r="EZ567" s="6">
        <f t="shared" si="43"/>
        <v>0</v>
      </c>
      <c r="FA567" s="6">
        <f t="shared" si="43"/>
        <v>0</v>
      </c>
      <c r="FB567" s="6">
        <f t="shared" si="43"/>
        <v>0</v>
      </c>
      <c r="FC567" s="6">
        <f t="shared" si="43"/>
        <v>0</v>
      </c>
      <c r="FD567" s="6">
        <f t="shared" si="43"/>
        <v>0</v>
      </c>
      <c r="FE567" s="6">
        <f t="shared" si="43"/>
        <v>0</v>
      </c>
      <c r="FF567" s="6">
        <f t="shared" si="43"/>
        <v>0</v>
      </c>
      <c r="FG567" s="6">
        <f t="shared" si="43"/>
        <v>0</v>
      </c>
      <c r="FH567" s="6">
        <f t="shared" si="43"/>
        <v>0</v>
      </c>
      <c r="FI567" s="6">
        <f t="shared" si="43"/>
        <v>0</v>
      </c>
      <c r="FJ567" s="6">
        <f t="shared" si="43"/>
        <v>0</v>
      </c>
      <c r="FK567" s="6">
        <f t="shared" si="43"/>
        <v>0</v>
      </c>
      <c r="FL567" s="6">
        <f t="shared" si="43"/>
        <v>0</v>
      </c>
      <c r="FM567" s="6">
        <f t="shared" si="43"/>
        <v>0</v>
      </c>
      <c r="FN567" s="6">
        <f t="shared" si="43"/>
        <v>0</v>
      </c>
      <c r="FO567" s="6">
        <f t="shared" si="43"/>
        <v>0</v>
      </c>
      <c r="FP567" s="6">
        <f t="shared" si="43"/>
        <v>0</v>
      </c>
      <c r="FQ567" s="6">
        <f t="shared" si="43"/>
        <v>0</v>
      </c>
      <c r="FR567" s="6">
        <f t="shared" si="43"/>
        <v>0</v>
      </c>
      <c r="FS567" s="6">
        <f t="shared" si="43"/>
        <v>0</v>
      </c>
      <c r="FT567" s="6">
        <f t="shared" si="43"/>
        <v>0</v>
      </c>
      <c r="FU567" s="6">
        <f t="shared" si="43"/>
        <v>0</v>
      </c>
      <c r="FV567" s="6">
        <f t="shared" si="43"/>
        <v>0</v>
      </c>
      <c r="FW567" s="6">
        <f t="shared" si="43"/>
        <v>0</v>
      </c>
      <c r="FX567" s="6">
        <f t="shared" si="43"/>
        <v>0</v>
      </c>
      <c r="FY567" s="6">
        <f t="shared" si="43"/>
        <v>2648</v>
      </c>
      <c r="FZ567" s="6">
        <f t="shared" si="43"/>
        <v>1054</v>
      </c>
      <c r="GA567" s="6">
        <f t="shared" si="43"/>
        <v>0</v>
      </c>
      <c r="GB567" s="6">
        <f t="shared" si="43"/>
        <v>0</v>
      </c>
      <c r="GC567" s="6">
        <f t="shared" si="43"/>
        <v>0</v>
      </c>
      <c r="GD567" s="6">
        <f t="shared" si="43"/>
        <v>0</v>
      </c>
      <c r="GE567" s="6">
        <f t="shared" si="43"/>
        <v>0</v>
      </c>
      <c r="GF567" s="6">
        <f t="shared" si="43"/>
        <v>0</v>
      </c>
      <c r="GG567" s="6">
        <f t="shared" si="43"/>
        <v>0</v>
      </c>
      <c r="GH567" s="6">
        <f t="shared" si="43"/>
        <v>0</v>
      </c>
      <c r="GI567" s="6">
        <f t="shared" si="43"/>
        <v>0</v>
      </c>
      <c r="GJ567" s="6">
        <f t="shared" si="43"/>
        <v>0</v>
      </c>
      <c r="GK567" s="6">
        <f t="shared" si="43"/>
        <v>0</v>
      </c>
      <c r="GL567" s="6">
        <f t="shared" si="43"/>
        <v>0</v>
      </c>
      <c r="GM567" s="6">
        <f t="shared" si="43"/>
        <v>0</v>
      </c>
      <c r="GN567" s="6">
        <f t="shared" si="43"/>
        <v>0</v>
      </c>
      <c r="GO567" s="6">
        <f t="shared" si="43"/>
        <v>2554</v>
      </c>
      <c r="GP567" s="6">
        <f t="shared" si="43"/>
        <v>1062</v>
      </c>
      <c r="GQ567" s="6">
        <f t="shared" si="43"/>
        <v>2926</v>
      </c>
      <c r="GR567" s="6">
        <f t="shared" si="43"/>
        <v>748</v>
      </c>
    </row>
    <row r="568" spans="1:200">
      <c r="A568" s="6"/>
      <c r="B568" s="13" t="s">
        <v>45</v>
      </c>
      <c r="C568" s="14">
        <f>SUM(C33:C40)</f>
        <v>8816</v>
      </c>
      <c r="D568" s="14">
        <f>SUM(D33:D40)</f>
        <v>6874</v>
      </c>
      <c r="E568" s="15">
        <f t="shared" si="28"/>
        <v>0.77971869328493648</v>
      </c>
      <c r="F568" s="66">
        <f t="shared" ref="F568:AB568" si="44">SUM(F33:F40)</f>
        <v>4185</v>
      </c>
      <c r="G568" s="6">
        <f t="shared" si="44"/>
        <v>9</v>
      </c>
      <c r="H568" s="6">
        <f t="shared" si="44"/>
        <v>317</v>
      </c>
      <c r="I568" s="6">
        <f t="shared" si="44"/>
        <v>43</v>
      </c>
      <c r="J568" s="59">
        <f t="shared" si="44"/>
        <v>2098</v>
      </c>
      <c r="K568" s="6">
        <f t="shared" si="44"/>
        <v>0</v>
      </c>
      <c r="L568" s="6">
        <f t="shared" si="44"/>
        <v>0</v>
      </c>
      <c r="M568" s="6">
        <f t="shared" si="44"/>
        <v>2</v>
      </c>
      <c r="N568" s="6">
        <f t="shared" si="44"/>
        <v>0</v>
      </c>
      <c r="O568" s="6">
        <f t="shared" si="44"/>
        <v>0</v>
      </c>
      <c r="P568" s="6">
        <f t="shared" si="44"/>
        <v>2</v>
      </c>
      <c r="Q568" s="6">
        <f t="shared" si="44"/>
        <v>0</v>
      </c>
      <c r="R568" s="6">
        <f t="shared" si="44"/>
        <v>0</v>
      </c>
      <c r="S568" s="6">
        <f t="shared" si="44"/>
        <v>1</v>
      </c>
      <c r="T568" s="6">
        <f t="shared" si="44"/>
        <v>1</v>
      </c>
      <c r="U568" s="6">
        <f t="shared" si="44"/>
        <v>0</v>
      </c>
      <c r="V568" s="6">
        <f t="shared" si="44"/>
        <v>1</v>
      </c>
      <c r="W568" s="6">
        <f t="shared" si="44"/>
        <v>43</v>
      </c>
      <c r="X568" s="6">
        <f t="shared" si="44"/>
        <v>0</v>
      </c>
      <c r="Y568" s="6">
        <f t="shared" si="44"/>
        <v>0</v>
      </c>
      <c r="Z568" s="6">
        <f t="shared" si="44"/>
        <v>0</v>
      </c>
      <c r="AA568" s="6">
        <f t="shared" si="44"/>
        <v>0</v>
      </c>
      <c r="AB568" s="6">
        <f t="shared" si="44"/>
        <v>0</v>
      </c>
      <c r="AC568" s="6">
        <f t="shared" ref="AC568:BZ568" si="45">SUM(AC33:AC40)</f>
        <v>59</v>
      </c>
      <c r="AD568" s="6">
        <f t="shared" si="45"/>
        <v>114</v>
      </c>
      <c r="AE568" s="6">
        <f t="shared" si="45"/>
        <v>3478</v>
      </c>
      <c r="AF568" s="6">
        <f t="shared" si="45"/>
        <v>36</v>
      </c>
      <c r="AG568" s="6">
        <f t="shared" si="45"/>
        <v>0</v>
      </c>
      <c r="AH568" s="6">
        <f t="shared" si="45"/>
        <v>2929</v>
      </c>
      <c r="AI568" s="6">
        <f t="shared" si="45"/>
        <v>0</v>
      </c>
      <c r="AJ568" s="6">
        <f t="shared" si="45"/>
        <v>0</v>
      </c>
      <c r="AK568" s="6">
        <f t="shared" si="45"/>
        <v>0</v>
      </c>
      <c r="AL568" s="6">
        <f t="shared" si="45"/>
        <v>0</v>
      </c>
      <c r="AM568" s="6">
        <f t="shared" si="45"/>
        <v>348</v>
      </c>
      <c r="AN568" s="6">
        <f t="shared" si="45"/>
        <v>2611</v>
      </c>
      <c r="AO568" s="6">
        <f t="shared" si="45"/>
        <v>3404</v>
      </c>
      <c r="AP568" s="6">
        <f t="shared" si="45"/>
        <v>0</v>
      </c>
      <c r="AQ568" s="6">
        <f t="shared" si="45"/>
        <v>0</v>
      </c>
      <c r="AR568" s="6">
        <f t="shared" si="45"/>
        <v>0</v>
      </c>
      <c r="AS568" s="6">
        <f t="shared" si="45"/>
        <v>0</v>
      </c>
      <c r="AT568" s="6">
        <f t="shared" si="45"/>
        <v>0</v>
      </c>
      <c r="AU568" s="6">
        <f t="shared" si="45"/>
        <v>0</v>
      </c>
      <c r="AV568" s="6">
        <f t="shared" si="45"/>
        <v>0</v>
      </c>
      <c r="AW568" s="6">
        <f t="shared" si="45"/>
        <v>0</v>
      </c>
      <c r="AX568" s="6">
        <f t="shared" si="45"/>
        <v>0</v>
      </c>
      <c r="AY568" s="6">
        <f t="shared" si="45"/>
        <v>3468</v>
      </c>
      <c r="AZ568" s="6">
        <f t="shared" si="45"/>
        <v>2814</v>
      </c>
      <c r="BA568" s="6">
        <f t="shared" si="45"/>
        <v>0</v>
      </c>
      <c r="BB568" s="6">
        <f t="shared" si="45"/>
        <v>0</v>
      </c>
      <c r="BC568" s="6">
        <f t="shared" si="45"/>
        <v>0</v>
      </c>
      <c r="BD568" s="6">
        <f t="shared" si="45"/>
        <v>0</v>
      </c>
      <c r="BE568" s="6">
        <f t="shared" si="45"/>
        <v>2631</v>
      </c>
      <c r="BF568" s="6">
        <f t="shared" si="45"/>
        <v>3649</v>
      </c>
      <c r="BG568" s="6">
        <f t="shared" si="45"/>
        <v>2901</v>
      </c>
      <c r="BH568" s="6">
        <f t="shared" si="45"/>
        <v>3448</v>
      </c>
      <c r="BI568" s="6">
        <f t="shared" si="45"/>
        <v>3424</v>
      </c>
      <c r="BJ568" s="6">
        <f t="shared" si="45"/>
        <v>2790</v>
      </c>
      <c r="BK568" s="6">
        <f t="shared" si="45"/>
        <v>3691</v>
      </c>
      <c r="BL568" s="6">
        <f t="shared" si="45"/>
        <v>2581</v>
      </c>
      <c r="BM568" s="6">
        <f t="shared" si="45"/>
        <v>2473</v>
      </c>
      <c r="BN568" s="6">
        <f t="shared" si="45"/>
        <v>3625</v>
      </c>
      <c r="BO568" s="6">
        <f t="shared" si="45"/>
        <v>3139</v>
      </c>
      <c r="BP568" s="6">
        <f t="shared" si="45"/>
        <v>2826</v>
      </c>
      <c r="BQ568" s="6">
        <f t="shared" si="45"/>
        <v>3268</v>
      </c>
      <c r="BR568" s="6">
        <f t="shared" si="45"/>
        <v>2752</v>
      </c>
      <c r="BS568" s="6">
        <f t="shared" si="45"/>
        <v>3977</v>
      </c>
      <c r="BT568" s="6">
        <f t="shared" si="45"/>
        <v>2156</v>
      </c>
      <c r="BU568" s="6">
        <f t="shared" si="45"/>
        <v>3915</v>
      </c>
      <c r="BV568" s="6">
        <f t="shared" si="45"/>
        <v>3906</v>
      </c>
      <c r="BW568" s="6">
        <f t="shared" si="45"/>
        <v>2527</v>
      </c>
      <c r="BX568" s="6">
        <f t="shared" si="45"/>
        <v>2191</v>
      </c>
      <c r="BY568" s="6">
        <f t="shared" si="45"/>
        <v>2538</v>
      </c>
      <c r="BZ568" s="6">
        <f t="shared" si="45"/>
        <v>2652</v>
      </c>
      <c r="CA568" s="6">
        <f t="shared" ref="CA568:CP568" si="46">SUM(CA33:CA40)</f>
        <v>3455</v>
      </c>
      <c r="CB568" s="6">
        <f t="shared" si="46"/>
        <v>2213</v>
      </c>
      <c r="CC568" s="6">
        <f t="shared" si="46"/>
        <v>2435</v>
      </c>
      <c r="CD568" s="6">
        <f t="shared" si="46"/>
        <v>3608</v>
      </c>
      <c r="CE568" s="6">
        <f t="shared" si="46"/>
        <v>2634</v>
      </c>
      <c r="CF568" s="6">
        <f t="shared" si="46"/>
        <v>2023</v>
      </c>
      <c r="CG568" s="6">
        <f t="shared" si="46"/>
        <v>2444</v>
      </c>
      <c r="CH568" s="6">
        <f t="shared" si="46"/>
        <v>2105</v>
      </c>
      <c r="CI568" s="6">
        <f t="shared" si="46"/>
        <v>1541</v>
      </c>
      <c r="CJ568" s="6">
        <f t="shared" si="46"/>
        <v>3032</v>
      </c>
      <c r="CK568" s="6">
        <f t="shared" si="46"/>
        <v>2307</v>
      </c>
      <c r="CL568" s="6">
        <f t="shared" si="46"/>
        <v>2171</v>
      </c>
      <c r="CM568" s="6">
        <f t="shared" si="46"/>
        <v>3206</v>
      </c>
      <c r="CN568" s="6">
        <f t="shared" si="46"/>
        <v>3238</v>
      </c>
      <c r="CO568" s="6">
        <f t="shared" si="46"/>
        <v>1896</v>
      </c>
      <c r="CP568" s="6">
        <f t="shared" si="46"/>
        <v>2603</v>
      </c>
      <c r="CQ568" s="6">
        <f t="shared" ref="CQ568:EM568" si="47">SUM(CQ33:CQ40)</f>
        <v>0</v>
      </c>
      <c r="CR568" s="6">
        <f t="shared" si="47"/>
        <v>0</v>
      </c>
      <c r="CS568" s="6">
        <f t="shared" si="47"/>
        <v>0</v>
      </c>
      <c r="CT568" s="6">
        <f t="shared" si="47"/>
        <v>0</v>
      </c>
      <c r="CU568" s="6">
        <f t="shared" si="47"/>
        <v>0</v>
      </c>
      <c r="CV568" s="6">
        <f t="shared" si="47"/>
        <v>0</v>
      </c>
      <c r="CW568" s="6">
        <f t="shared" si="47"/>
        <v>0</v>
      </c>
      <c r="CX568" s="6">
        <f t="shared" si="47"/>
        <v>0</v>
      </c>
      <c r="CY568" s="6">
        <f t="shared" si="47"/>
        <v>0</v>
      </c>
      <c r="CZ568" s="6">
        <f t="shared" si="47"/>
        <v>0</v>
      </c>
      <c r="DA568" s="6">
        <f t="shared" si="47"/>
        <v>0</v>
      </c>
      <c r="DB568" s="6">
        <f t="shared" si="47"/>
        <v>0</v>
      </c>
      <c r="DC568" s="6">
        <f t="shared" si="47"/>
        <v>0</v>
      </c>
      <c r="DD568" s="6">
        <f t="shared" si="47"/>
        <v>0</v>
      </c>
      <c r="DE568" s="6">
        <f t="shared" si="47"/>
        <v>0</v>
      </c>
      <c r="DF568" s="6">
        <f t="shared" si="47"/>
        <v>0</v>
      </c>
      <c r="DG568" s="6">
        <f t="shared" si="47"/>
        <v>0</v>
      </c>
      <c r="DH568" s="6">
        <f t="shared" si="47"/>
        <v>0</v>
      </c>
      <c r="DI568" s="6">
        <f t="shared" si="47"/>
        <v>0</v>
      </c>
      <c r="DJ568" s="6">
        <f t="shared" si="47"/>
        <v>0</v>
      </c>
      <c r="DK568" s="6">
        <f t="shared" si="47"/>
        <v>0</v>
      </c>
      <c r="DL568" s="6">
        <f t="shared" si="47"/>
        <v>0</v>
      </c>
      <c r="DM568" s="6">
        <f t="shared" si="47"/>
        <v>0</v>
      </c>
      <c r="DN568" s="6">
        <f t="shared" si="47"/>
        <v>0</v>
      </c>
      <c r="DO568" s="6">
        <f t="shared" si="47"/>
        <v>0</v>
      </c>
      <c r="DP568" s="6">
        <f t="shared" si="47"/>
        <v>0</v>
      </c>
      <c r="DQ568" s="6">
        <f t="shared" si="47"/>
        <v>0</v>
      </c>
      <c r="DR568" s="6">
        <f t="shared" si="47"/>
        <v>0</v>
      </c>
      <c r="DS568" s="6">
        <f t="shared" si="47"/>
        <v>0</v>
      </c>
      <c r="DT568" s="6">
        <f t="shared" si="47"/>
        <v>0</v>
      </c>
      <c r="DU568" s="6">
        <f t="shared" si="47"/>
        <v>0</v>
      </c>
      <c r="DV568" s="6">
        <f t="shared" si="47"/>
        <v>0</v>
      </c>
      <c r="DW568" s="6">
        <f t="shared" si="47"/>
        <v>0</v>
      </c>
      <c r="DX568" s="6">
        <f t="shared" si="47"/>
        <v>0</v>
      </c>
      <c r="DY568" s="6">
        <f t="shared" si="47"/>
        <v>0</v>
      </c>
      <c r="DZ568" s="6">
        <f t="shared" si="47"/>
        <v>0</v>
      </c>
      <c r="EA568" s="6">
        <f t="shared" si="47"/>
        <v>0</v>
      </c>
      <c r="EB568" s="6">
        <f t="shared" si="47"/>
        <v>0</v>
      </c>
      <c r="EC568" s="6">
        <f t="shared" si="47"/>
        <v>0</v>
      </c>
      <c r="ED568" s="6">
        <f t="shared" si="47"/>
        <v>0</v>
      </c>
      <c r="EE568" s="6">
        <f t="shared" si="47"/>
        <v>0</v>
      </c>
      <c r="EF568" s="6">
        <f t="shared" si="47"/>
        <v>0</v>
      </c>
      <c r="EG568" s="6">
        <f t="shared" si="47"/>
        <v>0</v>
      </c>
      <c r="EH568" s="6">
        <f t="shared" si="47"/>
        <v>0</v>
      </c>
      <c r="EI568" s="6">
        <f t="shared" si="47"/>
        <v>0</v>
      </c>
      <c r="EJ568" s="6">
        <f t="shared" si="47"/>
        <v>0</v>
      </c>
      <c r="EK568" s="6">
        <f t="shared" si="47"/>
        <v>0</v>
      </c>
      <c r="EL568" s="6">
        <f t="shared" si="47"/>
        <v>0</v>
      </c>
      <c r="EM568" s="6">
        <f t="shared" si="47"/>
        <v>0</v>
      </c>
      <c r="EN568" s="6">
        <f t="shared" ref="EN568:GR568" si="48">SUM(EN33:EN40)</f>
        <v>0</v>
      </c>
      <c r="EO568" s="6">
        <f t="shared" si="48"/>
        <v>0</v>
      </c>
      <c r="EP568" s="6">
        <f t="shared" si="48"/>
        <v>0</v>
      </c>
      <c r="EQ568" s="6">
        <f t="shared" si="48"/>
        <v>0</v>
      </c>
      <c r="ER568" s="6">
        <f t="shared" si="48"/>
        <v>0</v>
      </c>
      <c r="ES568" s="6">
        <f t="shared" si="48"/>
        <v>0</v>
      </c>
      <c r="ET568" s="6">
        <f t="shared" si="48"/>
        <v>0</v>
      </c>
      <c r="EU568" s="6">
        <f t="shared" si="48"/>
        <v>0</v>
      </c>
      <c r="EV568" s="6">
        <f t="shared" si="48"/>
        <v>0</v>
      </c>
      <c r="EW568" s="6">
        <f t="shared" si="48"/>
        <v>0</v>
      </c>
      <c r="EX568" s="6">
        <f t="shared" si="48"/>
        <v>0</v>
      </c>
      <c r="EY568" s="6">
        <f t="shared" si="48"/>
        <v>0</v>
      </c>
      <c r="EZ568" s="6">
        <f t="shared" si="48"/>
        <v>0</v>
      </c>
      <c r="FA568" s="6">
        <f t="shared" si="48"/>
        <v>0</v>
      </c>
      <c r="FB568" s="6">
        <f t="shared" si="48"/>
        <v>0</v>
      </c>
      <c r="FC568" s="6">
        <f t="shared" si="48"/>
        <v>0</v>
      </c>
      <c r="FD568" s="6">
        <f t="shared" si="48"/>
        <v>0</v>
      </c>
      <c r="FE568" s="6">
        <f t="shared" si="48"/>
        <v>0</v>
      </c>
      <c r="FF568" s="6">
        <f t="shared" si="48"/>
        <v>0</v>
      </c>
      <c r="FG568" s="6">
        <f t="shared" si="48"/>
        <v>0</v>
      </c>
      <c r="FH568" s="6">
        <f t="shared" si="48"/>
        <v>0</v>
      </c>
      <c r="FI568" s="6">
        <f t="shared" si="48"/>
        <v>0</v>
      </c>
      <c r="FJ568" s="6">
        <f t="shared" si="48"/>
        <v>0</v>
      </c>
      <c r="FK568" s="6">
        <f t="shared" si="48"/>
        <v>0</v>
      </c>
      <c r="FL568" s="6">
        <f t="shared" si="48"/>
        <v>0</v>
      </c>
      <c r="FM568" s="6">
        <f t="shared" si="48"/>
        <v>0</v>
      </c>
      <c r="FN568" s="6">
        <f t="shared" si="48"/>
        <v>0</v>
      </c>
      <c r="FO568" s="6">
        <f t="shared" si="48"/>
        <v>0</v>
      </c>
      <c r="FP568" s="6">
        <f t="shared" si="48"/>
        <v>0</v>
      </c>
      <c r="FQ568" s="6">
        <f t="shared" si="48"/>
        <v>0</v>
      </c>
      <c r="FR568" s="6">
        <f t="shared" si="48"/>
        <v>0</v>
      </c>
      <c r="FS568" s="6">
        <f t="shared" si="48"/>
        <v>0</v>
      </c>
      <c r="FT568" s="6">
        <f t="shared" si="48"/>
        <v>0</v>
      </c>
      <c r="FU568" s="6">
        <f t="shared" si="48"/>
        <v>0</v>
      </c>
      <c r="FV568" s="6">
        <f t="shared" si="48"/>
        <v>0</v>
      </c>
      <c r="FW568" s="6">
        <f t="shared" si="48"/>
        <v>0</v>
      </c>
      <c r="FX568" s="6">
        <f t="shared" si="48"/>
        <v>0</v>
      </c>
      <c r="FY568" s="6">
        <f t="shared" si="48"/>
        <v>3618</v>
      </c>
      <c r="FZ568" s="6">
        <f t="shared" si="48"/>
        <v>2852</v>
      </c>
      <c r="GA568" s="6">
        <f t="shared" si="48"/>
        <v>0</v>
      </c>
      <c r="GB568" s="6">
        <f t="shared" si="48"/>
        <v>0</v>
      </c>
      <c r="GC568" s="6">
        <f t="shared" si="48"/>
        <v>0</v>
      </c>
      <c r="GD568" s="6">
        <f t="shared" si="48"/>
        <v>0</v>
      </c>
      <c r="GE568" s="6">
        <f t="shared" si="48"/>
        <v>0</v>
      </c>
      <c r="GF568" s="6">
        <f t="shared" si="48"/>
        <v>0</v>
      </c>
      <c r="GG568" s="6">
        <f t="shared" si="48"/>
        <v>0</v>
      </c>
      <c r="GH568" s="6">
        <f t="shared" si="48"/>
        <v>0</v>
      </c>
      <c r="GI568" s="6">
        <f t="shared" si="48"/>
        <v>0</v>
      </c>
      <c r="GJ568" s="6">
        <f t="shared" si="48"/>
        <v>0</v>
      </c>
      <c r="GK568" s="6">
        <f t="shared" si="48"/>
        <v>0</v>
      </c>
      <c r="GL568" s="6">
        <f t="shared" si="48"/>
        <v>0</v>
      </c>
      <c r="GM568" s="6">
        <f t="shared" si="48"/>
        <v>0</v>
      </c>
      <c r="GN568" s="6">
        <f t="shared" si="48"/>
        <v>0</v>
      </c>
      <c r="GO568" s="6">
        <f t="shared" si="48"/>
        <v>4893</v>
      </c>
      <c r="GP568" s="6">
        <f t="shared" si="48"/>
        <v>1613</v>
      </c>
      <c r="GQ568" s="6">
        <f t="shared" si="48"/>
        <v>4886</v>
      </c>
      <c r="GR568" s="6">
        <f t="shared" si="48"/>
        <v>1549</v>
      </c>
    </row>
    <row r="569" spans="1:200">
      <c r="A569" s="6"/>
      <c r="B569" s="13" t="s">
        <v>46</v>
      </c>
      <c r="C569" s="14">
        <f>SUM(C41:C49)</f>
        <v>10051</v>
      </c>
      <c r="D569" s="14">
        <f>SUM(D41:D49)</f>
        <v>7878</v>
      </c>
      <c r="E569" s="15">
        <f t="shared" si="28"/>
        <v>0.78380260670580038</v>
      </c>
      <c r="F569" s="66">
        <f t="shared" ref="F569:AB569" si="49">SUM(F41:F49)</f>
        <v>4662</v>
      </c>
      <c r="G569" s="6">
        <f t="shared" si="49"/>
        <v>17</v>
      </c>
      <c r="H569" s="6">
        <f t="shared" si="49"/>
        <v>314</v>
      </c>
      <c r="I569" s="6">
        <f t="shared" si="49"/>
        <v>72</v>
      </c>
      <c r="J569" s="59">
        <f t="shared" si="49"/>
        <v>2518</v>
      </c>
      <c r="K569" s="6">
        <f t="shared" si="49"/>
        <v>0</v>
      </c>
      <c r="L569" s="6">
        <f t="shared" si="49"/>
        <v>0</v>
      </c>
      <c r="M569" s="6">
        <f t="shared" si="49"/>
        <v>1</v>
      </c>
      <c r="N569" s="6">
        <f t="shared" si="49"/>
        <v>0</v>
      </c>
      <c r="O569" s="6">
        <f t="shared" si="49"/>
        <v>0</v>
      </c>
      <c r="P569" s="6">
        <f t="shared" si="49"/>
        <v>0</v>
      </c>
      <c r="Q569" s="6">
        <f t="shared" si="49"/>
        <v>0</v>
      </c>
      <c r="R569" s="6">
        <f t="shared" si="49"/>
        <v>0</v>
      </c>
      <c r="S569" s="6">
        <f t="shared" si="49"/>
        <v>3</v>
      </c>
      <c r="T569" s="6">
        <f t="shared" si="49"/>
        <v>0</v>
      </c>
      <c r="U569" s="6">
        <f t="shared" si="49"/>
        <v>0</v>
      </c>
      <c r="V569" s="6">
        <f t="shared" si="49"/>
        <v>1</v>
      </c>
      <c r="W569" s="6">
        <f t="shared" si="49"/>
        <v>35</v>
      </c>
      <c r="X569" s="6">
        <f t="shared" si="49"/>
        <v>0</v>
      </c>
      <c r="Y569" s="6">
        <f t="shared" si="49"/>
        <v>0</v>
      </c>
      <c r="Z569" s="6">
        <f t="shared" si="49"/>
        <v>0</v>
      </c>
      <c r="AA569" s="6">
        <f t="shared" si="49"/>
        <v>0</v>
      </c>
      <c r="AB569" s="6">
        <f t="shared" si="49"/>
        <v>0</v>
      </c>
      <c r="AC569" s="6">
        <f t="shared" ref="AC569:BZ569" si="50">SUM(AC41:AC49)</f>
        <v>47</v>
      </c>
      <c r="AD569" s="6">
        <f t="shared" si="50"/>
        <v>105</v>
      </c>
      <c r="AE569" s="6">
        <f t="shared" si="50"/>
        <v>4166</v>
      </c>
      <c r="AF569" s="6">
        <f t="shared" si="50"/>
        <v>48</v>
      </c>
      <c r="AG569" s="6">
        <f t="shared" si="50"/>
        <v>2</v>
      </c>
      <c r="AH569" s="6">
        <f t="shared" si="50"/>
        <v>3241</v>
      </c>
      <c r="AI569" s="6">
        <f t="shared" si="50"/>
        <v>0</v>
      </c>
      <c r="AJ569" s="6">
        <f t="shared" si="50"/>
        <v>0</v>
      </c>
      <c r="AK569" s="6">
        <f t="shared" si="50"/>
        <v>0</v>
      </c>
      <c r="AL569" s="6">
        <f t="shared" si="50"/>
        <v>0</v>
      </c>
      <c r="AM569" s="6">
        <f t="shared" si="50"/>
        <v>401</v>
      </c>
      <c r="AN569" s="6">
        <f t="shared" si="50"/>
        <v>2913</v>
      </c>
      <c r="AO569" s="6">
        <f t="shared" si="50"/>
        <v>4029</v>
      </c>
      <c r="AP569" s="6">
        <f t="shared" si="50"/>
        <v>0</v>
      </c>
      <c r="AQ569" s="6">
        <f t="shared" si="50"/>
        <v>0</v>
      </c>
      <c r="AR569" s="6">
        <f t="shared" si="50"/>
        <v>3615</v>
      </c>
      <c r="AS569" s="6">
        <f t="shared" si="50"/>
        <v>3585</v>
      </c>
      <c r="AT569" s="6">
        <f t="shared" si="50"/>
        <v>0</v>
      </c>
      <c r="AU569" s="6">
        <f t="shared" si="50"/>
        <v>0</v>
      </c>
      <c r="AV569" s="6">
        <f t="shared" si="50"/>
        <v>0</v>
      </c>
      <c r="AW569" s="6">
        <f t="shared" si="50"/>
        <v>0</v>
      </c>
      <c r="AX569" s="6">
        <f t="shared" si="50"/>
        <v>0</v>
      </c>
      <c r="AY569" s="6">
        <f t="shared" si="50"/>
        <v>0</v>
      </c>
      <c r="AZ569" s="6">
        <f t="shared" si="50"/>
        <v>0</v>
      </c>
      <c r="BA569" s="6">
        <f t="shared" si="50"/>
        <v>0</v>
      </c>
      <c r="BB569" s="6">
        <f t="shared" si="50"/>
        <v>0</v>
      </c>
      <c r="BC569" s="6">
        <f t="shared" si="50"/>
        <v>0</v>
      </c>
      <c r="BD569" s="6">
        <f t="shared" si="50"/>
        <v>0</v>
      </c>
      <c r="BE569" s="6">
        <f t="shared" si="50"/>
        <v>3136</v>
      </c>
      <c r="BF569" s="6">
        <f t="shared" si="50"/>
        <v>4153</v>
      </c>
      <c r="BG569" s="6">
        <f t="shared" si="50"/>
        <v>3429</v>
      </c>
      <c r="BH569" s="6">
        <f t="shared" si="50"/>
        <v>3887</v>
      </c>
      <c r="BI569" s="6">
        <f t="shared" si="50"/>
        <v>4046</v>
      </c>
      <c r="BJ569" s="6">
        <f t="shared" si="50"/>
        <v>3174</v>
      </c>
      <c r="BK569" s="6">
        <f t="shared" si="50"/>
        <v>4162</v>
      </c>
      <c r="BL569" s="6">
        <f t="shared" si="50"/>
        <v>3121</v>
      </c>
      <c r="BM569" s="6">
        <f t="shared" si="50"/>
        <v>2987</v>
      </c>
      <c r="BN569" s="6">
        <f t="shared" si="50"/>
        <v>4052</v>
      </c>
      <c r="BO569" s="6">
        <f t="shared" si="50"/>
        <v>3498</v>
      </c>
      <c r="BP569" s="6">
        <f t="shared" si="50"/>
        <v>3412</v>
      </c>
      <c r="BQ569" s="6">
        <f t="shared" si="50"/>
        <v>4012</v>
      </c>
      <c r="BR569" s="6">
        <f t="shared" si="50"/>
        <v>3024</v>
      </c>
      <c r="BS569" s="6">
        <f t="shared" si="50"/>
        <v>4476</v>
      </c>
      <c r="BT569" s="6">
        <f t="shared" si="50"/>
        <v>2526</v>
      </c>
      <c r="BU569" s="6">
        <f t="shared" si="50"/>
        <v>4510</v>
      </c>
      <c r="BV569" s="6">
        <f t="shared" si="50"/>
        <v>4585</v>
      </c>
      <c r="BW569" s="6">
        <f t="shared" si="50"/>
        <v>3262</v>
      </c>
      <c r="BX569" s="6">
        <f t="shared" si="50"/>
        <v>2432</v>
      </c>
      <c r="BY569" s="6">
        <f t="shared" si="50"/>
        <v>3087</v>
      </c>
      <c r="BZ569" s="6">
        <f t="shared" si="50"/>
        <v>3131</v>
      </c>
      <c r="CA569" s="6">
        <f t="shared" ref="CA569:CP569" si="51">SUM(CA41:CA49)</f>
        <v>4031</v>
      </c>
      <c r="CB569" s="6">
        <f t="shared" si="51"/>
        <v>3024</v>
      </c>
      <c r="CC569" s="6">
        <f t="shared" si="51"/>
        <v>2743</v>
      </c>
      <c r="CD569" s="6">
        <f t="shared" si="51"/>
        <v>4148</v>
      </c>
      <c r="CE569" s="6">
        <f t="shared" si="51"/>
        <v>3020</v>
      </c>
      <c r="CF569" s="6">
        <f t="shared" si="51"/>
        <v>2575</v>
      </c>
      <c r="CG569" s="6">
        <f t="shared" si="51"/>
        <v>3257</v>
      </c>
      <c r="CH569" s="6">
        <f t="shared" si="51"/>
        <v>2329</v>
      </c>
      <c r="CI569" s="6">
        <f t="shared" si="51"/>
        <v>1845</v>
      </c>
      <c r="CJ569" s="6">
        <f t="shared" si="51"/>
        <v>3731</v>
      </c>
      <c r="CK569" s="6">
        <f t="shared" si="51"/>
        <v>2750</v>
      </c>
      <c r="CL569" s="6">
        <f t="shared" si="51"/>
        <v>2603</v>
      </c>
      <c r="CM569" s="6">
        <f t="shared" si="51"/>
        <v>3748</v>
      </c>
      <c r="CN569" s="6">
        <f t="shared" si="51"/>
        <v>3842</v>
      </c>
      <c r="CO569" s="6">
        <f t="shared" si="51"/>
        <v>2195</v>
      </c>
      <c r="CP569" s="6">
        <f t="shared" si="51"/>
        <v>3291</v>
      </c>
      <c r="CQ569" s="6">
        <f t="shared" ref="CQ569:EM569" si="52">SUM(CQ41:CQ49)</f>
        <v>0</v>
      </c>
      <c r="CR569" s="6">
        <f t="shared" si="52"/>
        <v>0</v>
      </c>
      <c r="CS569" s="6">
        <f t="shared" si="52"/>
        <v>0</v>
      </c>
      <c r="CT569" s="6">
        <f t="shared" si="52"/>
        <v>0</v>
      </c>
      <c r="CU569" s="6">
        <f t="shared" si="52"/>
        <v>0</v>
      </c>
      <c r="CV569" s="6">
        <f t="shared" si="52"/>
        <v>0</v>
      </c>
      <c r="CW569" s="6">
        <f t="shared" si="52"/>
        <v>0</v>
      </c>
      <c r="CX569" s="6">
        <f t="shared" si="52"/>
        <v>0</v>
      </c>
      <c r="CY569" s="6">
        <f t="shared" si="52"/>
        <v>0</v>
      </c>
      <c r="CZ569" s="6">
        <f t="shared" si="52"/>
        <v>0</v>
      </c>
      <c r="DA569" s="6">
        <f t="shared" si="52"/>
        <v>0</v>
      </c>
      <c r="DB569" s="6">
        <f t="shared" si="52"/>
        <v>0</v>
      </c>
      <c r="DC569" s="6">
        <f t="shared" si="52"/>
        <v>0</v>
      </c>
      <c r="DD569" s="6">
        <f t="shared" si="52"/>
        <v>0</v>
      </c>
      <c r="DE569" s="6">
        <f t="shared" si="52"/>
        <v>0</v>
      </c>
      <c r="DF569" s="6">
        <f t="shared" si="52"/>
        <v>0</v>
      </c>
      <c r="DG569" s="6">
        <f t="shared" si="52"/>
        <v>0</v>
      </c>
      <c r="DH569" s="6">
        <f t="shared" si="52"/>
        <v>0</v>
      </c>
      <c r="DI569" s="6">
        <f t="shared" si="52"/>
        <v>0</v>
      </c>
      <c r="DJ569" s="6">
        <f t="shared" si="52"/>
        <v>0</v>
      </c>
      <c r="DK569" s="6">
        <f t="shared" si="52"/>
        <v>0</v>
      </c>
      <c r="DL569" s="6">
        <f t="shared" si="52"/>
        <v>0</v>
      </c>
      <c r="DM569" s="6">
        <f t="shared" si="52"/>
        <v>0</v>
      </c>
      <c r="DN569" s="6">
        <f t="shared" si="52"/>
        <v>0</v>
      </c>
      <c r="DO569" s="6">
        <f t="shared" si="52"/>
        <v>0</v>
      </c>
      <c r="DP569" s="6">
        <f t="shared" si="52"/>
        <v>0</v>
      </c>
      <c r="DQ569" s="6">
        <f t="shared" si="52"/>
        <v>0</v>
      </c>
      <c r="DR569" s="6">
        <f t="shared" si="52"/>
        <v>0</v>
      </c>
      <c r="DS569" s="6">
        <f t="shared" si="52"/>
        <v>0</v>
      </c>
      <c r="DT569" s="6">
        <f t="shared" si="52"/>
        <v>0</v>
      </c>
      <c r="DU569" s="6">
        <f t="shared" si="52"/>
        <v>0</v>
      </c>
      <c r="DV569" s="6">
        <f t="shared" si="52"/>
        <v>0</v>
      </c>
      <c r="DW569" s="6">
        <f t="shared" si="52"/>
        <v>0</v>
      </c>
      <c r="DX569" s="6">
        <f t="shared" si="52"/>
        <v>0</v>
      </c>
      <c r="DY569" s="6">
        <f t="shared" si="52"/>
        <v>0</v>
      </c>
      <c r="DZ569" s="6">
        <f t="shared" si="52"/>
        <v>0</v>
      </c>
      <c r="EA569" s="6">
        <f t="shared" si="52"/>
        <v>0</v>
      </c>
      <c r="EB569" s="6">
        <f t="shared" si="52"/>
        <v>0</v>
      </c>
      <c r="EC569" s="6">
        <f t="shared" si="52"/>
        <v>0</v>
      </c>
      <c r="ED569" s="6">
        <f t="shared" si="52"/>
        <v>0</v>
      </c>
      <c r="EE569" s="6">
        <f t="shared" si="52"/>
        <v>0</v>
      </c>
      <c r="EF569" s="6">
        <f t="shared" si="52"/>
        <v>0</v>
      </c>
      <c r="EG569" s="6">
        <f t="shared" si="52"/>
        <v>0</v>
      </c>
      <c r="EH569" s="6">
        <f t="shared" si="52"/>
        <v>0</v>
      </c>
      <c r="EI569" s="6">
        <f t="shared" si="52"/>
        <v>0</v>
      </c>
      <c r="EJ569" s="6">
        <f t="shared" si="52"/>
        <v>0</v>
      </c>
      <c r="EK569" s="6">
        <f t="shared" si="52"/>
        <v>0</v>
      </c>
      <c r="EL569" s="6">
        <f t="shared" si="52"/>
        <v>0</v>
      </c>
      <c r="EM569" s="6">
        <f t="shared" si="52"/>
        <v>0</v>
      </c>
      <c r="EN569" s="6">
        <f t="shared" ref="EN569:GR569" si="53">SUM(EN41:EN49)</f>
        <v>0</v>
      </c>
      <c r="EO569" s="6">
        <f t="shared" si="53"/>
        <v>0</v>
      </c>
      <c r="EP569" s="6">
        <f t="shared" si="53"/>
        <v>0</v>
      </c>
      <c r="EQ569" s="6">
        <f t="shared" si="53"/>
        <v>0</v>
      </c>
      <c r="ER569" s="6">
        <f t="shared" si="53"/>
        <v>0</v>
      </c>
      <c r="ES569" s="6">
        <f t="shared" si="53"/>
        <v>0</v>
      </c>
      <c r="ET569" s="6">
        <f t="shared" si="53"/>
        <v>0</v>
      </c>
      <c r="EU569" s="6">
        <f t="shared" si="53"/>
        <v>0</v>
      </c>
      <c r="EV569" s="6">
        <f t="shared" si="53"/>
        <v>0</v>
      </c>
      <c r="EW569" s="6">
        <f t="shared" si="53"/>
        <v>0</v>
      </c>
      <c r="EX569" s="6">
        <f t="shared" si="53"/>
        <v>0</v>
      </c>
      <c r="EY569" s="6">
        <f t="shared" si="53"/>
        <v>0</v>
      </c>
      <c r="EZ569" s="6">
        <f t="shared" si="53"/>
        <v>0</v>
      </c>
      <c r="FA569" s="6">
        <f t="shared" si="53"/>
        <v>0</v>
      </c>
      <c r="FB569" s="6">
        <f t="shared" si="53"/>
        <v>0</v>
      </c>
      <c r="FC569" s="6">
        <f t="shared" si="53"/>
        <v>0</v>
      </c>
      <c r="FD569" s="6">
        <f t="shared" si="53"/>
        <v>0</v>
      </c>
      <c r="FE569" s="6">
        <f t="shared" si="53"/>
        <v>0</v>
      </c>
      <c r="FF569" s="6">
        <f t="shared" si="53"/>
        <v>0</v>
      </c>
      <c r="FG569" s="6">
        <f t="shared" si="53"/>
        <v>0</v>
      </c>
      <c r="FH569" s="6">
        <f t="shared" si="53"/>
        <v>0</v>
      </c>
      <c r="FI569" s="6">
        <f t="shared" si="53"/>
        <v>0</v>
      </c>
      <c r="FJ569" s="6">
        <f t="shared" si="53"/>
        <v>0</v>
      </c>
      <c r="FK569" s="6">
        <f t="shared" si="53"/>
        <v>0</v>
      </c>
      <c r="FL569" s="6">
        <f t="shared" si="53"/>
        <v>0</v>
      </c>
      <c r="FM569" s="6">
        <f t="shared" si="53"/>
        <v>0</v>
      </c>
      <c r="FN569" s="6">
        <f t="shared" si="53"/>
        <v>0</v>
      </c>
      <c r="FO569" s="6">
        <f t="shared" si="53"/>
        <v>0</v>
      </c>
      <c r="FP569" s="6">
        <f t="shared" si="53"/>
        <v>0</v>
      </c>
      <c r="FQ569" s="6">
        <f t="shared" si="53"/>
        <v>0</v>
      </c>
      <c r="FR569" s="6">
        <f t="shared" si="53"/>
        <v>0</v>
      </c>
      <c r="FS569" s="6">
        <f t="shared" si="53"/>
        <v>0</v>
      </c>
      <c r="FT569" s="6">
        <f t="shared" si="53"/>
        <v>0</v>
      </c>
      <c r="FU569" s="6">
        <f t="shared" si="53"/>
        <v>0</v>
      </c>
      <c r="FV569" s="6">
        <f t="shared" si="53"/>
        <v>0</v>
      </c>
      <c r="FW569" s="6">
        <f t="shared" si="53"/>
        <v>0</v>
      </c>
      <c r="FX569" s="6">
        <f t="shared" si="53"/>
        <v>0</v>
      </c>
      <c r="FY569" s="6">
        <f t="shared" si="53"/>
        <v>4064</v>
      </c>
      <c r="FZ569" s="6">
        <f t="shared" si="53"/>
        <v>3455</v>
      </c>
      <c r="GA569" s="6">
        <f t="shared" si="53"/>
        <v>0</v>
      </c>
      <c r="GB569" s="6">
        <f t="shared" si="53"/>
        <v>0</v>
      </c>
      <c r="GC569" s="6">
        <f t="shared" si="53"/>
        <v>0</v>
      </c>
      <c r="GD569" s="6">
        <f t="shared" si="53"/>
        <v>0</v>
      </c>
      <c r="GE569" s="6">
        <f t="shared" si="53"/>
        <v>0</v>
      </c>
      <c r="GF569" s="6">
        <f t="shared" si="53"/>
        <v>0</v>
      </c>
      <c r="GG569" s="6">
        <f t="shared" si="53"/>
        <v>0</v>
      </c>
      <c r="GH569" s="6">
        <f t="shared" si="53"/>
        <v>0</v>
      </c>
      <c r="GI569" s="6">
        <f t="shared" si="53"/>
        <v>0</v>
      </c>
      <c r="GJ569" s="6">
        <f t="shared" si="53"/>
        <v>0</v>
      </c>
      <c r="GK569" s="6">
        <f t="shared" si="53"/>
        <v>0</v>
      </c>
      <c r="GL569" s="6">
        <f t="shared" si="53"/>
        <v>0</v>
      </c>
      <c r="GM569" s="6">
        <f t="shared" si="53"/>
        <v>0</v>
      </c>
      <c r="GN569" s="6">
        <f t="shared" si="53"/>
        <v>0</v>
      </c>
      <c r="GO569" s="6">
        <f t="shared" si="53"/>
        <v>5566</v>
      </c>
      <c r="GP569" s="6">
        <f t="shared" si="53"/>
        <v>1935</v>
      </c>
      <c r="GQ569" s="6">
        <f t="shared" si="53"/>
        <v>5622</v>
      </c>
      <c r="GR569" s="6">
        <f t="shared" si="53"/>
        <v>1836</v>
      </c>
    </row>
    <row r="570" spans="1:200">
      <c r="A570" s="6"/>
      <c r="B570" s="13" t="s">
        <v>47</v>
      </c>
      <c r="C570" s="14">
        <f>SUM(C50:C53)</f>
        <v>6140</v>
      </c>
      <c r="D570" s="14">
        <f>SUM(D50:D53)</f>
        <v>3506</v>
      </c>
      <c r="E570" s="15">
        <f t="shared" si="28"/>
        <v>0.57100977198697067</v>
      </c>
      <c r="F570" s="66">
        <f t="shared" ref="F570:AB570" si="54">SUM(F50:F53)</f>
        <v>2515</v>
      </c>
      <c r="G570" s="6">
        <f t="shared" si="54"/>
        <v>5</v>
      </c>
      <c r="H570" s="6">
        <f t="shared" si="54"/>
        <v>146</v>
      </c>
      <c r="I570" s="6">
        <f t="shared" si="54"/>
        <v>38</v>
      </c>
      <c r="J570" s="59">
        <f t="shared" si="54"/>
        <v>712</v>
      </c>
      <c r="K570" s="6">
        <f t="shared" si="54"/>
        <v>0</v>
      </c>
      <c r="L570" s="6">
        <f t="shared" si="54"/>
        <v>0</v>
      </c>
      <c r="M570" s="6">
        <f t="shared" si="54"/>
        <v>2</v>
      </c>
      <c r="N570" s="6">
        <f t="shared" si="54"/>
        <v>0</v>
      </c>
      <c r="O570" s="6">
        <f t="shared" si="54"/>
        <v>0</v>
      </c>
      <c r="P570" s="6">
        <f t="shared" si="54"/>
        <v>0</v>
      </c>
      <c r="Q570" s="6">
        <f t="shared" si="54"/>
        <v>0</v>
      </c>
      <c r="R570" s="6">
        <f t="shared" si="54"/>
        <v>0</v>
      </c>
      <c r="S570" s="6">
        <f t="shared" si="54"/>
        <v>0</v>
      </c>
      <c r="T570" s="6">
        <f t="shared" si="54"/>
        <v>0</v>
      </c>
      <c r="U570" s="6">
        <f t="shared" si="54"/>
        <v>0</v>
      </c>
      <c r="V570" s="6">
        <f t="shared" si="54"/>
        <v>0</v>
      </c>
      <c r="W570" s="6">
        <f t="shared" si="54"/>
        <v>12</v>
      </c>
      <c r="X570" s="6">
        <f t="shared" si="54"/>
        <v>0</v>
      </c>
      <c r="Y570" s="6">
        <f t="shared" si="54"/>
        <v>0</v>
      </c>
      <c r="Z570" s="6">
        <f t="shared" si="54"/>
        <v>0</v>
      </c>
      <c r="AA570" s="6">
        <f t="shared" si="54"/>
        <v>0</v>
      </c>
      <c r="AB570" s="6">
        <f t="shared" si="54"/>
        <v>0</v>
      </c>
      <c r="AC570" s="6">
        <f t="shared" ref="AC570:BZ570" si="55">SUM(AC50:AC53)</f>
        <v>42</v>
      </c>
      <c r="AD570" s="6">
        <f t="shared" si="55"/>
        <v>80</v>
      </c>
      <c r="AE570" s="6">
        <f t="shared" si="55"/>
        <v>1246</v>
      </c>
      <c r="AF570" s="6">
        <f t="shared" si="55"/>
        <v>25</v>
      </c>
      <c r="AG570" s="6">
        <f t="shared" si="55"/>
        <v>1</v>
      </c>
      <c r="AH570" s="6">
        <f t="shared" si="55"/>
        <v>1972</v>
      </c>
      <c r="AI570" s="6">
        <f t="shared" si="55"/>
        <v>1107</v>
      </c>
      <c r="AJ570" s="6">
        <f t="shared" si="55"/>
        <v>4</v>
      </c>
      <c r="AK570" s="6">
        <f t="shared" si="55"/>
        <v>0</v>
      </c>
      <c r="AL570" s="6">
        <f t="shared" si="55"/>
        <v>2206</v>
      </c>
      <c r="AM570" s="6">
        <f t="shared" si="55"/>
        <v>0</v>
      </c>
      <c r="AN570" s="6">
        <f t="shared" si="55"/>
        <v>0</v>
      </c>
      <c r="AO570" s="6">
        <f t="shared" si="55"/>
        <v>0</v>
      </c>
      <c r="AP570" s="6">
        <f t="shared" si="55"/>
        <v>0</v>
      </c>
      <c r="AQ570" s="6">
        <f t="shared" si="55"/>
        <v>0</v>
      </c>
      <c r="AR570" s="6">
        <f t="shared" si="55"/>
        <v>0</v>
      </c>
      <c r="AS570" s="6">
        <f t="shared" si="55"/>
        <v>0</v>
      </c>
      <c r="AT570" s="6">
        <f t="shared" si="55"/>
        <v>0</v>
      </c>
      <c r="AU570" s="6">
        <f t="shared" si="55"/>
        <v>0</v>
      </c>
      <c r="AV570" s="6">
        <f t="shared" si="55"/>
        <v>0</v>
      </c>
      <c r="AW570" s="6">
        <f t="shared" si="55"/>
        <v>0</v>
      </c>
      <c r="AX570" s="6">
        <f t="shared" si="55"/>
        <v>0</v>
      </c>
      <c r="AY570" s="6">
        <f t="shared" si="55"/>
        <v>0</v>
      </c>
      <c r="AZ570" s="6">
        <f t="shared" si="55"/>
        <v>0</v>
      </c>
      <c r="BA570" s="6">
        <f t="shared" si="55"/>
        <v>2201</v>
      </c>
      <c r="BB570" s="6">
        <f t="shared" si="55"/>
        <v>1000</v>
      </c>
      <c r="BC570" s="6">
        <f t="shared" si="55"/>
        <v>0</v>
      </c>
      <c r="BD570" s="6">
        <f t="shared" si="55"/>
        <v>0</v>
      </c>
      <c r="BE570" s="6">
        <f t="shared" si="55"/>
        <v>939</v>
      </c>
      <c r="BF570" s="6">
        <f t="shared" si="55"/>
        <v>2251</v>
      </c>
      <c r="BG570" s="6">
        <f t="shared" si="55"/>
        <v>1012</v>
      </c>
      <c r="BH570" s="6">
        <f t="shared" si="55"/>
        <v>2199</v>
      </c>
      <c r="BI570" s="6">
        <f t="shared" si="55"/>
        <v>1235</v>
      </c>
      <c r="BJ570" s="6">
        <f t="shared" si="55"/>
        <v>1925</v>
      </c>
      <c r="BK570" s="6">
        <f t="shared" si="55"/>
        <v>2336</v>
      </c>
      <c r="BL570" s="6">
        <f t="shared" si="55"/>
        <v>881</v>
      </c>
      <c r="BM570" s="6">
        <f t="shared" si="55"/>
        <v>857</v>
      </c>
      <c r="BN570" s="6">
        <f t="shared" si="55"/>
        <v>2260</v>
      </c>
      <c r="BO570" s="6">
        <f t="shared" si="55"/>
        <v>2042</v>
      </c>
      <c r="BP570" s="6">
        <f t="shared" si="55"/>
        <v>1010</v>
      </c>
      <c r="BQ570" s="6">
        <f t="shared" si="55"/>
        <v>1142</v>
      </c>
      <c r="BR570" s="6">
        <f t="shared" si="55"/>
        <v>1950</v>
      </c>
      <c r="BS570" s="6">
        <f t="shared" si="55"/>
        <v>1787</v>
      </c>
      <c r="BT570" s="6">
        <f t="shared" si="55"/>
        <v>775</v>
      </c>
      <c r="BU570" s="6">
        <f t="shared" si="55"/>
        <v>2326</v>
      </c>
      <c r="BV570" s="6">
        <f t="shared" si="55"/>
        <v>1924</v>
      </c>
      <c r="BW570" s="6">
        <f t="shared" si="55"/>
        <v>1104</v>
      </c>
      <c r="BX570" s="6">
        <f t="shared" si="55"/>
        <v>1304</v>
      </c>
      <c r="BY570" s="6">
        <f t="shared" si="55"/>
        <v>956</v>
      </c>
      <c r="BZ570" s="6">
        <f t="shared" si="55"/>
        <v>1642</v>
      </c>
      <c r="CA570" s="6">
        <f t="shared" ref="CA570:CP570" si="56">SUM(CA50:CA53)</f>
        <v>1689</v>
      </c>
      <c r="CB570" s="6">
        <f t="shared" si="56"/>
        <v>741</v>
      </c>
      <c r="CC570" s="6">
        <f t="shared" si="56"/>
        <v>1619</v>
      </c>
      <c r="CD570" s="6">
        <f t="shared" si="56"/>
        <v>1877</v>
      </c>
      <c r="CE570" s="6">
        <f t="shared" si="56"/>
        <v>1630</v>
      </c>
      <c r="CF570" s="6">
        <f t="shared" si="56"/>
        <v>747</v>
      </c>
      <c r="CG570" s="6">
        <f t="shared" si="56"/>
        <v>905</v>
      </c>
      <c r="CH570" s="6">
        <f t="shared" si="56"/>
        <v>1381</v>
      </c>
      <c r="CI570" s="6">
        <f t="shared" si="56"/>
        <v>1048</v>
      </c>
      <c r="CJ570" s="6">
        <f t="shared" si="56"/>
        <v>1281</v>
      </c>
      <c r="CK570" s="6">
        <f t="shared" si="56"/>
        <v>1101</v>
      </c>
      <c r="CL570" s="6">
        <f t="shared" si="56"/>
        <v>1228</v>
      </c>
      <c r="CM570" s="6">
        <f t="shared" si="56"/>
        <v>1534</v>
      </c>
      <c r="CN570" s="6">
        <f t="shared" si="56"/>
        <v>1625</v>
      </c>
      <c r="CO570" s="6">
        <f t="shared" si="56"/>
        <v>1127</v>
      </c>
      <c r="CP570" s="6">
        <f t="shared" si="56"/>
        <v>1239</v>
      </c>
      <c r="CQ570" s="6">
        <f t="shared" ref="CQ570:EM570" si="57">SUM(CQ50:CQ53)</f>
        <v>0</v>
      </c>
      <c r="CR570" s="6">
        <f t="shared" si="57"/>
        <v>0</v>
      </c>
      <c r="CS570" s="6">
        <f t="shared" si="57"/>
        <v>0</v>
      </c>
      <c r="CT570" s="6">
        <f t="shared" si="57"/>
        <v>0</v>
      </c>
      <c r="CU570" s="6">
        <f t="shared" si="57"/>
        <v>0</v>
      </c>
      <c r="CV570" s="6">
        <f t="shared" si="57"/>
        <v>0</v>
      </c>
      <c r="CW570" s="6">
        <f t="shared" si="57"/>
        <v>0</v>
      </c>
      <c r="CX570" s="6">
        <f t="shared" si="57"/>
        <v>0</v>
      </c>
      <c r="CY570" s="6">
        <f t="shared" si="57"/>
        <v>0</v>
      </c>
      <c r="CZ570" s="6">
        <f t="shared" si="57"/>
        <v>0</v>
      </c>
      <c r="DA570" s="6">
        <f t="shared" si="57"/>
        <v>0</v>
      </c>
      <c r="DB570" s="6">
        <f t="shared" si="57"/>
        <v>0</v>
      </c>
      <c r="DC570" s="6">
        <f t="shared" si="57"/>
        <v>0</v>
      </c>
      <c r="DD570" s="6">
        <f t="shared" si="57"/>
        <v>0</v>
      </c>
      <c r="DE570" s="6">
        <f t="shared" si="57"/>
        <v>0</v>
      </c>
      <c r="DF570" s="6">
        <f t="shared" si="57"/>
        <v>0</v>
      </c>
      <c r="DG570" s="6">
        <f t="shared" si="57"/>
        <v>0</v>
      </c>
      <c r="DH570" s="6">
        <f t="shared" si="57"/>
        <v>0</v>
      </c>
      <c r="DI570" s="6">
        <f t="shared" si="57"/>
        <v>0</v>
      </c>
      <c r="DJ570" s="6">
        <f t="shared" si="57"/>
        <v>0</v>
      </c>
      <c r="DK570" s="6">
        <f t="shared" si="57"/>
        <v>0</v>
      </c>
      <c r="DL570" s="6">
        <f t="shared" si="57"/>
        <v>0</v>
      </c>
      <c r="DM570" s="6">
        <f t="shared" si="57"/>
        <v>0</v>
      </c>
      <c r="DN570" s="6">
        <f t="shared" si="57"/>
        <v>0</v>
      </c>
      <c r="DO570" s="6">
        <f t="shared" si="57"/>
        <v>0</v>
      </c>
      <c r="DP570" s="6">
        <f t="shared" si="57"/>
        <v>0</v>
      </c>
      <c r="DQ570" s="6">
        <f t="shared" si="57"/>
        <v>0</v>
      </c>
      <c r="DR570" s="6">
        <f t="shared" si="57"/>
        <v>0</v>
      </c>
      <c r="DS570" s="6">
        <f t="shared" si="57"/>
        <v>0</v>
      </c>
      <c r="DT570" s="6">
        <f t="shared" si="57"/>
        <v>0</v>
      </c>
      <c r="DU570" s="6">
        <f t="shared" si="57"/>
        <v>0</v>
      </c>
      <c r="DV570" s="6">
        <f t="shared" si="57"/>
        <v>0</v>
      </c>
      <c r="DW570" s="6">
        <f t="shared" si="57"/>
        <v>0</v>
      </c>
      <c r="DX570" s="6">
        <f t="shared" si="57"/>
        <v>0</v>
      </c>
      <c r="DY570" s="6">
        <f t="shared" si="57"/>
        <v>0</v>
      </c>
      <c r="DZ570" s="6">
        <f t="shared" si="57"/>
        <v>0</v>
      </c>
      <c r="EA570" s="6">
        <f t="shared" si="57"/>
        <v>0</v>
      </c>
      <c r="EB570" s="6">
        <f t="shared" si="57"/>
        <v>0</v>
      </c>
      <c r="EC570" s="6">
        <f t="shared" si="57"/>
        <v>0</v>
      </c>
      <c r="ED570" s="6">
        <f t="shared" si="57"/>
        <v>0</v>
      </c>
      <c r="EE570" s="6">
        <f t="shared" si="57"/>
        <v>0</v>
      </c>
      <c r="EF570" s="6">
        <f t="shared" si="57"/>
        <v>0</v>
      </c>
      <c r="EG570" s="6">
        <f t="shared" si="57"/>
        <v>0</v>
      </c>
      <c r="EH570" s="6">
        <f t="shared" si="57"/>
        <v>0</v>
      </c>
      <c r="EI570" s="6">
        <f t="shared" si="57"/>
        <v>0</v>
      </c>
      <c r="EJ570" s="6">
        <f t="shared" si="57"/>
        <v>0</v>
      </c>
      <c r="EK570" s="6">
        <f t="shared" si="57"/>
        <v>0</v>
      </c>
      <c r="EL570" s="6">
        <f t="shared" si="57"/>
        <v>0</v>
      </c>
      <c r="EM570" s="6">
        <f t="shared" si="57"/>
        <v>0</v>
      </c>
      <c r="EN570" s="6">
        <f t="shared" ref="EN570:GR570" si="58">SUM(EN50:EN53)</f>
        <v>0</v>
      </c>
      <c r="EO570" s="6">
        <f t="shared" si="58"/>
        <v>0</v>
      </c>
      <c r="EP570" s="6">
        <f t="shared" si="58"/>
        <v>0</v>
      </c>
      <c r="EQ570" s="6">
        <f t="shared" si="58"/>
        <v>0</v>
      </c>
      <c r="ER570" s="6">
        <f t="shared" si="58"/>
        <v>0</v>
      </c>
      <c r="ES570" s="6">
        <f t="shared" si="58"/>
        <v>0</v>
      </c>
      <c r="ET570" s="6">
        <f t="shared" si="58"/>
        <v>0</v>
      </c>
      <c r="EU570" s="6">
        <f t="shared" si="58"/>
        <v>0</v>
      </c>
      <c r="EV570" s="6">
        <f t="shared" si="58"/>
        <v>0</v>
      </c>
      <c r="EW570" s="6">
        <f t="shared" si="58"/>
        <v>0</v>
      </c>
      <c r="EX570" s="6">
        <f t="shared" si="58"/>
        <v>0</v>
      </c>
      <c r="EY570" s="6">
        <f t="shared" si="58"/>
        <v>0</v>
      </c>
      <c r="EZ570" s="6">
        <f t="shared" si="58"/>
        <v>0</v>
      </c>
      <c r="FA570" s="6">
        <f t="shared" si="58"/>
        <v>0</v>
      </c>
      <c r="FB570" s="6">
        <f t="shared" si="58"/>
        <v>0</v>
      </c>
      <c r="FC570" s="6">
        <f t="shared" si="58"/>
        <v>0</v>
      </c>
      <c r="FD570" s="6">
        <f t="shared" si="58"/>
        <v>0</v>
      </c>
      <c r="FE570" s="6">
        <f t="shared" si="58"/>
        <v>0</v>
      </c>
      <c r="FF570" s="6">
        <f t="shared" si="58"/>
        <v>0</v>
      </c>
      <c r="FG570" s="6">
        <f t="shared" si="58"/>
        <v>0</v>
      </c>
      <c r="FH570" s="6">
        <f t="shared" si="58"/>
        <v>0</v>
      </c>
      <c r="FI570" s="6">
        <f t="shared" si="58"/>
        <v>0</v>
      </c>
      <c r="FJ570" s="6">
        <f t="shared" si="58"/>
        <v>0</v>
      </c>
      <c r="FK570" s="6">
        <f t="shared" si="58"/>
        <v>0</v>
      </c>
      <c r="FL570" s="6">
        <f t="shared" si="58"/>
        <v>0</v>
      </c>
      <c r="FM570" s="6">
        <f t="shared" si="58"/>
        <v>0</v>
      </c>
      <c r="FN570" s="6">
        <f t="shared" si="58"/>
        <v>0</v>
      </c>
      <c r="FO570" s="6">
        <f t="shared" si="58"/>
        <v>0</v>
      </c>
      <c r="FP570" s="6">
        <f t="shared" si="58"/>
        <v>0</v>
      </c>
      <c r="FQ570" s="6">
        <f t="shared" si="58"/>
        <v>0</v>
      </c>
      <c r="FR570" s="6">
        <f t="shared" si="58"/>
        <v>0</v>
      </c>
      <c r="FS570" s="6">
        <f t="shared" si="58"/>
        <v>0</v>
      </c>
      <c r="FT570" s="6">
        <f t="shared" si="58"/>
        <v>0</v>
      </c>
      <c r="FU570" s="6">
        <f t="shared" si="58"/>
        <v>0</v>
      </c>
      <c r="FV570" s="6">
        <f t="shared" si="58"/>
        <v>0</v>
      </c>
      <c r="FW570" s="6">
        <f t="shared" si="58"/>
        <v>0</v>
      </c>
      <c r="FX570" s="6">
        <f t="shared" si="58"/>
        <v>0</v>
      </c>
      <c r="FY570" s="6">
        <f t="shared" si="58"/>
        <v>2340</v>
      </c>
      <c r="FZ570" s="6">
        <f t="shared" si="58"/>
        <v>896</v>
      </c>
      <c r="GA570" s="6">
        <f t="shared" si="58"/>
        <v>0</v>
      </c>
      <c r="GB570" s="6">
        <f t="shared" si="58"/>
        <v>0</v>
      </c>
      <c r="GC570" s="6">
        <f t="shared" si="58"/>
        <v>0</v>
      </c>
      <c r="GD570" s="6">
        <f t="shared" si="58"/>
        <v>0</v>
      </c>
      <c r="GE570" s="6">
        <f t="shared" si="58"/>
        <v>0</v>
      </c>
      <c r="GF570" s="6">
        <f t="shared" si="58"/>
        <v>0</v>
      </c>
      <c r="GG570" s="6">
        <f t="shared" si="58"/>
        <v>0</v>
      </c>
      <c r="GH570" s="6">
        <f t="shared" si="58"/>
        <v>0</v>
      </c>
      <c r="GI570" s="6">
        <f t="shared" si="58"/>
        <v>0</v>
      </c>
      <c r="GJ570" s="6">
        <f t="shared" si="58"/>
        <v>0</v>
      </c>
      <c r="GK570" s="6">
        <f t="shared" si="58"/>
        <v>0</v>
      </c>
      <c r="GL570" s="6">
        <f t="shared" si="58"/>
        <v>0</v>
      </c>
      <c r="GM570" s="6">
        <f t="shared" si="58"/>
        <v>0</v>
      </c>
      <c r="GN570" s="6">
        <f t="shared" si="58"/>
        <v>0</v>
      </c>
      <c r="GO570" s="6">
        <f t="shared" si="58"/>
        <v>2643</v>
      </c>
      <c r="GP570" s="6">
        <f t="shared" si="58"/>
        <v>601</v>
      </c>
      <c r="GQ570" s="6">
        <f t="shared" si="58"/>
        <v>2643</v>
      </c>
      <c r="GR570" s="6">
        <f t="shared" si="58"/>
        <v>599</v>
      </c>
    </row>
    <row r="571" spans="1:200">
      <c r="A571" s="6"/>
      <c r="B571" s="13" t="s">
        <v>691</v>
      </c>
      <c r="C571" s="14">
        <f>SUM(C54:C64)</f>
        <v>11176</v>
      </c>
      <c r="D571" s="14">
        <f>SUM(D54:D64)</f>
        <v>7340</v>
      </c>
      <c r="E571" s="15">
        <f t="shared" si="28"/>
        <v>0.65676449534717252</v>
      </c>
      <c r="F571" s="66">
        <f t="shared" ref="F571:AB571" si="59">SUM(F54:F64)</f>
        <v>6850</v>
      </c>
      <c r="G571" s="6">
        <f t="shared" si="59"/>
        <v>20</v>
      </c>
      <c r="H571" s="6">
        <f t="shared" si="59"/>
        <v>44</v>
      </c>
      <c r="I571" s="6">
        <f t="shared" si="59"/>
        <v>49</v>
      </c>
      <c r="J571" s="59">
        <f t="shared" si="59"/>
        <v>258</v>
      </c>
      <c r="K571" s="6">
        <f t="shared" si="59"/>
        <v>0</v>
      </c>
      <c r="L571" s="6">
        <f t="shared" si="59"/>
        <v>0</v>
      </c>
      <c r="M571" s="6">
        <f t="shared" si="59"/>
        <v>2</v>
      </c>
      <c r="N571" s="6">
        <f t="shared" si="59"/>
        <v>0</v>
      </c>
      <c r="O571" s="6">
        <f t="shared" si="59"/>
        <v>0</v>
      </c>
      <c r="P571" s="6">
        <f t="shared" si="59"/>
        <v>0</v>
      </c>
      <c r="Q571" s="6">
        <f t="shared" si="59"/>
        <v>0</v>
      </c>
      <c r="R571" s="6">
        <f t="shared" si="59"/>
        <v>0</v>
      </c>
      <c r="S571" s="6">
        <f t="shared" si="59"/>
        <v>3</v>
      </c>
      <c r="T571" s="6">
        <f t="shared" si="59"/>
        <v>0</v>
      </c>
      <c r="U571" s="6">
        <f t="shared" si="59"/>
        <v>0</v>
      </c>
      <c r="V571" s="6">
        <f t="shared" si="59"/>
        <v>1</v>
      </c>
      <c r="W571" s="6">
        <f t="shared" si="59"/>
        <v>4</v>
      </c>
      <c r="X571" s="6">
        <f t="shared" si="59"/>
        <v>0</v>
      </c>
      <c r="Y571" s="6">
        <f t="shared" si="59"/>
        <v>0</v>
      </c>
      <c r="Z571" s="6">
        <f t="shared" si="59"/>
        <v>0</v>
      </c>
      <c r="AA571" s="6">
        <f t="shared" si="59"/>
        <v>0</v>
      </c>
      <c r="AB571" s="6">
        <f t="shared" si="59"/>
        <v>0</v>
      </c>
      <c r="AC571" s="6">
        <f t="shared" ref="AC571:BZ571" si="60">SUM(AC54:AC64)</f>
        <v>98</v>
      </c>
      <c r="AD571" s="6">
        <f t="shared" si="60"/>
        <v>86</v>
      </c>
      <c r="AE571" s="6">
        <f t="shared" si="60"/>
        <v>752</v>
      </c>
      <c r="AF571" s="6">
        <f t="shared" si="60"/>
        <v>56</v>
      </c>
      <c r="AG571" s="6">
        <f t="shared" si="60"/>
        <v>0</v>
      </c>
      <c r="AH571" s="6">
        <f t="shared" si="60"/>
        <v>5966</v>
      </c>
      <c r="AI571" s="6">
        <f t="shared" si="60"/>
        <v>659</v>
      </c>
      <c r="AJ571" s="6">
        <f t="shared" si="60"/>
        <v>5</v>
      </c>
      <c r="AK571" s="6">
        <f t="shared" si="60"/>
        <v>0</v>
      </c>
      <c r="AL571" s="6">
        <f t="shared" si="60"/>
        <v>6294</v>
      </c>
      <c r="AM571" s="6">
        <f t="shared" si="60"/>
        <v>0</v>
      </c>
      <c r="AN571" s="6">
        <f t="shared" si="60"/>
        <v>0</v>
      </c>
      <c r="AO571" s="6">
        <f t="shared" si="60"/>
        <v>0</v>
      </c>
      <c r="AP571" s="6">
        <f t="shared" si="60"/>
        <v>0</v>
      </c>
      <c r="AQ571" s="6">
        <f t="shared" si="60"/>
        <v>0</v>
      </c>
      <c r="AR571" s="6">
        <f t="shared" si="60"/>
        <v>0</v>
      </c>
      <c r="AS571" s="6">
        <f t="shared" si="60"/>
        <v>0</v>
      </c>
      <c r="AT571" s="6">
        <f t="shared" si="60"/>
        <v>0</v>
      </c>
      <c r="AU571" s="6">
        <f t="shared" si="60"/>
        <v>0</v>
      </c>
      <c r="AV571" s="6">
        <f t="shared" si="60"/>
        <v>0</v>
      </c>
      <c r="AW571" s="6">
        <f t="shared" si="60"/>
        <v>0</v>
      </c>
      <c r="AX571" s="6">
        <f t="shared" si="60"/>
        <v>0</v>
      </c>
      <c r="AY571" s="6">
        <f t="shared" si="60"/>
        <v>0</v>
      </c>
      <c r="AZ571" s="6">
        <f t="shared" si="60"/>
        <v>0</v>
      </c>
      <c r="BA571" s="6">
        <f t="shared" si="60"/>
        <v>0</v>
      </c>
      <c r="BB571" s="6">
        <f t="shared" si="60"/>
        <v>0</v>
      </c>
      <c r="BC571" s="6">
        <f t="shared" si="60"/>
        <v>312</v>
      </c>
      <c r="BD571" s="6">
        <f t="shared" si="60"/>
        <v>6812</v>
      </c>
      <c r="BE571" s="6">
        <f t="shared" si="60"/>
        <v>291</v>
      </c>
      <c r="BF571" s="6">
        <f t="shared" si="60"/>
        <v>6687</v>
      </c>
      <c r="BG571" s="6">
        <f t="shared" si="60"/>
        <v>518</v>
      </c>
      <c r="BH571" s="6">
        <f t="shared" si="60"/>
        <v>6402</v>
      </c>
      <c r="BI571" s="6">
        <f t="shared" si="60"/>
        <v>739</v>
      </c>
      <c r="BJ571" s="6">
        <f t="shared" si="60"/>
        <v>6216</v>
      </c>
      <c r="BK571" s="6">
        <f t="shared" si="60"/>
        <v>6129</v>
      </c>
      <c r="BL571" s="6">
        <f t="shared" si="60"/>
        <v>751</v>
      </c>
      <c r="BM571" s="6">
        <f t="shared" si="60"/>
        <v>368</v>
      </c>
      <c r="BN571" s="6">
        <f t="shared" si="60"/>
        <v>6476</v>
      </c>
      <c r="BO571" s="6">
        <f t="shared" si="60"/>
        <v>6250</v>
      </c>
      <c r="BP571" s="6">
        <f t="shared" si="60"/>
        <v>559</v>
      </c>
      <c r="BQ571" s="6">
        <f t="shared" si="60"/>
        <v>681</v>
      </c>
      <c r="BR571" s="6">
        <f t="shared" si="60"/>
        <v>6141</v>
      </c>
      <c r="BS571" s="6">
        <f t="shared" si="60"/>
        <v>2006</v>
      </c>
      <c r="BT571" s="6">
        <f t="shared" si="60"/>
        <v>316</v>
      </c>
      <c r="BU571" s="6">
        <f t="shared" si="60"/>
        <v>6598</v>
      </c>
      <c r="BV571" s="6">
        <f t="shared" si="60"/>
        <v>3134</v>
      </c>
      <c r="BW571" s="6">
        <f t="shared" si="60"/>
        <v>1620</v>
      </c>
      <c r="BX571" s="6">
        <f t="shared" si="60"/>
        <v>4080</v>
      </c>
      <c r="BY571" s="6">
        <f t="shared" si="60"/>
        <v>1564</v>
      </c>
      <c r="BZ571" s="6">
        <f t="shared" si="60"/>
        <v>4623</v>
      </c>
      <c r="CA571" s="6">
        <f t="shared" ref="CA571:CP571" si="61">SUM(CA54:CA64)</f>
        <v>2706</v>
      </c>
      <c r="CB571" s="6">
        <f t="shared" si="61"/>
        <v>870</v>
      </c>
      <c r="CC571" s="6">
        <f t="shared" si="61"/>
        <v>4869</v>
      </c>
      <c r="CD571" s="6">
        <f t="shared" si="61"/>
        <v>3918</v>
      </c>
      <c r="CE571" s="6">
        <f t="shared" si="61"/>
        <v>4720</v>
      </c>
      <c r="CF571" s="6">
        <f t="shared" si="61"/>
        <v>1082</v>
      </c>
      <c r="CG571" s="6">
        <f t="shared" si="61"/>
        <v>1294</v>
      </c>
      <c r="CH571" s="6">
        <f t="shared" si="61"/>
        <v>4065</v>
      </c>
      <c r="CI571" s="6">
        <f t="shared" si="61"/>
        <v>4041</v>
      </c>
      <c r="CJ571" s="6">
        <f t="shared" si="61"/>
        <v>1683</v>
      </c>
      <c r="CK571" s="6">
        <f t="shared" si="61"/>
        <v>1908</v>
      </c>
      <c r="CL571" s="6">
        <f t="shared" si="61"/>
        <v>4074</v>
      </c>
      <c r="CM571" s="6">
        <f t="shared" si="61"/>
        <v>2569</v>
      </c>
      <c r="CN571" s="6">
        <f t="shared" si="61"/>
        <v>2951</v>
      </c>
      <c r="CO571" s="6">
        <f t="shared" si="61"/>
        <v>4280</v>
      </c>
      <c r="CP571" s="6">
        <f t="shared" si="61"/>
        <v>1685</v>
      </c>
      <c r="CQ571" s="6">
        <f t="shared" ref="CQ571:EM571" si="62">SUM(CQ54:CQ64)</f>
        <v>0</v>
      </c>
      <c r="CR571" s="6">
        <f t="shared" si="62"/>
        <v>0</v>
      </c>
      <c r="CS571" s="6">
        <f t="shared" si="62"/>
        <v>0</v>
      </c>
      <c r="CT571" s="6">
        <f t="shared" si="62"/>
        <v>0</v>
      </c>
      <c r="CU571" s="6">
        <f t="shared" si="62"/>
        <v>0</v>
      </c>
      <c r="CV571" s="6">
        <f t="shared" si="62"/>
        <v>0</v>
      </c>
      <c r="CW571" s="6">
        <f t="shared" si="62"/>
        <v>0</v>
      </c>
      <c r="CX571" s="6">
        <f t="shared" si="62"/>
        <v>0</v>
      </c>
      <c r="CY571" s="6">
        <f t="shared" si="62"/>
        <v>0</v>
      </c>
      <c r="CZ571" s="6">
        <f t="shared" si="62"/>
        <v>0</v>
      </c>
      <c r="DA571" s="6">
        <f t="shared" si="62"/>
        <v>0</v>
      </c>
      <c r="DB571" s="6">
        <f t="shared" si="62"/>
        <v>0</v>
      </c>
      <c r="DC571" s="6">
        <f t="shared" si="62"/>
        <v>0</v>
      </c>
      <c r="DD571" s="6">
        <f t="shared" si="62"/>
        <v>0</v>
      </c>
      <c r="DE571" s="6">
        <f t="shared" si="62"/>
        <v>0</v>
      </c>
      <c r="DF571" s="6">
        <f t="shared" si="62"/>
        <v>0</v>
      </c>
      <c r="DG571" s="6">
        <f t="shared" si="62"/>
        <v>0</v>
      </c>
      <c r="DH571" s="6">
        <f t="shared" si="62"/>
        <v>0</v>
      </c>
      <c r="DI571" s="6">
        <f t="shared" si="62"/>
        <v>0</v>
      </c>
      <c r="DJ571" s="6">
        <f t="shared" si="62"/>
        <v>0</v>
      </c>
      <c r="DK571" s="6">
        <f t="shared" si="62"/>
        <v>0</v>
      </c>
      <c r="DL571" s="6">
        <f t="shared" si="62"/>
        <v>0</v>
      </c>
      <c r="DM571" s="6">
        <f t="shared" si="62"/>
        <v>0</v>
      </c>
      <c r="DN571" s="6">
        <f t="shared" si="62"/>
        <v>0</v>
      </c>
      <c r="DO571" s="6">
        <f t="shared" si="62"/>
        <v>0</v>
      </c>
      <c r="DP571" s="6">
        <f t="shared" si="62"/>
        <v>0</v>
      </c>
      <c r="DQ571" s="6">
        <f t="shared" si="62"/>
        <v>0</v>
      </c>
      <c r="DR571" s="6">
        <f t="shared" si="62"/>
        <v>0</v>
      </c>
      <c r="DS571" s="6">
        <f t="shared" si="62"/>
        <v>0</v>
      </c>
      <c r="DT571" s="6">
        <f t="shared" si="62"/>
        <v>0</v>
      </c>
      <c r="DU571" s="6">
        <f t="shared" si="62"/>
        <v>0</v>
      </c>
      <c r="DV571" s="6">
        <f t="shared" si="62"/>
        <v>0</v>
      </c>
      <c r="DW571" s="6">
        <f t="shared" si="62"/>
        <v>0</v>
      </c>
      <c r="DX571" s="6">
        <f t="shared" si="62"/>
        <v>0</v>
      </c>
      <c r="DY571" s="6">
        <f t="shared" si="62"/>
        <v>0</v>
      </c>
      <c r="DZ571" s="6">
        <f t="shared" si="62"/>
        <v>0</v>
      </c>
      <c r="EA571" s="6">
        <f t="shared" si="62"/>
        <v>0</v>
      </c>
      <c r="EB571" s="6">
        <f t="shared" si="62"/>
        <v>0</v>
      </c>
      <c r="EC571" s="6">
        <f t="shared" si="62"/>
        <v>0</v>
      </c>
      <c r="ED571" s="6">
        <f t="shared" si="62"/>
        <v>0</v>
      </c>
      <c r="EE571" s="6">
        <f t="shared" si="62"/>
        <v>0</v>
      </c>
      <c r="EF571" s="6">
        <f t="shared" si="62"/>
        <v>0</v>
      </c>
      <c r="EG571" s="6">
        <f t="shared" si="62"/>
        <v>0</v>
      </c>
      <c r="EH571" s="6">
        <f t="shared" si="62"/>
        <v>0</v>
      </c>
      <c r="EI571" s="6">
        <f t="shared" si="62"/>
        <v>0</v>
      </c>
      <c r="EJ571" s="6">
        <f t="shared" si="62"/>
        <v>0</v>
      </c>
      <c r="EK571" s="6">
        <f t="shared" si="62"/>
        <v>0</v>
      </c>
      <c r="EL571" s="6">
        <f t="shared" si="62"/>
        <v>0</v>
      </c>
      <c r="EM571" s="6">
        <f t="shared" si="62"/>
        <v>0</v>
      </c>
      <c r="EN571" s="6">
        <f t="shared" ref="EN571:GR571" si="63">SUM(EN54:EN64)</f>
        <v>0</v>
      </c>
      <c r="EO571" s="6">
        <f t="shared" si="63"/>
        <v>0</v>
      </c>
      <c r="EP571" s="6">
        <f t="shared" si="63"/>
        <v>0</v>
      </c>
      <c r="EQ571" s="6">
        <f t="shared" si="63"/>
        <v>0</v>
      </c>
      <c r="ER571" s="6">
        <f t="shared" si="63"/>
        <v>0</v>
      </c>
      <c r="ES571" s="6">
        <f t="shared" si="63"/>
        <v>0</v>
      </c>
      <c r="ET571" s="6">
        <f t="shared" si="63"/>
        <v>0</v>
      </c>
      <c r="EU571" s="6">
        <f t="shared" si="63"/>
        <v>0</v>
      </c>
      <c r="EV571" s="6">
        <f t="shared" si="63"/>
        <v>0</v>
      </c>
      <c r="EW571" s="6">
        <f t="shared" si="63"/>
        <v>0</v>
      </c>
      <c r="EX571" s="6">
        <f t="shared" si="63"/>
        <v>0</v>
      </c>
      <c r="EY571" s="6">
        <f t="shared" si="63"/>
        <v>0</v>
      </c>
      <c r="EZ571" s="6">
        <f t="shared" si="63"/>
        <v>0</v>
      </c>
      <c r="FA571" s="6">
        <f t="shared" si="63"/>
        <v>0</v>
      </c>
      <c r="FB571" s="6">
        <f t="shared" si="63"/>
        <v>0</v>
      </c>
      <c r="FC571" s="6">
        <f t="shared" si="63"/>
        <v>0</v>
      </c>
      <c r="FD571" s="6">
        <f t="shared" si="63"/>
        <v>0</v>
      </c>
      <c r="FE571" s="6">
        <f t="shared" si="63"/>
        <v>0</v>
      </c>
      <c r="FF571" s="6">
        <f t="shared" si="63"/>
        <v>0</v>
      </c>
      <c r="FG571" s="6">
        <f t="shared" si="63"/>
        <v>0</v>
      </c>
      <c r="FH571" s="6">
        <f t="shared" si="63"/>
        <v>0</v>
      </c>
      <c r="FI571" s="6">
        <f t="shared" si="63"/>
        <v>0</v>
      </c>
      <c r="FJ571" s="6">
        <f t="shared" si="63"/>
        <v>0</v>
      </c>
      <c r="FK571" s="6">
        <f t="shared" si="63"/>
        <v>0</v>
      </c>
      <c r="FL571" s="6">
        <f t="shared" si="63"/>
        <v>0</v>
      </c>
      <c r="FM571" s="6">
        <f t="shared" si="63"/>
        <v>0</v>
      </c>
      <c r="FN571" s="6">
        <f t="shared" si="63"/>
        <v>0</v>
      </c>
      <c r="FO571" s="6">
        <f t="shared" si="63"/>
        <v>0</v>
      </c>
      <c r="FP571" s="6">
        <f t="shared" si="63"/>
        <v>0</v>
      </c>
      <c r="FQ571" s="6">
        <f t="shared" si="63"/>
        <v>0</v>
      </c>
      <c r="FR571" s="6">
        <f t="shared" si="63"/>
        <v>0</v>
      </c>
      <c r="FS571" s="6">
        <f t="shared" si="63"/>
        <v>0</v>
      </c>
      <c r="FT571" s="6">
        <f t="shared" si="63"/>
        <v>0</v>
      </c>
      <c r="FU571" s="6">
        <f t="shared" si="63"/>
        <v>0</v>
      </c>
      <c r="FV571" s="6">
        <f t="shared" si="63"/>
        <v>0</v>
      </c>
      <c r="FW571" s="6">
        <f t="shared" si="63"/>
        <v>0</v>
      </c>
      <c r="FX571" s="6">
        <f t="shared" si="63"/>
        <v>0</v>
      </c>
      <c r="FY571" s="6">
        <f t="shared" si="63"/>
        <v>5006</v>
      </c>
      <c r="FZ571" s="6">
        <f t="shared" si="63"/>
        <v>1887</v>
      </c>
      <c r="GA571" s="6">
        <f t="shared" si="63"/>
        <v>0</v>
      </c>
      <c r="GB571" s="6">
        <f t="shared" si="63"/>
        <v>0</v>
      </c>
      <c r="GC571" s="6">
        <f t="shared" si="63"/>
        <v>0</v>
      </c>
      <c r="GD571" s="6">
        <f t="shared" si="63"/>
        <v>0</v>
      </c>
      <c r="GE571" s="6">
        <f t="shared" si="63"/>
        <v>0</v>
      </c>
      <c r="GF571" s="6">
        <f t="shared" si="63"/>
        <v>0</v>
      </c>
      <c r="GG571" s="6">
        <f t="shared" si="63"/>
        <v>0</v>
      </c>
      <c r="GH571" s="6">
        <f t="shared" si="63"/>
        <v>0</v>
      </c>
      <c r="GI571" s="6">
        <f t="shared" si="63"/>
        <v>0</v>
      </c>
      <c r="GJ571" s="6">
        <f t="shared" si="63"/>
        <v>0</v>
      </c>
      <c r="GK571" s="6">
        <f t="shared" si="63"/>
        <v>0</v>
      </c>
      <c r="GL571" s="6">
        <f t="shared" si="63"/>
        <v>0</v>
      </c>
      <c r="GM571" s="6">
        <f t="shared" si="63"/>
        <v>0</v>
      </c>
      <c r="GN571" s="6">
        <f t="shared" si="63"/>
        <v>0</v>
      </c>
      <c r="GO571" s="6">
        <f t="shared" si="63"/>
        <v>4354</v>
      </c>
      <c r="GP571" s="6">
        <f t="shared" si="63"/>
        <v>2359</v>
      </c>
      <c r="GQ571" s="6">
        <f t="shared" si="63"/>
        <v>5335</v>
      </c>
      <c r="GR571" s="6">
        <f t="shared" si="63"/>
        <v>1467</v>
      </c>
    </row>
    <row r="572" spans="1:200">
      <c r="A572" s="6"/>
      <c r="B572" s="13" t="s">
        <v>48</v>
      </c>
      <c r="C572" s="14">
        <f>SUM(C65:C68)</f>
        <v>5660</v>
      </c>
      <c r="D572" s="14">
        <f>SUM(D65:D68)</f>
        <v>3481</v>
      </c>
      <c r="E572" s="15">
        <f t="shared" si="28"/>
        <v>0.61501766784452294</v>
      </c>
      <c r="F572" s="66">
        <f t="shared" ref="F572:AB572" si="64">SUM(F65:F68)</f>
        <v>2576</v>
      </c>
      <c r="G572" s="6">
        <f t="shared" si="64"/>
        <v>6</v>
      </c>
      <c r="H572" s="6">
        <f t="shared" si="64"/>
        <v>99</v>
      </c>
      <c r="I572" s="6">
        <f t="shared" si="64"/>
        <v>37</v>
      </c>
      <c r="J572" s="59">
        <f t="shared" si="64"/>
        <v>687</v>
      </c>
      <c r="K572" s="6">
        <f t="shared" si="64"/>
        <v>0</v>
      </c>
      <c r="L572" s="6">
        <f t="shared" si="64"/>
        <v>0</v>
      </c>
      <c r="M572" s="6">
        <f t="shared" si="64"/>
        <v>0</v>
      </c>
      <c r="N572" s="6">
        <f t="shared" si="64"/>
        <v>0</v>
      </c>
      <c r="O572" s="6">
        <f t="shared" si="64"/>
        <v>0</v>
      </c>
      <c r="P572" s="6">
        <f t="shared" si="64"/>
        <v>0</v>
      </c>
      <c r="Q572" s="6">
        <f t="shared" si="64"/>
        <v>0</v>
      </c>
      <c r="R572" s="6">
        <f t="shared" si="64"/>
        <v>0</v>
      </c>
      <c r="S572" s="6">
        <f t="shared" si="64"/>
        <v>0</v>
      </c>
      <c r="T572" s="6">
        <f t="shared" si="64"/>
        <v>0</v>
      </c>
      <c r="U572" s="6">
        <f t="shared" si="64"/>
        <v>0</v>
      </c>
      <c r="V572" s="6">
        <f t="shared" si="64"/>
        <v>0</v>
      </c>
      <c r="W572" s="6">
        <f t="shared" si="64"/>
        <v>11</v>
      </c>
      <c r="X572" s="6">
        <f t="shared" si="64"/>
        <v>0</v>
      </c>
      <c r="Y572" s="6">
        <f t="shared" si="64"/>
        <v>0</v>
      </c>
      <c r="Z572" s="6">
        <f t="shared" si="64"/>
        <v>0</v>
      </c>
      <c r="AA572" s="6">
        <f t="shared" si="64"/>
        <v>0</v>
      </c>
      <c r="AB572" s="6">
        <f t="shared" si="64"/>
        <v>0</v>
      </c>
      <c r="AC572" s="6">
        <f t="shared" ref="AC572:BZ572" si="65">SUM(AC65:AC68)</f>
        <v>41</v>
      </c>
      <c r="AD572" s="6">
        <f t="shared" si="65"/>
        <v>65</v>
      </c>
      <c r="AE572" s="6">
        <f t="shared" si="65"/>
        <v>1143</v>
      </c>
      <c r="AF572" s="6">
        <f t="shared" si="65"/>
        <v>24</v>
      </c>
      <c r="AG572" s="6">
        <f t="shared" si="65"/>
        <v>0</v>
      </c>
      <c r="AH572" s="6">
        <f t="shared" si="65"/>
        <v>2071</v>
      </c>
      <c r="AI572" s="6">
        <f t="shared" si="65"/>
        <v>211</v>
      </c>
      <c r="AJ572" s="6">
        <f t="shared" si="65"/>
        <v>1</v>
      </c>
      <c r="AK572" s="6">
        <f t="shared" si="65"/>
        <v>1</v>
      </c>
      <c r="AL572" s="6">
        <f t="shared" si="65"/>
        <v>1376</v>
      </c>
      <c r="AM572" s="6">
        <f t="shared" si="65"/>
        <v>83</v>
      </c>
      <c r="AN572" s="6">
        <f t="shared" si="65"/>
        <v>762</v>
      </c>
      <c r="AO572" s="6">
        <f t="shared" si="65"/>
        <v>836</v>
      </c>
      <c r="AP572" s="6">
        <f t="shared" si="65"/>
        <v>0</v>
      </c>
      <c r="AQ572" s="6">
        <f t="shared" si="65"/>
        <v>0</v>
      </c>
      <c r="AR572" s="6">
        <f t="shared" si="65"/>
        <v>0</v>
      </c>
      <c r="AS572" s="6">
        <f t="shared" si="65"/>
        <v>0</v>
      </c>
      <c r="AT572" s="6">
        <f t="shared" si="65"/>
        <v>0</v>
      </c>
      <c r="AU572" s="6">
        <f t="shared" si="65"/>
        <v>0</v>
      </c>
      <c r="AV572" s="6">
        <f t="shared" si="65"/>
        <v>0</v>
      </c>
      <c r="AW572" s="6">
        <f t="shared" si="65"/>
        <v>0</v>
      </c>
      <c r="AX572" s="6">
        <f t="shared" si="65"/>
        <v>0</v>
      </c>
      <c r="AY572" s="6">
        <f t="shared" si="65"/>
        <v>0</v>
      </c>
      <c r="AZ572" s="6">
        <f t="shared" si="65"/>
        <v>0</v>
      </c>
      <c r="BA572" s="6">
        <f t="shared" si="65"/>
        <v>2323</v>
      </c>
      <c r="BB572" s="6">
        <f t="shared" si="65"/>
        <v>890</v>
      </c>
      <c r="BC572" s="6">
        <f t="shared" si="65"/>
        <v>0</v>
      </c>
      <c r="BD572" s="6">
        <f t="shared" si="65"/>
        <v>0</v>
      </c>
      <c r="BE572" s="6">
        <f t="shared" si="65"/>
        <v>833</v>
      </c>
      <c r="BF572" s="6">
        <f t="shared" si="65"/>
        <v>2400</v>
      </c>
      <c r="BG572" s="6">
        <f t="shared" si="65"/>
        <v>926</v>
      </c>
      <c r="BH572" s="6">
        <f t="shared" si="65"/>
        <v>2302</v>
      </c>
      <c r="BI572" s="6">
        <f t="shared" si="65"/>
        <v>1102</v>
      </c>
      <c r="BJ572" s="6">
        <f t="shared" si="65"/>
        <v>2118</v>
      </c>
      <c r="BK572" s="6">
        <f t="shared" si="65"/>
        <v>2322</v>
      </c>
      <c r="BL572" s="6">
        <f t="shared" si="65"/>
        <v>914</v>
      </c>
      <c r="BM572" s="6">
        <f t="shared" si="65"/>
        <v>816</v>
      </c>
      <c r="BN572" s="6">
        <f t="shared" si="65"/>
        <v>2331</v>
      </c>
      <c r="BO572" s="6">
        <f t="shared" si="65"/>
        <v>2154</v>
      </c>
      <c r="BP572" s="6">
        <f t="shared" si="65"/>
        <v>950</v>
      </c>
      <c r="BQ572" s="6">
        <f t="shared" si="65"/>
        <v>1098</v>
      </c>
      <c r="BR572" s="6">
        <f t="shared" si="65"/>
        <v>2030</v>
      </c>
      <c r="BS572" s="6">
        <f t="shared" si="65"/>
        <v>1630</v>
      </c>
      <c r="BT572" s="6">
        <f t="shared" si="65"/>
        <v>709</v>
      </c>
      <c r="BU572" s="6">
        <f t="shared" si="65"/>
        <v>2458</v>
      </c>
      <c r="BV572" s="6">
        <f t="shared" si="65"/>
        <v>1853</v>
      </c>
      <c r="BW572" s="6">
        <f t="shared" si="65"/>
        <v>1093</v>
      </c>
      <c r="BX572" s="6">
        <f t="shared" si="65"/>
        <v>1438</v>
      </c>
      <c r="BY572" s="6">
        <f t="shared" si="65"/>
        <v>984</v>
      </c>
      <c r="BZ572" s="6">
        <f t="shared" si="65"/>
        <v>1755</v>
      </c>
      <c r="CA572" s="6">
        <f t="shared" ref="CA572:CP572" si="66">SUM(CA65:CA68)</f>
        <v>1619</v>
      </c>
      <c r="CB572" s="6">
        <f t="shared" si="66"/>
        <v>797</v>
      </c>
      <c r="CC572" s="6">
        <f t="shared" si="66"/>
        <v>1716</v>
      </c>
      <c r="CD572" s="6">
        <f t="shared" si="66"/>
        <v>1907</v>
      </c>
      <c r="CE572" s="6">
        <f t="shared" si="66"/>
        <v>1719</v>
      </c>
      <c r="CF572" s="6">
        <f t="shared" si="66"/>
        <v>807</v>
      </c>
      <c r="CG572" s="6">
        <f t="shared" si="66"/>
        <v>997</v>
      </c>
      <c r="CH572" s="6">
        <f t="shared" si="66"/>
        <v>1425</v>
      </c>
      <c r="CI572" s="6">
        <f t="shared" si="66"/>
        <v>1216</v>
      </c>
      <c r="CJ572" s="6">
        <f t="shared" si="66"/>
        <v>1246</v>
      </c>
      <c r="CK572" s="6">
        <f t="shared" si="66"/>
        <v>1123</v>
      </c>
      <c r="CL572" s="6">
        <f t="shared" si="66"/>
        <v>1389</v>
      </c>
      <c r="CM572" s="6">
        <f t="shared" si="66"/>
        <v>1511</v>
      </c>
      <c r="CN572" s="6">
        <f t="shared" si="66"/>
        <v>1610</v>
      </c>
      <c r="CO572" s="6">
        <f t="shared" si="66"/>
        <v>1331</v>
      </c>
      <c r="CP572" s="6">
        <f t="shared" si="66"/>
        <v>1197</v>
      </c>
      <c r="CQ572" s="6">
        <f t="shared" ref="CQ572:EM572" si="67">SUM(CQ65:CQ68)</f>
        <v>0</v>
      </c>
      <c r="CR572" s="6">
        <f t="shared" si="67"/>
        <v>0</v>
      </c>
      <c r="CS572" s="6">
        <f t="shared" si="67"/>
        <v>0</v>
      </c>
      <c r="CT572" s="6">
        <f t="shared" si="67"/>
        <v>0</v>
      </c>
      <c r="CU572" s="6">
        <f t="shared" si="67"/>
        <v>0</v>
      </c>
      <c r="CV572" s="6">
        <f t="shared" si="67"/>
        <v>0</v>
      </c>
      <c r="CW572" s="6">
        <f t="shared" si="67"/>
        <v>0</v>
      </c>
      <c r="CX572" s="6">
        <f t="shared" si="67"/>
        <v>0</v>
      </c>
      <c r="CY572" s="6">
        <f t="shared" si="67"/>
        <v>0</v>
      </c>
      <c r="CZ572" s="6">
        <f t="shared" si="67"/>
        <v>0</v>
      </c>
      <c r="DA572" s="6">
        <f t="shared" si="67"/>
        <v>0</v>
      </c>
      <c r="DB572" s="6">
        <f t="shared" si="67"/>
        <v>0</v>
      </c>
      <c r="DC572" s="6">
        <f t="shared" si="67"/>
        <v>0</v>
      </c>
      <c r="DD572" s="6">
        <f t="shared" si="67"/>
        <v>0</v>
      </c>
      <c r="DE572" s="6">
        <f t="shared" si="67"/>
        <v>0</v>
      </c>
      <c r="DF572" s="6">
        <f t="shared" si="67"/>
        <v>0</v>
      </c>
      <c r="DG572" s="6">
        <f t="shared" si="67"/>
        <v>0</v>
      </c>
      <c r="DH572" s="6">
        <f t="shared" si="67"/>
        <v>0</v>
      </c>
      <c r="DI572" s="6">
        <f t="shared" si="67"/>
        <v>0</v>
      </c>
      <c r="DJ572" s="6">
        <f t="shared" si="67"/>
        <v>0</v>
      </c>
      <c r="DK572" s="6">
        <f t="shared" si="67"/>
        <v>0</v>
      </c>
      <c r="DL572" s="6">
        <f t="shared" si="67"/>
        <v>0</v>
      </c>
      <c r="DM572" s="6">
        <f t="shared" si="67"/>
        <v>0</v>
      </c>
      <c r="DN572" s="6">
        <f t="shared" si="67"/>
        <v>0</v>
      </c>
      <c r="DO572" s="6">
        <f t="shared" si="67"/>
        <v>0</v>
      </c>
      <c r="DP572" s="6">
        <f t="shared" si="67"/>
        <v>0</v>
      </c>
      <c r="DQ572" s="6">
        <f t="shared" si="67"/>
        <v>0</v>
      </c>
      <c r="DR572" s="6">
        <f t="shared" si="67"/>
        <v>0</v>
      </c>
      <c r="DS572" s="6">
        <f t="shared" si="67"/>
        <v>0</v>
      </c>
      <c r="DT572" s="6">
        <f t="shared" si="67"/>
        <v>0</v>
      </c>
      <c r="DU572" s="6">
        <f t="shared" si="67"/>
        <v>0</v>
      </c>
      <c r="DV572" s="6">
        <f t="shared" si="67"/>
        <v>0</v>
      </c>
      <c r="DW572" s="6">
        <f t="shared" si="67"/>
        <v>0</v>
      </c>
      <c r="DX572" s="6">
        <f t="shared" si="67"/>
        <v>0</v>
      </c>
      <c r="DY572" s="6">
        <f t="shared" si="67"/>
        <v>0</v>
      </c>
      <c r="DZ572" s="6">
        <f t="shared" si="67"/>
        <v>0</v>
      </c>
      <c r="EA572" s="6">
        <f t="shared" si="67"/>
        <v>0</v>
      </c>
      <c r="EB572" s="6">
        <f t="shared" si="67"/>
        <v>0</v>
      </c>
      <c r="EC572" s="6">
        <f t="shared" si="67"/>
        <v>0</v>
      </c>
      <c r="ED572" s="6">
        <f t="shared" si="67"/>
        <v>0</v>
      </c>
      <c r="EE572" s="6">
        <f t="shared" si="67"/>
        <v>0</v>
      </c>
      <c r="EF572" s="6">
        <f t="shared" si="67"/>
        <v>0</v>
      </c>
      <c r="EG572" s="6">
        <f t="shared" si="67"/>
        <v>0</v>
      </c>
      <c r="EH572" s="6">
        <f t="shared" si="67"/>
        <v>0</v>
      </c>
      <c r="EI572" s="6">
        <f t="shared" si="67"/>
        <v>0</v>
      </c>
      <c r="EJ572" s="6">
        <f t="shared" si="67"/>
        <v>0</v>
      </c>
      <c r="EK572" s="6">
        <f t="shared" si="67"/>
        <v>0</v>
      </c>
      <c r="EL572" s="6">
        <f t="shared" si="67"/>
        <v>0</v>
      </c>
      <c r="EM572" s="6">
        <f t="shared" si="67"/>
        <v>0</v>
      </c>
      <c r="EN572" s="6">
        <f t="shared" ref="EN572:GR572" si="68">SUM(EN65:EN68)</f>
        <v>0</v>
      </c>
      <c r="EO572" s="6">
        <f t="shared" si="68"/>
        <v>0</v>
      </c>
      <c r="EP572" s="6">
        <f t="shared" si="68"/>
        <v>0</v>
      </c>
      <c r="EQ572" s="6">
        <f t="shared" si="68"/>
        <v>0</v>
      </c>
      <c r="ER572" s="6">
        <f t="shared" si="68"/>
        <v>0</v>
      </c>
      <c r="ES572" s="6">
        <f t="shared" si="68"/>
        <v>0</v>
      </c>
      <c r="ET572" s="6">
        <f t="shared" si="68"/>
        <v>0</v>
      </c>
      <c r="EU572" s="6">
        <f t="shared" si="68"/>
        <v>0</v>
      </c>
      <c r="EV572" s="6">
        <f t="shared" si="68"/>
        <v>0</v>
      </c>
      <c r="EW572" s="6">
        <f t="shared" si="68"/>
        <v>0</v>
      </c>
      <c r="EX572" s="6">
        <f t="shared" si="68"/>
        <v>0</v>
      </c>
      <c r="EY572" s="6">
        <f t="shared" si="68"/>
        <v>0</v>
      </c>
      <c r="EZ572" s="6">
        <f t="shared" si="68"/>
        <v>0</v>
      </c>
      <c r="FA572" s="6">
        <f t="shared" si="68"/>
        <v>0</v>
      </c>
      <c r="FB572" s="6">
        <f t="shared" si="68"/>
        <v>0</v>
      </c>
      <c r="FC572" s="6">
        <f t="shared" si="68"/>
        <v>0</v>
      </c>
      <c r="FD572" s="6">
        <f t="shared" si="68"/>
        <v>0</v>
      </c>
      <c r="FE572" s="6">
        <f t="shared" si="68"/>
        <v>0</v>
      </c>
      <c r="FF572" s="6">
        <f t="shared" si="68"/>
        <v>0</v>
      </c>
      <c r="FG572" s="6">
        <f t="shared" si="68"/>
        <v>0</v>
      </c>
      <c r="FH572" s="6">
        <f t="shared" si="68"/>
        <v>0</v>
      </c>
      <c r="FI572" s="6">
        <f t="shared" si="68"/>
        <v>0</v>
      </c>
      <c r="FJ572" s="6">
        <f t="shared" si="68"/>
        <v>0</v>
      </c>
      <c r="FK572" s="6">
        <f t="shared" si="68"/>
        <v>0</v>
      </c>
      <c r="FL572" s="6">
        <f t="shared" si="68"/>
        <v>0</v>
      </c>
      <c r="FM572" s="6">
        <f t="shared" si="68"/>
        <v>0</v>
      </c>
      <c r="FN572" s="6">
        <f t="shared" si="68"/>
        <v>0</v>
      </c>
      <c r="FO572" s="6">
        <f t="shared" si="68"/>
        <v>0</v>
      </c>
      <c r="FP572" s="6">
        <f t="shared" si="68"/>
        <v>0</v>
      </c>
      <c r="FQ572" s="6">
        <f t="shared" si="68"/>
        <v>0</v>
      </c>
      <c r="FR572" s="6">
        <f t="shared" si="68"/>
        <v>0</v>
      </c>
      <c r="FS572" s="6">
        <f t="shared" si="68"/>
        <v>0</v>
      </c>
      <c r="FT572" s="6">
        <f t="shared" si="68"/>
        <v>0</v>
      </c>
      <c r="FU572" s="6">
        <f t="shared" si="68"/>
        <v>0</v>
      </c>
      <c r="FV572" s="6">
        <f t="shared" si="68"/>
        <v>0</v>
      </c>
      <c r="FW572" s="6">
        <f t="shared" si="68"/>
        <v>0</v>
      </c>
      <c r="FX572" s="6">
        <f t="shared" si="68"/>
        <v>0</v>
      </c>
      <c r="FY572" s="6">
        <f t="shared" si="68"/>
        <v>2159</v>
      </c>
      <c r="FZ572" s="6">
        <f t="shared" si="68"/>
        <v>1121</v>
      </c>
      <c r="GA572" s="6">
        <f t="shared" si="68"/>
        <v>0</v>
      </c>
      <c r="GB572" s="6">
        <f t="shared" si="68"/>
        <v>0</v>
      </c>
      <c r="GC572" s="6">
        <f t="shared" si="68"/>
        <v>0</v>
      </c>
      <c r="GD572" s="6">
        <f t="shared" si="68"/>
        <v>0</v>
      </c>
      <c r="GE572" s="6">
        <f t="shared" si="68"/>
        <v>0</v>
      </c>
      <c r="GF572" s="6">
        <f t="shared" si="68"/>
        <v>0</v>
      </c>
      <c r="GG572" s="6">
        <f t="shared" si="68"/>
        <v>0</v>
      </c>
      <c r="GH572" s="6">
        <f t="shared" si="68"/>
        <v>0</v>
      </c>
      <c r="GI572" s="6">
        <f t="shared" si="68"/>
        <v>0</v>
      </c>
      <c r="GJ572" s="6">
        <f t="shared" si="68"/>
        <v>0</v>
      </c>
      <c r="GK572" s="6">
        <f t="shared" si="68"/>
        <v>0</v>
      </c>
      <c r="GL572" s="6">
        <f t="shared" si="68"/>
        <v>0</v>
      </c>
      <c r="GM572" s="6">
        <f t="shared" si="68"/>
        <v>0</v>
      </c>
      <c r="GN572" s="6">
        <f t="shared" si="68"/>
        <v>0</v>
      </c>
      <c r="GO572" s="6">
        <f t="shared" si="68"/>
        <v>2465</v>
      </c>
      <c r="GP572" s="6">
        <f t="shared" si="68"/>
        <v>789</v>
      </c>
      <c r="GQ572" s="6">
        <f t="shared" si="68"/>
        <v>2534</v>
      </c>
      <c r="GR572" s="6">
        <f t="shared" si="68"/>
        <v>711</v>
      </c>
    </row>
    <row r="573" spans="1:200">
      <c r="A573" s="6"/>
      <c r="B573" s="13" t="s">
        <v>690</v>
      </c>
      <c r="C573" s="14">
        <f>SUM(C69:C72)</f>
        <v>5162</v>
      </c>
      <c r="D573" s="14">
        <f>SUM(D69:D72)</f>
        <v>2836</v>
      </c>
      <c r="E573" s="15">
        <f t="shared" si="28"/>
        <v>0.54939945757458353</v>
      </c>
      <c r="F573" s="66">
        <f t="shared" ref="F573:AB573" si="69">SUM(F69:F72)</f>
        <v>2477</v>
      </c>
      <c r="G573" s="6">
        <f t="shared" si="69"/>
        <v>6</v>
      </c>
      <c r="H573" s="6">
        <f t="shared" si="69"/>
        <v>39</v>
      </c>
      <c r="I573" s="6">
        <f t="shared" si="69"/>
        <v>29</v>
      </c>
      <c r="J573" s="59">
        <f t="shared" si="69"/>
        <v>226</v>
      </c>
      <c r="K573" s="6">
        <f t="shared" si="69"/>
        <v>0</v>
      </c>
      <c r="L573" s="6">
        <f t="shared" si="69"/>
        <v>0</v>
      </c>
      <c r="M573" s="6">
        <f t="shared" si="69"/>
        <v>0</v>
      </c>
      <c r="N573" s="6">
        <f t="shared" si="69"/>
        <v>0</v>
      </c>
      <c r="O573" s="6">
        <f t="shared" si="69"/>
        <v>0</v>
      </c>
      <c r="P573" s="6">
        <f t="shared" si="69"/>
        <v>0</v>
      </c>
      <c r="Q573" s="6">
        <f t="shared" si="69"/>
        <v>0</v>
      </c>
      <c r="R573" s="6">
        <f t="shared" si="69"/>
        <v>0</v>
      </c>
      <c r="S573" s="6">
        <f t="shared" si="69"/>
        <v>0</v>
      </c>
      <c r="T573" s="6">
        <f t="shared" si="69"/>
        <v>0</v>
      </c>
      <c r="U573" s="6">
        <f t="shared" si="69"/>
        <v>0</v>
      </c>
      <c r="V573" s="6">
        <f t="shared" si="69"/>
        <v>2</v>
      </c>
      <c r="W573" s="6">
        <f t="shared" si="69"/>
        <v>5</v>
      </c>
      <c r="X573" s="6">
        <f t="shared" si="69"/>
        <v>0</v>
      </c>
      <c r="Y573" s="6">
        <f t="shared" si="69"/>
        <v>0</v>
      </c>
      <c r="Z573" s="6">
        <f t="shared" si="69"/>
        <v>0</v>
      </c>
      <c r="AA573" s="6">
        <f t="shared" si="69"/>
        <v>0</v>
      </c>
      <c r="AB573" s="6">
        <f t="shared" si="69"/>
        <v>0</v>
      </c>
      <c r="AC573" s="6">
        <f t="shared" ref="AC573:BZ573" si="70">SUM(AC69:AC72)</f>
        <v>28</v>
      </c>
      <c r="AD573" s="6">
        <f t="shared" si="70"/>
        <v>52</v>
      </c>
      <c r="AE573" s="6">
        <f t="shared" si="70"/>
        <v>520</v>
      </c>
      <c r="AF573" s="6">
        <f t="shared" si="70"/>
        <v>27</v>
      </c>
      <c r="AG573" s="6">
        <f t="shared" si="70"/>
        <v>0</v>
      </c>
      <c r="AH573" s="6">
        <f t="shared" si="70"/>
        <v>2048</v>
      </c>
      <c r="AI573" s="6">
        <f t="shared" si="70"/>
        <v>179</v>
      </c>
      <c r="AJ573" s="6">
        <f t="shared" si="70"/>
        <v>1</v>
      </c>
      <c r="AK573" s="6">
        <f t="shared" si="70"/>
        <v>1</v>
      </c>
      <c r="AL573" s="6">
        <f t="shared" si="70"/>
        <v>1542</v>
      </c>
      <c r="AM573" s="6">
        <f t="shared" si="70"/>
        <v>45</v>
      </c>
      <c r="AN573" s="6">
        <f t="shared" si="70"/>
        <v>590</v>
      </c>
      <c r="AO573" s="6">
        <f t="shared" si="70"/>
        <v>274</v>
      </c>
      <c r="AP573" s="6">
        <f t="shared" si="70"/>
        <v>0</v>
      </c>
      <c r="AQ573" s="6">
        <f t="shared" si="70"/>
        <v>0</v>
      </c>
      <c r="AR573" s="6">
        <f t="shared" si="70"/>
        <v>0</v>
      </c>
      <c r="AS573" s="6">
        <f t="shared" si="70"/>
        <v>0</v>
      </c>
      <c r="AT573" s="6">
        <f t="shared" si="70"/>
        <v>0</v>
      </c>
      <c r="AU573" s="6">
        <f t="shared" si="70"/>
        <v>0</v>
      </c>
      <c r="AV573" s="6">
        <f t="shared" si="70"/>
        <v>0</v>
      </c>
      <c r="AW573" s="6">
        <f t="shared" si="70"/>
        <v>0</v>
      </c>
      <c r="AX573" s="6">
        <f t="shared" si="70"/>
        <v>0</v>
      </c>
      <c r="AY573" s="6">
        <f t="shared" si="70"/>
        <v>2251</v>
      </c>
      <c r="AZ573" s="6">
        <f t="shared" si="70"/>
        <v>360</v>
      </c>
      <c r="BA573" s="6">
        <f t="shared" si="70"/>
        <v>0</v>
      </c>
      <c r="BB573" s="6">
        <f t="shared" si="70"/>
        <v>0</v>
      </c>
      <c r="BC573" s="6">
        <f t="shared" si="70"/>
        <v>0</v>
      </c>
      <c r="BD573" s="6">
        <f t="shared" si="70"/>
        <v>0</v>
      </c>
      <c r="BE573" s="6">
        <f t="shared" si="70"/>
        <v>298</v>
      </c>
      <c r="BF573" s="6">
        <f t="shared" si="70"/>
        <v>2318</v>
      </c>
      <c r="BG573" s="6">
        <f t="shared" si="70"/>
        <v>369</v>
      </c>
      <c r="BH573" s="6">
        <f t="shared" si="70"/>
        <v>2243</v>
      </c>
      <c r="BI573" s="6">
        <f t="shared" si="70"/>
        <v>544</v>
      </c>
      <c r="BJ573" s="6">
        <f t="shared" si="70"/>
        <v>2069</v>
      </c>
      <c r="BK573" s="6">
        <f t="shared" si="70"/>
        <v>2161</v>
      </c>
      <c r="BL573" s="6">
        <f t="shared" si="70"/>
        <v>431</v>
      </c>
      <c r="BM573" s="6">
        <f t="shared" si="70"/>
        <v>308</v>
      </c>
      <c r="BN573" s="6">
        <f t="shared" si="70"/>
        <v>2262</v>
      </c>
      <c r="BO573" s="6">
        <f t="shared" si="70"/>
        <v>2107</v>
      </c>
      <c r="BP573" s="6">
        <f t="shared" si="70"/>
        <v>430</v>
      </c>
      <c r="BQ573" s="6">
        <f t="shared" si="70"/>
        <v>454</v>
      </c>
      <c r="BR573" s="6">
        <f t="shared" si="70"/>
        <v>2098</v>
      </c>
      <c r="BS573" s="6">
        <f t="shared" si="70"/>
        <v>1003</v>
      </c>
      <c r="BT573" s="6">
        <f t="shared" si="70"/>
        <v>295</v>
      </c>
      <c r="BU573" s="6">
        <f t="shared" si="70"/>
        <v>2299</v>
      </c>
      <c r="BV573" s="6">
        <f t="shared" si="70"/>
        <v>1413</v>
      </c>
      <c r="BW573" s="6">
        <f t="shared" si="70"/>
        <v>759</v>
      </c>
      <c r="BX573" s="6">
        <f t="shared" si="70"/>
        <v>1238</v>
      </c>
      <c r="BY573" s="6">
        <f t="shared" si="70"/>
        <v>720</v>
      </c>
      <c r="BZ573" s="6">
        <f t="shared" si="70"/>
        <v>1481</v>
      </c>
      <c r="CA573" s="6">
        <f t="shared" ref="CA573:CP573" si="71">SUM(CA69:CA72)</f>
        <v>1237</v>
      </c>
      <c r="CB573" s="6">
        <f t="shared" si="71"/>
        <v>514</v>
      </c>
      <c r="CC573" s="6">
        <f t="shared" si="71"/>
        <v>1510</v>
      </c>
      <c r="CD573" s="6">
        <f t="shared" si="71"/>
        <v>1466</v>
      </c>
      <c r="CE573" s="6">
        <f t="shared" si="71"/>
        <v>1497</v>
      </c>
      <c r="CF573" s="6">
        <f t="shared" si="71"/>
        <v>564</v>
      </c>
      <c r="CG573" s="6">
        <f t="shared" si="71"/>
        <v>647</v>
      </c>
      <c r="CH573" s="6">
        <f t="shared" si="71"/>
        <v>1263</v>
      </c>
      <c r="CI573" s="6">
        <f t="shared" si="71"/>
        <v>1104</v>
      </c>
      <c r="CJ573" s="6">
        <f t="shared" si="71"/>
        <v>878</v>
      </c>
      <c r="CK573" s="6">
        <f t="shared" si="71"/>
        <v>872</v>
      </c>
      <c r="CL573" s="6">
        <f t="shared" si="71"/>
        <v>1190</v>
      </c>
      <c r="CM573" s="6">
        <f t="shared" si="71"/>
        <v>1162</v>
      </c>
      <c r="CN573" s="6">
        <f t="shared" si="71"/>
        <v>1288</v>
      </c>
      <c r="CO573" s="6">
        <f t="shared" si="71"/>
        <v>1198</v>
      </c>
      <c r="CP573" s="6">
        <f t="shared" si="71"/>
        <v>878</v>
      </c>
      <c r="CQ573" s="6">
        <f t="shared" ref="CQ573:EM573" si="72">SUM(CQ69:CQ72)</f>
        <v>0</v>
      </c>
      <c r="CR573" s="6">
        <f t="shared" si="72"/>
        <v>0</v>
      </c>
      <c r="CS573" s="6">
        <f t="shared" si="72"/>
        <v>0</v>
      </c>
      <c r="CT573" s="6">
        <f t="shared" si="72"/>
        <v>0</v>
      </c>
      <c r="CU573" s="6">
        <f t="shared" si="72"/>
        <v>0</v>
      </c>
      <c r="CV573" s="6">
        <f t="shared" si="72"/>
        <v>0</v>
      </c>
      <c r="CW573" s="6">
        <f t="shared" si="72"/>
        <v>0</v>
      </c>
      <c r="CX573" s="6">
        <f t="shared" si="72"/>
        <v>0</v>
      </c>
      <c r="CY573" s="6">
        <f t="shared" si="72"/>
        <v>0</v>
      </c>
      <c r="CZ573" s="6">
        <f t="shared" si="72"/>
        <v>0</v>
      </c>
      <c r="DA573" s="6">
        <f t="shared" si="72"/>
        <v>0</v>
      </c>
      <c r="DB573" s="6">
        <f t="shared" si="72"/>
        <v>0</v>
      </c>
      <c r="DC573" s="6">
        <f t="shared" si="72"/>
        <v>0</v>
      </c>
      <c r="DD573" s="6">
        <f t="shared" si="72"/>
        <v>0</v>
      </c>
      <c r="DE573" s="6">
        <f t="shared" si="72"/>
        <v>0</v>
      </c>
      <c r="DF573" s="6">
        <f t="shared" si="72"/>
        <v>0</v>
      </c>
      <c r="DG573" s="6">
        <f t="shared" si="72"/>
        <v>0</v>
      </c>
      <c r="DH573" s="6">
        <f t="shared" si="72"/>
        <v>0</v>
      </c>
      <c r="DI573" s="6">
        <f t="shared" si="72"/>
        <v>0</v>
      </c>
      <c r="DJ573" s="6">
        <f t="shared" si="72"/>
        <v>0</v>
      </c>
      <c r="DK573" s="6">
        <f t="shared" si="72"/>
        <v>0</v>
      </c>
      <c r="DL573" s="6">
        <f t="shared" si="72"/>
        <v>0</v>
      </c>
      <c r="DM573" s="6">
        <f t="shared" si="72"/>
        <v>0</v>
      </c>
      <c r="DN573" s="6">
        <f t="shared" si="72"/>
        <v>0</v>
      </c>
      <c r="DO573" s="6">
        <f t="shared" si="72"/>
        <v>0</v>
      </c>
      <c r="DP573" s="6">
        <f t="shared" si="72"/>
        <v>0</v>
      </c>
      <c r="DQ573" s="6">
        <f t="shared" si="72"/>
        <v>0</v>
      </c>
      <c r="DR573" s="6">
        <f t="shared" si="72"/>
        <v>0</v>
      </c>
      <c r="DS573" s="6">
        <f t="shared" si="72"/>
        <v>0</v>
      </c>
      <c r="DT573" s="6">
        <f t="shared" si="72"/>
        <v>0</v>
      </c>
      <c r="DU573" s="6">
        <f t="shared" si="72"/>
        <v>0</v>
      </c>
      <c r="DV573" s="6">
        <f t="shared" si="72"/>
        <v>0</v>
      </c>
      <c r="DW573" s="6">
        <f t="shared" si="72"/>
        <v>0</v>
      </c>
      <c r="DX573" s="6">
        <f t="shared" si="72"/>
        <v>0</v>
      </c>
      <c r="DY573" s="6">
        <f t="shared" si="72"/>
        <v>0</v>
      </c>
      <c r="DZ573" s="6">
        <f t="shared" si="72"/>
        <v>0</v>
      </c>
      <c r="EA573" s="6">
        <f t="shared" si="72"/>
        <v>0</v>
      </c>
      <c r="EB573" s="6">
        <f t="shared" si="72"/>
        <v>0</v>
      </c>
      <c r="EC573" s="6">
        <f t="shared" si="72"/>
        <v>0</v>
      </c>
      <c r="ED573" s="6">
        <f t="shared" si="72"/>
        <v>0</v>
      </c>
      <c r="EE573" s="6">
        <f t="shared" si="72"/>
        <v>0</v>
      </c>
      <c r="EF573" s="6">
        <f t="shared" si="72"/>
        <v>0</v>
      </c>
      <c r="EG573" s="6">
        <f t="shared" si="72"/>
        <v>0</v>
      </c>
      <c r="EH573" s="6">
        <f t="shared" si="72"/>
        <v>0</v>
      </c>
      <c r="EI573" s="6">
        <f t="shared" si="72"/>
        <v>0</v>
      </c>
      <c r="EJ573" s="6">
        <f t="shared" si="72"/>
        <v>0</v>
      </c>
      <c r="EK573" s="6">
        <f t="shared" si="72"/>
        <v>0</v>
      </c>
      <c r="EL573" s="6">
        <f t="shared" si="72"/>
        <v>0</v>
      </c>
      <c r="EM573" s="6">
        <f t="shared" si="72"/>
        <v>0</v>
      </c>
      <c r="EN573" s="6">
        <f t="shared" ref="EN573:GR573" si="73">SUM(EN69:EN72)</f>
        <v>0</v>
      </c>
      <c r="EO573" s="6">
        <f t="shared" si="73"/>
        <v>0</v>
      </c>
      <c r="EP573" s="6">
        <f t="shared" si="73"/>
        <v>0</v>
      </c>
      <c r="EQ573" s="6">
        <f t="shared" si="73"/>
        <v>0</v>
      </c>
      <c r="ER573" s="6">
        <f t="shared" si="73"/>
        <v>0</v>
      </c>
      <c r="ES573" s="6">
        <f t="shared" si="73"/>
        <v>0</v>
      </c>
      <c r="ET573" s="6">
        <f t="shared" si="73"/>
        <v>0</v>
      </c>
      <c r="EU573" s="6">
        <f t="shared" si="73"/>
        <v>0</v>
      </c>
      <c r="EV573" s="6">
        <f t="shared" si="73"/>
        <v>0</v>
      </c>
      <c r="EW573" s="6">
        <f t="shared" si="73"/>
        <v>0</v>
      </c>
      <c r="EX573" s="6">
        <f t="shared" si="73"/>
        <v>0</v>
      </c>
      <c r="EY573" s="6">
        <f t="shared" si="73"/>
        <v>0</v>
      </c>
      <c r="EZ573" s="6">
        <f t="shared" si="73"/>
        <v>0</v>
      </c>
      <c r="FA573" s="6">
        <f t="shared" si="73"/>
        <v>0</v>
      </c>
      <c r="FB573" s="6">
        <f t="shared" si="73"/>
        <v>0</v>
      </c>
      <c r="FC573" s="6">
        <f t="shared" si="73"/>
        <v>0</v>
      </c>
      <c r="FD573" s="6">
        <f t="shared" si="73"/>
        <v>0</v>
      </c>
      <c r="FE573" s="6">
        <f t="shared" si="73"/>
        <v>0</v>
      </c>
      <c r="FF573" s="6">
        <f t="shared" si="73"/>
        <v>0</v>
      </c>
      <c r="FG573" s="6">
        <f t="shared" si="73"/>
        <v>0</v>
      </c>
      <c r="FH573" s="6">
        <f t="shared" si="73"/>
        <v>0</v>
      </c>
      <c r="FI573" s="6">
        <f t="shared" si="73"/>
        <v>0</v>
      </c>
      <c r="FJ573" s="6">
        <f t="shared" si="73"/>
        <v>0</v>
      </c>
      <c r="FK573" s="6">
        <f t="shared" si="73"/>
        <v>0</v>
      </c>
      <c r="FL573" s="6">
        <f t="shared" si="73"/>
        <v>0</v>
      </c>
      <c r="FM573" s="6">
        <f t="shared" si="73"/>
        <v>0</v>
      </c>
      <c r="FN573" s="6">
        <f t="shared" si="73"/>
        <v>0</v>
      </c>
      <c r="FO573" s="6">
        <f t="shared" si="73"/>
        <v>0</v>
      </c>
      <c r="FP573" s="6">
        <f t="shared" si="73"/>
        <v>0</v>
      </c>
      <c r="FQ573" s="6">
        <f t="shared" si="73"/>
        <v>0</v>
      </c>
      <c r="FR573" s="6">
        <f t="shared" si="73"/>
        <v>0</v>
      </c>
      <c r="FS573" s="6">
        <f t="shared" si="73"/>
        <v>0</v>
      </c>
      <c r="FT573" s="6">
        <f t="shared" si="73"/>
        <v>0</v>
      </c>
      <c r="FU573" s="6">
        <f t="shared" si="73"/>
        <v>0</v>
      </c>
      <c r="FV573" s="6">
        <f t="shared" si="73"/>
        <v>0</v>
      </c>
      <c r="FW573" s="6">
        <f t="shared" si="73"/>
        <v>0</v>
      </c>
      <c r="FX573" s="6">
        <f t="shared" si="73"/>
        <v>0</v>
      </c>
      <c r="FY573" s="6">
        <f t="shared" si="73"/>
        <v>2028</v>
      </c>
      <c r="FZ573" s="6">
        <f t="shared" si="73"/>
        <v>596</v>
      </c>
      <c r="GA573" s="6">
        <f t="shared" si="73"/>
        <v>0</v>
      </c>
      <c r="GB573" s="6">
        <f t="shared" si="73"/>
        <v>0</v>
      </c>
      <c r="GC573" s="6">
        <f t="shared" si="73"/>
        <v>0</v>
      </c>
      <c r="GD573" s="6">
        <f t="shared" si="73"/>
        <v>0</v>
      </c>
      <c r="GE573" s="6">
        <f t="shared" si="73"/>
        <v>0</v>
      </c>
      <c r="GF573" s="6">
        <f t="shared" si="73"/>
        <v>0</v>
      </c>
      <c r="GG573" s="6">
        <f t="shared" si="73"/>
        <v>0</v>
      </c>
      <c r="GH573" s="6">
        <f t="shared" si="73"/>
        <v>0</v>
      </c>
      <c r="GI573" s="6">
        <f t="shared" si="73"/>
        <v>0</v>
      </c>
      <c r="GJ573" s="6">
        <f t="shared" si="73"/>
        <v>0</v>
      </c>
      <c r="GK573" s="6">
        <f t="shared" si="73"/>
        <v>0</v>
      </c>
      <c r="GL573" s="6">
        <f t="shared" si="73"/>
        <v>0</v>
      </c>
      <c r="GM573" s="6">
        <f t="shared" si="73"/>
        <v>0</v>
      </c>
      <c r="GN573" s="6">
        <f t="shared" si="73"/>
        <v>0</v>
      </c>
      <c r="GO573" s="6">
        <f t="shared" si="73"/>
        <v>1990</v>
      </c>
      <c r="GP573" s="6">
        <f t="shared" si="73"/>
        <v>570</v>
      </c>
      <c r="GQ573" s="6">
        <f t="shared" si="73"/>
        <v>2116</v>
      </c>
      <c r="GR573" s="6">
        <f t="shared" si="73"/>
        <v>462</v>
      </c>
    </row>
    <row r="574" spans="1:200">
      <c r="A574" s="6"/>
      <c r="B574" s="13" t="s">
        <v>688</v>
      </c>
      <c r="C574" s="14">
        <f>SUM(C73:C75)</f>
        <v>3578</v>
      </c>
      <c r="D574" s="14">
        <f>SUM(D73:D75)</f>
        <v>1887</v>
      </c>
      <c r="E574" s="15">
        <f t="shared" si="28"/>
        <v>0.5273896031302403</v>
      </c>
      <c r="F574" s="66">
        <f t="shared" ref="F574:AB574" si="74">SUM(F73:F75)</f>
        <v>1534</v>
      </c>
      <c r="G574" s="6">
        <f t="shared" si="74"/>
        <v>1</v>
      </c>
      <c r="H574" s="6">
        <f t="shared" si="74"/>
        <v>43</v>
      </c>
      <c r="I574" s="6">
        <f t="shared" si="74"/>
        <v>25</v>
      </c>
      <c r="J574" s="59">
        <f t="shared" si="74"/>
        <v>240</v>
      </c>
      <c r="K574" s="6">
        <f t="shared" si="74"/>
        <v>0</v>
      </c>
      <c r="L574" s="6">
        <f t="shared" si="74"/>
        <v>0</v>
      </c>
      <c r="M574" s="6">
        <f t="shared" si="74"/>
        <v>1</v>
      </c>
      <c r="N574" s="6">
        <f t="shared" si="74"/>
        <v>0</v>
      </c>
      <c r="O574" s="6">
        <f t="shared" si="74"/>
        <v>0</v>
      </c>
      <c r="P574" s="6">
        <f t="shared" si="74"/>
        <v>0</v>
      </c>
      <c r="Q574" s="6">
        <f t="shared" si="74"/>
        <v>0</v>
      </c>
      <c r="R574" s="6">
        <f t="shared" si="74"/>
        <v>0</v>
      </c>
      <c r="S574" s="6">
        <f t="shared" si="74"/>
        <v>0</v>
      </c>
      <c r="T574" s="6">
        <f t="shared" si="74"/>
        <v>0</v>
      </c>
      <c r="U574" s="6">
        <f t="shared" si="74"/>
        <v>0</v>
      </c>
      <c r="V574" s="6">
        <f t="shared" si="74"/>
        <v>0</v>
      </c>
      <c r="W574" s="6">
        <f t="shared" si="74"/>
        <v>14</v>
      </c>
      <c r="X574" s="6">
        <f t="shared" si="74"/>
        <v>0</v>
      </c>
      <c r="Y574" s="6">
        <f t="shared" si="74"/>
        <v>0</v>
      </c>
      <c r="Z574" s="6">
        <f t="shared" si="74"/>
        <v>0</v>
      </c>
      <c r="AA574" s="6">
        <f t="shared" si="74"/>
        <v>0</v>
      </c>
      <c r="AB574" s="6">
        <f t="shared" si="74"/>
        <v>0</v>
      </c>
      <c r="AC574" s="6">
        <f t="shared" ref="AC574:BZ574" si="75">SUM(AC73:AC75)</f>
        <v>22</v>
      </c>
      <c r="AD574" s="6">
        <f t="shared" si="75"/>
        <v>52</v>
      </c>
      <c r="AE574" s="6">
        <f t="shared" si="75"/>
        <v>436</v>
      </c>
      <c r="AF574" s="6">
        <f t="shared" si="75"/>
        <v>11</v>
      </c>
      <c r="AG574" s="6">
        <f t="shared" si="75"/>
        <v>0</v>
      </c>
      <c r="AH574" s="6">
        <f t="shared" si="75"/>
        <v>1274</v>
      </c>
      <c r="AI574" s="6">
        <f t="shared" si="75"/>
        <v>369</v>
      </c>
      <c r="AJ574" s="6">
        <f t="shared" si="75"/>
        <v>6</v>
      </c>
      <c r="AK574" s="6">
        <f t="shared" si="75"/>
        <v>0</v>
      </c>
      <c r="AL574" s="6">
        <f t="shared" si="75"/>
        <v>1426</v>
      </c>
      <c r="AM574" s="6">
        <f t="shared" si="75"/>
        <v>0</v>
      </c>
      <c r="AN574" s="6">
        <f t="shared" si="75"/>
        <v>0</v>
      </c>
      <c r="AO574" s="6">
        <f t="shared" si="75"/>
        <v>0</v>
      </c>
      <c r="AP574" s="6">
        <f t="shared" si="75"/>
        <v>0</v>
      </c>
      <c r="AQ574" s="6">
        <f t="shared" si="75"/>
        <v>0</v>
      </c>
      <c r="AR574" s="6">
        <f t="shared" si="75"/>
        <v>0</v>
      </c>
      <c r="AS574" s="6">
        <f t="shared" si="75"/>
        <v>0</v>
      </c>
      <c r="AT574" s="6">
        <f t="shared" si="75"/>
        <v>0</v>
      </c>
      <c r="AU574" s="6">
        <f t="shared" si="75"/>
        <v>0</v>
      </c>
      <c r="AV574" s="6">
        <f t="shared" si="75"/>
        <v>0</v>
      </c>
      <c r="AW574" s="6">
        <f t="shared" si="75"/>
        <v>0</v>
      </c>
      <c r="AX574" s="6">
        <f t="shared" si="75"/>
        <v>0</v>
      </c>
      <c r="AY574" s="6">
        <f t="shared" si="75"/>
        <v>0</v>
      </c>
      <c r="AZ574" s="6">
        <f t="shared" si="75"/>
        <v>0</v>
      </c>
      <c r="BA574" s="6">
        <f t="shared" si="75"/>
        <v>1416</v>
      </c>
      <c r="BB574" s="6">
        <f t="shared" si="75"/>
        <v>322</v>
      </c>
      <c r="BC574" s="6">
        <f t="shared" si="75"/>
        <v>0</v>
      </c>
      <c r="BD574" s="6">
        <f t="shared" si="75"/>
        <v>0</v>
      </c>
      <c r="BE574" s="6">
        <f t="shared" si="75"/>
        <v>293</v>
      </c>
      <c r="BF574" s="6">
        <f t="shared" si="75"/>
        <v>1468</v>
      </c>
      <c r="BG574" s="6">
        <f t="shared" si="75"/>
        <v>338</v>
      </c>
      <c r="BH574" s="6">
        <f t="shared" si="75"/>
        <v>1410</v>
      </c>
      <c r="BI574" s="6">
        <f t="shared" si="75"/>
        <v>462</v>
      </c>
      <c r="BJ574" s="6">
        <f t="shared" si="75"/>
        <v>1284</v>
      </c>
      <c r="BK574" s="6">
        <f t="shared" si="75"/>
        <v>1404</v>
      </c>
      <c r="BL574" s="6">
        <f t="shared" si="75"/>
        <v>355</v>
      </c>
      <c r="BM574" s="6">
        <f t="shared" si="75"/>
        <v>312</v>
      </c>
      <c r="BN574" s="6">
        <f t="shared" si="75"/>
        <v>1407</v>
      </c>
      <c r="BO574" s="6">
        <f t="shared" si="75"/>
        <v>1330</v>
      </c>
      <c r="BP574" s="6">
        <f t="shared" si="75"/>
        <v>353</v>
      </c>
      <c r="BQ574" s="6">
        <f t="shared" si="75"/>
        <v>406</v>
      </c>
      <c r="BR574" s="6">
        <f t="shared" si="75"/>
        <v>1303</v>
      </c>
      <c r="BS574" s="6">
        <f t="shared" si="75"/>
        <v>755</v>
      </c>
      <c r="BT574" s="6">
        <f t="shared" si="75"/>
        <v>285</v>
      </c>
      <c r="BU574" s="6">
        <f t="shared" si="75"/>
        <v>1440</v>
      </c>
      <c r="BV574" s="6">
        <f t="shared" si="75"/>
        <v>885</v>
      </c>
      <c r="BW574" s="6">
        <f t="shared" si="75"/>
        <v>491</v>
      </c>
      <c r="BX574" s="6">
        <f t="shared" si="75"/>
        <v>872</v>
      </c>
      <c r="BY574" s="6">
        <f t="shared" si="75"/>
        <v>441</v>
      </c>
      <c r="BZ574" s="6">
        <f t="shared" si="75"/>
        <v>1035</v>
      </c>
      <c r="CA574" s="6">
        <f t="shared" ref="CA574:CP574" si="76">SUM(CA73:CA75)</f>
        <v>763</v>
      </c>
      <c r="CB574" s="6">
        <f t="shared" si="76"/>
        <v>342</v>
      </c>
      <c r="CC574" s="6">
        <f t="shared" si="76"/>
        <v>1043</v>
      </c>
      <c r="CD574" s="6">
        <f t="shared" si="76"/>
        <v>949</v>
      </c>
      <c r="CE574" s="6">
        <f t="shared" si="76"/>
        <v>1016</v>
      </c>
      <c r="CF574" s="6">
        <f t="shared" si="76"/>
        <v>360</v>
      </c>
      <c r="CG574" s="6">
        <f t="shared" si="76"/>
        <v>417</v>
      </c>
      <c r="CH574" s="6">
        <f t="shared" si="76"/>
        <v>903</v>
      </c>
      <c r="CI574" s="6">
        <f t="shared" si="76"/>
        <v>767</v>
      </c>
      <c r="CJ574" s="6">
        <f t="shared" si="76"/>
        <v>583</v>
      </c>
      <c r="CK574" s="6">
        <f t="shared" si="76"/>
        <v>550</v>
      </c>
      <c r="CL574" s="6">
        <f t="shared" si="76"/>
        <v>821</v>
      </c>
      <c r="CM574" s="6">
        <f t="shared" si="76"/>
        <v>756</v>
      </c>
      <c r="CN574" s="6">
        <f t="shared" si="76"/>
        <v>787</v>
      </c>
      <c r="CO574" s="6">
        <f t="shared" si="76"/>
        <v>829</v>
      </c>
      <c r="CP574" s="6">
        <f t="shared" si="76"/>
        <v>556</v>
      </c>
      <c r="CQ574" s="6">
        <f t="shared" ref="CQ574:EM574" si="77">SUM(CQ73:CQ75)</f>
        <v>0</v>
      </c>
      <c r="CR574" s="6">
        <f t="shared" si="77"/>
        <v>0</v>
      </c>
      <c r="CS574" s="6">
        <f t="shared" si="77"/>
        <v>0</v>
      </c>
      <c r="CT574" s="6">
        <f t="shared" si="77"/>
        <v>0</v>
      </c>
      <c r="CU574" s="6">
        <f t="shared" si="77"/>
        <v>0</v>
      </c>
      <c r="CV574" s="6">
        <f t="shared" si="77"/>
        <v>0</v>
      </c>
      <c r="CW574" s="6">
        <f t="shared" si="77"/>
        <v>0</v>
      </c>
      <c r="CX574" s="6">
        <f t="shared" si="77"/>
        <v>0</v>
      </c>
      <c r="CY574" s="6">
        <f t="shared" si="77"/>
        <v>0</v>
      </c>
      <c r="CZ574" s="6">
        <f t="shared" si="77"/>
        <v>0</v>
      </c>
      <c r="DA574" s="6">
        <f t="shared" si="77"/>
        <v>0</v>
      </c>
      <c r="DB574" s="6">
        <f t="shared" si="77"/>
        <v>0</v>
      </c>
      <c r="DC574" s="6">
        <f t="shared" si="77"/>
        <v>0</v>
      </c>
      <c r="DD574" s="6">
        <f t="shared" si="77"/>
        <v>0</v>
      </c>
      <c r="DE574" s="6">
        <f t="shared" si="77"/>
        <v>0</v>
      </c>
      <c r="DF574" s="6">
        <f t="shared" si="77"/>
        <v>0</v>
      </c>
      <c r="DG574" s="6">
        <f t="shared" si="77"/>
        <v>0</v>
      </c>
      <c r="DH574" s="6">
        <f t="shared" si="77"/>
        <v>0</v>
      </c>
      <c r="DI574" s="6">
        <f t="shared" si="77"/>
        <v>0</v>
      </c>
      <c r="DJ574" s="6">
        <f t="shared" si="77"/>
        <v>0</v>
      </c>
      <c r="DK574" s="6">
        <f t="shared" si="77"/>
        <v>0</v>
      </c>
      <c r="DL574" s="6">
        <f t="shared" si="77"/>
        <v>0</v>
      </c>
      <c r="DM574" s="6">
        <f t="shared" si="77"/>
        <v>0</v>
      </c>
      <c r="DN574" s="6">
        <f t="shared" si="77"/>
        <v>0</v>
      </c>
      <c r="DO574" s="6">
        <f t="shared" si="77"/>
        <v>0</v>
      </c>
      <c r="DP574" s="6">
        <f t="shared" si="77"/>
        <v>0</v>
      </c>
      <c r="DQ574" s="6">
        <f t="shared" si="77"/>
        <v>0</v>
      </c>
      <c r="DR574" s="6">
        <f t="shared" si="77"/>
        <v>0</v>
      </c>
      <c r="DS574" s="6">
        <f t="shared" si="77"/>
        <v>0</v>
      </c>
      <c r="DT574" s="6">
        <f t="shared" si="77"/>
        <v>0</v>
      </c>
      <c r="DU574" s="6">
        <f t="shared" si="77"/>
        <v>0</v>
      </c>
      <c r="DV574" s="6">
        <f t="shared" si="77"/>
        <v>0</v>
      </c>
      <c r="DW574" s="6">
        <f t="shared" si="77"/>
        <v>0</v>
      </c>
      <c r="DX574" s="6">
        <f t="shared" si="77"/>
        <v>0</v>
      </c>
      <c r="DY574" s="6">
        <f t="shared" si="77"/>
        <v>0</v>
      </c>
      <c r="DZ574" s="6">
        <f t="shared" si="77"/>
        <v>0</v>
      </c>
      <c r="EA574" s="6">
        <f t="shared" si="77"/>
        <v>0</v>
      </c>
      <c r="EB574" s="6">
        <f t="shared" si="77"/>
        <v>0</v>
      </c>
      <c r="EC574" s="6">
        <f t="shared" si="77"/>
        <v>0</v>
      </c>
      <c r="ED574" s="6">
        <f t="shared" si="77"/>
        <v>0</v>
      </c>
      <c r="EE574" s="6">
        <f t="shared" si="77"/>
        <v>0</v>
      </c>
      <c r="EF574" s="6">
        <f t="shared" si="77"/>
        <v>0</v>
      </c>
      <c r="EG574" s="6">
        <f t="shared" si="77"/>
        <v>0</v>
      </c>
      <c r="EH574" s="6">
        <f t="shared" si="77"/>
        <v>0</v>
      </c>
      <c r="EI574" s="6">
        <f t="shared" si="77"/>
        <v>0</v>
      </c>
      <c r="EJ574" s="6">
        <f t="shared" si="77"/>
        <v>0</v>
      </c>
      <c r="EK574" s="6">
        <f t="shared" si="77"/>
        <v>0</v>
      </c>
      <c r="EL574" s="6">
        <f t="shared" si="77"/>
        <v>0</v>
      </c>
      <c r="EM574" s="6">
        <f t="shared" si="77"/>
        <v>0</v>
      </c>
      <c r="EN574" s="6">
        <f t="shared" ref="EN574:GR574" si="78">SUM(EN73:EN75)</f>
        <v>0</v>
      </c>
      <c r="EO574" s="6">
        <f t="shared" si="78"/>
        <v>0</v>
      </c>
      <c r="EP574" s="6">
        <f t="shared" si="78"/>
        <v>0</v>
      </c>
      <c r="EQ574" s="6">
        <f t="shared" si="78"/>
        <v>0</v>
      </c>
      <c r="ER574" s="6">
        <f t="shared" si="78"/>
        <v>0</v>
      </c>
      <c r="ES574" s="6">
        <f t="shared" si="78"/>
        <v>0</v>
      </c>
      <c r="ET574" s="6">
        <f t="shared" si="78"/>
        <v>0</v>
      </c>
      <c r="EU574" s="6">
        <f t="shared" si="78"/>
        <v>0</v>
      </c>
      <c r="EV574" s="6">
        <f t="shared" si="78"/>
        <v>0</v>
      </c>
      <c r="EW574" s="6">
        <f t="shared" si="78"/>
        <v>0</v>
      </c>
      <c r="EX574" s="6">
        <f t="shared" si="78"/>
        <v>0</v>
      </c>
      <c r="EY574" s="6">
        <f t="shared" si="78"/>
        <v>0</v>
      </c>
      <c r="EZ574" s="6">
        <f t="shared" si="78"/>
        <v>0</v>
      </c>
      <c r="FA574" s="6">
        <f t="shared" si="78"/>
        <v>0</v>
      </c>
      <c r="FB574" s="6">
        <f t="shared" si="78"/>
        <v>0</v>
      </c>
      <c r="FC574" s="6">
        <f t="shared" si="78"/>
        <v>0</v>
      </c>
      <c r="FD574" s="6">
        <f t="shared" si="78"/>
        <v>0</v>
      </c>
      <c r="FE574" s="6">
        <f t="shared" si="78"/>
        <v>0</v>
      </c>
      <c r="FF574" s="6">
        <f t="shared" si="78"/>
        <v>0</v>
      </c>
      <c r="FG574" s="6">
        <f t="shared" si="78"/>
        <v>0</v>
      </c>
      <c r="FH574" s="6">
        <f t="shared" si="78"/>
        <v>0</v>
      </c>
      <c r="FI574" s="6">
        <f t="shared" si="78"/>
        <v>0</v>
      </c>
      <c r="FJ574" s="6">
        <f t="shared" si="78"/>
        <v>0</v>
      </c>
      <c r="FK574" s="6">
        <f t="shared" si="78"/>
        <v>0</v>
      </c>
      <c r="FL574" s="6">
        <f t="shared" si="78"/>
        <v>0</v>
      </c>
      <c r="FM574" s="6">
        <f t="shared" si="78"/>
        <v>0</v>
      </c>
      <c r="FN574" s="6">
        <f t="shared" si="78"/>
        <v>0</v>
      </c>
      <c r="FO574" s="6">
        <f t="shared" si="78"/>
        <v>0</v>
      </c>
      <c r="FP574" s="6">
        <f t="shared" si="78"/>
        <v>0</v>
      </c>
      <c r="FQ574" s="6">
        <f t="shared" si="78"/>
        <v>0</v>
      </c>
      <c r="FR574" s="6">
        <f t="shared" si="78"/>
        <v>0</v>
      </c>
      <c r="FS574" s="6">
        <f t="shared" si="78"/>
        <v>0</v>
      </c>
      <c r="FT574" s="6">
        <f t="shared" si="78"/>
        <v>0</v>
      </c>
      <c r="FU574" s="6">
        <f t="shared" si="78"/>
        <v>0</v>
      </c>
      <c r="FV574" s="6">
        <f t="shared" si="78"/>
        <v>0</v>
      </c>
      <c r="FW574" s="6">
        <f t="shared" si="78"/>
        <v>0</v>
      </c>
      <c r="FX574" s="6">
        <f t="shared" si="78"/>
        <v>0</v>
      </c>
      <c r="FY574" s="6">
        <f t="shared" si="78"/>
        <v>1264</v>
      </c>
      <c r="FZ574" s="6">
        <f t="shared" si="78"/>
        <v>489</v>
      </c>
      <c r="GA574" s="6">
        <f t="shared" si="78"/>
        <v>0</v>
      </c>
      <c r="GB574" s="6">
        <f t="shared" si="78"/>
        <v>0</v>
      </c>
      <c r="GC574" s="6">
        <f t="shared" si="78"/>
        <v>0</v>
      </c>
      <c r="GD574" s="6">
        <f t="shared" si="78"/>
        <v>0</v>
      </c>
      <c r="GE574" s="6">
        <f t="shared" si="78"/>
        <v>0</v>
      </c>
      <c r="GF574" s="6">
        <f t="shared" si="78"/>
        <v>0</v>
      </c>
      <c r="GG574" s="6">
        <f t="shared" si="78"/>
        <v>0</v>
      </c>
      <c r="GH574" s="6">
        <f t="shared" si="78"/>
        <v>0</v>
      </c>
      <c r="GI574" s="6">
        <f t="shared" si="78"/>
        <v>0</v>
      </c>
      <c r="GJ574" s="6">
        <f t="shared" si="78"/>
        <v>0</v>
      </c>
      <c r="GK574" s="6">
        <f t="shared" si="78"/>
        <v>0</v>
      </c>
      <c r="GL574" s="6">
        <f t="shared" si="78"/>
        <v>0</v>
      </c>
      <c r="GM574" s="6">
        <f t="shared" si="78"/>
        <v>0</v>
      </c>
      <c r="GN574" s="6">
        <f t="shared" si="78"/>
        <v>0</v>
      </c>
      <c r="GO574" s="6">
        <f t="shared" si="78"/>
        <v>1299</v>
      </c>
      <c r="GP574" s="6">
        <f t="shared" si="78"/>
        <v>430</v>
      </c>
      <c r="GQ574" s="6">
        <f t="shared" si="78"/>
        <v>1356</v>
      </c>
      <c r="GR574" s="6">
        <f t="shared" si="78"/>
        <v>372</v>
      </c>
    </row>
    <row r="575" spans="1:200">
      <c r="A575" s="6"/>
      <c r="B575" s="13" t="s">
        <v>689</v>
      </c>
      <c r="C575" s="14">
        <f>SUM(C76:C78)</f>
        <v>5273</v>
      </c>
      <c r="D575" s="14">
        <f>SUM(D76:D78)</f>
        <v>2900</v>
      </c>
      <c r="E575" s="15">
        <f t="shared" si="28"/>
        <v>0.54997155319552438</v>
      </c>
      <c r="F575" s="66">
        <f t="shared" ref="F575:AB575" si="79">SUM(F76:F78)</f>
        <v>2090</v>
      </c>
      <c r="G575" s="6">
        <f t="shared" si="79"/>
        <v>0</v>
      </c>
      <c r="H575" s="6">
        <f t="shared" si="79"/>
        <v>136</v>
      </c>
      <c r="I575" s="6">
        <f t="shared" si="79"/>
        <v>65</v>
      </c>
      <c r="J575" s="59">
        <f t="shared" si="79"/>
        <v>567</v>
      </c>
      <c r="K575" s="6">
        <f t="shared" si="79"/>
        <v>0</v>
      </c>
      <c r="L575" s="6">
        <f t="shared" si="79"/>
        <v>0</v>
      </c>
      <c r="M575" s="6">
        <f t="shared" si="79"/>
        <v>0</v>
      </c>
      <c r="N575" s="6">
        <f t="shared" si="79"/>
        <v>0</v>
      </c>
      <c r="O575" s="6">
        <f t="shared" si="79"/>
        <v>0</v>
      </c>
      <c r="P575" s="6">
        <f t="shared" si="79"/>
        <v>0</v>
      </c>
      <c r="Q575" s="6">
        <f t="shared" si="79"/>
        <v>0</v>
      </c>
      <c r="R575" s="6">
        <f t="shared" si="79"/>
        <v>0</v>
      </c>
      <c r="S575" s="6">
        <f t="shared" si="79"/>
        <v>0</v>
      </c>
      <c r="T575" s="6">
        <f t="shared" si="79"/>
        <v>0</v>
      </c>
      <c r="U575" s="6">
        <f t="shared" si="79"/>
        <v>0</v>
      </c>
      <c r="V575" s="6">
        <f t="shared" si="79"/>
        <v>0</v>
      </c>
      <c r="W575" s="6">
        <f t="shared" si="79"/>
        <v>4</v>
      </c>
      <c r="X575" s="6">
        <f t="shared" si="79"/>
        <v>0</v>
      </c>
      <c r="Y575" s="6">
        <f t="shared" si="79"/>
        <v>0</v>
      </c>
      <c r="Z575" s="6">
        <f t="shared" si="79"/>
        <v>0</v>
      </c>
      <c r="AA575" s="6">
        <f t="shared" si="79"/>
        <v>0</v>
      </c>
      <c r="AB575" s="6">
        <f t="shared" si="79"/>
        <v>0</v>
      </c>
      <c r="AC575" s="6">
        <f t="shared" ref="AC575:BZ575" si="80">SUM(AC76:AC78)</f>
        <v>21</v>
      </c>
      <c r="AD575" s="6">
        <f t="shared" si="80"/>
        <v>136</v>
      </c>
      <c r="AE575" s="6">
        <f t="shared" si="80"/>
        <v>737</v>
      </c>
      <c r="AF575" s="6">
        <f t="shared" si="80"/>
        <v>33</v>
      </c>
      <c r="AG575" s="6">
        <f t="shared" si="80"/>
        <v>0</v>
      </c>
      <c r="AH575" s="6">
        <f t="shared" si="80"/>
        <v>1840</v>
      </c>
      <c r="AI575" s="6">
        <f t="shared" si="80"/>
        <v>681</v>
      </c>
      <c r="AJ575" s="6">
        <f t="shared" si="80"/>
        <v>6</v>
      </c>
      <c r="AK575" s="6">
        <f t="shared" si="80"/>
        <v>0</v>
      </c>
      <c r="AL575" s="6">
        <f t="shared" si="80"/>
        <v>2022</v>
      </c>
      <c r="AM575" s="6">
        <f t="shared" si="80"/>
        <v>0</v>
      </c>
      <c r="AN575" s="6">
        <f t="shared" si="80"/>
        <v>0</v>
      </c>
      <c r="AO575" s="6">
        <f t="shared" si="80"/>
        <v>0</v>
      </c>
      <c r="AP575" s="6">
        <f t="shared" si="80"/>
        <v>0</v>
      </c>
      <c r="AQ575" s="6">
        <f t="shared" si="80"/>
        <v>0</v>
      </c>
      <c r="AR575" s="6">
        <f t="shared" si="80"/>
        <v>0</v>
      </c>
      <c r="AS575" s="6">
        <f t="shared" si="80"/>
        <v>0</v>
      </c>
      <c r="AT575" s="6">
        <f t="shared" si="80"/>
        <v>0</v>
      </c>
      <c r="AU575" s="6">
        <f t="shared" si="80"/>
        <v>0</v>
      </c>
      <c r="AV575" s="6">
        <f t="shared" si="80"/>
        <v>0</v>
      </c>
      <c r="AW575" s="6">
        <f t="shared" si="80"/>
        <v>0</v>
      </c>
      <c r="AX575" s="6">
        <f t="shared" si="80"/>
        <v>0</v>
      </c>
      <c r="AY575" s="6">
        <f t="shared" si="80"/>
        <v>1948</v>
      </c>
      <c r="AZ575" s="6">
        <f t="shared" si="80"/>
        <v>679</v>
      </c>
      <c r="BA575" s="6">
        <f t="shared" si="80"/>
        <v>0</v>
      </c>
      <c r="BB575" s="6">
        <f t="shared" si="80"/>
        <v>0</v>
      </c>
      <c r="BC575" s="6">
        <f t="shared" si="80"/>
        <v>0</v>
      </c>
      <c r="BD575" s="6">
        <f t="shared" si="80"/>
        <v>0</v>
      </c>
      <c r="BE575" s="6">
        <f t="shared" si="80"/>
        <v>586</v>
      </c>
      <c r="BF575" s="6">
        <f t="shared" si="80"/>
        <v>1971</v>
      </c>
      <c r="BG575" s="6">
        <f t="shared" si="80"/>
        <v>673</v>
      </c>
      <c r="BH575" s="6">
        <f t="shared" si="80"/>
        <v>1906</v>
      </c>
      <c r="BI575" s="6">
        <f t="shared" si="80"/>
        <v>756</v>
      </c>
      <c r="BJ575" s="6">
        <f t="shared" si="80"/>
        <v>1802</v>
      </c>
      <c r="BK575" s="6">
        <f t="shared" si="80"/>
        <v>1858</v>
      </c>
      <c r="BL575" s="6">
        <f t="shared" si="80"/>
        <v>689</v>
      </c>
      <c r="BM575" s="6">
        <f t="shared" si="80"/>
        <v>570</v>
      </c>
      <c r="BN575" s="6">
        <f t="shared" si="80"/>
        <v>1985</v>
      </c>
      <c r="BO575" s="6">
        <f t="shared" si="80"/>
        <v>1837</v>
      </c>
      <c r="BP575" s="6">
        <f t="shared" si="80"/>
        <v>638</v>
      </c>
      <c r="BQ575" s="6">
        <f t="shared" si="80"/>
        <v>703</v>
      </c>
      <c r="BR575" s="6">
        <f t="shared" si="80"/>
        <v>1801</v>
      </c>
      <c r="BS575" s="6">
        <f t="shared" si="80"/>
        <v>1489</v>
      </c>
      <c r="BT575" s="6">
        <f t="shared" si="80"/>
        <v>554</v>
      </c>
      <c r="BU575" s="6">
        <f t="shared" si="80"/>
        <v>1979</v>
      </c>
      <c r="BV575" s="6">
        <f t="shared" si="80"/>
        <v>1607</v>
      </c>
      <c r="BW575" s="6">
        <f t="shared" si="80"/>
        <v>810</v>
      </c>
      <c r="BX575" s="6">
        <f t="shared" si="80"/>
        <v>1207</v>
      </c>
      <c r="BY575" s="6">
        <f t="shared" si="80"/>
        <v>690</v>
      </c>
      <c r="BZ575" s="6">
        <f t="shared" si="80"/>
        <v>1430</v>
      </c>
      <c r="CA575" s="6">
        <f t="shared" ref="CA575:CP575" si="81">SUM(CA76:CA78)</f>
        <v>1421</v>
      </c>
      <c r="CB575" s="6">
        <f t="shared" si="81"/>
        <v>586</v>
      </c>
      <c r="CC575" s="6">
        <f t="shared" si="81"/>
        <v>1392</v>
      </c>
      <c r="CD575" s="6">
        <f t="shared" si="81"/>
        <v>1594</v>
      </c>
      <c r="CE575" s="6">
        <f t="shared" si="81"/>
        <v>1360</v>
      </c>
      <c r="CF575" s="6">
        <f t="shared" si="81"/>
        <v>605</v>
      </c>
      <c r="CG575" s="6">
        <f t="shared" si="81"/>
        <v>675</v>
      </c>
      <c r="CH575" s="6">
        <f t="shared" si="81"/>
        <v>1225</v>
      </c>
      <c r="CI575" s="6">
        <f t="shared" si="81"/>
        <v>954</v>
      </c>
      <c r="CJ575" s="6">
        <f t="shared" si="81"/>
        <v>997</v>
      </c>
      <c r="CK575" s="6">
        <f t="shared" si="81"/>
        <v>888</v>
      </c>
      <c r="CL575" s="6">
        <f t="shared" si="81"/>
        <v>1078</v>
      </c>
      <c r="CM575" s="6">
        <f t="shared" si="81"/>
        <v>1362</v>
      </c>
      <c r="CN575" s="6">
        <f t="shared" si="81"/>
        <v>1427</v>
      </c>
      <c r="CO575" s="6">
        <f t="shared" si="81"/>
        <v>1052</v>
      </c>
      <c r="CP575" s="6">
        <f t="shared" si="81"/>
        <v>919</v>
      </c>
      <c r="CQ575" s="6">
        <f t="shared" ref="CQ575:EM575" si="82">SUM(CQ76:CQ78)</f>
        <v>0</v>
      </c>
      <c r="CR575" s="6">
        <f t="shared" si="82"/>
        <v>0</v>
      </c>
      <c r="CS575" s="6">
        <f t="shared" si="82"/>
        <v>0</v>
      </c>
      <c r="CT575" s="6">
        <f t="shared" si="82"/>
        <v>0</v>
      </c>
      <c r="CU575" s="6">
        <f t="shared" si="82"/>
        <v>0</v>
      </c>
      <c r="CV575" s="6">
        <f t="shared" si="82"/>
        <v>0</v>
      </c>
      <c r="CW575" s="6">
        <f t="shared" si="82"/>
        <v>0</v>
      </c>
      <c r="CX575" s="6">
        <f t="shared" si="82"/>
        <v>0</v>
      </c>
      <c r="CY575" s="6">
        <f t="shared" si="82"/>
        <v>0</v>
      </c>
      <c r="CZ575" s="6">
        <f t="shared" si="82"/>
        <v>0</v>
      </c>
      <c r="DA575" s="6">
        <f t="shared" si="82"/>
        <v>0</v>
      </c>
      <c r="DB575" s="6">
        <f t="shared" si="82"/>
        <v>0</v>
      </c>
      <c r="DC575" s="6">
        <f t="shared" si="82"/>
        <v>0</v>
      </c>
      <c r="DD575" s="6">
        <f t="shared" si="82"/>
        <v>0</v>
      </c>
      <c r="DE575" s="6">
        <f t="shared" si="82"/>
        <v>0</v>
      </c>
      <c r="DF575" s="6">
        <f t="shared" si="82"/>
        <v>0</v>
      </c>
      <c r="DG575" s="6">
        <f t="shared" si="82"/>
        <v>0</v>
      </c>
      <c r="DH575" s="6">
        <f t="shared" si="82"/>
        <v>0</v>
      </c>
      <c r="DI575" s="6">
        <f t="shared" si="82"/>
        <v>0</v>
      </c>
      <c r="DJ575" s="6">
        <f t="shared" si="82"/>
        <v>0</v>
      </c>
      <c r="DK575" s="6">
        <f t="shared" si="82"/>
        <v>0</v>
      </c>
      <c r="DL575" s="6">
        <f t="shared" si="82"/>
        <v>0</v>
      </c>
      <c r="DM575" s="6">
        <f t="shared" si="82"/>
        <v>0</v>
      </c>
      <c r="DN575" s="6">
        <f t="shared" si="82"/>
        <v>0</v>
      </c>
      <c r="DO575" s="6">
        <f t="shared" si="82"/>
        <v>0</v>
      </c>
      <c r="DP575" s="6">
        <f t="shared" si="82"/>
        <v>0</v>
      </c>
      <c r="DQ575" s="6">
        <f t="shared" si="82"/>
        <v>0</v>
      </c>
      <c r="DR575" s="6">
        <f t="shared" si="82"/>
        <v>0</v>
      </c>
      <c r="DS575" s="6">
        <f t="shared" si="82"/>
        <v>0</v>
      </c>
      <c r="DT575" s="6">
        <f t="shared" si="82"/>
        <v>0</v>
      </c>
      <c r="DU575" s="6">
        <f t="shared" si="82"/>
        <v>0</v>
      </c>
      <c r="DV575" s="6">
        <f t="shared" si="82"/>
        <v>0</v>
      </c>
      <c r="DW575" s="6">
        <f t="shared" si="82"/>
        <v>0</v>
      </c>
      <c r="DX575" s="6">
        <f t="shared" si="82"/>
        <v>0</v>
      </c>
      <c r="DY575" s="6">
        <f t="shared" si="82"/>
        <v>0</v>
      </c>
      <c r="DZ575" s="6">
        <f t="shared" si="82"/>
        <v>0</v>
      </c>
      <c r="EA575" s="6">
        <f t="shared" si="82"/>
        <v>0</v>
      </c>
      <c r="EB575" s="6">
        <f t="shared" si="82"/>
        <v>0</v>
      </c>
      <c r="EC575" s="6">
        <f t="shared" si="82"/>
        <v>0</v>
      </c>
      <c r="ED575" s="6">
        <f t="shared" si="82"/>
        <v>0</v>
      </c>
      <c r="EE575" s="6">
        <f t="shared" si="82"/>
        <v>0</v>
      </c>
      <c r="EF575" s="6">
        <f t="shared" si="82"/>
        <v>0</v>
      </c>
      <c r="EG575" s="6">
        <f t="shared" si="82"/>
        <v>0</v>
      </c>
      <c r="EH575" s="6">
        <f t="shared" si="82"/>
        <v>0</v>
      </c>
      <c r="EI575" s="6">
        <f t="shared" si="82"/>
        <v>0</v>
      </c>
      <c r="EJ575" s="6">
        <f t="shared" si="82"/>
        <v>0</v>
      </c>
      <c r="EK575" s="6">
        <f t="shared" si="82"/>
        <v>0</v>
      </c>
      <c r="EL575" s="6">
        <f t="shared" si="82"/>
        <v>0</v>
      </c>
      <c r="EM575" s="6">
        <f t="shared" si="82"/>
        <v>0</v>
      </c>
      <c r="EN575" s="6">
        <f t="shared" ref="EN575:GR575" si="83">SUM(EN76:EN78)</f>
        <v>0</v>
      </c>
      <c r="EO575" s="6">
        <f t="shared" si="83"/>
        <v>0</v>
      </c>
      <c r="EP575" s="6">
        <f t="shared" si="83"/>
        <v>0</v>
      </c>
      <c r="EQ575" s="6">
        <f t="shared" si="83"/>
        <v>0</v>
      </c>
      <c r="ER575" s="6">
        <f t="shared" si="83"/>
        <v>0</v>
      </c>
      <c r="ES575" s="6">
        <f t="shared" si="83"/>
        <v>0</v>
      </c>
      <c r="ET575" s="6">
        <f t="shared" si="83"/>
        <v>0</v>
      </c>
      <c r="EU575" s="6">
        <f t="shared" si="83"/>
        <v>0</v>
      </c>
      <c r="EV575" s="6">
        <f t="shared" si="83"/>
        <v>0</v>
      </c>
      <c r="EW575" s="6">
        <f t="shared" si="83"/>
        <v>0</v>
      </c>
      <c r="EX575" s="6">
        <f t="shared" si="83"/>
        <v>0</v>
      </c>
      <c r="EY575" s="6">
        <f t="shared" si="83"/>
        <v>0</v>
      </c>
      <c r="EZ575" s="6">
        <f t="shared" si="83"/>
        <v>0</v>
      </c>
      <c r="FA575" s="6">
        <f t="shared" si="83"/>
        <v>0</v>
      </c>
      <c r="FB575" s="6">
        <f t="shared" si="83"/>
        <v>0</v>
      </c>
      <c r="FC575" s="6">
        <f t="shared" si="83"/>
        <v>0</v>
      </c>
      <c r="FD575" s="6">
        <f t="shared" si="83"/>
        <v>0</v>
      </c>
      <c r="FE575" s="6">
        <f t="shared" si="83"/>
        <v>0</v>
      </c>
      <c r="FF575" s="6">
        <f t="shared" si="83"/>
        <v>0</v>
      </c>
      <c r="FG575" s="6">
        <f t="shared" si="83"/>
        <v>0</v>
      </c>
      <c r="FH575" s="6">
        <f t="shared" si="83"/>
        <v>0</v>
      </c>
      <c r="FI575" s="6">
        <f t="shared" si="83"/>
        <v>0</v>
      </c>
      <c r="FJ575" s="6">
        <f t="shared" si="83"/>
        <v>0</v>
      </c>
      <c r="FK575" s="6">
        <f t="shared" si="83"/>
        <v>0</v>
      </c>
      <c r="FL575" s="6">
        <f t="shared" si="83"/>
        <v>0</v>
      </c>
      <c r="FM575" s="6">
        <f t="shared" si="83"/>
        <v>0</v>
      </c>
      <c r="FN575" s="6">
        <f t="shared" si="83"/>
        <v>0</v>
      </c>
      <c r="FO575" s="6">
        <f t="shared" si="83"/>
        <v>0</v>
      </c>
      <c r="FP575" s="6">
        <f t="shared" si="83"/>
        <v>0</v>
      </c>
      <c r="FQ575" s="6">
        <f t="shared" si="83"/>
        <v>0</v>
      </c>
      <c r="FR575" s="6">
        <f t="shared" si="83"/>
        <v>0</v>
      </c>
      <c r="FS575" s="6">
        <f t="shared" si="83"/>
        <v>0</v>
      </c>
      <c r="FT575" s="6">
        <f t="shared" si="83"/>
        <v>0</v>
      </c>
      <c r="FU575" s="6">
        <f t="shared" si="83"/>
        <v>0</v>
      </c>
      <c r="FV575" s="6">
        <f t="shared" si="83"/>
        <v>0</v>
      </c>
      <c r="FW575" s="6">
        <f t="shared" si="83"/>
        <v>0</v>
      </c>
      <c r="FX575" s="6">
        <f t="shared" si="83"/>
        <v>0</v>
      </c>
      <c r="FY575" s="6">
        <f t="shared" si="83"/>
        <v>1918</v>
      </c>
      <c r="FZ575" s="6">
        <f t="shared" si="83"/>
        <v>706</v>
      </c>
      <c r="GA575" s="6">
        <f t="shared" si="83"/>
        <v>0</v>
      </c>
      <c r="GB575" s="6">
        <f t="shared" si="83"/>
        <v>0</v>
      </c>
      <c r="GC575" s="6">
        <f t="shared" si="83"/>
        <v>0</v>
      </c>
      <c r="GD575" s="6">
        <f t="shared" si="83"/>
        <v>0</v>
      </c>
      <c r="GE575" s="6">
        <f t="shared" si="83"/>
        <v>0</v>
      </c>
      <c r="GF575" s="6">
        <f t="shared" si="83"/>
        <v>0</v>
      </c>
      <c r="GG575" s="6">
        <f t="shared" si="83"/>
        <v>0</v>
      </c>
      <c r="GH575" s="6">
        <f t="shared" si="83"/>
        <v>0</v>
      </c>
      <c r="GI575" s="6">
        <f t="shared" si="83"/>
        <v>0</v>
      </c>
      <c r="GJ575" s="6">
        <f t="shared" si="83"/>
        <v>0</v>
      </c>
      <c r="GK575" s="6">
        <f t="shared" si="83"/>
        <v>0</v>
      </c>
      <c r="GL575" s="6">
        <f t="shared" si="83"/>
        <v>0</v>
      </c>
      <c r="GM575" s="6">
        <f t="shared" si="83"/>
        <v>0</v>
      </c>
      <c r="GN575" s="6">
        <f t="shared" si="83"/>
        <v>0</v>
      </c>
      <c r="GO575" s="6">
        <f t="shared" si="83"/>
        <v>2141</v>
      </c>
      <c r="GP575" s="6">
        <f t="shared" si="83"/>
        <v>492</v>
      </c>
      <c r="GQ575" s="6">
        <f t="shared" si="83"/>
        <v>2128</v>
      </c>
      <c r="GR575" s="6">
        <f t="shared" si="83"/>
        <v>473</v>
      </c>
    </row>
    <row r="576" spans="1:200">
      <c r="A576" s="6"/>
      <c r="B576" s="13" t="s">
        <v>49</v>
      </c>
      <c r="C576" s="14">
        <f>SUM(C79:C81)</f>
        <v>7731</v>
      </c>
      <c r="D576" s="14">
        <f>SUM(D79:D81)</f>
        <v>4385</v>
      </c>
      <c r="E576" s="15">
        <f t="shared" si="28"/>
        <v>0.56719699909455434</v>
      </c>
      <c r="F576" s="66">
        <f t="shared" ref="F576:AB576" si="84">SUM(F79:F81)</f>
        <v>3082</v>
      </c>
      <c r="G576" s="6">
        <f t="shared" si="84"/>
        <v>11</v>
      </c>
      <c r="H576" s="6">
        <f t="shared" si="84"/>
        <v>222</v>
      </c>
      <c r="I576" s="6">
        <f t="shared" si="84"/>
        <v>84</v>
      </c>
      <c r="J576" s="59">
        <f t="shared" si="84"/>
        <v>922</v>
      </c>
      <c r="K576" s="6">
        <f t="shared" si="84"/>
        <v>0</v>
      </c>
      <c r="L576" s="6">
        <f t="shared" si="84"/>
        <v>0</v>
      </c>
      <c r="M576" s="6">
        <f t="shared" si="84"/>
        <v>0</v>
      </c>
      <c r="N576" s="6">
        <f t="shared" si="84"/>
        <v>0</v>
      </c>
      <c r="O576" s="6">
        <f t="shared" si="84"/>
        <v>0</v>
      </c>
      <c r="P576" s="6">
        <f t="shared" si="84"/>
        <v>0</v>
      </c>
      <c r="Q576" s="6">
        <f t="shared" si="84"/>
        <v>0</v>
      </c>
      <c r="R576" s="6">
        <f t="shared" si="84"/>
        <v>0</v>
      </c>
      <c r="S576" s="6">
        <f t="shared" si="84"/>
        <v>0</v>
      </c>
      <c r="T576" s="6">
        <f t="shared" si="84"/>
        <v>0</v>
      </c>
      <c r="U576" s="6">
        <f t="shared" si="84"/>
        <v>0</v>
      </c>
      <c r="V576" s="6">
        <f t="shared" si="84"/>
        <v>0</v>
      </c>
      <c r="W576" s="6">
        <f t="shared" si="84"/>
        <v>16</v>
      </c>
      <c r="X576" s="6">
        <f t="shared" si="84"/>
        <v>0</v>
      </c>
      <c r="Y576" s="6">
        <f t="shared" si="84"/>
        <v>0</v>
      </c>
      <c r="Z576" s="6">
        <f t="shared" si="84"/>
        <v>0</v>
      </c>
      <c r="AA576" s="6">
        <f t="shared" si="84"/>
        <v>0</v>
      </c>
      <c r="AB576" s="6">
        <f t="shared" si="84"/>
        <v>0</v>
      </c>
      <c r="AC576" s="6">
        <f t="shared" ref="AC576:BZ576" si="85">SUM(AC79:AC81)</f>
        <v>47</v>
      </c>
      <c r="AD576" s="6">
        <f t="shared" si="85"/>
        <v>172</v>
      </c>
      <c r="AE576" s="6">
        <f t="shared" si="85"/>
        <v>1307</v>
      </c>
      <c r="AF576" s="6">
        <f t="shared" si="85"/>
        <v>51</v>
      </c>
      <c r="AG576" s="6">
        <f t="shared" si="85"/>
        <v>0</v>
      </c>
      <c r="AH576" s="6">
        <f t="shared" si="85"/>
        <v>2559</v>
      </c>
      <c r="AI576" s="6">
        <f t="shared" si="85"/>
        <v>1164</v>
      </c>
      <c r="AJ576" s="6">
        <f t="shared" si="85"/>
        <v>7</v>
      </c>
      <c r="AK576" s="6">
        <f t="shared" si="85"/>
        <v>2</v>
      </c>
      <c r="AL576" s="6">
        <f t="shared" si="85"/>
        <v>2831</v>
      </c>
      <c r="AM576" s="6">
        <f t="shared" si="85"/>
        <v>0</v>
      </c>
      <c r="AN576" s="6">
        <f t="shared" si="85"/>
        <v>0</v>
      </c>
      <c r="AO576" s="6">
        <f t="shared" si="85"/>
        <v>0</v>
      </c>
      <c r="AP576" s="6">
        <f t="shared" si="85"/>
        <v>0</v>
      </c>
      <c r="AQ576" s="6">
        <f t="shared" si="85"/>
        <v>0</v>
      </c>
      <c r="AR576" s="6">
        <f t="shared" si="85"/>
        <v>0</v>
      </c>
      <c r="AS576" s="6">
        <f t="shared" si="85"/>
        <v>0</v>
      </c>
      <c r="AT576" s="6">
        <f t="shared" si="85"/>
        <v>0</v>
      </c>
      <c r="AU576" s="6">
        <f t="shared" si="85"/>
        <v>0</v>
      </c>
      <c r="AV576" s="6">
        <f t="shared" si="85"/>
        <v>0</v>
      </c>
      <c r="AW576" s="6">
        <f t="shared" si="85"/>
        <v>0</v>
      </c>
      <c r="AX576" s="6">
        <f t="shared" si="85"/>
        <v>0</v>
      </c>
      <c r="AY576" s="6">
        <f t="shared" si="85"/>
        <v>2754</v>
      </c>
      <c r="AZ576" s="6">
        <f t="shared" si="85"/>
        <v>1104</v>
      </c>
      <c r="BA576" s="6">
        <f t="shared" si="85"/>
        <v>0</v>
      </c>
      <c r="BB576" s="6">
        <f t="shared" si="85"/>
        <v>0</v>
      </c>
      <c r="BC576" s="6">
        <f t="shared" si="85"/>
        <v>0</v>
      </c>
      <c r="BD576" s="6">
        <f t="shared" si="85"/>
        <v>0</v>
      </c>
      <c r="BE576" s="6">
        <f t="shared" si="85"/>
        <v>1041</v>
      </c>
      <c r="BF576" s="6">
        <f t="shared" si="85"/>
        <v>2720</v>
      </c>
      <c r="BG576" s="6">
        <f t="shared" si="85"/>
        <v>1072</v>
      </c>
      <c r="BH576" s="6">
        <f t="shared" si="85"/>
        <v>2681</v>
      </c>
      <c r="BI576" s="6">
        <f t="shared" si="85"/>
        <v>1232</v>
      </c>
      <c r="BJ576" s="6">
        <f t="shared" si="85"/>
        <v>2507</v>
      </c>
      <c r="BK576" s="6">
        <f t="shared" si="85"/>
        <v>2636</v>
      </c>
      <c r="BL576" s="6">
        <f t="shared" si="85"/>
        <v>1103</v>
      </c>
      <c r="BM576" s="6">
        <f t="shared" si="85"/>
        <v>1046</v>
      </c>
      <c r="BN576" s="6">
        <f t="shared" si="85"/>
        <v>2712</v>
      </c>
      <c r="BO576" s="6">
        <f t="shared" si="85"/>
        <v>2533</v>
      </c>
      <c r="BP576" s="6">
        <f t="shared" si="85"/>
        <v>1086</v>
      </c>
      <c r="BQ576" s="6">
        <f t="shared" si="85"/>
        <v>1159</v>
      </c>
      <c r="BR576" s="6">
        <f t="shared" si="85"/>
        <v>2503</v>
      </c>
      <c r="BS576" s="6">
        <f t="shared" si="85"/>
        <v>2412</v>
      </c>
      <c r="BT576" s="6">
        <f t="shared" si="85"/>
        <v>1002</v>
      </c>
      <c r="BU576" s="6">
        <f t="shared" si="85"/>
        <v>2724</v>
      </c>
      <c r="BV576" s="6">
        <f t="shared" si="85"/>
        <v>2635</v>
      </c>
      <c r="BW576" s="6">
        <f t="shared" si="85"/>
        <v>1229</v>
      </c>
      <c r="BX576" s="6">
        <f t="shared" si="85"/>
        <v>1801</v>
      </c>
      <c r="BY576" s="6">
        <f t="shared" si="85"/>
        <v>964</v>
      </c>
      <c r="BZ576" s="6">
        <f t="shared" si="85"/>
        <v>2176</v>
      </c>
      <c r="CA576" s="6">
        <f t="shared" ref="CA576:CP576" si="86">SUM(CA79:CA81)</f>
        <v>2376</v>
      </c>
      <c r="CB576" s="6">
        <f t="shared" si="86"/>
        <v>941</v>
      </c>
      <c r="CC576" s="6">
        <f t="shared" si="86"/>
        <v>2025</v>
      </c>
      <c r="CD576" s="6">
        <f t="shared" si="86"/>
        <v>2610</v>
      </c>
      <c r="CE576" s="6">
        <f t="shared" si="86"/>
        <v>2032</v>
      </c>
      <c r="CF576" s="6">
        <f t="shared" si="86"/>
        <v>919</v>
      </c>
      <c r="CG576" s="6">
        <f t="shared" si="86"/>
        <v>1040</v>
      </c>
      <c r="CH576" s="6">
        <f t="shared" si="86"/>
        <v>1797</v>
      </c>
      <c r="CI576" s="6">
        <f t="shared" si="86"/>
        <v>1536</v>
      </c>
      <c r="CJ576" s="6">
        <f t="shared" si="86"/>
        <v>1384</v>
      </c>
      <c r="CK576" s="6">
        <f t="shared" si="86"/>
        <v>1273</v>
      </c>
      <c r="CL576" s="6">
        <f t="shared" si="86"/>
        <v>1668</v>
      </c>
      <c r="CM576" s="6">
        <f t="shared" si="86"/>
        <v>2290</v>
      </c>
      <c r="CN576" s="6">
        <f t="shared" si="86"/>
        <v>2359</v>
      </c>
      <c r="CO576" s="6">
        <f t="shared" si="86"/>
        <v>1660</v>
      </c>
      <c r="CP576" s="6">
        <f t="shared" si="86"/>
        <v>1297</v>
      </c>
      <c r="CQ576" s="6">
        <f t="shared" ref="CQ576:EM576" si="87">SUM(CQ79:CQ81)</f>
        <v>0</v>
      </c>
      <c r="CR576" s="6">
        <f t="shared" si="87"/>
        <v>0</v>
      </c>
      <c r="CS576" s="6">
        <f t="shared" si="87"/>
        <v>0</v>
      </c>
      <c r="CT576" s="6">
        <f t="shared" si="87"/>
        <v>0</v>
      </c>
      <c r="CU576" s="6">
        <f t="shared" si="87"/>
        <v>0</v>
      </c>
      <c r="CV576" s="6">
        <f t="shared" si="87"/>
        <v>0</v>
      </c>
      <c r="CW576" s="6">
        <f t="shared" si="87"/>
        <v>0</v>
      </c>
      <c r="CX576" s="6">
        <f t="shared" si="87"/>
        <v>0</v>
      </c>
      <c r="CY576" s="6">
        <f t="shared" si="87"/>
        <v>0</v>
      </c>
      <c r="CZ576" s="6">
        <f t="shared" si="87"/>
        <v>0</v>
      </c>
      <c r="DA576" s="6">
        <f t="shared" si="87"/>
        <v>0</v>
      </c>
      <c r="DB576" s="6">
        <f t="shared" si="87"/>
        <v>0</v>
      </c>
      <c r="DC576" s="6">
        <f t="shared" si="87"/>
        <v>0</v>
      </c>
      <c r="DD576" s="6">
        <f t="shared" si="87"/>
        <v>0</v>
      </c>
      <c r="DE576" s="6">
        <f t="shared" si="87"/>
        <v>0</v>
      </c>
      <c r="DF576" s="6">
        <f t="shared" si="87"/>
        <v>0</v>
      </c>
      <c r="DG576" s="6">
        <f t="shared" si="87"/>
        <v>0</v>
      </c>
      <c r="DH576" s="6">
        <f t="shared" si="87"/>
        <v>0</v>
      </c>
      <c r="DI576" s="6">
        <f t="shared" si="87"/>
        <v>0</v>
      </c>
      <c r="DJ576" s="6">
        <f t="shared" si="87"/>
        <v>0</v>
      </c>
      <c r="DK576" s="6">
        <f t="shared" si="87"/>
        <v>0</v>
      </c>
      <c r="DL576" s="6">
        <f t="shared" si="87"/>
        <v>0</v>
      </c>
      <c r="DM576" s="6">
        <f t="shared" si="87"/>
        <v>0</v>
      </c>
      <c r="DN576" s="6">
        <f t="shared" si="87"/>
        <v>0</v>
      </c>
      <c r="DO576" s="6">
        <f t="shared" si="87"/>
        <v>0</v>
      </c>
      <c r="DP576" s="6">
        <f t="shared" si="87"/>
        <v>0</v>
      </c>
      <c r="DQ576" s="6">
        <f t="shared" si="87"/>
        <v>0</v>
      </c>
      <c r="DR576" s="6">
        <f t="shared" si="87"/>
        <v>0</v>
      </c>
      <c r="DS576" s="6">
        <f t="shared" si="87"/>
        <v>0</v>
      </c>
      <c r="DT576" s="6">
        <f t="shared" si="87"/>
        <v>0</v>
      </c>
      <c r="DU576" s="6">
        <f t="shared" si="87"/>
        <v>0</v>
      </c>
      <c r="DV576" s="6">
        <f t="shared" si="87"/>
        <v>0</v>
      </c>
      <c r="DW576" s="6">
        <f t="shared" si="87"/>
        <v>0</v>
      </c>
      <c r="DX576" s="6">
        <f t="shared" si="87"/>
        <v>0</v>
      </c>
      <c r="DY576" s="6">
        <f t="shared" si="87"/>
        <v>0</v>
      </c>
      <c r="DZ576" s="6">
        <f t="shared" si="87"/>
        <v>0</v>
      </c>
      <c r="EA576" s="6">
        <f t="shared" si="87"/>
        <v>0</v>
      </c>
      <c r="EB576" s="6">
        <f t="shared" si="87"/>
        <v>0</v>
      </c>
      <c r="EC576" s="6">
        <f t="shared" si="87"/>
        <v>0</v>
      </c>
      <c r="ED576" s="6">
        <f t="shared" si="87"/>
        <v>0</v>
      </c>
      <c r="EE576" s="6">
        <f t="shared" si="87"/>
        <v>0</v>
      </c>
      <c r="EF576" s="6">
        <f t="shared" si="87"/>
        <v>0</v>
      </c>
      <c r="EG576" s="6">
        <f t="shared" si="87"/>
        <v>0</v>
      </c>
      <c r="EH576" s="6">
        <f t="shared" si="87"/>
        <v>0</v>
      </c>
      <c r="EI576" s="6">
        <f t="shared" si="87"/>
        <v>0</v>
      </c>
      <c r="EJ576" s="6">
        <f t="shared" si="87"/>
        <v>0</v>
      </c>
      <c r="EK576" s="6">
        <f t="shared" si="87"/>
        <v>0</v>
      </c>
      <c r="EL576" s="6">
        <f t="shared" si="87"/>
        <v>0</v>
      </c>
      <c r="EM576" s="6">
        <f t="shared" si="87"/>
        <v>0</v>
      </c>
      <c r="EN576" s="6">
        <f t="shared" ref="EN576:GR576" si="88">SUM(EN79:EN81)</f>
        <v>0</v>
      </c>
      <c r="EO576" s="6">
        <f t="shared" si="88"/>
        <v>0</v>
      </c>
      <c r="EP576" s="6">
        <f t="shared" si="88"/>
        <v>0</v>
      </c>
      <c r="EQ576" s="6">
        <f t="shared" si="88"/>
        <v>0</v>
      </c>
      <c r="ER576" s="6">
        <f t="shared" si="88"/>
        <v>0</v>
      </c>
      <c r="ES576" s="6">
        <f t="shared" si="88"/>
        <v>0</v>
      </c>
      <c r="ET576" s="6">
        <f t="shared" si="88"/>
        <v>0</v>
      </c>
      <c r="EU576" s="6">
        <f t="shared" si="88"/>
        <v>0</v>
      </c>
      <c r="EV576" s="6">
        <f t="shared" si="88"/>
        <v>0</v>
      </c>
      <c r="EW576" s="6">
        <f t="shared" si="88"/>
        <v>0</v>
      </c>
      <c r="EX576" s="6">
        <f t="shared" si="88"/>
        <v>0</v>
      </c>
      <c r="EY576" s="6">
        <f t="shared" si="88"/>
        <v>0</v>
      </c>
      <c r="EZ576" s="6">
        <f t="shared" si="88"/>
        <v>0</v>
      </c>
      <c r="FA576" s="6">
        <f t="shared" si="88"/>
        <v>0</v>
      </c>
      <c r="FB576" s="6">
        <f t="shared" si="88"/>
        <v>0</v>
      </c>
      <c r="FC576" s="6">
        <f t="shared" si="88"/>
        <v>0</v>
      </c>
      <c r="FD576" s="6">
        <f t="shared" si="88"/>
        <v>0</v>
      </c>
      <c r="FE576" s="6">
        <f t="shared" si="88"/>
        <v>0</v>
      </c>
      <c r="FF576" s="6">
        <f t="shared" si="88"/>
        <v>0</v>
      </c>
      <c r="FG576" s="6">
        <f t="shared" si="88"/>
        <v>0</v>
      </c>
      <c r="FH576" s="6">
        <f t="shared" si="88"/>
        <v>0</v>
      </c>
      <c r="FI576" s="6">
        <f t="shared" si="88"/>
        <v>0</v>
      </c>
      <c r="FJ576" s="6">
        <f t="shared" si="88"/>
        <v>0</v>
      </c>
      <c r="FK576" s="6">
        <f t="shared" si="88"/>
        <v>0</v>
      </c>
      <c r="FL576" s="6">
        <f t="shared" si="88"/>
        <v>0</v>
      </c>
      <c r="FM576" s="6">
        <f t="shared" si="88"/>
        <v>0</v>
      </c>
      <c r="FN576" s="6">
        <f t="shared" si="88"/>
        <v>0</v>
      </c>
      <c r="FO576" s="6">
        <f t="shared" si="88"/>
        <v>0</v>
      </c>
      <c r="FP576" s="6">
        <f t="shared" si="88"/>
        <v>0</v>
      </c>
      <c r="FQ576" s="6">
        <f t="shared" si="88"/>
        <v>0</v>
      </c>
      <c r="FR576" s="6">
        <f t="shared" si="88"/>
        <v>0</v>
      </c>
      <c r="FS576" s="6">
        <f t="shared" si="88"/>
        <v>0</v>
      </c>
      <c r="FT576" s="6">
        <f t="shared" si="88"/>
        <v>0</v>
      </c>
      <c r="FU576" s="6">
        <f t="shared" si="88"/>
        <v>0</v>
      </c>
      <c r="FV576" s="6">
        <f t="shared" si="88"/>
        <v>0</v>
      </c>
      <c r="FW576" s="6">
        <f t="shared" si="88"/>
        <v>0</v>
      </c>
      <c r="FX576" s="6">
        <f t="shared" si="88"/>
        <v>0</v>
      </c>
      <c r="FY576" s="6">
        <f t="shared" si="88"/>
        <v>2945</v>
      </c>
      <c r="FZ576" s="6">
        <f t="shared" si="88"/>
        <v>904</v>
      </c>
      <c r="GA576" s="6">
        <f t="shared" si="88"/>
        <v>0</v>
      </c>
      <c r="GB576" s="6">
        <f t="shared" si="88"/>
        <v>0</v>
      </c>
      <c r="GC576" s="6">
        <f t="shared" si="88"/>
        <v>0</v>
      </c>
      <c r="GD576" s="6">
        <f t="shared" si="88"/>
        <v>0</v>
      </c>
      <c r="GE576" s="6">
        <f t="shared" si="88"/>
        <v>0</v>
      </c>
      <c r="GF576" s="6">
        <f t="shared" si="88"/>
        <v>0</v>
      </c>
      <c r="GG576" s="6">
        <f t="shared" si="88"/>
        <v>0</v>
      </c>
      <c r="GH576" s="6">
        <f t="shared" si="88"/>
        <v>0</v>
      </c>
      <c r="GI576" s="6">
        <f t="shared" si="88"/>
        <v>0</v>
      </c>
      <c r="GJ576" s="6">
        <f t="shared" si="88"/>
        <v>0</v>
      </c>
      <c r="GK576" s="6">
        <f t="shared" si="88"/>
        <v>0</v>
      </c>
      <c r="GL576" s="6">
        <f t="shared" si="88"/>
        <v>0</v>
      </c>
      <c r="GM576" s="6">
        <f t="shared" si="88"/>
        <v>0</v>
      </c>
      <c r="GN576" s="6">
        <f t="shared" si="88"/>
        <v>0</v>
      </c>
      <c r="GO576" s="6">
        <f t="shared" si="88"/>
        <v>3127</v>
      </c>
      <c r="GP576" s="6">
        <f t="shared" si="88"/>
        <v>702</v>
      </c>
      <c r="GQ576" s="6">
        <f t="shared" si="88"/>
        <v>3202</v>
      </c>
      <c r="GR576" s="6">
        <f t="shared" si="88"/>
        <v>612</v>
      </c>
    </row>
    <row r="577" spans="1:200">
      <c r="A577" s="6"/>
      <c r="B577" s="13" t="s">
        <v>693</v>
      </c>
      <c r="C577" s="14">
        <f>SUM(C82:C88)</f>
        <v>9795</v>
      </c>
      <c r="D577" s="14">
        <f>SUM(D82:D88)</f>
        <v>5598</v>
      </c>
      <c r="E577" s="15">
        <f t="shared" si="28"/>
        <v>0.57151607963246553</v>
      </c>
      <c r="F577" s="66">
        <f t="shared" ref="F577:AB577" si="89">SUM(F82:F88)</f>
        <v>4901</v>
      </c>
      <c r="G577" s="6">
        <f t="shared" si="89"/>
        <v>12</v>
      </c>
      <c r="H577" s="6">
        <f t="shared" si="89"/>
        <v>74</v>
      </c>
      <c r="I577" s="6">
        <f t="shared" si="89"/>
        <v>41</v>
      </c>
      <c r="J577" s="59">
        <f t="shared" si="89"/>
        <v>472</v>
      </c>
      <c r="K577" s="6">
        <f t="shared" si="89"/>
        <v>0</v>
      </c>
      <c r="L577" s="6">
        <f t="shared" si="89"/>
        <v>0</v>
      </c>
      <c r="M577" s="6">
        <f t="shared" si="89"/>
        <v>1</v>
      </c>
      <c r="N577" s="6">
        <f t="shared" si="89"/>
        <v>0</v>
      </c>
      <c r="O577" s="6">
        <f t="shared" si="89"/>
        <v>0</v>
      </c>
      <c r="P577" s="6">
        <f t="shared" si="89"/>
        <v>0</v>
      </c>
      <c r="Q577" s="6">
        <f t="shared" si="89"/>
        <v>0</v>
      </c>
      <c r="R577" s="6">
        <f t="shared" si="89"/>
        <v>0</v>
      </c>
      <c r="S577" s="6">
        <f t="shared" si="89"/>
        <v>0</v>
      </c>
      <c r="T577" s="6">
        <f t="shared" si="89"/>
        <v>0</v>
      </c>
      <c r="U577" s="6">
        <f t="shared" si="89"/>
        <v>0</v>
      </c>
      <c r="V577" s="6">
        <f t="shared" si="89"/>
        <v>1</v>
      </c>
      <c r="W577" s="6">
        <f t="shared" si="89"/>
        <v>8</v>
      </c>
      <c r="X577" s="6">
        <f t="shared" si="89"/>
        <v>0</v>
      </c>
      <c r="Y577" s="6">
        <f t="shared" si="89"/>
        <v>0</v>
      </c>
      <c r="Z577" s="6">
        <f t="shared" si="89"/>
        <v>0</v>
      </c>
      <c r="AA577" s="6">
        <f t="shared" si="89"/>
        <v>0</v>
      </c>
      <c r="AB577" s="6">
        <f t="shared" si="89"/>
        <v>0</v>
      </c>
      <c r="AC577" s="6">
        <f t="shared" ref="AC577:BZ577" si="90">SUM(AC82:AC88)</f>
        <v>69</v>
      </c>
      <c r="AD577" s="6">
        <f t="shared" si="90"/>
        <v>84</v>
      </c>
      <c r="AE577" s="6">
        <f t="shared" si="90"/>
        <v>926</v>
      </c>
      <c r="AF577" s="6">
        <f t="shared" si="90"/>
        <v>52</v>
      </c>
      <c r="AG577" s="6">
        <f t="shared" si="90"/>
        <v>0</v>
      </c>
      <c r="AH577" s="6">
        <f t="shared" si="90"/>
        <v>4177</v>
      </c>
      <c r="AI577" s="6">
        <f t="shared" si="90"/>
        <v>814</v>
      </c>
      <c r="AJ577" s="6">
        <f t="shared" si="90"/>
        <v>0</v>
      </c>
      <c r="AK577" s="6">
        <f t="shared" si="90"/>
        <v>0</v>
      </c>
      <c r="AL577" s="6">
        <f t="shared" si="90"/>
        <v>4471</v>
      </c>
      <c r="AM577" s="6">
        <f t="shared" si="90"/>
        <v>0</v>
      </c>
      <c r="AN577" s="6">
        <f t="shared" si="90"/>
        <v>0</v>
      </c>
      <c r="AO577" s="6">
        <f t="shared" si="90"/>
        <v>0</v>
      </c>
      <c r="AP577" s="6">
        <f t="shared" si="90"/>
        <v>0</v>
      </c>
      <c r="AQ577" s="6">
        <f t="shared" si="90"/>
        <v>0</v>
      </c>
      <c r="AR577" s="6">
        <f t="shared" si="90"/>
        <v>0</v>
      </c>
      <c r="AS577" s="6">
        <f t="shared" si="90"/>
        <v>0</v>
      </c>
      <c r="AT577" s="6">
        <f t="shared" si="90"/>
        <v>0</v>
      </c>
      <c r="AU577" s="6">
        <f t="shared" si="90"/>
        <v>0</v>
      </c>
      <c r="AV577" s="6">
        <f t="shared" si="90"/>
        <v>0</v>
      </c>
      <c r="AW577" s="6">
        <f t="shared" si="90"/>
        <v>0</v>
      </c>
      <c r="AX577" s="6">
        <f t="shared" si="90"/>
        <v>0</v>
      </c>
      <c r="AY577" s="6">
        <f t="shared" si="90"/>
        <v>0</v>
      </c>
      <c r="AZ577" s="6">
        <f t="shared" si="90"/>
        <v>0</v>
      </c>
      <c r="BA577" s="6">
        <f t="shared" si="90"/>
        <v>0</v>
      </c>
      <c r="BB577" s="6">
        <f t="shared" si="90"/>
        <v>0</v>
      </c>
      <c r="BC577" s="6">
        <f t="shared" si="90"/>
        <v>606</v>
      </c>
      <c r="BD577" s="6">
        <f t="shared" si="90"/>
        <v>4740</v>
      </c>
      <c r="BE577" s="6">
        <f t="shared" si="90"/>
        <v>538</v>
      </c>
      <c r="BF577" s="6">
        <f t="shared" si="90"/>
        <v>4679</v>
      </c>
      <c r="BG577" s="6">
        <f t="shared" si="90"/>
        <v>669</v>
      </c>
      <c r="BH577" s="6">
        <f t="shared" si="90"/>
        <v>4561</v>
      </c>
      <c r="BI577" s="6">
        <f t="shared" si="90"/>
        <v>946</v>
      </c>
      <c r="BJ577" s="6">
        <f t="shared" si="90"/>
        <v>4276</v>
      </c>
      <c r="BK577" s="6">
        <f t="shared" si="90"/>
        <v>4411</v>
      </c>
      <c r="BL577" s="6">
        <f t="shared" si="90"/>
        <v>795</v>
      </c>
      <c r="BM577" s="6">
        <f t="shared" si="90"/>
        <v>603</v>
      </c>
      <c r="BN577" s="6">
        <f t="shared" si="90"/>
        <v>4544</v>
      </c>
      <c r="BO577" s="6">
        <f t="shared" si="90"/>
        <v>4394</v>
      </c>
      <c r="BP577" s="6">
        <f t="shared" si="90"/>
        <v>697</v>
      </c>
      <c r="BQ577" s="6">
        <f t="shared" si="90"/>
        <v>813</v>
      </c>
      <c r="BR577" s="6">
        <f t="shared" si="90"/>
        <v>4284</v>
      </c>
      <c r="BS577" s="6">
        <f t="shared" si="90"/>
        <v>1952</v>
      </c>
      <c r="BT577" s="6">
        <f t="shared" si="90"/>
        <v>502</v>
      </c>
      <c r="BU577" s="6">
        <f t="shared" si="90"/>
        <v>4686</v>
      </c>
      <c r="BV577" s="6">
        <f t="shared" si="90"/>
        <v>2725</v>
      </c>
      <c r="BW577" s="6">
        <f t="shared" si="90"/>
        <v>1381</v>
      </c>
      <c r="BX577" s="6">
        <f t="shared" si="90"/>
        <v>2786</v>
      </c>
      <c r="BY577" s="6">
        <f t="shared" si="90"/>
        <v>1251</v>
      </c>
      <c r="BZ577" s="6">
        <f t="shared" si="90"/>
        <v>3278</v>
      </c>
      <c r="CA577" s="6">
        <f t="shared" ref="CA577:CP577" si="91">SUM(CA82:CA88)</f>
        <v>2385</v>
      </c>
      <c r="CB577" s="6">
        <f t="shared" si="91"/>
        <v>876</v>
      </c>
      <c r="CC577" s="6">
        <f t="shared" si="91"/>
        <v>3345</v>
      </c>
      <c r="CD577" s="6">
        <f t="shared" si="91"/>
        <v>3099</v>
      </c>
      <c r="CE577" s="6">
        <f t="shared" si="91"/>
        <v>3258</v>
      </c>
      <c r="CF577" s="6">
        <f t="shared" si="91"/>
        <v>975</v>
      </c>
      <c r="CG577" s="6">
        <f t="shared" si="91"/>
        <v>1125</v>
      </c>
      <c r="CH577" s="6">
        <f t="shared" si="91"/>
        <v>2855</v>
      </c>
      <c r="CI577" s="6">
        <f t="shared" si="91"/>
        <v>2614</v>
      </c>
      <c r="CJ577" s="6">
        <f t="shared" si="91"/>
        <v>1532</v>
      </c>
      <c r="CK577" s="6">
        <f t="shared" si="91"/>
        <v>1622</v>
      </c>
      <c r="CL577" s="6">
        <f t="shared" si="91"/>
        <v>2715</v>
      </c>
      <c r="CM577" s="6">
        <f t="shared" si="91"/>
        <v>2237</v>
      </c>
      <c r="CN577" s="6">
        <f t="shared" si="91"/>
        <v>2529</v>
      </c>
      <c r="CO577" s="6">
        <f t="shared" si="91"/>
        <v>2855</v>
      </c>
      <c r="CP577" s="6">
        <f t="shared" si="91"/>
        <v>1493</v>
      </c>
      <c r="CQ577" s="6">
        <f t="shared" ref="CQ577:EM577" si="92">SUM(CQ82:CQ88)</f>
        <v>0</v>
      </c>
      <c r="CR577" s="6">
        <f t="shared" si="92"/>
        <v>0</v>
      </c>
      <c r="CS577" s="6">
        <f t="shared" si="92"/>
        <v>0</v>
      </c>
      <c r="CT577" s="6">
        <f t="shared" si="92"/>
        <v>0</v>
      </c>
      <c r="CU577" s="6">
        <f t="shared" si="92"/>
        <v>0</v>
      </c>
      <c r="CV577" s="6">
        <f t="shared" si="92"/>
        <v>0</v>
      </c>
      <c r="CW577" s="6">
        <f t="shared" si="92"/>
        <v>0</v>
      </c>
      <c r="CX577" s="6">
        <f t="shared" si="92"/>
        <v>0</v>
      </c>
      <c r="CY577" s="6">
        <f t="shared" si="92"/>
        <v>0</v>
      </c>
      <c r="CZ577" s="6">
        <f t="shared" si="92"/>
        <v>0</v>
      </c>
      <c r="DA577" s="6">
        <f t="shared" si="92"/>
        <v>0</v>
      </c>
      <c r="DB577" s="6">
        <f t="shared" si="92"/>
        <v>0</v>
      </c>
      <c r="DC577" s="6">
        <f t="shared" si="92"/>
        <v>0</v>
      </c>
      <c r="DD577" s="6">
        <f t="shared" si="92"/>
        <v>0</v>
      </c>
      <c r="DE577" s="6">
        <f t="shared" si="92"/>
        <v>0</v>
      </c>
      <c r="DF577" s="6">
        <f t="shared" si="92"/>
        <v>0</v>
      </c>
      <c r="DG577" s="6">
        <f t="shared" si="92"/>
        <v>0</v>
      </c>
      <c r="DH577" s="6">
        <f t="shared" si="92"/>
        <v>0</v>
      </c>
      <c r="DI577" s="6">
        <f t="shared" si="92"/>
        <v>0</v>
      </c>
      <c r="DJ577" s="6">
        <f t="shared" si="92"/>
        <v>0</v>
      </c>
      <c r="DK577" s="6">
        <f t="shared" si="92"/>
        <v>0</v>
      </c>
      <c r="DL577" s="6">
        <f t="shared" si="92"/>
        <v>0</v>
      </c>
      <c r="DM577" s="6">
        <f t="shared" si="92"/>
        <v>0</v>
      </c>
      <c r="DN577" s="6">
        <f t="shared" si="92"/>
        <v>0</v>
      </c>
      <c r="DO577" s="6">
        <f t="shared" si="92"/>
        <v>0</v>
      </c>
      <c r="DP577" s="6">
        <f t="shared" si="92"/>
        <v>0</v>
      </c>
      <c r="DQ577" s="6">
        <f t="shared" si="92"/>
        <v>0</v>
      </c>
      <c r="DR577" s="6">
        <f t="shared" si="92"/>
        <v>0</v>
      </c>
      <c r="DS577" s="6">
        <f t="shared" si="92"/>
        <v>0</v>
      </c>
      <c r="DT577" s="6">
        <f t="shared" si="92"/>
        <v>0</v>
      </c>
      <c r="DU577" s="6">
        <f t="shared" si="92"/>
        <v>0</v>
      </c>
      <c r="DV577" s="6">
        <f t="shared" si="92"/>
        <v>0</v>
      </c>
      <c r="DW577" s="6">
        <f t="shared" si="92"/>
        <v>0</v>
      </c>
      <c r="DX577" s="6">
        <f t="shared" si="92"/>
        <v>0</v>
      </c>
      <c r="DY577" s="6">
        <f t="shared" si="92"/>
        <v>0</v>
      </c>
      <c r="DZ577" s="6">
        <f t="shared" si="92"/>
        <v>0</v>
      </c>
      <c r="EA577" s="6">
        <f t="shared" si="92"/>
        <v>0</v>
      </c>
      <c r="EB577" s="6">
        <f t="shared" si="92"/>
        <v>0</v>
      </c>
      <c r="EC577" s="6">
        <f t="shared" si="92"/>
        <v>0</v>
      </c>
      <c r="ED577" s="6">
        <f t="shared" si="92"/>
        <v>0</v>
      </c>
      <c r="EE577" s="6">
        <f t="shared" si="92"/>
        <v>0</v>
      </c>
      <c r="EF577" s="6">
        <f t="shared" si="92"/>
        <v>0</v>
      </c>
      <c r="EG577" s="6">
        <f t="shared" si="92"/>
        <v>0</v>
      </c>
      <c r="EH577" s="6">
        <f t="shared" si="92"/>
        <v>0</v>
      </c>
      <c r="EI577" s="6">
        <f t="shared" si="92"/>
        <v>0</v>
      </c>
      <c r="EJ577" s="6">
        <f t="shared" si="92"/>
        <v>0</v>
      </c>
      <c r="EK577" s="6">
        <f t="shared" si="92"/>
        <v>0</v>
      </c>
      <c r="EL577" s="6">
        <f t="shared" si="92"/>
        <v>0</v>
      </c>
      <c r="EM577" s="6">
        <f t="shared" si="92"/>
        <v>0</v>
      </c>
      <c r="EN577" s="6">
        <f t="shared" ref="EN577:GR577" si="93">SUM(EN82:EN88)</f>
        <v>0</v>
      </c>
      <c r="EO577" s="6">
        <f t="shared" si="93"/>
        <v>0</v>
      </c>
      <c r="EP577" s="6">
        <f t="shared" si="93"/>
        <v>0</v>
      </c>
      <c r="EQ577" s="6">
        <f t="shared" si="93"/>
        <v>0</v>
      </c>
      <c r="ER577" s="6">
        <f t="shared" si="93"/>
        <v>0</v>
      </c>
      <c r="ES577" s="6">
        <f t="shared" si="93"/>
        <v>0</v>
      </c>
      <c r="ET577" s="6">
        <f t="shared" si="93"/>
        <v>0</v>
      </c>
      <c r="EU577" s="6">
        <f t="shared" si="93"/>
        <v>0</v>
      </c>
      <c r="EV577" s="6">
        <f t="shared" si="93"/>
        <v>0</v>
      </c>
      <c r="EW577" s="6">
        <f t="shared" si="93"/>
        <v>0</v>
      </c>
      <c r="EX577" s="6">
        <f t="shared" si="93"/>
        <v>0</v>
      </c>
      <c r="EY577" s="6">
        <f t="shared" si="93"/>
        <v>0</v>
      </c>
      <c r="EZ577" s="6">
        <f t="shared" si="93"/>
        <v>0</v>
      </c>
      <c r="FA577" s="6">
        <f t="shared" si="93"/>
        <v>0</v>
      </c>
      <c r="FB577" s="6">
        <f t="shared" si="93"/>
        <v>0</v>
      </c>
      <c r="FC577" s="6">
        <f t="shared" si="93"/>
        <v>0</v>
      </c>
      <c r="FD577" s="6">
        <f t="shared" si="93"/>
        <v>0</v>
      </c>
      <c r="FE577" s="6">
        <f t="shared" si="93"/>
        <v>0</v>
      </c>
      <c r="FF577" s="6">
        <f t="shared" si="93"/>
        <v>0</v>
      </c>
      <c r="FG577" s="6">
        <f t="shared" si="93"/>
        <v>0</v>
      </c>
      <c r="FH577" s="6">
        <f t="shared" si="93"/>
        <v>0</v>
      </c>
      <c r="FI577" s="6">
        <f t="shared" si="93"/>
        <v>0</v>
      </c>
      <c r="FJ577" s="6">
        <f t="shared" si="93"/>
        <v>0</v>
      </c>
      <c r="FK577" s="6">
        <f t="shared" si="93"/>
        <v>0</v>
      </c>
      <c r="FL577" s="6">
        <f t="shared" si="93"/>
        <v>0</v>
      </c>
      <c r="FM577" s="6">
        <f t="shared" si="93"/>
        <v>0</v>
      </c>
      <c r="FN577" s="6">
        <f t="shared" si="93"/>
        <v>0</v>
      </c>
      <c r="FO577" s="6">
        <f t="shared" si="93"/>
        <v>0</v>
      </c>
      <c r="FP577" s="6">
        <f t="shared" si="93"/>
        <v>0</v>
      </c>
      <c r="FQ577" s="6">
        <f t="shared" si="93"/>
        <v>0</v>
      </c>
      <c r="FR577" s="6">
        <f t="shared" si="93"/>
        <v>0</v>
      </c>
      <c r="FS577" s="6">
        <f t="shared" si="93"/>
        <v>0</v>
      </c>
      <c r="FT577" s="6">
        <f t="shared" si="93"/>
        <v>0</v>
      </c>
      <c r="FU577" s="6">
        <f t="shared" si="93"/>
        <v>0</v>
      </c>
      <c r="FV577" s="6">
        <f t="shared" si="93"/>
        <v>0</v>
      </c>
      <c r="FW577" s="6">
        <f t="shared" si="93"/>
        <v>0</v>
      </c>
      <c r="FX577" s="6">
        <f t="shared" si="93"/>
        <v>0</v>
      </c>
      <c r="FY577" s="6">
        <f t="shared" si="93"/>
        <v>3927</v>
      </c>
      <c r="FZ577" s="6">
        <f t="shared" si="93"/>
        <v>1270</v>
      </c>
      <c r="GA577" s="6">
        <f t="shared" si="93"/>
        <v>0</v>
      </c>
      <c r="GB577" s="6">
        <f t="shared" si="93"/>
        <v>0</v>
      </c>
      <c r="GC577" s="6">
        <f t="shared" si="93"/>
        <v>0</v>
      </c>
      <c r="GD577" s="6">
        <f t="shared" si="93"/>
        <v>0</v>
      </c>
      <c r="GE577" s="6">
        <f t="shared" si="93"/>
        <v>0</v>
      </c>
      <c r="GF577" s="6">
        <f t="shared" si="93"/>
        <v>0</v>
      </c>
      <c r="GG577" s="6">
        <f t="shared" si="93"/>
        <v>0</v>
      </c>
      <c r="GH577" s="6">
        <f t="shared" si="93"/>
        <v>0</v>
      </c>
      <c r="GI577" s="6">
        <f t="shared" si="93"/>
        <v>0</v>
      </c>
      <c r="GJ577" s="6">
        <f t="shared" si="93"/>
        <v>0</v>
      </c>
      <c r="GK577" s="6">
        <f t="shared" si="93"/>
        <v>0</v>
      </c>
      <c r="GL577" s="6">
        <f t="shared" si="93"/>
        <v>0</v>
      </c>
      <c r="GM577" s="6">
        <f t="shared" si="93"/>
        <v>0</v>
      </c>
      <c r="GN577" s="6">
        <f t="shared" si="93"/>
        <v>0</v>
      </c>
      <c r="GO577" s="6">
        <f t="shared" si="93"/>
        <v>3785</v>
      </c>
      <c r="GP577" s="6">
        <f t="shared" si="93"/>
        <v>1303</v>
      </c>
      <c r="GQ577" s="6">
        <f t="shared" si="93"/>
        <v>4204</v>
      </c>
      <c r="GR577" s="6">
        <f t="shared" si="93"/>
        <v>936</v>
      </c>
    </row>
    <row r="578" spans="1:200">
      <c r="A578" s="6"/>
      <c r="B578" s="13" t="s">
        <v>50</v>
      </c>
      <c r="C578" s="14">
        <f>SUM(C89:C97)</f>
        <v>10426</v>
      </c>
      <c r="D578" s="14">
        <f>SUM(D89:D97)</f>
        <v>7753</v>
      </c>
      <c r="E578" s="15">
        <f t="shared" si="28"/>
        <v>0.74362171494341067</v>
      </c>
      <c r="F578" s="66">
        <f t="shared" ref="F578:AB578" si="94">SUM(F89:F97)</f>
        <v>6223</v>
      </c>
      <c r="G578" s="6">
        <f t="shared" si="94"/>
        <v>20</v>
      </c>
      <c r="H578" s="6">
        <f t="shared" si="94"/>
        <v>188</v>
      </c>
      <c r="I578" s="6">
        <f t="shared" si="94"/>
        <v>83</v>
      </c>
      <c r="J578" s="59">
        <f t="shared" si="94"/>
        <v>1079</v>
      </c>
      <c r="K578" s="6">
        <f t="shared" si="94"/>
        <v>0</v>
      </c>
      <c r="L578" s="6">
        <f t="shared" si="94"/>
        <v>0</v>
      </c>
      <c r="M578" s="6">
        <f t="shared" si="94"/>
        <v>2</v>
      </c>
      <c r="N578" s="6">
        <f t="shared" si="94"/>
        <v>0</v>
      </c>
      <c r="O578" s="6">
        <f t="shared" si="94"/>
        <v>0</v>
      </c>
      <c r="P578" s="6">
        <f t="shared" si="94"/>
        <v>0</v>
      </c>
      <c r="Q578" s="6">
        <f t="shared" si="94"/>
        <v>0</v>
      </c>
      <c r="R578" s="6">
        <f t="shared" si="94"/>
        <v>0</v>
      </c>
      <c r="S578" s="6">
        <f t="shared" si="94"/>
        <v>2</v>
      </c>
      <c r="T578" s="6">
        <f t="shared" si="94"/>
        <v>0</v>
      </c>
      <c r="U578" s="6">
        <f t="shared" si="94"/>
        <v>0</v>
      </c>
      <c r="V578" s="6">
        <f t="shared" si="94"/>
        <v>0</v>
      </c>
      <c r="W578" s="6">
        <f t="shared" si="94"/>
        <v>39</v>
      </c>
      <c r="X578" s="6">
        <f t="shared" si="94"/>
        <v>1</v>
      </c>
      <c r="Y578" s="6">
        <f t="shared" si="94"/>
        <v>0</v>
      </c>
      <c r="Z578" s="6">
        <f t="shared" si="94"/>
        <v>0</v>
      </c>
      <c r="AA578" s="6">
        <f t="shared" si="94"/>
        <v>0</v>
      </c>
      <c r="AB578" s="6">
        <f t="shared" si="94"/>
        <v>0</v>
      </c>
      <c r="AC578" s="6">
        <f t="shared" ref="AC578:BZ578" si="95">SUM(AC89:AC97)</f>
        <v>72</v>
      </c>
      <c r="AD578" s="6">
        <f t="shared" si="95"/>
        <v>159</v>
      </c>
      <c r="AE578" s="6">
        <f t="shared" si="95"/>
        <v>1932</v>
      </c>
      <c r="AF578" s="6">
        <f t="shared" si="95"/>
        <v>71</v>
      </c>
      <c r="AG578" s="6">
        <f t="shared" si="95"/>
        <v>0</v>
      </c>
      <c r="AH578" s="6">
        <f t="shared" si="95"/>
        <v>5230</v>
      </c>
      <c r="AI578" s="6">
        <f t="shared" si="95"/>
        <v>0</v>
      </c>
      <c r="AJ578" s="6">
        <f t="shared" si="95"/>
        <v>0</v>
      </c>
      <c r="AK578" s="6">
        <f t="shared" si="95"/>
        <v>0</v>
      </c>
      <c r="AL578" s="6">
        <f t="shared" si="95"/>
        <v>0</v>
      </c>
      <c r="AM578" s="6">
        <f t="shared" si="95"/>
        <v>480</v>
      </c>
      <c r="AN578" s="6">
        <f t="shared" si="95"/>
        <v>4975</v>
      </c>
      <c r="AO578" s="6">
        <f t="shared" si="95"/>
        <v>1705</v>
      </c>
      <c r="AP578" s="6">
        <f t="shared" si="95"/>
        <v>0</v>
      </c>
      <c r="AQ578" s="6">
        <f t="shared" si="95"/>
        <v>0</v>
      </c>
      <c r="AR578" s="6">
        <f t="shared" si="95"/>
        <v>0</v>
      </c>
      <c r="AS578" s="6">
        <f t="shared" si="95"/>
        <v>0</v>
      </c>
      <c r="AT578" s="6">
        <f t="shared" si="95"/>
        <v>0</v>
      </c>
      <c r="AU578" s="6">
        <f t="shared" si="95"/>
        <v>0</v>
      </c>
      <c r="AV578" s="6">
        <f t="shared" si="95"/>
        <v>0</v>
      </c>
      <c r="AW578" s="6">
        <f t="shared" si="95"/>
        <v>0</v>
      </c>
      <c r="AX578" s="6">
        <f t="shared" si="95"/>
        <v>0</v>
      </c>
      <c r="AY578" s="6">
        <f t="shared" si="95"/>
        <v>0</v>
      </c>
      <c r="AZ578" s="6">
        <f t="shared" si="95"/>
        <v>0</v>
      </c>
      <c r="BA578" s="6">
        <f t="shared" si="95"/>
        <v>0</v>
      </c>
      <c r="BB578" s="6">
        <f t="shared" si="95"/>
        <v>0</v>
      </c>
      <c r="BC578" s="6">
        <f t="shared" si="95"/>
        <v>1444</v>
      </c>
      <c r="BD578" s="6">
        <f t="shared" si="95"/>
        <v>5921</v>
      </c>
      <c r="BE578" s="6">
        <f t="shared" si="95"/>
        <v>1201</v>
      </c>
      <c r="BF578" s="6">
        <f t="shared" si="95"/>
        <v>6101</v>
      </c>
      <c r="BG578" s="6">
        <f t="shared" si="95"/>
        <v>1535</v>
      </c>
      <c r="BH578" s="6">
        <f t="shared" si="95"/>
        <v>5765</v>
      </c>
      <c r="BI578" s="6">
        <f t="shared" si="95"/>
        <v>1979</v>
      </c>
      <c r="BJ578" s="6">
        <f t="shared" si="95"/>
        <v>5286</v>
      </c>
      <c r="BK578" s="6">
        <f t="shared" si="95"/>
        <v>5720</v>
      </c>
      <c r="BL578" s="6">
        <f t="shared" si="95"/>
        <v>1522</v>
      </c>
      <c r="BM578" s="6">
        <f t="shared" si="95"/>
        <v>1170</v>
      </c>
      <c r="BN578" s="6">
        <f t="shared" si="95"/>
        <v>6018</v>
      </c>
      <c r="BO578" s="6">
        <f t="shared" si="95"/>
        <v>5510</v>
      </c>
      <c r="BP578" s="6">
        <f t="shared" si="95"/>
        <v>1542</v>
      </c>
      <c r="BQ578" s="6">
        <f t="shared" si="95"/>
        <v>1899</v>
      </c>
      <c r="BR578" s="6">
        <f t="shared" si="95"/>
        <v>5174</v>
      </c>
      <c r="BS578" s="6">
        <f t="shared" si="95"/>
        <v>3132</v>
      </c>
      <c r="BT578" s="6">
        <f t="shared" si="95"/>
        <v>1036</v>
      </c>
      <c r="BU578" s="6">
        <f t="shared" si="95"/>
        <v>6145</v>
      </c>
      <c r="BV578" s="6">
        <f t="shared" si="95"/>
        <v>3866</v>
      </c>
      <c r="BW578" s="6">
        <f t="shared" si="95"/>
        <v>2269</v>
      </c>
      <c r="BX578" s="6">
        <f t="shared" si="95"/>
        <v>3680</v>
      </c>
      <c r="BY578" s="6">
        <f t="shared" si="95"/>
        <v>2031</v>
      </c>
      <c r="BZ578" s="6">
        <f t="shared" si="95"/>
        <v>4382</v>
      </c>
      <c r="CA578" s="6">
        <f t="shared" ref="CA578:CP578" si="96">SUM(CA89:CA97)</f>
        <v>3355</v>
      </c>
      <c r="CB578" s="6">
        <f t="shared" si="96"/>
        <v>1358</v>
      </c>
      <c r="CC578" s="6">
        <f t="shared" si="96"/>
        <v>4519</v>
      </c>
      <c r="CD578" s="6">
        <f t="shared" si="96"/>
        <v>4403</v>
      </c>
      <c r="CE578" s="6">
        <f t="shared" si="96"/>
        <v>4373</v>
      </c>
      <c r="CF578" s="6">
        <f t="shared" si="96"/>
        <v>1590</v>
      </c>
      <c r="CG578" s="6">
        <f t="shared" si="96"/>
        <v>1823</v>
      </c>
      <c r="CH578" s="6">
        <f t="shared" si="96"/>
        <v>3880</v>
      </c>
      <c r="CI578" s="6">
        <f t="shared" si="96"/>
        <v>3338</v>
      </c>
      <c r="CJ578" s="6">
        <f t="shared" si="96"/>
        <v>2526</v>
      </c>
      <c r="CK578" s="6">
        <f t="shared" si="96"/>
        <v>2215</v>
      </c>
      <c r="CL578" s="6">
        <f t="shared" si="96"/>
        <v>3774</v>
      </c>
      <c r="CM578" s="6">
        <f t="shared" si="96"/>
        <v>3127</v>
      </c>
      <c r="CN578" s="6">
        <f t="shared" si="96"/>
        <v>3411</v>
      </c>
      <c r="CO578" s="6">
        <f t="shared" si="96"/>
        <v>3642</v>
      </c>
      <c r="CP578" s="6">
        <f t="shared" si="96"/>
        <v>2286</v>
      </c>
      <c r="CQ578" s="6">
        <f t="shared" ref="CQ578:EM578" si="97">SUM(CQ89:CQ97)</f>
        <v>0</v>
      </c>
      <c r="CR578" s="6">
        <f t="shared" si="97"/>
        <v>0</v>
      </c>
      <c r="CS578" s="6">
        <f t="shared" si="97"/>
        <v>0</v>
      </c>
      <c r="CT578" s="6">
        <f t="shared" si="97"/>
        <v>0</v>
      </c>
      <c r="CU578" s="6">
        <f t="shared" si="97"/>
        <v>0</v>
      </c>
      <c r="CV578" s="6">
        <f t="shared" si="97"/>
        <v>0</v>
      </c>
      <c r="CW578" s="6">
        <f t="shared" si="97"/>
        <v>0</v>
      </c>
      <c r="CX578" s="6">
        <f t="shared" si="97"/>
        <v>0</v>
      </c>
      <c r="CY578" s="6">
        <f t="shared" si="97"/>
        <v>0</v>
      </c>
      <c r="CZ578" s="6">
        <f t="shared" si="97"/>
        <v>0</v>
      </c>
      <c r="DA578" s="6">
        <f t="shared" si="97"/>
        <v>0</v>
      </c>
      <c r="DB578" s="6">
        <f t="shared" si="97"/>
        <v>0</v>
      </c>
      <c r="DC578" s="6">
        <f t="shared" si="97"/>
        <v>0</v>
      </c>
      <c r="DD578" s="6">
        <f t="shared" si="97"/>
        <v>0</v>
      </c>
      <c r="DE578" s="6">
        <f t="shared" si="97"/>
        <v>0</v>
      </c>
      <c r="DF578" s="6">
        <f t="shared" si="97"/>
        <v>0</v>
      </c>
      <c r="DG578" s="6">
        <f t="shared" si="97"/>
        <v>0</v>
      </c>
      <c r="DH578" s="6">
        <f t="shared" si="97"/>
        <v>0</v>
      </c>
      <c r="DI578" s="6">
        <f t="shared" si="97"/>
        <v>0</v>
      </c>
      <c r="DJ578" s="6">
        <f t="shared" si="97"/>
        <v>0</v>
      </c>
      <c r="DK578" s="6">
        <f t="shared" si="97"/>
        <v>0</v>
      </c>
      <c r="DL578" s="6">
        <f t="shared" si="97"/>
        <v>0</v>
      </c>
      <c r="DM578" s="6">
        <f t="shared" si="97"/>
        <v>0</v>
      </c>
      <c r="DN578" s="6">
        <f t="shared" si="97"/>
        <v>0</v>
      </c>
      <c r="DO578" s="6">
        <f t="shared" si="97"/>
        <v>0</v>
      </c>
      <c r="DP578" s="6">
        <f t="shared" si="97"/>
        <v>0</v>
      </c>
      <c r="DQ578" s="6">
        <f t="shared" si="97"/>
        <v>0</v>
      </c>
      <c r="DR578" s="6">
        <f t="shared" si="97"/>
        <v>0</v>
      </c>
      <c r="DS578" s="6">
        <f t="shared" si="97"/>
        <v>0</v>
      </c>
      <c r="DT578" s="6">
        <f t="shared" si="97"/>
        <v>0</v>
      </c>
      <c r="DU578" s="6">
        <f t="shared" si="97"/>
        <v>0</v>
      </c>
      <c r="DV578" s="6">
        <f t="shared" si="97"/>
        <v>0</v>
      </c>
      <c r="DW578" s="6">
        <f t="shared" si="97"/>
        <v>0</v>
      </c>
      <c r="DX578" s="6">
        <f t="shared" si="97"/>
        <v>0</v>
      </c>
      <c r="DY578" s="6">
        <f t="shared" si="97"/>
        <v>0</v>
      </c>
      <c r="DZ578" s="6">
        <f t="shared" si="97"/>
        <v>0</v>
      </c>
      <c r="EA578" s="6">
        <f t="shared" si="97"/>
        <v>0</v>
      </c>
      <c r="EB578" s="6">
        <f t="shared" si="97"/>
        <v>0</v>
      </c>
      <c r="EC578" s="6">
        <f t="shared" si="97"/>
        <v>0</v>
      </c>
      <c r="ED578" s="6">
        <f t="shared" si="97"/>
        <v>0</v>
      </c>
      <c r="EE578" s="6">
        <f t="shared" si="97"/>
        <v>0</v>
      </c>
      <c r="EF578" s="6">
        <f t="shared" si="97"/>
        <v>0</v>
      </c>
      <c r="EG578" s="6">
        <f t="shared" si="97"/>
        <v>0</v>
      </c>
      <c r="EH578" s="6">
        <f t="shared" si="97"/>
        <v>0</v>
      </c>
      <c r="EI578" s="6">
        <f t="shared" si="97"/>
        <v>0</v>
      </c>
      <c r="EJ578" s="6">
        <f t="shared" si="97"/>
        <v>0</v>
      </c>
      <c r="EK578" s="6">
        <f t="shared" si="97"/>
        <v>0</v>
      </c>
      <c r="EL578" s="6">
        <f t="shared" si="97"/>
        <v>0</v>
      </c>
      <c r="EM578" s="6">
        <f t="shared" si="97"/>
        <v>0</v>
      </c>
      <c r="EN578" s="6">
        <f t="shared" ref="EN578:GR578" si="98">SUM(EN89:EN97)</f>
        <v>0</v>
      </c>
      <c r="EO578" s="6">
        <f t="shared" si="98"/>
        <v>0</v>
      </c>
      <c r="EP578" s="6">
        <f t="shared" si="98"/>
        <v>0</v>
      </c>
      <c r="EQ578" s="6">
        <f t="shared" si="98"/>
        <v>0</v>
      </c>
      <c r="ER578" s="6">
        <f t="shared" si="98"/>
        <v>0</v>
      </c>
      <c r="ES578" s="6">
        <f t="shared" si="98"/>
        <v>0</v>
      </c>
      <c r="ET578" s="6">
        <f t="shared" si="98"/>
        <v>0</v>
      </c>
      <c r="EU578" s="6">
        <f t="shared" si="98"/>
        <v>0</v>
      </c>
      <c r="EV578" s="6">
        <f t="shared" si="98"/>
        <v>0</v>
      </c>
      <c r="EW578" s="6">
        <f t="shared" si="98"/>
        <v>0</v>
      </c>
      <c r="EX578" s="6">
        <f t="shared" si="98"/>
        <v>0</v>
      </c>
      <c r="EY578" s="6">
        <f t="shared" si="98"/>
        <v>0</v>
      </c>
      <c r="EZ578" s="6">
        <f t="shared" si="98"/>
        <v>0</v>
      </c>
      <c r="FA578" s="6">
        <f t="shared" si="98"/>
        <v>0</v>
      </c>
      <c r="FB578" s="6">
        <f t="shared" si="98"/>
        <v>0</v>
      </c>
      <c r="FC578" s="6">
        <f t="shared" si="98"/>
        <v>0</v>
      </c>
      <c r="FD578" s="6">
        <f t="shared" si="98"/>
        <v>0</v>
      </c>
      <c r="FE578" s="6">
        <f t="shared" si="98"/>
        <v>0</v>
      </c>
      <c r="FF578" s="6">
        <f t="shared" si="98"/>
        <v>0</v>
      </c>
      <c r="FG578" s="6">
        <f t="shared" si="98"/>
        <v>0</v>
      </c>
      <c r="FH578" s="6">
        <f t="shared" si="98"/>
        <v>0</v>
      </c>
      <c r="FI578" s="6">
        <f t="shared" si="98"/>
        <v>0</v>
      </c>
      <c r="FJ578" s="6">
        <f t="shared" si="98"/>
        <v>0</v>
      </c>
      <c r="FK578" s="6">
        <f t="shared" si="98"/>
        <v>0</v>
      </c>
      <c r="FL578" s="6">
        <f t="shared" si="98"/>
        <v>0</v>
      </c>
      <c r="FM578" s="6">
        <f t="shared" si="98"/>
        <v>0</v>
      </c>
      <c r="FN578" s="6">
        <f t="shared" si="98"/>
        <v>0</v>
      </c>
      <c r="FO578" s="6">
        <f t="shared" si="98"/>
        <v>0</v>
      </c>
      <c r="FP578" s="6">
        <f t="shared" si="98"/>
        <v>0</v>
      </c>
      <c r="FQ578" s="6">
        <f t="shared" si="98"/>
        <v>0</v>
      </c>
      <c r="FR578" s="6">
        <f t="shared" si="98"/>
        <v>0</v>
      </c>
      <c r="FS578" s="6">
        <f t="shared" si="98"/>
        <v>0</v>
      </c>
      <c r="FT578" s="6">
        <f t="shared" si="98"/>
        <v>0</v>
      </c>
      <c r="FU578" s="6">
        <f t="shared" si="98"/>
        <v>0</v>
      </c>
      <c r="FV578" s="6">
        <f t="shared" si="98"/>
        <v>0</v>
      </c>
      <c r="FW578" s="6">
        <f t="shared" si="98"/>
        <v>0</v>
      </c>
      <c r="FX578" s="6">
        <f t="shared" si="98"/>
        <v>0</v>
      </c>
      <c r="FY578" s="6">
        <f t="shared" si="98"/>
        <v>4935</v>
      </c>
      <c r="FZ578" s="6">
        <f t="shared" si="98"/>
        <v>2484</v>
      </c>
      <c r="GA578" s="6">
        <f t="shared" si="98"/>
        <v>0</v>
      </c>
      <c r="GB578" s="6">
        <f t="shared" si="98"/>
        <v>0</v>
      </c>
      <c r="GC578" s="6">
        <f t="shared" si="98"/>
        <v>0</v>
      </c>
      <c r="GD578" s="6">
        <f t="shared" si="98"/>
        <v>0</v>
      </c>
      <c r="GE578" s="6">
        <f t="shared" si="98"/>
        <v>0</v>
      </c>
      <c r="GF578" s="6">
        <f t="shared" si="98"/>
        <v>0</v>
      </c>
      <c r="GG578" s="6">
        <f t="shared" si="98"/>
        <v>0</v>
      </c>
      <c r="GH578" s="6">
        <f t="shared" si="98"/>
        <v>0</v>
      </c>
      <c r="GI578" s="6">
        <f t="shared" si="98"/>
        <v>0</v>
      </c>
      <c r="GJ578" s="6">
        <f t="shared" si="98"/>
        <v>0</v>
      </c>
      <c r="GK578" s="6">
        <f t="shared" si="98"/>
        <v>0</v>
      </c>
      <c r="GL578" s="6">
        <f t="shared" si="98"/>
        <v>0</v>
      </c>
      <c r="GM578" s="6">
        <f t="shared" si="98"/>
        <v>0</v>
      </c>
      <c r="GN578" s="6">
        <f t="shared" si="98"/>
        <v>0</v>
      </c>
      <c r="GO578" s="6">
        <f t="shared" si="98"/>
        <v>5491</v>
      </c>
      <c r="GP578" s="6">
        <f t="shared" si="98"/>
        <v>1867</v>
      </c>
      <c r="GQ578" s="6">
        <f t="shared" si="98"/>
        <v>5890</v>
      </c>
      <c r="GR578" s="6">
        <f t="shared" si="98"/>
        <v>1479</v>
      </c>
    </row>
    <row r="579" spans="1:200">
      <c r="A579" s="6"/>
      <c r="B579" s="13" t="s">
        <v>51</v>
      </c>
      <c r="C579" s="14">
        <f>SUM(C98:C107)</f>
        <v>10765</v>
      </c>
      <c r="D579" s="14">
        <f>SUM(D98:D107)</f>
        <v>7208</v>
      </c>
      <c r="E579" s="15">
        <f t="shared" si="28"/>
        <v>0.6695773339526242</v>
      </c>
      <c r="F579" s="66">
        <f t="shared" ref="F579:AB579" si="99">SUM(F98:F107)</f>
        <v>6037</v>
      </c>
      <c r="G579" s="6">
        <f t="shared" si="99"/>
        <v>12</v>
      </c>
      <c r="H579" s="6">
        <f t="shared" si="99"/>
        <v>145</v>
      </c>
      <c r="I579" s="6">
        <f t="shared" si="99"/>
        <v>117</v>
      </c>
      <c r="J579" s="59">
        <f t="shared" si="99"/>
        <v>767</v>
      </c>
      <c r="K579" s="6">
        <f t="shared" si="99"/>
        <v>0</v>
      </c>
      <c r="L579" s="6">
        <f t="shared" si="99"/>
        <v>0</v>
      </c>
      <c r="M579" s="6">
        <f t="shared" si="99"/>
        <v>1</v>
      </c>
      <c r="N579" s="6">
        <f t="shared" si="99"/>
        <v>0</v>
      </c>
      <c r="O579" s="6">
        <f t="shared" si="99"/>
        <v>0</v>
      </c>
      <c r="P579" s="6">
        <f t="shared" si="99"/>
        <v>1</v>
      </c>
      <c r="Q579" s="6">
        <f t="shared" si="99"/>
        <v>0</v>
      </c>
      <c r="R579" s="6">
        <f t="shared" si="99"/>
        <v>0</v>
      </c>
      <c r="S579" s="6">
        <f t="shared" si="99"/>
        <v>0</v>
      </c>
      <c r="T579" s="6">
        <f t="shared" si="99"/>
        <v>0</v>
      </c>
      <c r="U579" s="6">
        <f t="shared" si="99"/>
        <v>0</v>
      </c>
      <c r="V579" s="6">
        <f t="shared" si="99"/>
        <v>1</v>
      </c>
      <c r="W579" s="6">
        <f t="shared" si="99"/>
        <v>18</v>
      </c>
      <c r="X579" s="6">
        <f t="shared" si="99"/>
        <v>0</v>
      </c>
      <c r="Y579" s="6">
        <f t="shared" si="99"/>
        <v>0</v>
      </c>
      <c r="Z579" s="6">
        <f t="shared" si="99"/>
        <v>0</v>
      </c>
      <c r="AA579" s="6">
        <f t="shared" si="99"/>
        <v>0</v>
      </c>
      <c r="AB579" s="6">
        <f t="shared" si="99"/>
        <v>0</v>
      </c>
      <c r="AC579" s="6">
        <f t="shared" ref="AC579:BZ579" si="100">SUM(AC98:AC107)</f>
        <v>61</v>
      </c>
      <c r="AD579" s="6">
        <f t="shared" si="100"/>
        <v>239</v>
      </c>
      <c r="AE579" s="6">
        <f t="shared" si="100"/>
        <v>1351</v>
      </c>
      <c r="AF579" s="6">
        <f t="shared" si="100"/>
        <v>35</v>
      </c>
      <c r="AG579" s="6">
        <f t="shared" si="100"/>
        <v>0</v>
      </c>
      <c r="AH579" s="6">
        <f t="shared" si="100"/>
        <v>5274</v>
      </c>
      <c r="AI579" s="6">
        <f t="shared" si="100"/>
        <v>1243</v>
      </c>
      <c r="AJ579" s="6">
        <f t="shared" si="100"/>
        <v>11</v>
      </c>
      <c r="AK579" s="6">
        <f t="shared" si="100"/>
        <v>0</v>
      </c>
      <c r="AL579" s="6">
        <f t="shared" si="100"/>
        <v>5680</v>
      </c>
      <c r="AM579" s="6">
        <f t="shared" si="100"/>
        <v>0</v>
      </c>
      <c r="AN579" s="6">
        <f t="shared" si="100"/>
        <v>0</v>
      </c>
      <c r="AO579" s="6">
        <f t="shared" si="100"/>
        <v>0</v>
      </c>
      <c r="AP579" s="6">
        <f t="shared" si="100"/>
        <v>0</v>
      </c>
      <c r="AQ579" s="6">
        <f t="shared" si="100"/>
        <v>0</v>
      </c>
      <c r="AR579" s="6">
        <f t="shared" si="100"/>
        <v>0</v>
      </c>
      <c r="AS579" s="6">
        <f t="shared" si="100"/>
        <v>0</v>
      </c>
      <c r="AT579" s="6">
        <f t="shared" si="100"/>
        <v>0</v>
      </c>
      <c r="AU579" s="6">
        <f t="shared" si="100"/>
        <v>0</v>
      </c>
      <c r="AV579" s="6">
        <f t="shared" si="100"/>
        <v>0</v>
      </c>
      <c r="AW579" s="6">
        <f t="shared" si="100"/>
        <v>0</v>
      </c>
      <c r="AX579" s="6">
        <f t="shared" si="100"/>
        <v>0</v>
      </c>
      <c r="AY579" s="6">
        <f t="shared" si="100"/>
        <v>5742</v>
      </c>
      <c r="AZ579" s="6">
        <f t="shared" si="100"/>
        <v>1044</v>
      </c>
      <c r="BA579" s="6">
        <f t="shared" si="100"/>
        <v>0</v>
      </c>
      <c r="BB579" s="6">
        <f t="shared" si="100"/>
        <v>0</v>
      </c>
      <c r="BC579" s="6">
        <f t="shared" si="100"/>
        <v>0</v>
      </c>
      <c r="BD579" s="6">
        <f t="shared" si="100"/>
        <v>0</v>
      </c>
      <c r="BE579" s="6">
        <f t="shared" si="100"/>
        <v>856</v>
      </c>
      <c r="BF579" s="6">
        <f t="shared" si="100"/>
        <v>5930</v>
      </c>
      <c r="BG579" s="6">
        <f t="shared" si="100"/>
        <v>1078</v>
      </c>
      <c r="BH579" s="6">
        <f t="shared" si="100"/>
        <v>5733</v>
      </c>
      <c r="BI579" s="6">
        <f t="shared" si="100"/>
        <v>1462</v>
      </c>
      <c r="BJ579" s="6">
        <f t="shared" si="100"/>
        <v>5249</v>
      </c>
      <c r="BK579" s="6">
        <f t="shared" si="100"/>
        <v>5598</v>
      </c>
      <c r="BL579" s="6">
        <f t="shared" si="100"/>
        <v>1175</v>
      </c>
      <c r="BM579" s="6">
        <f t="shared" si="100"/>
        <v>880</v>
      </c>
      <c r="BN579" s="6">
        <f t="shared" si="100"/>
        <v>5783</v>
      </c>
      <c r="BO579" s="6">
        <f t="shared" si="100"/>
        <v>5439</v>
      </c>
      <c r="BP579" s="6">
        <f t="shared" si="100"/>
        <v>1155</v>
      </c>
      <c r="BQ579" s="6">
        <f t="shared" si="100"/>
        <v>1420</v>
      </c>
      <c r="BR579" s="6">
        <f t="shared" si="100"/>
        <v>5203</v>
      </c>
      <c r="BS579" s="6">
        <f t="shared" si="100"/>
        <v>2746</v>
      </c>
      <c r="BT579" s="6">
        <f t="shared" si="100"/>
        <v>752</v>
      </c>
      <c r="BU579" s="6">
        <f t="shared" si="100"/>
        <v>5995</v>
      </c>
      <c r="BV579" s="6">
        <f t="shared" si="100"/>
        <v>3473</v>
      </c>
      <c r="BW579" s="6">
        <f t="shared" si="100"/>
        <v>1904</v>
      </c>
      <c r="BX579" s="6">
        <f t="shared" si="100"/>
        <v>3448</v>
      </c>
      <c r="BY579" s="6">
        <f t="shared" si="100"/>
        <v>1554</v>
      </c>
      <c r="BZ579" s="6">
        <f t="shared" si="100"/>
        <v>4238</v>
      </c>
      <c r="CA579" s="6">
        <f t="shared" ref="CA579:CP579" si="101">SUM(CA98:CA107)</f>
        <v>2993</v>
      </c>
      <c r="CB579" s="6">
        <f t="shared" si="101"/>
        <v>1104</v>
      </c>
      <c r="CC579" s="6">
        <f t="shared" si="101"/>
        <v>4244</v>
      </c>
      <c r="CD579" s="6">
        <f t="shared" si="101"/>
        <v>3958</v>
      </c>
      <c r="CE579" s="6">
        <f t="shared" si="101"/>
        <v>4153</v>
      </c>
      <c r="CF579" s="6">
        <f t="shared" si="101"/>
        <v>1235</v>
      </c>
      <c r="CG579" s="6">
        <f t="shared" si="101"/>
        <v>1456</v>
      </c>
      <c r="CH579" s="6">
        <f t="shared" si="101"/>
        <v>3653</v>
      </c>
      <c r="CI579" s="6">
        <f t="shared" si="101"/>
        <v>3183</v>
      </c>
      <c r="CJ579" s="6">
        <f t="shared" si="101"/>
        <v>2110</v>
      </c>
      <c r="CK579" s="6">
        <f t="shared" si="101"/>
        <v>1824</v>
      </c>
      <c r="CL579" s="6">
        <f t="shared" si="101"/>
        <v>3717</v>
      </c>
      <c r="CM579" s="6">
        <f t="shared" si="101"/>
        <v>2791</v>
      </c>
      <c r="CN579" s="6">
        <f t="shared" si="101"/>
        <v>3028</v>
      </c>
      <c r="CO579" s="6">
        <f t="shared" si="101"/>
        <v>3473</v>
      </c>
      <c r="CP579" s="6">
        <f t="shared" si="101"/>
        <v>1905</v>
      </c>
      <c r="CQ579" s="6">
        <f t="shared" ref="CQ579:EM579" si="102">SUM(CQ98:CQ107)</f>
        <v>0</v>
      </c>
      <c r="CR579" s="6">
        <f t="shared" si="102"/>
        <v>0</v>
      </c>
      <c r="CS579" s="6">
        <f t="shared" si="102"/>
        <v>0</v>
      </c>
      <c r="CT579" s="6">
        <f t="shared" si="102"/>
        <v>0</v>
      </c>
      <c r="CU579" s="6">
        <f t="shared" si="102"/>
        <v>0</v>
      </c>
      <c r="CV579" s="6">
        <f t="shared" si="102"/>
        <v>0</v>
      </c>
      <c r="CW579" s="6">
        <f t="shared" si="102"/>
        <v>0</v>
      </c>
      <c r="CX579" s="6">
        <f t="shared" si="102"/>
        <v>0</v>
      </c>
      <c r="CY579" s="6">
        <f t="shared" si="102"/>
        <v>0</v>
      </c>
      <c r="CZ579" s="6">
        <f t="shared" si="102"/>
        <v>0</v>
      </c>
      <c r="DA579" s="6">
        <f t="shared" si="102"/>
        <v>0</v>
      </c>
      <c r="DB579" s="6">
        <f t="shared" si="102"/>
        <v>0</v>
      </c>
      <c r="DC579" s="6">
        <f t="shared" si="102"/>
        <v>0</v>
      </c>
      <c r="DD579" s="6">
        <f t="shared" si="102"/>
        <v>0</v>
      </c>
      <c r="DE579" s="6">
        <f t="shared" si="102"/>
        <v>0</v>
      </c>
      <c r="DF579" s="6">
        <f t="shared" si="102"/>
        <v>0</v>
      </c>
      <c r="DG579" s="6">
        <f t="shared" si="102"/>
        <v>0</v>
      </c>
      <c r="DH579" s="6">
        <f t="shared" si="102"/>
        <v>0</v>
      </c>
      <c r="DI579" s="6">
        <f t="shared" si="102"/>
        <v>0</v>
      </c>
      <c r="DJ579" s="6">
        <f t="shared" si="102"/>
        <v>0</v>
      </c>
      <c r="DK579" s="6">
        <f t="shared" si="102"/>
        <v>0</v>
      </c>
      <c r="DL579" s="6">
        <f t="shared" si="102"/>
        <v>0</v>
      </c>
      <c r="DM579" s="6">
        <f t="shared" si="102"/>
        <v>0</v>
      </c>
      <c r="DN579" s="6">
        <f t="shared" si="102"/>
        <v>0</v>
      </c>
      <c r="DO579" s="6">
        <f t="shared" si="102"/>
        <v>0</v>
      </c>
      <c r="DP579" s="6">
        <f t="shared" si="102"/>
        <v>0</v>
      </c>
      <c r="DQ579" s="6">
        <f t="shared" si="102"/>
        <v>0</v>
      </c>
      <c r="DR579" s="6">
        <f t="shared" si="102"/>
        <v>0</v>
      </c>
      <c r="DS579" s="6">
        <f t="shared" si="102"/>
        <v>0</v>
      </c>
      <c r="DT579" s="6">
        <f t="shared" si="102"/>
        <v>0</v>
      </c>
      <c r="DU579" s="6">
        <f t="shared" si="102"/>
        <v>0</v>
      </c>
      <c r="DV579" s="6">
        <f t="shared" si="102"/>
        <v>0</v>
      </c>
      <c r="DW579" s="6">
        <f t="shared" si="102"/>
        <v>0</v>
      </c>
      <c r="DX579" s="6">
        <f t="shared" si="102"/>
        <v>0</v>
      </c>
      <c r="DY579" s="6">
        <f t="shared" si="102"/>
        <v>0</v>
      </c>
      <c r="DZ579" s="6">
        <f t="shared" si="102"/>
        <v>0</v>
      </c>
      <c r="EA579" s="6">
        <f t="shared" si="102"/>
        <v>0</v>
      </c>
      <c r="EB579" s="6">
        <f t="shared" si="102"/>
        <v>0</v>
      </c>
      <c r="EC579" s="6">
        <f t="shared" si="102"/>
        <v>0</v>
      </c>
      <c r="ED579" s="6">
        <f t="shared" si="102"/>
        <v>0</v>
      </c>
      <c r="EE579" s="6">
        <f t="shared" si="102"/>
        <v>0</v>
      </c>
      <c r="EF579" s="6">
        <f t="shared" si="102"/>
        <v>0</v>
      </c>
      <c r="EG579" s="6">
        <f t="shared" si="102"/>
        <v>0</v>
      </c>
      <c r="EH579" s="6">
        <f t="shared" si="102"/>
        <v>0</v>
      </c>
      <c r="EI579" s="6">
        <f t="shared" si="102"/>
        <v>0</v>
      </c>
      <c r="EJ579" s="6">
        <f t="shared" si="102"/>
        <v>0</v>
      </c>
      <c r="EK579" s="6">
        <f t="shared" si="102"/>
        <v>0</v>
      </c>
      <c r="EL579" s="6">
        <f t="shared" si="102"/>
        <v>0</v>
      </c>
      <c r="EM579" s="6">
        <f t="shared" si="102"/>
        <v>0</v>
      </c>
      <c r="EN579" s="6">
        <f t="shared" ref="EN579:GR579" si="103">SUM(EN98:EN107)</f>
        <v>0</v>
      </c>
      <c r="EO579" s="6">
        <f t="shared" si="103"/>
        <v>0</v>
      </c>
      <c r="EP579" s="6">
        <f t="shared" si="103"/>
        <v>0</v>
      </c>
      <c r="EQ579" s="6">
        <f t="shared" si="103"/>
        <v>0</v>
      </c>
      <c r="ER579" s="6">
        <f t="shared" si="103"/>
        <v>0</v>
      </c>
      <c r="ES579" s="6">
        <f t="shared" si="103"/>
        <v>0</v>
      </c>
      <c r="ET579" s="6">
        <f t="shared" si="103"/>
        <v>0</v>
      </c>
      <c r="EU579" s="6">
        <f t="shared" si="103"/>
        <v>0</v>
      </c>
      <c r="EV579" s="6">
        <f t="shared" si="103"/>
        <v>0</v>
      </c>
      <c r="EW579" s="6">
        <f t="shared" si="103"/>
        <v>0</v>
      </c>
      <c r="EX579" s="6">
        <f t="shared" si="103"/>
        <v>0</v>
      </c>
      <c r="EY579" s="6">
        <f t="shared" si="103"/>
        <v>0</v>
      </c>
      <c r="EZ579" s="6">
        <f t="shared" si="103"/>
        <v>0</v>
      </c>
      <c r="FA579" s="6">
        <f t="shared" si="103"/>
        <v>0</v>
      </c>
      <c r="FB579" s="6">
        <f t="shared" si="103"/>
        <v>0</v>
      </c>
      <c r="FC579" s="6">
        <f t="shared" si="103"/>
        <v>0</v>
      </c>
      <c r="FD579" s="6">
        <f t="shared" si="103"/>
        <v>0</v>
      </c>
      <c r="FE579" s="6">
        <f t="shared" si="103"/>
        <v>0</v>
      </c>
      <c r="FF579" s="6">
        <f t="shared" si="103"/>
        <v>0</v>
      </c>
      <c r="FG579" s="6">
        <f t="shared" si="103"/>
        <v>0</v>
      </c>
      <c r="FH579" s="6">
        <f t="shared" si="103"/>
        <v>0</v>
      </c>
      <c r="FI579" s="6">
        <f t="shared" si="103"/>
        <v>0</v>
      </c>
      <c r="FJ579" s="6">
        <f t="shared" si="103"/>
        <v>0</v>
      </c>
      <c r="FK579" s="6">
        <f t="shared" si="103"/>
        <v>0</v>
      </c>
      <c r="FL579" s="6">
        <f t="shared" si="103"/>
        <v>0</v>
      </c>
      <c r="FM579" s="6">
        <f t="shared" si="103"/>
        <v>0</v>
      </c>
      <c r="FN579" s="6">
        <f t="shared" si="103"/>
        <v>0</v>
      </c>
      <c r="FO579" s="6">
        <f t="shared" si="103"/>
        <v>0</v>
      </c>
      <c r="FP579" s="6">
        <f t="shared" si="103"/>
        <v>0</v>
      </c>
      <c r="FQ579" s="6">
        <f t="shared" si="103"/>
        <v>0</v>
      </c>
      <c r="FR579" s="6">
        <f t="shared" si="103"/>
        <v>0</v>
      </c>
      <c r="FS579" s="6">
        <f t="shared" si="103"/>
        <v>0</v>
      </c>
      <c r="FT579" s="6">
        <f t="shared" si="103"/>
        <v>0</v>
      </c>
      <c r="FU579" s="6">
        <f t="shared" si="103"/>
        <v>0</v>
      </c>
      <c r="FV579" s="6">
        <f t="shared" si="103"/>
        <v>0</v>
      </c>
      <c r="FW579" s="6">
        <f t="shared" si="103"/>
        <v>0</v>
      </c>
      <c r="FX579" s="6">
        <f t="shared" si="103"/>
        <v>0</v>
      </c>
      <c r="FY579" s="6">
        <f t="shared" si="103"/>
        <v>5004</v>
      </c>
      <c r="FZ579" s="6">
        <f t="shared" si="103"/>
        <v>1845</v>
      </c>
      <c r="GA579" s="6">
        <f t="shared" si="103"/>
        <v>0</v>
      </c>
      <c r="GB579" s="6">
        <f t="shared" si="103"/>
        <v>0</v>
      </c>
      <c r="GC579" s="6">
        <f t="shared" si="103"/>
        <v>0</v>
      </c>
      <c r="GD579" s="6">
        <f t="shared" si="103"/>
        <v>0</v>
      </c>
      <c r="GE579" s="6">
        <f t="shared" si="103"/>
        <v>0</v>
      </c>
      <c r="GF579" s="6">
        <f t="shared" si="103"/>
        <v>0</v>
      </c>
      <c r="GG579" s="6">
        <f t="shared" si="103"/>
        <v>0</v>
      </c>
      <c r="GH579" s="6">
        <f t="shared" si="103"/>
        <v>0</v>
      </c>
      <c r="GI579" s="6">
        <f t="shared" si="103"/>
        <v>0</v>
      </c>
      <c r="GJ579" s="6">
        <f t="shared" si="103"/>
        <v>0</v>
      </c>
      <c r="GK579" s="6">
        <f t="shared" si="103"/>
        <v>0</v>
      </c>
      <c r="GL579" s="6">
        <f t="shared" si="103"/>
        <v>0</v>
      </c>
      <c r="GM579" s="6">
        <f t="shared" si="103"/>
        <v>0</v>
      </c>
      <c r="GN579" s="6">
        <f t="shared" si="103"/>
        <v>0</v>
      </c>
      <c r="GO579" s="6">
        <f t="shared" si="103"/>
        <v>5429</v>
      </c>
      <c r="GP579" s="6">
        <f t="shared" si="103"/>
        <v>1353</v>
      </c>
      <c r="GQ579" s="6">
        <f t="shared" si="103"/>
        <v>5722</v>
      </c>
      <c r="GR579" s="6">
        <f t="shared" si="103"/>
        <v>1079</v>
      </c>
    </row>
    <row r="580" spans="1:200">
      <c r="A580" s="6"/>
      <c r="B580" s="13" t="s">
        <v>32</v>
      </c>
      <c r="C580" s="14">
        <f>SUM(C108)</f>
        <v>1304</v>
      </c>
      <c r="D580" s="14">
        <f>SUM(D108)</f>
        <v>626</v>
      </c>
      <c r="E580" s="15">
        <f t="shared" si="28"/>
        <v>0.48006134969325154</v>
      </c>
      <c r="F580" s="66">
        <f t="shared" ref="F580:AB580" si="104">SUM(F108)</f>
        <v>478</v>
      </c>
      <c r="G580" s="6">
        <f t="shared" si="104"/>
        <v>2</v>
      </c>
      <c r="H580" s="6">
        <f t="shared" si="104"/>
        <v>17</v>
      </c>
      <c r="I580" s="6">
        <f t="shared" si="104"/>
        <v>2</v>
      </c>
      <c r="J580" s="59">
        <f t="shared" si="104"/>
        <v>110</v>
      </c>
      <c r="K580" s="6">
        <f t="shared" si="104"/>
        <v>0</v>
      </c>
      <c r="L580" s="6">
        <f t="shared" si="104"/>
        <v>0</v>
      </c>
      <c r="M580" s="6">
        <f t="shared" si="104"/>
        <v>0</v>
      </c>
      <c r="N580" s="6">
        <f t="shared" si="104"/>
        <v>0</v>
      </c>
      <c r="O580" s="6">
        <f t="shared" si="104"/>
        <v>0</v>
      </c>
      <c r="P580" s="6">
        <f t="shared" si="104"/>
        <v>0</v>
      </c>
      <c r="Q580" s="6">
        <f t="shared" si="104"/>
        <v>0</v>
      </c>
      <c r="R580" s="6">
        <f t="shared" si="104"/>
        <v>0</v>
      </c>
      <c r="S580" s="6">
        <f t="shared" si="104"/>
        <v>0</v>
      </c>
      <c r="T580" s="6">
        <f t="shared" si="104"/>
        <v>0</v>
      </c>
      <c r="U580" s="6">
        <f t="shared" si="104"/>
        <v>0</v>
      </c>
      <c r="V580" s="6">
        <f t="shared" si="104"/>
        <v>0</v>
      </c>
      <c r="W580" s="6">
        <f t="shared" si="104"/>
        <v>0</v>
      </c>
      <c r="X580" s="6">
        <f t="shared" si="104"/>
        <v>0</v>
      </c>
      <c r="Y580" s="6">
        <f t="shared" si="104"/>
        <v>0</v>
      </c>
      <c r="Z580" s="6">
        <f t="shared" si="104"/>
        <v>0</v>
      </c>
      <c r="AA580" s="6">
        <f t="shared" si="104"/>
        <v>0</v>
      </c>
      <c r="AB580" s="6">
        <f t="shared" si="104"/>
        <v>0</v>
      </c>
      <c r="AC580" s="6">
        <f t="shared" ref="AC580:BZ580" si="105">SUM(AC108)</f>
        <v>17</v>
      </c>
      <c r="AD580" s="6">
        <f t="shared" si="105"/>
        <v>15</v>
      </c>
      <c r="AE580" s="6">
        <f t="shared" si="105"/>
        <v>174</v>
      </c>
      <c r="AF580" s="6">
        <f t="shared" si="105"/>
        <v>3</v>
      </c>
      <c r="AG580" s="6">
        <f t="shared" si="105"/>
        <v>0</v>
      </c>
      <c r="AH580" s="6">
        <f t="shared" si="105"/>
        <v>378</v>
      </c>
      <c r="AI580" s="6">
        <f t="shared" si="105"/>
        <v>160</v>
      </c>
      <c r="AJ580" s="6">
        <f t="shared" si="105"/>
        <v>0</v>
      </c>
      <c r="AK580" s="6">
        <f t="shared" si="105"/>
        <v>0</v>
      </c>
      <c r="AL580" s="6">
        <f t="shared" si="105"/>
        <v>412</v>
      </c>
      <c r="AM580" s="6">
        <f t="shared" si="105"/>
        <v>0</v>
      </c>
      <c r="AN580" s="6">
        <f t="shared" si="105"/>
        <v>0</v>
      </c>
      <c r="AO580" s="6">
        <f t="shared" si="105"/>
        <v>0</v>
      </c>
      <c r="AP580" s="6">
        <f t="shared" si="105"/>
        <v>0</v>
      </c>
      <c r="AQ580" s="6">
        <f t="shared" si="105"/>
        <v>0</v>
      </c>
      <c r="AR580" s="6">
        <f t="shared" si="105"/>
        <v>0</v>
      </c>
      <c r="AS580" s="6">
        <f t="shared" si="105"/>
        <v>0</v>
      </c>
      <c r="AT580" s="6">
        <f t="shared" si="105"/>
        <v>0</v>
      </c>
      <c r="AU580" s="6">
        <f t="shared" si="105"/>
        <v>0</v>
      </c>
      <c r="AV580" s="6">
        <f t="shared" si="105"/>
        <v>0</v>
      </c>
      <c r="AW580" s="6">
        <f t="shared" si="105"/>
        <v>0</v>
      </c>
      <c r="AX580" s="6">
        <f t="shared" si="105"/>
        <v>0</v>
      </c>
      <c r="AY580" s="6">
        <f t="shared" si="105"/>
        <v>0</v>
      </c>
      <c r="AZ580" s="6">
        <f t="shared" si="105"/>
        <v>0</v>
      </c>
      <c r="BA580" s="6">
        <f t="shared" si="105"/>
        <v>411</v>
      </c>
      <c r="BB580" s="6">
        <f t="shared" si="105"/>
        <v>129</v>
      </c>
      <c r="BC580" s="6">
        <f t="shared" si="105"/>
        <v>0</v>
      </c>
      <c r="BD580" s="6">
        <f t="shared" si="105"/>
        <v>0</v>
      </c>
      <c r="BE580" s="6">
        <f t="shared" si="105"/>
        <v>125</v>
      </c>
      <c r="BF580" s="6">
        <f t="shared" si="105"/>
        <v>419</v>
      </c>
      <c r="BG580" s="6">
        <f t="shared" si="105"/>
        <v>139</v>
      </c>
      <c r="BH580" s="6">
        <f t="shared" si="105"/>
        <v>412</v>
      </c>
      <c r="BI580" s="6">
        <f t="shared" si="105"/>
        <v>173</v>
      </c>
      <c r="BJ580" s="6">
        <f t="shared" si="105"/>
        <v>368</v>
      </c>
      <c r="BK580" s="6">
        <f t="shared" si="105"/>
        <v>396</v>
      </c>
      <c r="BL580" s="6">
        <f t="shared" si="105"/>
        <v>157</v>
      </c>
      <c r="BM580" s="6">
        <f t="shared" si="105"/>
        <v>112</v>
      </c>
      <c r="BN580" s="6">
        <f t="shared" si="105"/>
        <v>425</v>
      </c>
      <c r="BO580" s="6">
        <f t="shared" si="105"/>
        <v>391</v>
      </c>
      <c r="BP580" s="6">
        <f t="shared" si="105"/>
        <v>133</v>
      </c>
      <c r="BQ580" s="6">
        <f t="shared" si="105"/>
        <v>153</v>
      </c>
      <c r="BR580" s="6">
        <f t="shared" si="105"/>
        <v>377</v>
      </c>
      <c r="BS580" s="6">
        <f t="shared" si="105"/>
        <v>244</v>
      </c>
      <c r="BT580" s="6">
        <f t="shared" si="105"/>
        <v>107</v>
      </c>
      <c r="BU580" s="6">
        <f t="shared" si="105"/>
        <v>419</v>
      </c>
      <c r="BV580" s="6">
        <f t="shared" si="105"/>
        <v>305</v>
      </c>
      <c r="BW580" s="6">
        <f t="shared" si="105"/>
        <v>197</v>
      </c>
      <c r="BX580" s="6">
        <f t="shared" si="105"/>
        <v>226</v>
      </c>
      <c r="BY580" s="6">
        <f t="shared" si="105"/>
        <v>198</v>
      </c>
      <c r="BZ580" s="6">
        <f t="shared" si="105"/>
        <v>267</v>
      </c>
      <c r="CA580" s="6">
        <f t="shared" ref="CA580:CP580" si="106">SUM(CA108)</f>
        <v>270</v>
      </c>
      <c r="CB580" s="6">
        <f t="shared" si="106"/>
        <v>125</v>
      </c>
      <c r="CC580" s="6">
        <f t="shared" si="106"/>
        <v>302</v>
      </c>
      <c r="CD580" s="6">
        <f t="shared" si="106"/>
        <v>298</v>
      </c>
      <c r="CE580" s="6">
        <f t="shared" si="106"/>
        <v>293</v>
      </c>
      <c r="CF580" s="6">
        <f t="shared" si="106"/>
        <v>137</v>
      </c>
      <c r="CG580" s="6">
        <f t="shared" si="106"/>
        <v>160</v>
      </c>
      <c r="CH580" s="6">
        <f t="shared" si="106"/>
        <v>247</v>
      </c>
      <c r="CI580" s="6">
        <f t="shared" si="106"/>
        <v>196</v>
      </c>
      <c r="CJ580" s="6">
        <f t="shared" si="106"/>
        <v>218</v>
      </c>
      <c r="CK580" s="6">
        <f t="shared" si="106"/>
        <v>222</v>
      </c>
      <c r="CL580" s="6">
        <f t="shared" si="106"/>
        <v>214</v>
      </c>
      <c r="CM580" s="6">
        <f t="shared" si="106"/>
        <v>255</v>
      </c>
      <c r="CN580" s="6">
        <f t="shared" si="106"/>
        <v>279</v>
      </c>
      <c r="CO580" s="6">
        <f t="shared" si="106"/>
        <v>207</v>
      </c>
      <c r="CP580" s="6">
        <f t="shared" si="106"/>
        <v>236</v>
      </c>
      <c r="CQ580" s="6">
        <f t="shared" ref="CQ580:EM580" si="107">SUM(CQ108)</f>
        <v>0</v>
      </c>
      <c r="CR580" s="6">
        <f t="shared" si="107"/>
        <v>0</v>
      </c>
      <c r="CS580" s="6">
        <f t="shared" si="107"/>
        <v>0</v>
      </c>
      <c r="CT580" s="6">
        <f t="shared" si="107"/>
        <v>0</v>
      </c>
      <c r="CU580" s="6">
        <f t="shared" si="107"/>
        <v>0</v>
      </c>
      <c r="CV580" s="6">
        <f t="shared" si="107"/>
        <v>0</v>
      </c>
      <c r="CW580" s="6">
        <f t="shared" si="107"/>
        <v>0</v>
      </c>
      <c r="CX580" s="6">
        <f t="shared" si="107"/>
        <v>0</v>
      </c>
      <c r="CY580" s="6">
        <f t="shared" si="107"/>
        <v>0</v>
      </c>
      <c r="CZ580" s="6">
        <f t="shared" si="107"/>
        <v>0</v>
      </c>
      <c r="DA580" s="6">
        <f t="shared" si="107"/>
        <v>0</v>
      </c>
      <c r="DB580" s="6">
        <f t="shared" si="107"/>
        <v>0</v>
      </c>
      <c r="DC580" s="6">
        <f t="shared" si="107"/>
        <v>0</v>
      </c>
      <c r="DD580" s="6">
        <f t="shared" si="107"/>
        <v>0</v>
      </c>
      <c r="DE580" s="6">
        <f t="shared" si="107"/>
        <v>0</v>
      </c>
      <c r="DF580" s="6">
        <f t="shared" si="107"/>
        <v>0</v>
      </c>
      <c r="DG580" s="6">
        <f t="shared" si="107"/>
        <v>0</v>
      </c>
      <c r="DH580" s="6">
        <f t="shared" si="107"/>
        <v>0</v>
      </c>
      <c r="DI580" s="6">
        <f t="shared" si="107"/>
        <v>0</v>
      </c>
      <c r="DJ580" s="6">
        <f t="shared" si="107"/>
        <v>0</v>
      </c>
      <c r="DK580" s="6">
        <f t="shared" si="107"/>
        <v>0</v>
      </c>
      <c r="DL580" s="6">
        <f t="shared" si="107"/>
        <v>0</v>
      </c>
      <c r="DM580" s="6">
        <f t="shared" si="107"/>
        <v>0</v>
      </c>
      <c r="DN580" s="6">
        <f t="shared" si="107"/>
        <v>0</v>
      </c>
      <c r="DO580" s="6">
        <f t="shared" si="107"/>
        <v>0</v>
      </c>
      <c r="DP580" s="6">
        <f t="shared" si="107"/>
        <v>0</v>
      </c>
      <c r="DQ580" s="6">
        <f t="shared" si="107"/>
        <v>0</v>
      </c>
      <c r="DR580" s="6">
        <f t="shared" si="107"/>
        <v>0</v>
      </c>
      <c r="DS580" s="6">
        <f t="shared" si="107"/>
        <v>0</v>
      </c>
      <c r="DT580" s="6">
        <f t="shared" si="107"/>
        <v>0</v>
      </c>
      <c r="DU580" s="6">
        <f t="shared" si="107"/>
        <v>0</v>
      </c>
      <c r="DV580" s="6">
        <f t="shared" si="107"/>
        <v>0</v>
      </c>
      <c r="DW580" s="6">
        <f t="shared" si="107"/>
        <v>0</v>
      </c>
      <c r="DX580" s="6">
        <f t="shared" si="107"/>
        <v>0</v>
      </c>
      <c r="DY580" s="6">
        <f t="shared" si="107"/>
        <v>0</v>
      </c>
      <c r="DZ580" s="6">
        <f t="shared" si="107"/>
        <v>0</v>
      </c>
      <c r="EA580" s="6">
        <f t="shared" si="107"/>
        <v>0</v>
      </c>
      <c r="EB580" s="6">
        <f t="shared" si="107"/>
        <v>0</v>
      </c>
      <c r="EC580" s="6">
        <f t="shared" si="107"/>
        <v>0</v>
      </c>
      <c r="ED580" s="6">
        <f t="shared" si="107"/>
        <v>0</v>
      </c>
      <c r="EE580" s="6">
        <f t="shared" si="107"/>
        <v>0</v>
      </c>
      <c r="EF580" s="6">
        <f t="shared" si="107"/>
        <v>0</v>
      </c>
      <c r="EG580" s="6">
        <f t="shared" si="107"/>
        <v>0</v>
      </c>
      <c r="EH580" s="6">
        <f t="shared" si="107"/>
        <v>0</v>
      </c>
      <c r="EI580" s="6">
        <f t="shared" si="107"/>
        <v>0</v>
      </c>
      <c r="EJ580" s="6">
        <f t="shared" si="107"/>
        <v>0</v>
      </c>
      <c r="EK580" s="6">
        <f t="shared" si="107"/>
        <v>0</v>
      </c>
      <c r="EL580" s="6">
        <f t="shared" si="107"/>
        <v>0</v>
      </c>
      <c r="EM580" s="6">
        <f t="shared" si="107"/>
        <v>0</v>
      </c>
      <c r="EN580" s="6">
        <f t="shared" ref="EN580:GR580" si="108">SUM(EN108)</f>
        <v>0</v>
      </c>
      <c r="EO580" s="6">
        <f t="shared" si="108"/>
        <v>0</v>
      </c>
      <c r="EP580" s="6">
        <f t="shared" si="108"/>
        <v>0</v>
      </c>
      <c r="EQ580" s="6">
        <f t="shared" si="108"/>
        <v>0</v>
      </c>
      <c r="ER580" s="6">
        <f t="shared" si="108"/>
        <v>0</v>
      </c>
      <c r="ES580" s="6">
        <f t="shared" si="108"/>
        <v>0</v>
      </c>
      <c r="ET580" s="6">
        <f t="shared" si="108"/>
        <v>0</v>
      </c>
      <c r="EU580" s="6">
        <f t="shared" si="108"/>
        <v>0</v>
      </c>
      <c r="EV580" s="6">
        <f t="shared" si="108"/>
        <v>0</v>
      </c>
      <c r="EW580" s="6">
        <f t="shared" si="108"/>
        <v>0</v>
      </c>
      <c r="EX580" s="6">
        <f t="shared" si="108"/>
        <v>0</v>
      </c>
      <c r="EY580" s="6">
        <f t="shared" si="108"/>
        <v>0</v>
      </c>
      <c r="EZ580" s="6">
        <f t="shared" si="108"/>
        <v>0</v>
      </c>
      <c r="FA580" s="6">
        <f t="shared" si="108"/>
        <v>0</v>
      </c>
      <c r="FB580" s="6">
        <f t="shared" si="108"/>
        <v>0</v>
      </c>
      <c r="FC580" s="6">
        <f t="shared" si="108"/>
        <v>0</v>
      </c>
      <c r="FD580" s="6">
        <f t="shared" si="108"/>
        <v>0</v>
      </c>
      <c r="FE580" s="6">
        <f t="shared" si="108"/>
        <v>0</v>
      </c>
      <c r="FF580" s="6">
        <f t="shared" si="108"/>
        <v>0</v>
      </c>
      <c r="FG580" s="6">
        <f t="shared" si="108"/>
        <v>0</v>
      </c>
      <c r="FH580" s="6">
        <f t="shared" si="108"/>
        <v>0</v>
      </c>
      <c r="FI580" s="6">
        <f t="shared" si="108"/>
        <v>0</v>
      </c>
      <c r="FJ580" s="6">
        <f t="shared" si="108"/>
        <v>0</v>
      </c>
      <c r="FK580" s="6">
        <f t="shared" si="108"/>
        <v>0</v>
      </c>
      <c r="FL580" s="6">
        <f t="shared" si="108"/>
        <v>0</v>
      </c>
      <c r="FM580" s="6">
        <f t="shared" si="108"/>
        <v>0</v>
      </c>
      <c r="FN580" s="6">
        <f t="shared" si="108"/>
        <v>0</v>
      </c>
      <c r="FO580" s="6">
        <f t="shared" si="108"/>
        <v>0</v>
      </c>
      <c r="FP580" s="6">
        <f t="shared" si="108"/>
        <v>0</v>
      </c>
      <c r="FQ580" s="6">
        <f t="shared" si="108"/>
        <v>0</v>
      </c>
      <c r="FR580" s="6">
        <f t="shared" si="108"/>
        <v>0</v>
      </c>
      <c r="FS580" s="6">
        <f t="shared" si="108"/>
        <v>0</v>
      </c>
      <c r="FT580" s="6">
        <f t="shared" si="108"/>
        <v>0</v>
      </c>
      <c r="FU580" s="6">
        <f t="shared" si="108"/>
        <v>0</v>
      </c>
      <c r="FV580" s="6">
        <f t="shared" si="108"/>
        <v>0</v>
      </c>
      <c r="FW580" s="6">
        <f t="shared" si="108"/>
        <v>0</v>
      </c>
      <c r="FX580" s="6">
        <f t="shared" si="108"/>
        <v>0</v>
      </c>
      <c r="FY580" s="6">
        <f t="shared" si="108"/>
        <v>359</v>
      </c>
      <c r="FZ580" s="6">
        <f t="shared" si="108"/>
        <v>196</v>
      </c>
      <c r="GA580" s="6">
        <f t="shared" si="108"/>
        <v>0</v>
      </c>
      <c r="GB580" s="6">
        <f t="shared" si="108"/>
        <v>0</v>
      </c>
      <c r="GC580" s="6">
        <f t="shared" si="108"/>
        <v>0</v>
      </c>
      <c r="GD580" s="6">
        <f t="shared" si="108"/>
        <v>0</v>
      </c>
      <c r="GE580" s="6">
        <f t="shared" si="108"/>
        <v>0</v>
      </c>
      <c r="GF580" s="6">
        <f t="shared" si="108"/>
        <v>0</v>
      </c>
      <c r="GG580" s="6">
        <f t="shared" si="108"/>
        <v>0</v>
      </c>
      <c r="GH580" s="6">
        <f t="shared" si="108"/>
        <v>0</v>
      </c>
      <c r="GI580" s="6">
        <f t="shared" si="108"/>
        <v>0</v>
      </c>
      <c r="GJ580" s="6">
        <f t="shared" si="108"/>
        <v>0</v>
      </c>
      <c r="GK580" s="6">
        <f t="shared" si="108"/>
        <v>0</v>
      </c>
      <c r="GL580" s="6">
        <f t="shared" si="108"/>
        <v>0</v>
      </c>
      <c r="GM580" s="6">
        <f t="shared" si="108"/>
        <v>0</v>
      </c>
      <c r="GN580" s="6">
        <f t="shared" si="108"/>
        <v>0</v>
      </c>
      <c r="GO580" s="6">
        <f t="shared" si="108"/>
        <v>395</v>
      </c>
      <c r="GP580" s="6">
        <f t="shared" si="108"/>
        <v>152</v>
      </c>
      <c r="GQ580" s="6">
        <f t="shared" si="108"/>
        <v>399</v>
      </c>
      <c r="GR580" s="6">
        <f t="shared" si="108"/>
        <v>142</v>
      </c>
    </row>
    <row r="581" spans="1:200">
      <c r="A581" s="6"/>
      <c r="B581" s="13" t="s">
        <v>52</v>
      </c>
      <c r="C581" s="14">
        <f>SUM(C109:C111)</f>
        <v>4390</v>
      </c>
      <c r="D581" s="14">
        <f>SUM(D109:D111)</f>
        <v>2306</v>
      </c>
      <c r="E581" s="15">
        <f t="shared" si="28"/>
        <v>0.52528473804100229</v>
      </c>
      <c r="F581" s="66">
        <f t="shared" ref="F581:AB581" si="109">SUM(F109:F111)</f>
        <v>2054</v>
      </c>
      <c r="G581" s="6">
        <f t="shared" si="109"/>
        <v>4</v>
      </c>
      <c r="H581" s="6">
        <f t="shared" si="109"/>
        <v>42</v>
      </c>
      <c r="I581" s="6">
        <f t="shared" si="109"/>
        <v>17</v>
      </c>
      <c r="J581" s="59">
        <f t="shared" si="109"/>
        <v>147</v>
      </c>
      <c r="K581" s="6">
        <f t="shared" si="109"/>
        <v>0</v>
      </c>
      <c r="L581" s="6">
        <f t="shared" si="109"/>
        <v>0</v>
      </c>
      <c r="M581" s="6">
        <f t="shared" si="109"/>
        <v>0</v>
      </c>
      <c r="N581" s="6">
        <f t="shared" si="109"/>
        <v>0</v>
      </c>
      <c r="O581" s="6">
        <f t="shared" si="109"/>
        <v>0</v>
      </c>
      <c r="P581" s="6">
        <f t="shared" si="109"/>
        <v>0</v>
      </c>
      <c r="Q581" s="6">
        <f t="shared" si="109"/>
        <v>0</v>
      </c>
      <c r="R581" s="6">
        <f t="shared" si="109"/>
        <v>0</v>
      </c>
      <c r="S581" s="6">
        <f t="shared" si="109"/>
        <v>0</v>
      </c>
      <c r="T581" s="6">
        <f t="shared" si="109"/>
        <v>0</v>
      </c>
      <c r="U581" s="6">
        <f t="shared" si="109"/>
        <v>0</v>
      </c>
      <c r="V581" s="6">
        <f t="shared" si="109"/>
        <v>0</v>
      </c>
      <c r="W581" s="6">
        <f t="shared" si="109"/>
        <v>2</v>
      </c>
      <c r="X581" s="6">
        <f t="shared" si="109"/>
        <v>0</v>
      </c>
      <c r="Y581" s="6">
        <f t="shared" si="109"/>
        <v>0</v>
      </c>
      <c r="Z581" s="6">
        <f t="shared" si="109"/>
        <v>0</v>
      </c>
      <c r="AA581" s="6">
        <f t="shared" si="109"/>
        <v>0</v>
      </c>
      <c r="AB581" s="6">
        <f t="shared" si="109"/>
        <v>0</v>
      </c>
      <c r="AC581" s="6">
        <f t="shared" ref="AC581:BZ581" si="110">SUM(AC109:AC111)</f>
        <v>30</v>
      </c>
      <c r="AD581" s="6">
        <f t="shared" si="110"/>
        <v>41</v>
      </c>
      <c r="AE581" s="6">
        <f t="shared" si="110"/>
        <v>340</v>
      </c>
      <c r="AF581" s="6">
        <f t="shared" si="110"/>
        <v>16</v>
      </c>
      <c r="AG581" s="6">
        <f t="shared" si="110"/>
        <v>0</v>
      </c>
      <c r="AH581" s="6">
        <f t="shared" si="110"/>
        <v>1743</v>
      </c>
      <c r="AI581" s="6">
        <f t="shared" si="110"/>
        <v>314</v>
      </c>
      <c r="AJ581" s="6">
        <f t="shared" si="110"/>
        <v>3</v>
      </c>
      <c r="AK581" s="6">
        <f t="shared" si="110"/>
        <v>0</v>
      </c>
      <c r="AL581" s="6">
        <f t="shared" si="110"/>
        <v>1844</v>
      </c>
      <c r="AM581" s="6">
        <f t="shared" si="110"/>
        <v>0</v>
      </c>
      <c r="AN581" s="6">
        <f t="shared" si="110"/>
        <v>0</v>
      </c>
      <c r="AO581" s="6">
        <f t="shared" si="110"/>
        <v>0</v>
      </c>
      <c r="AP581" s="6">
        <f t="shared" si="110"/>
        <v>0</v>
      </c>
      <c r="AQ581" s="6">
        <f t="shared" si="110"/>
        <v>0</v>
      </c>
      <c r="AR581" s="6">
        <f t="shared" si="110"/>
        <v>0</v>
      </c>
      <c r="AS581" s="6">
        <f t="shared" si="110"/>
        <v>0</v>
      </c>
      <c r="AT581" s="6">
        <f t="shared" si="110"/>
        <v>0</v>
      </c>
      <c r="AU581" s="6">
        <f t="shared" si="110"/>
        <v>0</v>
      </c>
      <c r="AV581" s="6">
        <f t="shared" si="110"/>
        <v>0</v>
      </c>
      <c r="AW581" s="6">
        <f t="shared" si="110"/>
        <v>0</v>
      </c>
      <c r="AX581" s="6">
        <f t="shared" si="110"/>
        <v>0</v>
      </c>
      <c r="AY581" s="6">
        <f t="shared" si="110"/>
        <v>0</v>
      </c>
      <c r="AZ581" s="6">
        <f t="shared" si="110"/>
        <v>0</v>
      </c>
      <c r="BA581" s="6">
        <f t="shared" si="110"/>
        <v>1888</v>
      </c>
      <c r="BB581" s="6">
        <f t="shared" si="110"/>
        <v>230</v>
      </c>
      <c r="BC581" s="6">
        <f t="shared" si="110"/>
        <v>0</v>
      </c>
      <c r="BD581" s="6">
        <f t="shared" si="110"/>
        <v>0</v>
      </c>
      <c r="BE581" s="6">
        <f t="shared" si="110"/>
        <v>213</v>
      </c>
      <c r="BF581" s="6">
        <f t="shared" si="110"/>
        <v>1909</v>
      </c>
      <c r="BG581" s="6">
        <f t="shared" si="110"/>
        <v>242</v>
      </c>
      <c r="BH581" s="6">
        <f t="shared" si="110"/>
        <v>1872</v>
      </c>
      <c r="BI581" s="6">
        <f t="shared" si="110"/>
        <v>388</v>
      </c>
      <c r="BJ581" s="6">
        <f t="shared" si="110"/>
        <v>1713</v>
      </c>
      <c r="BK581" s="6">
        <f t="shared" si="110"/>
        <v>1804</v>
      </c>
      <c r="BL581" s="6">
        <f t="shared" si="110"/>
        <v>309</v>
      </c>
      <c r="BM581" s="6">
        <f t="shared" si="110"/>
        <v>224</v>
      </c>
      <c r="BN581" s="6">
        <f t="shared" si="110"/>
        <v>1856</v>
      </c>
      <c r="BO581" s="6">
        <f t="shared" si="110"/>
        <v>1775</v>
      </c>
      <c r="BP581" s="6">
        <f t="shared" si="110"/>
        <v>271</v>
      </c>
      <c r="BQ581" s="6">
        <f t="shared" si="110"/>
        <v>294</v>
      </c>
      <c r="BR581" s="6">
        <f t="shared" si="110"/>
        <v>1753</v>
      </c>
      <c r="BS581" s="6">
        <f t="shared" si="110"/>
        <v>741</v>
      </c>
      <c r="BT581" s="6">
        <f t="shared" si="110"/>
        <v>184</v>
      </c>
      <c r="BU581" s="6">
        <f t="shared" si="110"/>
        <v>1886</v>
      </c>
      <c r="BV581" s="6">
        <f t="shared" si="110"/>
        <v>1032</v>
      </c>
      <c r="BW581" s="6">
        <f t="shared" si="110"/>
        <v>571</v>
      </c>
      <c r="BX581" s="6">
        <f t="shared" si="110"/>
        <v>1103</v>
      </c>
      <c r="BY581" s="6">
        <f t="shared" si="110"/>
        <v>546</v>
      </c>
      <c r="BZ581" s="6">
        <f t="shared" si="110"/>
        <v>1246</v>
      </c>
      <c r="CA581" s="6">
        <f t="shared" ref="CA581:CP581" si="111">SUM(CA109:CA111)</f>
        <v>909</v>
      </c>
      <c r="CB581" s="6">
        <f t="shared" si="111"/>
        <v>340</v>
      </c>
      <c r="CC581" s="6">
        <f t="shared" si="111"/>
        <v>1331</v>
      </c>
      <c r="CD581" s="6">
        <f t="shared" si="111"/>
        <v>1200</v>
      </c>
      <c r="CE581" s="6">
        <f t="shared" si="111"/>
        <v>1297</v>
      </c>
      <c r="CF581" s="6">
        <f t="shared" si="111"/>
        <v>389</v>
      </c>
      <c r="CG581" s="6">
        <f t="shared" si="111"/>
        <v>439</v>
      </c>
      <c r="CH581" s="6">
        <f t="shared" si="111"/>
        <v>1134</v>
      </c>
      <c r="CI581" s="6">
        <f t="shared" si="111"/>
        <v>979</v>
      </c>
      <c r="CJ581" s="6">
        <f t="shared" si="111"/>
        <v>665</v>
      </c>
      <c r="CK581" s="6">
        <f t="shared" si="111"/>
        <v>654</v>
      </c>
      <c r="CL581" s="6">
        <f t="shared" si="111"/>
        <v>1073</v>
      </c>
      <c r="CM581" s="6">
        <f t="shared" si="111"/>
        <v>865</v>
      </c>
      <c r="CN581" s="6">
        <f t="shared" si="111"/>
        <v>1010</v>
      </c>
      <c r="CO581" s="6">
        <f t="shared" si="111"/>
        <v>1097</v>
      </c>
      <c r="CP581" s="6">
        <f t="shared" si="111"/>
        <v>609</v>
      </c>
      <c r="CQ581" s="6">
        <f t="shared" ref="CQ581:EM581" si="112">SUM(CQ109:CQ111)</f>
        <v>0</v>
      </c>
      <c r="CR581" s="6">
        <f t="shared" si="112"/>
        <v>0</v>
      </c>
      <c r="CS581" s="6">
        <f t="shared" si="112"/>
        <v>0</v>
      </c>
      <c r="CT581" s="6">
        <f t="shared" si="112"/>
        <v>0</v>
      </c>
      <c r="CU581" s="6">
        <f t="shared" si="112"/>
        <v>0</v>
      </c>
      <c r="CV581" s="6">
        <f t="shared" si="112"/>
        <v>0</v>
      </c>
      <c r="CW581" s="6">
        <f t="shared" si="112"/>
        <v>0</v>
      </c>
      <c r="CX581" s="6">
        <f t="shared" si="112"/>
        <v>0</v>
      </c>
      <c r="CY581" s="6">
        <f t="shared" si="112"/>
        <v>0</v>
      </c>
      <c r="CZ581" s="6">
        <f t="shared" si="112"/>
        <v>0</v>
      </c>
      <c r="DA581" s="6">
        <f t="shared" si="112"/>
        <v>0</v>
      </c>
      <c r="DB581" s="6">
        <f t="shared" si="112"/>
        <v>0</v>
      </c>
      <c r="DC581" s="6">
        <f t="shared" si="112"/>
        <v>0</v>
      </c>
      <c r="DD581" s="6">
        <f t="shared" si="112"/>
        <v>0</v>
      </c>
      <c r="DE581" s="6">
        <f t="shared" si="112"/>
        <v>0</v>
      </c>
      <c r="DF581" s="6">
        <f t="shared" si="112"/>
        <v>0</v>
      </c>
      <c r="DG581" s="6">
        <f t="shared" si="112"/>
        <v>0</v>
      </c>
      <c r="DH581" s="6">
        <f t="shared" si="112"/>
        <v>0</v>
      </c>
      <c r="DI581" s="6">
        <f t="shared" si="112"/>
        <v>0</v>
      </c>
      <c r="DJ581" s="6">
        <f t="shared" si="112"/>
        <v>0</v>
      </c>
      <c r="DK581" s="6">
        <f t="shared" si="112"/>
        <v>0</v>
      </c>
      <c r="DL581" s="6">
        <f t="shared" si="112"/>
        <v>0</v>
      </c>
      <c r="DM581" s="6">
        <f t="shared" si="112"/>
        <v>0</v>
      </c>
      <c r="DN581" s="6">
        <f t="shared" si="112"/>
        <v>0</v>
      </c>
      <c r="DO581" s="6">
        <f t="shared" si="112"/>
        <v>0</v>
      </c>
      <c r="DP581" s="6">
        <f t="shared" si="112"/>
        <v>0</v>
      </c>
      <c r="DQ581" s="6">
        <f t="shared" si="112"/>
        <v>0</v>
      </c>
      <c r="DR581" s="6">
        <f t="shared" si="112"/>
        <v>0</v>
      </c>
      <c r="DS581" s="6">
        <f t="shared" si="112"/>
        <v>0</v>
      </c>
      <c r="DT581" s="6">
        <f t="shared" si="112"/>
        <v>0</v>
      </c>
      <c r="DU581" s="6">
        <f t="shared" si="112"/>
        <v>0</v>
      </c>
      <c r="DV581" s="6">
        <f t="shared" si="112"/>
        <v>0</v>
      </c>
      <c r="DW581" s="6">
        <f t="shared" si="112"/>
        <v>0</v>
      </c>
      <c r="DX581" s="6">
        <f t="shared" si="112"/>
        <v>0</v>
      </c>
      <c r="DY581" s="6">
        <f t="shared" si="112"/>
        <v>0</v>
      </c>
      <c r="DZ581" s="6">
        <f t="shared" si="112"/>
        <v>0</v>
      </c>
      <c r="EA581" s="6">
        <f t="shared" si="112"/>
        <v>0</v>
      </c>
      <c r="EB581" s="6">
        <f t="shared" si="112"/>
        <v>0</v>
      </c>
      <c r="EC581" s="6">
        <f t="shared" si="112"/>
        <v>0</v>
      </c>
      <c r="ED581" s="6">
        <f t="shared" si="112"/>
        <v>0</v>
      </c>
      <c r="EE581" s="6">
        <f t="shared" si="112"/>
        <v>0</v>
      </c>
      <c r="EF581" s="6">
        <f t="shared" si="112"/>
        <v>0</v>
      </c>
      <c r="EG581" s="6">
        <f t="shared" si="112"/>
        <v>0</v>
      </c>
      <c r="EH581" s="6">
        <f t="shared" si="112"/>
        <v>0</v>
      </c>
      <c r="EI581" s="6">
        <f t="shared" si="112"/>
        <v>0</v>
      </c>
      <c r="EJ581" s="6">
        <f t="shared" si="112"/>
        <v>0</v>
      </c>
      <c r="EK581" s="6">
        <f t="shared" si="112"/>
        <v>0</v>
      </c>
      <c r="EL581" s="6">
        <f t="shared" si="112"/>
        <v>0</v>
      </c>
      <c r="EM581" s="6">
        <f t="shared" si="112"/>
        <v>0</v>
      </c>
      <c r="EN581" s="6">
        <f t="shared" ref="EN581:GR581" si="113">SUM(EN109:EN111)</f>
        <v>0</v>
      </c>
      <c r="EO581" s="6">
        <f t="shared" si="113"/>
        <v>0</v>
      </c>
      <c r="EP581" s="6">
        <f t="shared" si="113"/>
        <v>0</v>
      </c>
      <c r="EQ581" s="6">
        <f t="shared" si="113"/>
        <v>0</v>
      </c>
      <c r="ER581" s="6">
        <f t="shared" si="113"/>
        <v>0</v>
      </c>
      <c r="ES581" s="6">
        <f t="shared" si="113"/>
        <v>0</v>
      </c>
      <c r="ET581" s="6">
        <f t="shared" si="113"/>
        <v>0</v>
      </c>
      <c r="EU581" s="6">
        <f t="shared" si="113"/>
        <v>0</v>
      </c>
      <c r="EV581" s="6">
        <f t="shared" si="113"/>
        <v>0</v>
      </c>
      <c r="EW581" s="6">
        <f t="shared" si="113"/>
        <v>0</v>
      </c>
      <c r="EX581" s="6">
        <f t="shared" si="113"/>
        <v>0</v>
      </c>
      <c r="EY581" s="6">
        <f t="shared" si="113"/>
        <v>0</v>
      </c>
      <c r="EZ581" s="6">
        <f t="shared" si="113"/>
        <v>0</v>
      </c>
      <c r="FA581" s="6">
        <f t="shared" si="113"/>
        <v>0</v>
      </c>
      <c r="FB581" s="6">
        <f t="shared" si="113"/>
        <v>0</v>
      </c>
      <c r="FC581" s="6">
        <f t="shared" si="113"/>
        <v>0</v>
      </c>
      <c r="FD581" s="6">
        <f t="shared" si="113"/>
        <v>0</v>
      </c>
      <c r="FE581" s="6">
        <f t="shared" si="113"/>
        <v>0</v>
      </c>
      <c r="FF581" s="6">
        <f t="shared" si="113"/>
        <v>0</v>
      </c>
      <c r="FG581" s="6">
        <f t="shared" si="113"/>
        <v>0</v>
      </c>
      <c r="FH581" s="6">
        <f t="shared" si="113"/>
        <v>0</v>
      </c>
      <c r="FI581" s="6">
        <f t="shared" si="113"/>
        <v>0</v>
      </c>
      <c r="FJ581" s="6">
        <f t="shared" si="113"/>
        <v>0</v>
      </c>
      <c r="FK581" s="6">
        <f t="shared" si="113"/>
        <v>0</v>
      </c>
      <c r="FL581" s="6">
        <f t="shared" si="113"/>
        <v>0</v>
      </c>
      <c r="FM581" s="6">
        <f t="shared" si="113"/>
        <v>0</v>
      </c>
      <c r="FN581" s="6">
        <f t="shared" si="113"/>
        <v>0</v>
      </c>
      <c r="FO581" s="6">
        <f t="shared" si="113"/>
        <v>0</v>
      </c>
      <c r="FP581" s="6">
        <f t="shared" si="113"/>
        <v>0</v>
      </c>
      <c r="FQ581" s="6">
        <f t="shared" si="113"/>
        <v>0</v>
      </c>
      <c r="FR581" s="6">
        <f t="shared" si="113"/>
        <v>0</v>
      </c>
      <c r="FS581" s="6">
        <f t="shared" si="113"/>
        <v>0</v>
      </c>
      <c r="FT581" s="6">
        <f t="shared" si="113"/>
        <v>0</v>
      </c>
      <c r="FU581" s="6">
        <f t="shared" si="113"/>
        <v>0</v>
      </c>
      <c r="FV581" s="6">
        <f t="shared" si="113"/>
        <v>0</v>
      </c>
      <c r="FW581" s="6">
        <f t="shared" si="113"/>
        <v>0</v>
      </c>
      <c r="FX581" s="6">
        <f t="shared" si="113"/>
        <v>0</v>
      </c>
      <c r="FY581" s="6">
        <f t="shared" si="113"/>
        <v>1681</v>
      </c>
      <c r="FZ581" s="6">
        <f t="shared" si="113"/>
        <v>425</v>
      </c>
      <c r="GA581" s="6">
        <f t="shared" si="113"/>
        <v>0</v>
      </c>
      <c r="GB581" s="6">
        <f t="shared" si="113"/>
        <v>0</v>
      </c>
      <c r="GC581" s="6">
        <f t="shared" si="113"/>
        <v>0</v>
      </c>
      <c r="GD581" s="6">
        <f t="shared" si="113"/>
        <v>0</v>
      </c>
      <c r="GE581" s="6">
        <f t="shared" si="113"/>
        <v>0</v>
      </c>
      <c r="GF581" s="6">
        <f t="shared" si="113"/>
        <v>0</v>
      </c>
      <c r="GG581" s="6">
        <f t="shared" si="113"/>
        <v>0</v>
      </c>
      <c r="GH581" s="6">
        <f t="shared" si="113"/>
        <v>0</v>
      </c>
      <c r="GI581" s="6">
        <f t="shared" si="113"/>
        <v>0</v>
      </c>
      <c r="GJ581" s="6">
        <f t="shared" si="113"/>
        <v>0</v>
      </c>
      <c r="GK581" s="6">
        <f t="shared" si="113"/>
        <v>0</v>
      </c>
      <c r="GL581" s="6">
        <f t="shared" si="113"/>
        <v>0</v>
      </c>
      <c r="GM581" s="6">
        <f t="shared" si="113"/>
        <v>0</v>
      </c>
      <c r="GN581" s="6">
        <f t="shared" si="113"/>
        <v>0</v>
      </c>
      <c r="GO581" s="6">
        <f t="shared" si="113"/>
        <v>1576</v>
      </c>
      <c r="GP581" s="6">
        <f t="shared" si="113"/>
        <v>466</v>
      </c>
      <c r="GQ581" s="6">
        <f t="shared" si="113"/>
        <v>1731</v>
      </c>
      <c r="GR581" s="6">
        <f t="shared" si="113"/>
        <v>364</v>
      </c>
    </row>
    <row r="582" spans="1:200">
      <c r="A582" s="6"/>
      <c r="B582" s="13" t="s">
        <v>53</v>
      </c>
      <c r="C582" s="14">
        <f>SUM(C112:C113)</f>
        <v>1856</v>
      </c>
      <c r="D582" s="14">
        <f>SUM(D112:D113)</f>
        <v>849</v>
      </c>
      <c r="E582" s="15">
        <f t="shared" si="28"/>
        <v>0.45743534482758619</v>
      </c>
      <c r="F582" s="66">
        <f t="shared" ref="F582:AB582" si="114">SUM(F112:F113)</f>
        <v>770</v>
      </c>
      <c r="G582" s="6">
        <f t="shared" si="114"/>
        <v>5</v>
      </c>
      <c r="H582" s="6">
        <f t="shared" si="114"/>
        <v>7</v>
      </c>
      <c r="I582" s="6">
        <f t="shared" si="114"/>
        <v>9</v>
      </c>
      <c r="J582" s="59">
        <f t="shared" si="114"/>
        <v>38</v>
      </c>
      <c r="K582" s="6">
        <f t="shared" si="114"/>
        <v>0</v>
      </c>
      <c r="L582" s="6">
        <f t="shared" si="114"/>
        <v>0</v>
      </c>
      <c r="M582" s="6">
        <f t="shared" si="114"/>
        <v>0</v>
      </c>
      <c r="N582" s="6">
        <f t="shared" si="114"/>
        <v>0</v>
      </c>
      <c r="O582" s="6">
        <f t="shared" si="114"/>
        <v>0</v>
      </c>
      <c r="P582" s="6">
        <f t="shared" si="114"/>
        <v>0</v>
      </c>
      <c r="Q582" s="6">
        <f t="shared" si="114"/>
        <v>0</v>
      </c>
      <c r="R582" s="6">
        <f t="shared" si="114"/>
        <v>0</v>
      </c>
      <c r="S582" s="6">
        <f t="shared" si="114"/>
        <v>0</v>
      </c>
      <c r="T582" s="6">
        <f t="shared" si="114"/>
        <v>0</v>
      </c>
      <c r="U582" s="6">
        <f t="shared" si="114"/>
        <v>0</v>
      </c>
      <c r="V582" s="6">
        <f t="shared" si="114"/>
        <v>0</v>
      </c>
      <c r="W582" s="6">
        <f t="shared" si="114"/>
        <v>0</v>
      </c>
      <c r="X582" s="6">
        <f t="shared" si="114"/>
        <v>0</v>
      </c>
      <c r="Y582" s="6">
        <f t="shared" si="114"/>
        <v>0</v>
      </c>
      <c r="Z582" s="6">
        <f t="shared" si="114"/>
        <v>0</v>
      </c>
      <c r="AA582" s="6">
        <f t="shared" si="114"/>
        <v>0</v>
      </c>
      <c r="AB582" s="6">
        <f t="shared" si="114"/>
        <v>0</v>
      </c>
      <c r="AC582" s="6">
        <f t="shared" ref="AC582:BZ582" si="115">SUM(AC112:AC113)</f>
        <v>27</v>
      </c>
      <c r="AD582" s="6">
        <f t="shared" si="115"/>
        <v>17</v>
      </c>
      <c r="AE582" s="6">
        <f t="shared" si="115"/>
        <v>76</v>
      </c>
      <c r="AF582" s="6">
        <f t="shared" si="115"/>
        <v>19</v>
      </c>
      <c r="AG582" s="6">
        <f t="shared" si="115"/>
        <v>0</v>
      </c>
      <c r="AH582" s="6">
        <f t="shared" si="115"/>
        <v>658</v>
      </c>
      <c r="AI582" s="6">
        <f t="shared" si="115"/>
        <v>98</v>
      </c>
      <c r="AJ582" s="6">
        <f t="shared" si="115"/>
        <v>0</v>
      </c>
      <c r="AK582" s="6">
        <f t="shared" si="115"/>
        <v>0</v>
      </c>
      <c r="AL582" s="6">
        <f t="shared" si="115"/>
        <v>684</v>
      </c>
      <c r="AM582" s="6">
        <f t="shared" si="115"/>
        <v>0</v>
      </c>
      <c r="AN582" s="6">
        <f t="shared" si="115"/>
        <v>0</v>
      </c>
      <c r="AO582" s="6">
        <f t="shared" si="115"/>
        <v>0</v>
      </c>
      <c r="AP582" s="6">
        <f t="shared" si="115"/>
        <v>0</v>
      </c>
      <c r="AQ582" s="6">
        <f t="shared" si="115"/>
        <v>0</v>
      </c>
      <c r="AR582" s="6">
        <f t="shared" si="115"/>
        <v>0</v>
      </c>
      <c r="AS582" s="6">
        <f t="shared" si="115"/>
        <v>0</v>
      </c>
      <c r="AT582" s="6">
        <f t="shared" si="115"/>
        <v>0</v>
      </c>
      <c r="AU582" s="6">
        <f t="shared" si="115"/>
        <v>0</v>
      </c>
      <c r="AV582" s="6">
        <f t="shared" si="115"/>
        <v>0</v>
      </c>
      <c r="AW582" s="6">
        <f t="shared" si="115"/>
        <v>0</v>
      </c>
      <c r="AX582" s="6">
        <f t="shared" si="115"/>
        <v>0</v>
      </c>
      <c r="AY582" s="6">
        <f t="shared" si="115"/>
        <v>0</v>
      </c>
      <c r="AZ582" s="6">
        <f t="shared" si="115"/>
        <v>0</v>
      </c>
      <c r="BA582" s="6">
        <f t="shared" si="115"/>
        <v>706</v>
      </c>
      <c r="BB582" s="6">
        <f t="shared" si="115"/>
        <v>63</v>
      </c>
      <c r="BC582" s="6">
        <f t="shared" si="115"/>
        <v>0</v>
      </c>
      <c r="BD582" s="6">
        <f t="shared" si="115"/>
        <v>0</v>
      </c>
      <c r="BE582" s="6">
        <f t="shared" si="115"/>
        <v>53</v>
      </c>
      <c r="BF582" s="6">
        <f t="shared" si="115"/>
        <v>712</v>
      </c>
      <c r="BG582" s="6">
        <f t="shared" si="115"/>
        <v>66</v>
      </c>
      <c r="BH582" s="6">
        <f t="shared" si="115"/>
        <v>689</v>
      </c>
      <c r="BI582" s="6">
        <f t="shared" si="115"/>
        <v>115</v>
      </c>
      <c r="BJ582" s="6">
        <f t="shared" si="115"/>
        <v>654</v>
      </c>
      <c r="BK582" s="6">
        <f t="shared" si="115"/>
        <v>652</v>
      </c>
      <c r="BL582" s="6">
        <f t="shared" si="115"/>
        <v>113</v>
      </c>
      <c r="BM582" s="6">
        <f t="shared" si="115"/>
        <v>53</v>
      </c>
      <c r="BN582" s="6">
        <f t="shared" si="115"/>
        <v>715</v>
      </c>
      <c r="BO582" s="6">
        <f t="shared" si="115"/>
        <v>676</v>
      </c>
      <c r="BP582" s="6">
        <f t="shared" si="115"/>
        <v>86</v>
      </c>
      <c r="BQ582" s="6">
        <f t="shared" si="115"/>
        <v>76</v>
      </c>
      <c r="BR582" s="6">
        <f t="shared" si="115"/>
        <v>693</v>
      </c>
      <c r="BS582" s="6">
        <f t="shared" si="115"/>
        <v>236</v>
      </c>
      <c r="BT582" s="6">
        <f t="shared" si="115"/>
        <v>53</v>
      </c>
      <c r="BU582" s="6">
        <f t="shared" si="115"/>
        <v>706</v>
      </c>
      <c r="BV582" s="6">
        <f t="shared" si="115"/>
        <v>366</v>
      </c>
      <c r="BW582" s="6">
        <f t="shared" si="115"/>
        <v>205</v>
      </c>
      <c r="BX582" s="6">
        <f t="shared" si="115"/>
        <v>388</v>
      </c>
      <c r="BY582" s="6">
        <f t="shared" si="115"/>
        <v>221</v>
      </c>
      <c r="BZ582" s="6">
        <f t="shared" si="115"/>
        <v>428</v>
      </c>
      <c r="CA582" s="6">
        <f t="shared" ref="CA582:CP582" si="116">SUM(CA112:CA113)</f>
        <v>307</v>
      </c>
      <c r="CB582" s="6">
        <f t="shared" si="116"/>
        <v>140</v>
      </c>
      <c r="CC582" s="6">
        <f t="shared" si="116"/>
        <v>450</v>
      </c>
      <c r="CD582" s="6">
        <f t="shared" si="116"/>
        <v>411</v>
      </c>
      <c r="CE582" s="6">
        <f t="shared" si="116"/>
        <v>447</v>
      </c>
      <c r="CF582" s="6">
        <f t="shared" si="116"/>
        <v>149</v>
      </c>
      <c r="CG582" s="6">
        <f t="shared" si="116"/>
        <v>172</v>
      </c>
      <c r="CH582" s="6">
        <f t="shared" si="116"/>
        <v>377</v>
      </c>
      <c r="CI582" s="6">
        <f t="shared" si="116"/>
        <v>329</v>
      </c>
      <c r="CJ582" s="6">
        <f t="shared" si="116"/>
        <v>246</v>
      </c>
      <c r="CK582" s="6">
        <f t="shared" si="116"/>
        <v>281</v>
      </c>
      <c r="CL582" s="6">
        <f t="shared" si="116"/>
        <v>326</v>
      </c>
      <c r="CM582" s="6">
        <f t="shared" si="116"/>
        <v>314</v>
      </c>
      <c r="CN582" s="6">
        <f t="shared" si="116"/>
        <v>352</v>
      </c>
      <c r="CO582" s="6">
        <f t="shared" si="116"/>
        <v>370</v>
      </c>
      <c r="CP582" s="6">
        <f t="shared" si="116"/>
        <v>250</v>
      </c>
      <c r="CQ582" s="6">
        <f t="shared" ref="CQ582:EM582" si="117">SUM(CQ112:CQ113)</f>
        <v>0</v>
      </c>
      <c r="CR582" s="6">
        <f t="shared" si="117"/>
        <v>0</v>
      </c>
      <c r="CS582" s="6">
        <f t="shared" si="117"/>
        <v>0</v>
      </c>
      <c r="CT582" s="6">
        <f t="shared" si="117"/>
        <v>0</v>
      </c>
      <c r="CU582" s="6">
        <f t="shared" si="117"/>
        <v>0</v>
      </c>
      <c r="CV582" s="6">
        <f t="shared" si="117"/>
        <v>0</v>
      </c>
      <c r="CW582" s="6">
        <f t="shared" si="117"/>
        <v>0</v>
      </c>
      <c r="CX582" s="6">
        <f t="shared" si="117"/>
        <v>0</v>
      </c>
      <c r="CY582" s="6">
        <f t="shared" si="117"/>
        <v>0</v>
      </c>
      <c r="CZ582" s="6">
        <f t="shared" si="117"/>
        <v>0</v>
      </c>
      <c r="DA582" s="6">
        <f t="shared" si="117"/>
        <v>0</v>
      </c>
      <c r="DB582" s="6">
        <f t="shared" si="117"/>
        <v>0</v>
      </c>
      <c r="DC582" s="6">
        <f t="shared" si="117"/>
        <v>0</v>
      </c>
      <c r="DD582" s="6">
        <f t="shared" si="117"/>
        <v>0</v>
      </c>
      <c r="DE582" s="6">
        <f t="shared" si="117"/>
        <v>0</v>
      </c>
      <c r="DF582" s="6">
        <f t="shared" si="117"/>
        <v>0</v>
      </c>
      <c r="DG582" s="6">
        <f t="shared" si="117"/>
        <v>0</v>
      </c>
      <c r="DH582" s="6">
        <f t="shared" si="117"/>
        <v>0</v>
      </c>
      <c r="DI582" s="6">
        <f t="shared" si="117"/>
        <v>0</v>
      </c>
      <c r="DJ582" s="6">
        <f t="shared" si="117"/>
        <v>0</v>
      </c>
      <c r="DK582" s="6">
        <f t="shared" si="117"/>
        <v>0</v>
      </c>
      <c r="DL582" s="6">
        <f t="shared" si="117"/>
        <v>0</v>
      </c>
      <c r="DM582" s="6">
        <f t="shared" si="117"/>
        <v>0</v>
      </c>
      <c r="DN582" s="6">
        <f t="shared" si="117"/>
        <v>0</v>
      </c>
      <c r="DO582" s="6">
        <f t="shared" si="117"/>
        <v>0</v>
      </c>
      <c r="DP582" s="6">
        <f t="shared" si="117"/>
        <v>0</v>
      </c>
      <c r="DQ582" s="6">
        <f t="shared" si="117"/>
        <v>0</v>
      </c>
      <c r="DR582" s="6">
        <f t="shared" si="117"/>
        <v>0</v>
      </c>
      <c r="DS582" s="6">
        <f t="shared" si="117"/>
        <v>0</v>
      </c>
      <c r="DT582" s="6">
        <f t="shared" si="117"/>
        <v>0</v>
      </c>
      <c r="DU582" s="6">
        <f t="shared" si="117"/>
        <v>0</v>
      </c>
      <c r="DV582" s="6">
        <f t="shared" si="117"/>
        <v>0</v>
      </c>
      <c r="DW582" s="6">
        <f t="shared" si="117"/>
        <v>0</v>
      </c>
      <c r="DX582" s="6">
        <f t="shared" si="117"/>
        <v>0</v>
      </c>
      <c r="DY582" s="6">
        <f t="shared" si="117"/>
        <v>0</v>
      </c>
      <c r="DZ582" s="6">
        <f t="shared" si="117"/>
        <v>0</v>
      </c>
      <c r="EA582" s="6">
        <f t="shared" si="117"/>
        <v>0</v>
      </c>
      <c r="EB582" s="6">
        <f t="shared" si="117"/>
        <v>0</v>
      </c>
      <c r="EC582" s="6">
        <f t="shared" si="117"/>
        <v>0</v>
      </c>
      <c r="ED582" s="6">
        <f t="shared" si="117"/>
        <v>0</v>
      </c>
      <c r="EE582" s="6">
        <f t="shared" si="117"/>
        <v>0</v>
      </c>
      <c r="EF582" s="6">
        <f t="shared" si="117"/>
        <v>0</v>
      </c>
      <c r="EG582" s="6">
        <f t="shared" si="117"/>
        <v>0</v>
      </c>
      <c r="EH582" s="6">
        <f t="shared" si="117"/>
        <v>0</v>
      </c>
      <c r="EI582" s="6">
        <f t="shared" si="117"/>
        <v>0</v>
      </c>
      <c r="EJ582" s="6">
        <f t="shared" si="117"/>
        <v>0</v>
      </c>
      <c r="EK582" s="6">
        <f t="shared" si="117"/>
        <v>0</v>
      </c>
      <c r="EL582" s="6">
        <f t="shared" si="117"/>
        <v>0</v>
      </c>
      <c r="EM582" s="6">
        <f t="shared" si="117"/>
        <v>0</v>
      </c>
      <c r="EN582" s="6">
        <f t="shared" ref="EN582:GR582" si="118">SUM(EN112:EN113)</f>
        <v>0</v>
      </c>
      <c r="EO582" s="6">
        <f t="shared" si="118"/>
        <v>0</v>
      </c>
      <c r="EP582" s="6">
        <f t="shared" si="118"/>
        <v>0</v>
      </c>
      <c r="EQ582" s="6">
        <f t="shared" si="118"/>
        <v>0</v>
      </c>
      <c r="ER582" s="6">
        <f t="shared" si="118"/>
        <v>0</v>
      </c>
      <c r="ES582" s="6">
        <f t="shared" si="118"/>
        <v>0</v>
      </c>
      <c r="ET582" s="6">
        <f t="shared" si="118"/>
        <v>0</v>
      </c>
      <c r="EU582" s="6">
        <f t="shared" si="118"/>
        <v>0</v>
      </c>
      <c r="EV582" s="6">
        <f t="shared" si="118"/>
        <v>0</v>
      </c>
      <c r="EW582" s="6">
        <f t="shared" si="118"/>
        <v>0</v>
      </c>
      <c r="EX582" s="6">
        <f t="shared" si="118"/>
        <v>0</v>
      </c>
      <c r="EY582" s="6">
        <f t="shared" si="118"/>
        <v>0</v>
      </c>
      <c r="EZ582" s="6">
        <f t="shared" si="118"/>
        <v>0</v>
      </c>
      <c r="FA582" s="6">
        <f t="shared" si="118"/>
        <v>0</v>
      </c>
      <c r="FB582" s="6">
        <f t="shared" si="118"/>
        <v>0</v>
      </c>
      <c r="FC582" s="6">
        <f t="shared" si="118"/>
        <v>0</v>
      </c>
      <c r="FD582" s="6">
        <f t="shared" si="118"/>
        <v>0</v>
      </c>
      <c r="FE582" s="6">
        <f t="shared" si="118"/>
        <v>0</v>
      </c>
      <c r="FF582" s="6">
        <f t="shared" si="118"/>
        <v>0</v>
      </c>
      <c r="FG582" s="6">
        <f t="shared" si="118"/>
        <v>0</v>
      </c>
      <c r="FH582" s="6">
        <f t="shared" si="118"/>
        <v>0</v>
      </c>
      <c r="FI582" s="6">
        <f t="shared" si="118"/>
        <v>0</v>
      </c>
      <c r="FJ582" s="6">
        <f t="shared" si="118"/>
        <v>0</v>
      </c>
      <c r="FK582" s="6">
        <f t="shared" si="118"/>
        <v>0</v>
      </c>
      <c r="FL582" s="6">
        <f t="shared" si="118"/>
        <v>0</v>
      </c>
      <c r="FM582" s="6">
        <f t="shared" si="118"/>
        <v>0</v>
      </c>
      <c r="FN582" s="6">
        <f t="shared" si="118"/>
        <v>0</v>
      </c>
      <c r="FO582" s="6">
        <f t="shared" si="118"/>
        <v>0</v>
      </c>
      <c r="FP582" s="6">
        <f t="shared" si="118"/>
        <v>0</v>
      </c>
      <c r="FQ582" s="6">
        <f t="shared" si="118"/>
        <v>0</v>
      </c>
      <c r="FR582" s="6">
        <f t="shared" si="118"/>
        <v>0</v>
      </c>
      <c r="FS582" s="6">
        <f t="shared" si="118"/>
        <v>0</v>
      </c>
      <c r="FT582" s="6">
        <f t="shared" si="118"/>
        <v>0</v>
      </c>
      <c r="FU582" s="6">
        <f t="shared" si="118"/>
        <v>0</v>
      </c>
      <c r="FV582" s="6">
        <f t="shared" si="118"/>
        <v>0</v>
      </c>
      <c r="FW582" s="6">
        <f t="shared" si="118"/>
        <v>0</v>
      </c>
      <c r="FX582" s="6">
        <f t="shared" si="118"/>
        <v>0</v>
      </c>
      <c r="FY582" s="6">
        <f t="shared" si="118"/>
        <v>567</v>
      </c>
      <c r="FZ582" s="6">
        <f t="shared" si="118"/>
        <v>180</v>
      </c>
      <c r="GA582" s="6">
        <f t="shared" si="118"/>
        <v>0</v>
      </c>
      <c r="GB582" s="6">
        <f t="shared" si="118"/>
        <v>0</v>
      </c>
      <c r="GC582" s="6">
        <f t="shared" si="118"/>
        <v>0</v>
      </c>
      <c r="GD582" s="6">
        <f t="shared" si="118"/>
        <v>0</v>
      </c>
      <c r="GE582" s="6">
        <f t="shared" si="118"/>
        <v>0</v>
      </c>
      <c r="GF582" s="6">
        <f t="shared" si="118"/>
        <v>0</v>
      </c>
      <c r="GG582" s="6">
        <f t="shared" si="118"/>
        <v>0</v>
      </c>
      <c r="GH582" s="6">
        <f t="shared" si="118"/>
        <v>0</v>
      </c>
      <c r="GI582" s="6">
        <f t="shared" si="118"/>
        <v>0</v>
      </c>
      <c r="GJ582" s="6">
        <f t="shared" si="118"/>
        <v>0</v>
      </c>
      <c r="GK582" s="6">
        <f t="shared" si="118"/>
        <v>0</v>
      </c>
      <c r="GL582" s="6">
        <f t="shared" si="118"/>
        <v>0</v>
      </c>
      <c r="GM582" s="6">
        <f t="shared" si="118"/>
        <v>0</v>
      </c>
      <c r="GN582" s="6">
        <f t="shared" si="118"/>
        <v>0</v>
      </c>
      <c r="GO582" s="6">
        <f t="shared" si="118"/>
        <v>527</v>
      </c>
      <c r="GP582" s="6">
        <f t="shared" si="118"/>
        <v>192</v>
      </c>
      <c r="GQ582" s="6">
        <f t="shared" si="118"/>
        <v>580</v>
      </c>
      <c r="GR582" s="6">
        <f t="shared" si="118"/>
        <v>149</v>
      </c>
    </row>
    <row r="583" spans="1:200">
      <c r="A583" s="6"/>
      <c r="B583" s="13" t="s">
        <v>54</v>
      </c>
      <c r="C583" s="14">
        <f>SUM(C114:C117)</f>
        <v>3903</v>
      </c>
      <c r="D583" s="14">
        <f>SUM(D114:D117)</f>
        <v>2390</v>
      </c>
      <c r="E583" s="15">
        <f t="shared" si="28"/>
        <v>0.61234947476300283</v>
      </c>
      <c r="F583" s="66">
        <f t="shared" ref="F583:AB583" si="119">SUM(F114:F117)</f>
        <v>870</v>
      </c>
      <c r="G583" s="6">
        <f t="shared" si="119"/>
        <v>9</v>
      </c>
      <c r="H583" s="6">
        <f t="shared" si="119"/>
        <v>80</v>
      </c>
      <c r="I583" s="6">
        <f t="shared" si="119"/>
        <v>15</v>
      </c>
      <c r="J583" s="59">
        <f t="shared" si="119"/>
        <v>1379</v>
      </c>
      <c r="K583" s="6">
        <f t="shared" si="119"/>
        <v>0</v>
      </c>
      <c r="L583" s="6">
        <f t="shared" si="119"/>
        <v>0</v>
      </c>
      <c r="M583" s="6">
        <f t="shared" si="119"/>
        <v>0</v>
      </c>
      <c r="N583" s="6">
        <f t="shared" si="119"/>
        <v>0</v>
      </c>
      <c r="O583" s="6">
        <f t="shared" si="119"/>
        <v>0</v>
      </c>
      <c r="P583" s="6">
        <f t="shared" si="119"/>
        <v>0</v>
      </c>
      <c r="Q583" s="6">
        <f t="shared" si="119"/>
        <v>0</v>
      </c>
      <c r="R583" s="6">
        <f t="shared" si="119"/>
        <v>0</v>
      </c>
      <c r="S583" s="6">
        <f t="shared" si="119"/>
        <v>0</v>
      </c>
      <c r="T583" s="6">
        <f t="shared" si="119"/>
        <v>0</v>
      </c>
      <c r="U583" s="6">
        <f t="shared" si="119"/>
        <v>0</v>
      </c>
      <c r="V583" s="6">
        <f t="shared" si="119"/>
        <v>0</v>
      </c>
      <c r="W583" s="6">
        <f t="shared" si="119"/>
        <v>2</v>
      </c>
      <c r="X583" s="6">
        <f t="shared" si="119"/>
        <v>0</v>
      </c>
      <c r="Y583" s="6">
        <f t="shared" si="119"/>
        <v>0</v>
      </c>
      <c r="Z583" s="6">
        <f t="shared" si="119"/>
        <v>0</v>
      </c>
      <c r="AA583" s="6">
        <f t="shared" si="119"/>
        <v>0</v>
      </c>
      <c r="AB583" s="6">
        <f t="shared" si="119"/>
        <v>0</v>
      </c>
      <c r="AC583" s="6">
        <f t="shared" ref="AC583:BZ583" si="120">SUM(AC114:AC117)</f>
        <v>48</v>
      </c>
      <c r="AD583" s="6">
        <f t="shared" si="120"/>
        <v>63</v>
      </c>
      <c r="AE583" s="6">
        <f t="shared" si="120"/>
        <v>1477</v>
      </c>
      <c r="AF583" s="6">
        <f t="shared" si="120"/>
        <v>33</v>
      </c>
      <c r="AG583" s="6">
        <f t="shared" si="120"/>
        <v>0</v>
      </c>
      <c r="AH583" s="6">
        <f t="shared" si="120"/>
        <v>666</v>
      </c>
      <c r="AI583" s="6">
        <f t="shared" si="120"/>
        <v>1481</v>
      </c>
      <c r="AJ583" s="6">
        <f t="shared" si="120"/>
        <v>1</v>
      </c>
      <c r="AK583" s="6">
        <f t="shared" si="120"/>
        <v>0</v>
      </c>
      <c r="AL583" s="6">
        <f t="shared" si="120"/>
        <v>807</v>
      </c>
      <c r="AM583" s="6">
        <f t="shared" si="120"/>
        <v>0</v>
      </c>
      <c r="AN583" s="6">
        <f t="shared" si="120"/>
        <v>0</v>
      </c>
      <c r="AO583" s="6">
        <f t="shared" si="120"/>
        <v>0</v>
      </c>
      <c r="AP583" s="6">
        <f t="shared" si="120"/>
        <v>873</v>
      </c>
      <c r="AQ583" s="6">
        <f t="shared" si="120"/>
        <v>1262</v>
      </c>
      <c r="AR583" s="6">
        <f t="shared" si="120"/>
        <v>0</v>
      </c>
      <c r="AS583" s="6">
        <f t="shared" si="120"/>
        <v>0</v>
      </c>
      <c r="AT583" s="6">
        <f t="shared" si="120"/>
        <v>0</v>
      </c>
      <c r="AU583" s="6">
        <f t="shared" si="120"/>
        <v>0</v>
      </c>
      <c r="AV583" s="6">
        <f t="shared" si="120"/>
        <v>1406</v>
      </c>
      <c r="AW583" s="6">
        <f t="shared" si="120"/>
        <v>0</v>
      </c>
      <c r="AX583" s="6">
        <f t="shared" si="120"/>
        <v>0</v>
      </c>
      <c r="AY583" s="6">
        <f t="shared" si="120"/>
        <v>0</v>
      </c>
      <c r="AZ583" s="6">
        <f t="shared" si="120"/>
        <v>0</v>
      </c>
      <c r="BA583" s="6">
        <f t="shared" si="120"/>
        <v>0</v>
      </c>
      <c r="BB583" s="6">
        <f t="shared" si="120"/>
        <v>0</v>
      </c>
      <c r="BC583" s="6">
        <f t="shared" si="120"/>
        <v>0</v>
      </c>
      <c r="BD583" s="6">
        <f t="shared" si="120"/>
        <v>0</v>
      </c>
      <c r="BE583" s="6">
        <f t="shared" si="120"/>
        <v>1049</v>
      </c>
      <c r="BF583" s="6">
        <f t="shared" si="120"/>
        <v>1157</v>
      </c>
      <c r="BG583" s="6">
        <f t="shared" si="120"/>
        <v>1363</v>
      </c>
      <c r="BH583" s="6">
        <f t="shared" si="120"/>
        <v>868</v>
      </c>
      <c r="BI583" s="6">
        <f t="shared" si="120"/>
        <v>1510</v>
      </c>
      <c r="BJ583" s="6">
        <f t="shared" si="120"/>
        <v>700</v>
      </c>
      <c r="BK583" s="6">
        <f t="shared" si="120"/>
        <v>874</v>
      </c>
      <c r="BL583" s="6">
        <f t="shared" si="120"/>
        <v>1334</v>
      </c>
      <c r="BM583" s="6">
        <f t="shared" si="120"/>
        <v>742</v>
      </c>
      <c r="BN583" s="6">
        <f t="shared" si="120"/>
        <v>1505</v>
      </c>
      <c r="BO583" s="6">
        <f t="shared" si="120"/>
        <v>772</v>
      </c>
      <c r="BP583" s="6">
        <f t="shared" si="120"/>
        <v>1365</v>
      </c>
      <c r="BQ583" s="6">
        <f t="shared" si="120"/>
        <v>1450</v>
      </c>
      <c r="BR583" s="6">
        <f t="shared" si="120"/>
        <v>716</v>
      </c>
      <c r="BS583" s="6">
        <f t="shared" si="120"/>
        <v>1491</v>
      </c>
      <c r="BT583" s="6">
        <f t="shared" si="120"/>
        <v>956</v>
      </c>
      <c r="BU583" s="6">
        <f t="shared" si="120"/>
        <v>1179</v>
      </c>
      <c r="BV583" s="6">
        <f t="shared" si="120"/>
        <v>1434</v>
      </c>
      <c r="BW583" s="6">
        <f t="shared" si="120"/>
        <v>970</v>
      </c>
      <c r="BX583" s="6">
        <f t="shared" si="120"/>
        <v>764</v>
      </c>
      <c r="BY583" s="6">
        <f t="shared" si="120"/>
        <v>1325</v>
      </c>
      <c r="BZ583" s="6">
        <f t="shared" si="120"/>
        <v>605</v>
      </c>
      <c r="CA583" s="6">
        <f t="shared" ref="CA583:CP583" si="121">SUM(CA114:CA117)</f>
        <v>1296</v>
      </c>
      <c r="CB583" s="6">
        <f t="shared" si="121"/>
        <v>1007</v>
      </c>
      <c r="CC583" s="6">
        <f t="shared" si="121"/>
        <v>681</v>
      </c>
      <c r="CD583" s="6">
        <f t="shared" si="121"/>
        <v>1230</v>
      </c>
      <c r="CE583" s="6">
        <f t="shared" si="121"/>
        <v>610</v>
      </c>
      <c r="CF583" s="6">
        <f t="shared" si="121"/>
        <v>1206</v>
      </c>
      <c r="CG583" s="6">
        <f t="shared" si="121"/>
        <v>1120</v>
      </c>
      <c r="CH583" s="6">
        <f t="shared" si="121"/>
        <v>541</v>
      </c>
      <c r="CI583" s="6">
        <f t="shared" si="121"/>
        <v>381</v>
      </c>
      <c r="CJ583" s="6">
        <f t="shared" si="121"/>
        <v>1344</v>
      </c>
      <c r="CK583" s="6">
        <f t="shared" si="121"/>
        <v>1195</v>
      </c>
      <c r="CL583" s="6">
        <f t="shared" si="121"/>
        <v>575</v>
      </c>
      <c r="CM583" s="6">
        <f t="shared" si="121"/>
        <v>1256</v>
      </c>
      <c r="CN583" s="6">
        <f t="shared" si="121"/>
        <v>1229</v>
      </c>
      <c r="CO583" s="6">
        <f t="shared" si="121"/>
        <v>545</v>
      </c>
      <c r="CP583" s="6">
        <f t="shared" si="121"/>
        <v>1161</v>
      </c>
      <c r="CQ583" s="6">
        <f t="shared" ref="CQ583:EM583" si="122">SUM(CQ114:CQ117)</f>
        <v>0</v>
      </c>
      <c r="CR583" s="6">
        <f t="shared" si="122"/>
        <v>0</v>
      </c>
      <c r="CS583" s="6">
        <f t="shared" si="122"/>
        <v>0</v>
      </c>
      <c r="CT583" s="6">
        <f t="shared" si="122"/>
        <v>0</v>
      </c>
      <c r="CU583" s="6">
        <f t="shared" si="122"/>
        <v>0</v>
      </c>
      <c r="CV583" s="6">
        <f t="shared" si="122"/>
        <v>0</v>
      </c>
      <c r="CW583" s="6">
        <f t="shared" si="122"/>
        <v>0</v>
      </c>
      <c r="CX583" s="6">
        <f t="shared" si="122"/>
        <v>0</v>
      </c>
      <c r="CY583" s="6">
        <f t="shared" si="122"/>
        <v>0</v>
      </c>
      <c r="CZ583" s="6">
        <f t="shared" si="122"/>
        <v>0</v>
      </c>
      <c r="DA583" s="6">
        <f t="shared" si="122"/>
        <v>0</v>
      </c>
      <c r="DB583" s="6">
        <f t="shared" si="122"/>
        <v>0</v>
      </c>
      <c r="DC583" s="6">
        <f t="shared" si="122"/>
        <v>0</v>
      </c>
      <c r="DD583" s="6">
        <f t="shared" si="122"/>
        <v>0</v>
      </c>
      <c r="DE583" s="6">
        <f t="shared" si="122"/>
        <v>0</v>
      </c>
      <c r="DF583" s="6">
        <f t="shared" si="122"/>
        <v>0</v>
      </c>
      <c r="DG583" s="6">
        <f t="shared" si="122"/>
        <v>0</v>
      </c>
      <c r="DH583" s="6">
        <f t="shared" si="122"/>
        <v>0</v>
      </c>
      <c r="DI583" s="6">
        <f t="shared" si="122"/>
        <v>0</v>
      </c>
      <c r="DJ583" s="6">
        <f t="shared" si="122"/>
        <v>0</v>
      </c>
      <c r="DK583" s="6">
        <f t="shared" si="122"/>
        <v>0</v>
      </c>
      <c r="DL583" s="6">
        <f t="shared" si="122"/>
        <v>0</v>
      </c>
      <c r="DM583" s="6">
        <f t="shared" si="122"/>
        <v>0</v>
      </c>
      <c r="DN583" s="6">
        <f t="shared" si="122"/>
        <v>0</v>
      </c>
      <c r="DO583" s="6">
        <f t="shared" si="122"/>
        <v>0</v>
      </c>
      <c r="DP583" s="6">
        <f t="shared" si="122"/>
        <v>0</v>
      </c>
      <c r="DQ583" s="6">
        <f t="shared" si="122"/>
        <v>0</v>
      </c>
      <c r="DR583" s="6">
        <f t="shared" si="122"/>
        <v>0</v>
      </c>
      <c r="DS583" s="6">
        <f t="shared" si="122"/>
        <v>0</v>
      </c>
      <c r="DT583" s="6">
        <f t="shared" si="122"/>
        <v>0</v>
      </c>
      <c r="DU583" s="6">
        <f t="shared" si="122"/>
        <v>0</v>
      </c>
      <c r="DV583" s="6">
        <f t="shared" si="122"/>
        <v>0</v>
      </c>
      <c r="DW583" s="6">
        <f t="shared" si="122"/>
        <v>0</v>
      </c>
      <c r="DX583" s="6">
        <f t="shared" si="122"/>
        <v>0</v>
      </c>
      <c r="DY583" s="6">
        <f t="shared" si="122"/>
        <v>0</v>
      </c>
      <c r="DZ583" s="6">
        <f t="shared" si="122"/>
        <v>0</v>
      </c>
      <c r="EA583" s="6">
        <f t="shared" si="122"/>
        <v>0</v>
      </c>
      <c r="EB583" s="6">
        <f t="shared" si="122"/>
        <v>0</v>
      </c>
      <c r="EC583" s="6">
        <f t="shared" si="122"/>
        <v>0</v>
      </c>
      <c r="ED583" s="6">
        <f t="shared" si="122"/>
        <v>0</v>
      </c>
      <c r="EE583" s="6">
        <f t="shared" si="122"/>
        <v>0</v>
      </c>
      <c r="EF583" s="6">
        <f t="shared" si="122"/>
        <v>0</v>
      </c>
      <c r="EG583" s="6">
        <f t="shared" si="122"/>
        <v>0</v>
      </c>
      <c r="EH583" s="6">
        <f t="shared" si="122"/>
        <v>0</v>
      </c>
      <c r="EI583" s="6">
        <f t="shared" si="122"/>
        <v>0</v>
      </c>
      <c r="EJ583" s="6">
        <f t="shared" si="122"/>
        <v>0</v>
      </c>
      <c r="EK583" s="6">
        <f t="shared" si="122"/>
        <v>0</v>
      </c>
      <c r="EL583" s="6">
        <f t="shared" si="122"/>
        <v>0</v>
      </c>
      <c r="EM583" s="6">
        <f t="shared" si="122"/>
        <v>0</v>
      </c>
      <c r="EN583" s="6">
        <f t="shared" ref="EN583:GR583" si="123">SUM(EN114:EN117)</f>
        <v>0</v>
      </c>
      <c r="EO583" s="6">
        <f t="shared" si="123"/>
        <v>0</v>
      </c>
      <c r="EP583" s="6">
        <f t="shared" si="123"/>
        <v>0</v>
      </c>
      <c r="EQ583" s="6">
        <f t="shared" si="123"/>
        <v>0</v>
      </c>
      <c r="ER583" s="6">
        <f t="shared" si="123"/>
        <v>0</v>
      </c>
      <c r="ES583" s="6">
        <f t="shared" si="123"/>
        <v>0</v>
      </c>
      <c r="ET583" s="6">
        <f t="shared" si="123"/>
        <v>0</v>
      </c>
      <c r="EU583" s="6">
        <f t="shared" si="123"/>
        <v>0</v>
      </c>
      <c r="EV583" s="6">
        <f t="shared" si="123"/>
        <v>0</v>
      </c>
      <c r="EW583" s="6">
        <f t="shared" si="123"/>
        <v>0</v>
      </c>
      <c r="EX583" s="6">
        <f t="shared" si="123"/>
        <v>0</v>
      </c>
      <c r="EY583" s="6">
        <f t="shared" si="123"/>
        <v>0</v>
      </c>
      <c r="EZ583" s="6">
        <f t="shared" si="123"/>
        <v>0</v>
      </c>
      <c r="FA583" s="6">
        <f t="shared" si="123"/>
        <v>0</v>
      </c>
      <c r="FB583" s="6">
        <f t="shared" si="123"/>
        <v>0</v>
      </c>
      <c r="FC583" s="6">
        <f t="shared" si="123"/>
        <v>0</v>
      </c>
      <c r="FD583" s="6">
        <f t="shared" si="123"/>
        <v>0</v>
      </c>
      <c r="FE583" s="6">
        <f t="shared" si="123"/>
        <v>0</v>
      </c>
      <c r="FF583" s="6">
        <f t="shared" si="123"/>
        <v>0</v>
      </c>
      <c r="FG583" s="6">
        <f t="shared" si="123"/>
        <v>0</v>
      </c>
      <c r="FH583" s="6">
        <f t="shared" si="123"/>
        <v>0</v>
      </c>
      <c r="FI583" s="6">
        <f t="shared" si="123"/>
        <v>0</v>
      </c>
      <c r="FJ583" s="6">
        <f t="shared" si="123"/>
        <v>0</v>
      </c>
      <c r="FK583" s="6">
        <f t="shared" si="123"/>
        <v>0</v>
      </c>
      <c r="FL583" s="6">
        <f t="shared" si="123"/>
        <v>0</v>
      </c>
      <c r="FM583" s="6">
        <f t="shared" si="123"/>
        <v>0</v>
      </c>
      <c r="FN583" s="6">
        <f t="shared" si="123"/>
        <v>0</v>
      </c>
      <c r="FO583" s="6">
        <f t="shared" si="123"/>
        <v>0</v>
      </c>
      <c r="FP583" s="6">
        <f t="shared" si="123"/>
        <v>0</v>
      </c>
      <c r="FQ583" s="6">
        <f t="shared" si="123"/>
        <v>0</v>
      </c>
      <c r="FR583" s="6">
        <f t="shared" si="123"/>
        <v>0</v>
      </c>
      <c r="FS583" s="6">
        <f t="shared" si="123"/>
        <v>0</v>
      </c>
      <c r="FT583" s="6">
        <f t="shared" si="123"/>
        <v>0</v>
      </c>
      <c r="FU583" s="6">
        <f t="shared" si="123"/>
        <v>0</v>
      </c>
      <c r="FV583" s="6">
        <f t="shared" si="123"/>
        <v>0</v>
      </c>
      <c r="FW583" s="6">
        <f t="shared" si="123"/>
        <v>0</v>
      </c>
      <c r="FX583" s="6">
        <f t="shared" si="123"/>
        <v>0</v>
      </c>
      <c r="FY583" s="6">
        <f t="shared" si="123"/>
        <v>819</v>
      </c>
      <c r="FZ583" s="6">
        <f t="shared" si="123"/>
        <v>1433</v>
      </c>
      <c r="GA583" s="6">
        <f t="shared" si="123"/>
        <v>0</v>
      </c>
      <c r="GB583" s="6">
        <f t="shared" si="123"/>
        <v>0</v>
      </c>
      <c r="GC583" s="6">
        <f t="shared" si="123"/>
        <v>0</v>
      </c>
      <c r="GD583" s="6">
        <f t="shared" si="123"/>
        <v>0</v>
      </c>
      <c r="GE583" s="6">
        <f t="shared" si="123"/>
        <v>0</v>
      </c>
      <c r="GF583" s="6">
        <f t="shared" si="123"/>
        <v>0</v>
      </c>
      <c r="GG583" s="6">
        <f t="shared" si="123"/>
        <v>0</v>
      </c>
      <c r="GH583" s="6">
        <f t="shared" si="123"/>
        <v>0</v>
      </c>
      <c r="GI583" s="6">
        <f t="shared" si="123"/>
        <v>0</v>
      </c>
      <c r="GJ583" s="6">
        <f t="shared" si="123"/>
        <v>0</v>
      </c>
      <c r="GK583" s="6">
        <f t="shared" si="123"/>
        <v>0</v>
      </c>
      <c r="GL583" s="6">
        <f t="shared" si="123"/>
        <v>0</v>
      </c>
      <c r="GM583" s="6">
        <f t="shared" si="123"/>
        <v>0</v>
      </c>
      <c r="GN583" s="6">
        <f t="shared" si="123"/>
        <v>0</v>
      </c>
      <c r="GO583" s="6">
        <f t="shared" si="123"/>
        <v>1391</v>
      </c>
      <c r="GP583" s="6">
        <f t="shared" si="123"/>
        <v>883</v>
      </c>
      <c r="GQ583" s="6">
        <f t="shared" si="123"/>
        <v>1305</v>
      </c>
      <c r="GR583" s="6">
        <f t="shared" si="123"/>
        <v>951</v>
      </c>
    </row>
    <row r="584" spans="1:200">
      <c r="A584" s="6"/>
      <c r="B584" s="13" t="s">
        <v>694</v>
      </c>
      <c r="C584" s="14">
        <f>SUM(C118:C122)</f>
        <v>6571</v>
      </c>
      <c r="D584" s="14">
        <f>SUM(D118:D122)</f>
        <v>3288</v>
      </c>
      <c r="E584" s="15">
        <f t="shared" si="28"/>
        <v>0.50038045959519095</v>
      </c>
      <c r="F584" s="66">
        <f t="shared" ref="F584:AB584" si="124">SUM(F118:F122)</f>
        <v>2192</v>
      </c>
      <c r="G584" s="6">
        <f t="shared" si="124"/>
        <v>11</v>
      </c>
      <c r="H584" s="6">
        <f t="shared" si="124"/>
        <v>71</v>
      </c>
      <c r="I584" s="6">
        <f t="shared" si="124"/>
        <v>50</v>
      </c>
      <c r="J584" s="59">
        <f t="shared" si="124"/>
        <v>902</v>
      </c>
      <c r="K584" s="6">
        <f t="shared" si="124"/>
        <v>0</v>
      </c>
      <c r="L584" s="6">
        <f t="shared" si="124"/>
        <v>0</v>
      </c>
      <c r="M584" s="6">
        <f t="shared" si="124"/>
        <v>0</v>
      </c>
      <c r="N584" s="6">
        <f t="shared" si="124"/>
        <v>0</v>
      </c>
      <c r="O584" s="6">
        <f t="shared" si="124"/>
        <v>0</v>
      </c>
      <c r="P584" s="6">
        <f t="shared" si="124"/>
        <v>0</v>
      </c>
      <c r="Q584" s="6">
        <f t="shared" si="124"/>
        <v>0</v>
      </c>
      <c r="R584" s="6">
        <f t="shared" si="124"/>
        <v>0</v>
      </c>
      <c r="S584" s="6">
        <f t="shared" si="124"/>
        <v>0</v>
      </c>
      <c r="T584" s="6">
        <f t="shared" si="124"/>
        <v>0</v>
      </c>
      <c r="U584" s="6">
        <f t="shared" si="124"/>
        <v>0</v>
      </c>
      <c r="V584" s="6">
        <f t="shared" si="124"/>
        <v>1</v>
      </c>
      <c r="W584" s="6">
        <f t="shared" si="124"/>
        <v>12</v>
      </c>
      <c r="X584" s="6">
        <f t="shared" si="124"/>
        <v>0</v>
      </c>
      <c r="Y584" s="6">
        <f t="shared" si="124"/>
        <v>0</v>
      </c>
      <c r="Z584" s="6">
        <f t="shared" si="124"/>
        <v>0</v>
      </c>
      <c r="AA584" s="6">
        <f t="shared" si="124"/>
        <v>0</v>
      </c>
      <c r="AB584" s="6">
        <f t="shared" si="124"/>
        <v>0</v>
      </c>
      <c r="AC584" s="6">
        <f t="shared" ref="AC584:BZ584" si="125">SUM(AC118:AC122)</f>
        <v>57</v>
      </c>
      <c r="AD584" s="6">
        <f t="shared" si="125"/>
        <v>86</v>
      </c>
      <c r="AE584" s="6">
        <f t="shared" si="125"/>
        <v>1110</v>
      </c>
      <c r="AF584" s="6">
        <f t="shared" si="125"/>
        <v>40</v>
      </c>
      <c r="AG584" s="6">
        <f t="shared" si="125"/>
        <v>0</v>
      </c>
      <c r="AH584" s="6">
        <f t="shared" si="125"/>
        <v>1867</v>
      </c>
      <c r="AI584" s="6">
        <f t="shared" si="125"/>
        <v>1121</v>
      </c>
      <c r="AJ584" s="6">
        <f t="shared" si="125"/>
        <v>2</v>
      </c>
      <c r="AK584" s="6">
        <f t="shared" si="125"/>
        <v>1</v>
      </c>
      <c r="AL584" s="6">
        <f t="shared" si="125"/>
        <v>2022</v>
      </c>
      <c r="AM584" s="6">
        <f t="shared" si="125"/>
        <v>0</v>
      </c>
      <c r="AN584" s="6">
        <f t="shared" si="125"/>
        <v>0</v>
      </c>
      <c r="AO584" s="6">
        <f t="shared" si="125"/>
        <v>0</v>
      </c>
      <c r="AP584" s="6">
        <f t="shared" si="125"/>
        <v>2129</v>
      </c>
      <c r="AQ584" s="6">
        <f t="shared" si="125"/>
        <v>913</v>
      </c>
      <c r="AR584" s="6">
        <f t="shared" si="125"/>
        <v>0</v>
      </c>
      <c r="AS584" s="6">
        <f t="shared" si="125"/>
        <v>0</v>
      </c>
      <c r="AT584" s="6">
        <f t="shared" si="125"/>
        <v>0</v>
      </c>
      <c r="AU584" s="6">
        <f t="shared" si="125"/>
        <v>0</v>
      </c>
      <c r="AV584" s="6">
        <f t="shared" si="125"/>
        <v>1357</v>
      </c>
      <c r="AW584" s="6">
        <f t="shared" si="125"/>
        <v>0</v>
      </c>
      <c r="AX584" s="6">
        <f t="shared" si="125"/>
        <v>0</v>
      </c>
      <c r="AY584" s="6">
        <f t="shared" si="125"/>
        <v>0</v>
      </c>
      <c r="AZ584" s="6">
        <f t="shared" si="125"/>
        <v>0</v>
      </c>
      <c r="BA584" s="6">
        <f t="shared" si="125"/>
        <v>0</v>
      </c>
      <c r="BB584" s="6">
        <f t="shared" si="125"/>
        <v>0</v>
      </c>
      <c r="BC584" s="6">
        <f t="shared" si="125"/>
        <v>0</v>
      </c>
      <c r="BD584" s="6">
        <f t="shared" si="125"/>
        <v>0</v>
      </c>
      <c r="BE584" s="6">
        <f t="shared" si="125"/>
        <v>760</v>
      </c>
      <c r="BF584" s="6">
        <f t="shared" si="125"/>
        <v>2334</v>
      </c>
      <c r="BG584" s="6">
        <f t="shared" si="125"/>
        <v>983</v>
      </c>
      <c r="BH584" s="6">
        <f t="shared" si="125"/>
        <v>2119</v>
      </c>
      <c r="BI584" s="6">
        <f t="shared" si="125"/>
        <v>1219</v>
      </c>
      <c r="BJ584" s="6">
        <f t="shared" si="125"/>
        <v>1831</v>
      </c>
      <c r="BK584" s="6">
        <f t="shared" si="125"/>
        <v>2051</v>
      </c>
      <c r="BL584" s="6">
        <f t="shared" si="125"/>
        <v>1058</v>
      </c>
      <c r="BM584" s="6">
        <f t="shared" si="125"/>
        <v>701</v>
      </c>
      <c r="BN584" s="6">
        <f t="shared" si="125"/>
        <v>2355</v>
      </c>
      <c r="BO584" s="6">
        <f t="shared" si="125"/>
        <v>1955</v>
      </c>
      <c r="BP584" s="6">
        <f t="shared" si="125"/>
        <v>1039</v>
      </c>
      <c r="BQ584" s="6">
        <f t="shared" si="125"/>
        <v>1092</v>
      </c>
      <c r="BR584" s="6">
        <f t="shared" si="125"/>
        <v>1939</v>
      </c>
      <c r="BS584" s="6">
        <f t="shared" si="125"/>
        <v>1480</v>
      </c>
      <c r="BT584" s="6">
        <f t="shared" si="125"/>
        <v>720</v>
      </c>
      <c r="BU584" s="6">
        <f t="shared" si="125"/>
        <v>2301</v>
      </c>
      <c r="BV584" s="6">
        <f t="shared" si="125"/>
        <v>1692</v>
      </c>
      <c r="BW584" s="6">
        <f t="shared" si="125"/>
        <v>1118</v>
      </c>
      <c r="BX584" s="6">
        <f t="shared" si="125"/>
        <v>1388</v>
      </c>
      <c r="BY584" s="6">
        <f t="shared" si="125"/>
        <v>1284</v>
      </c>
      <c r="BZ584" s="6">
        <f t="shared" si="125"/>
        <v>1440</v>
      </c>
      <c r="CA584" s="6">
        <f t="shared" ref="CA584:CP584" si="126">SUM(CA118:CA122)</f>
        <v>1565</v>
      </c>
      <c r="CB584" s="6">
        <f t="shared" si="126"/>
        <v>929</v>
      </c>
      <c r="CC584" s="6">
        <f t="shared" si="126"/>
        <v>1541</v>
      </c>
      <c r="CD584" s="6">
        <f t="shared" si="126"/>
        <v>1719</v>
      </c>
      <c r="CE584" s="6">
        <f t="shared" si="126"/>
        <v>1460</v>
      </c>
      <c r="CF584" s="6">
        <f t="shared" si="126"/>
        <v>1094</v>
      </c>
      <c r="CG584" s="6">
        <f t="shared" si="126"/>
        <v>1064</v>
      </c>
      <c r="CH584" s="6">
        <f t="shared" si="126"/>
        <v>1292</v>
      </c>
      <c r="CI584" s="6">
        <f t="shared" si="126"/>
        <v>1038</v>
      </c>
      <c r="CJ584" s="6">
        <f t="shared" si="126"/>
        <v>1426</v>
      </c>
      <c r="CK584" s="6">
        <f t="shared" si="126"/>
        <v>1282</v>
      </c>
      <c r="CL584" s="6">
        <f t="shared" si="126"/>
        <v>1277</v>
      </c>
      <c r="CM584" s="6">
        <f t="shared" si="126"/>
        <v>1485</v>
      </c>
      <c r="CN584" s="6">
        <f t="shared" si="126"/>
        <v>1545</v>
      </c>
      <c r="CO584" s="6">
        <f t="shared" si="126"/>
        <v>1204</v>
      </c>
      <c r="CP584" s="6">
        <f t="shared" si="126"/>
        <v>1268</v>
      </c>
      <c r="CQ584" s="6">
        <f t="shared" ref="CQ584:EM584" si="127">SUM(CQ118:CQ122)</f>
        <v>0</v>
      </c>
      <c r="CR584" s="6">
        <f t="shared" si="127"/>
        <v>0</v>
      </c>
      <c r="CS584" s="6">
        <f t="shared" si="127"/>
        <v>0</v>
      </c>
      <c r="CT584" s="6">
        <f t="shared" si="127"/>
        <v>0</v>
      </c>
      <c r="CU584" s="6">
        <f t="shared" si="127"/>
        <v>0</v>
      </c>
      <c r="CV584" s="6">
        <f t="shared" si="127"/>
        <v>0</v>
      </c>
      <c r="CW584" s="6">
        <f t="shared" si="127"/>
        <v>0</v>
      </c>
      <c r="CX584" s="6">
        <f t="shared" si="127"/>
        <v>0</v>
      </c>
      <c r="CY584" s="6">
        <f t="shared" si="127"/>
        <v>0</v>
      </c>
      <c r="CZ584" s="6">
        <f t="shared" si="127"/>
        <v>0</v>
      </c>
      <c r="DA584" s="6">
        <f t="shared" si="127"/>
        <v>0</v>
      </c>
      <c r="DB584" s="6">
        <f t="shared" si="127"/>
        <v>0</v>
      </c>
      <c r="DC584" s="6">
        <f t="shared" si="127"/>
        <v>0</v>
      </c>
      <c r="DD584" s="6">
        <f t="shared" si="127"/>
        <v>0</v>
      </c>
      <c r="DE584" s="6">
        <f t="shared" si="127"/>
        <v>0</v>
      </c>
      <c r="DF584" s="6">
        <f t="shared" si="127"/>
        <v>0</v>
      </c>
      <c r="DG584" s="6">
        <f t="shared" si="127"/>
        <v>0</v>
      </c>
      <c r="DH584" s="6">
        <f t="shared" si="127"/>
        <v>0</v>
      </c>
      <c r="DI584" s="6">
        <f t="shared" si="127"/>
        <v>0</v>
      </c>
      <c r="DJ584" s="6">
        <f t="shared" si="127"/>
        <v>0</v>
      </c>
      <c r="DK584" s="6">
        <f t="shared" si="127"/>
        <v>0</v>
      </c>
      <c r="DL584" s="6">
        <f t="shared" si="127"/>
        <v>0</v>
      </c>
      <c r="DM584" s="6">
        <f t="shared" si="127"/>
        <v>0</v>
      </c>
      <c r="DN584" s="6">
        <f t="shared" si="127"/>
        <v>0</v>
      </c>
      <c r="DO584" s="6">
        <f t="shared" si="127"/>
        <v>0</v>
      </c>
      <c r="DP584" s="6">
        <f t="shared" si="127"/>
        <v>0</v>
      </c>
      <c r="DQ584" s="6">
        <f t="shared" si="127"/>
        <v>0</v>
      </c>
      <c r="DR584" s="6">
        <f t="shared" si="127"/>
        <v>0</v>
      </c>
      <c r="DS584" s="6">
        <f t="shared" si="127"/>
        <v>0</v>
      </c>
      <c r="DT584" s="6">
        <f t="shared" si="127"/>
        <v>0</v>
      </c>
      <c r="DU584" s="6">
        <f t="shared" si="127"/>
        <v>0</v>
      </c>
      <c r="DV584" s="6">
        <f t="shared" si="127"/>
        <v>0</v>
      </c>
      <c r="DW584" s="6">
        <f t="shared" si="127"/>
        <v>0</v>
      </c>
      <c r="DX584" s="6">
        <f t="shared" si="127"/>
        <v>0</v>
      </c>
      <c r="DY584" s="6">
        <f t="shared" si="127"/>
        <v>0</v>
      </c>
      <c r="DZ584" s="6">
        <f t="shared" si="127"/>
        <v>0</v>
      </c>
      <c r="EA584" s="6">
        <f t="shared" si="127"/>
        <v>0</v>
      </c>
      <c r="EB584" s="6">
        <f t="shared" si="127"/>
        <v>0</v>
      </c>
      <c r="EC584" s="6">
        <f t="shared" si="127"/>
        <v>0</v>
      </c>
      <c r="ED584" s="6">
        <f t="shared" si="127"/>
        <v>0</v>
      </c>
      <c r="EE584" s="6">
        <f t="shared" si="127"/>
        <v>0</v>
      </c>
      <c r="EF584" s="6">
        <f t="shared" si="127"/>
        <v>0</v>
      </c>
      <c r="EG584" s="6">
        <f t="shared" si="127"/>
        <v>0</v>
      </c>
      <c r="EH584" s="6">
        <f t="shared" si="127"/>
        <v>0</v>
      </c>
      <c r="EI584" s="6">
        <f t="shared" si="127"/>
        <v>0</v>
      </c>
      <c r="EJ584" s="6">
        <f t="shared" si="127"/>
        <v>0</v>
      </c>
      <c r="EK584" s="6">
        <f t="shared" si="127"/>
        <v>0</v>
      </c>
      <c r="EL584" s="6">
        <f t="shared" si="127"/>
        <v>0</v>
      </c>
      <c r="EM584" s="6">
        <f t="shared" si="127"/>
        <v>0</v>
      </c>
      <c r="EN584" s="6">
        <f t="shared" ref="EN584:GR584" si="128">SUM(EN118:EN122)</f>
        <v>0</v>
      </c>
      <c r="EO584" s="6">
        <f t="shared" si="128"/>
        <v>0</v>
      </c>
      <c r="EP584" s="6">
        <f t="shared" si="128"/>
        <v>0</v>
      </c>
      <c r="EQ584" s="6">
        <f t="shared" si="128"/>
        <v>0</v>
      </c>
      <c r="ER584" s="6">
        <f t="shared" si="128"/>
        <v>0</v>
      </c>
      <c r="ES584" s="6">
        <f t="shared" si="128"/>
        <v>0</v>
      </c>
      <c r="ET584" s="6">
        <f t="shared" si="128"/>
        <v>0</v>
      </c>
      <c r="EU584" s="6">
        <f t="shared" si="128"/>
        <v>0</v>
      </c>
      <c r="EV584" s="6">
        <f t="shared" si="128"/>
        <v>0</v>
      </c>
      <c r="EW584" s="6">
        <f t="shared" si="128"/>
        <v>0</v>
      </c>
      <c r="EX584" s="6">
        <f t="shared" si="128"/>
        <v>0</v>
      </c>
      <c r="EY584" s="6">
        <f t="shared" si="128"/>
        <v>0</v>
      </c>
      <c r="EZ584" s="6">
        <f t="shared" si="128"/>
        <v>0</v>
      </c>
      <c r="FA584" s="6">
        <f t="shared" si="128"/>
        <v>0</v>
      </c>
      <c r="FB584" s="6">
        <f t="shared" si="128"/>
        <v>0</v>
      </c>
      <c r="FC584" s="6">
        <f t="shared" si="128"/>
        <v>0</v>
      </c>
      <c r="FD584" s="6">
        <f t="shared" si="128"/>
        <v>0</v>
      </c>
      <c r="FE584" s="6">
        <f t="shared" si="128"/>
        <v>0</v>
      </c>
      <c r="FF584" s="6">
        <f t="shared" si="128"/>
        <v>0</v>
      </c>
      <c r="FG584" s="6">
        <f t="shared" si="128"/>
        <v>0</v>
      </c>
      <c r="FH584" s="6">
        <f t="shared" si="128"/>
        <v>0</v>
      </c>
      <c r="FI584" s="6">
        <f t="shared" si="128"/>
        <v>0</v>
      </c>
      <c r="FJ584" s="6">
        <f t="shared" si="128"/>
        <v>0</v>
      </c>
      <c r="FK584" s="6">
        <f t="shared" si="128"/>
        <v>0</v>
      </c>
      <c r="FL584" s="6">
        <f t="shared" si="128"/>
        <v>0</v>
      </c>
      <c r="FM584" s="6">
        <f t="shared" si="128"/>
        <v>0</v>
      </c>
      <c r="FN584" s="6">
        <f t="shared" si="128"/>
        <v>0</v>
      </c>
      <c r="FO584" s="6">
        <f t="shared" si="128"/>
        <v>0</v>
      </c>
      <c r="FP584" s="6">
        <f t="shared" si="128"/>
        <v>0</v>
      </c>
      <c r="FQ584" s="6">
        <f t="shared" si="128"/>
        <v>0</v>
      </c>
      <c r="FR584" s="6">
        <f t="shared" si="128"/>
        <v>0</v>
      </c>
      <c r="FS584" s="6">
        <f t="shared" si="128"/>
        <v>0</v>
      </c>
      <c r="FT584" s="6">
        <f t="shared" si="128"/>
        <v>0</v>
      </c>
      <c r="FU584" s="6">
        <f t="shared" si="128"/>
        <v>0</v>
      </c>
      <c r="FV584" s="6">
        <f t="shared" si="128"/>
        <v>0</v>
      </c>
      <c r="FW584" s="6">
        <f t="shared" si="128"/>
        <v>0</v>
      </c>
      <c r="FX584" s="6">
        <f t="shared" si="128"/>
        <v>0</v>
      </c>
      <c r="FY584" s="6">
        <f t="shared" si="128"/>
        <v>1842</v>
      </c>
      <c r="FZ584" s="6">
        <f t="shared" si="128"/>
        <v>1251</v>
      </c>
      <c r="GA584" s="6">
        <f t="shared" si="128"/>
        <v>0</v>
      </c>
      <c r="GB584" s="6">
        <f t="shared" si="128"/>
        <v>0</v>
      </c>
      <c r="GC584" s="6">
        <f t="shared" si="128"/>
        <v>0</v>
      </c>
      <c r="GD584" s="6">
        <f t="shared" si="128"/>
        <v>0</v>
      </c>
      <c r="GE584" s="6">
        <f t="shared" si="128"/>
        <v>0</v>
      </c>
      <c r="GF584" s="6">
        <f t="shared" si="128"/>
        <v>0</v>
      </c>
      <c r="GG584" s="6">
        <f t="shared" si="128"/>
        <v>0</v>
      </c>
      <c r="GH584" s="6">
        <f t="shared" si="128"/>
        <v>0</v>
      </c>
      <c r="GI584" s="6">
        <f t="shared" si="128"/>
        <v>0</v>
      </c>
      <c r="GJ584" s="6">
        <f t="shared" si="128"/>
        <v>0</v>
      </c>
      <c r="GK584" s="6">
        <f t="shared" si="128"/>
        <v>0</v>
      </c>
      <c r="GL584" s="6">
        <f t="shared" si="128"/>
        <v>0</v>
      </c>
      <c r="GM584" s="6">
        <f t="shared" si="128"/>
        <v>0</v>
      </c>
      <c r="GN584" s="6">
        <f t="shared" si="128"/>
        <v>0</v>
      </c>
      <c r="GO584" s="6">
        <f t="shared" si="128"/>
        <v>2126</v>
      </c>
      <c r="GP584" s="6">
        <f t="shared" si="128"/>
        <v>936</v>
      </c>
      <c r="GQ584" s="6">
        <f t="shared" si="128"/>
        <v>2176</v>
      </c>
      <c r="GR584" s="6">
        <f t="shared" si="128"/>
        <v>896</v>
      </c>
    </row>
    <row r="585" spans="1:200">
      <c r="A585" s="6"/>
      <c r="B585" s="13" t="s">
        <v>695</v>
      </c>
      <c r="C585" s="14">
        <f>SUM(C123:C127)</f>
        <v>4588</v>
      </c>
      <c r="D585" s="14">
        <f>SUM(D123:D127)</f>
        <v>2047</v>
      </c>
      <c r="E585" s="15">
        <f t="shared" si="28"/>
        <v>0.4461639058413252</v>
      </c>
      <c r="F585" s="66">
        <f t="shared" ref="F585:AB585" si="129">SUM(F123:F127)</f>
        <v>1646</v>
      </c>
      <c r="G585" s="6">
        <f t="shared" si="129"/>
        <v>10</v>
      </c>
      <c r="H585" s="6">
        <f t="shared" si="129"/>
        <v>26</v>
      </c>
      <c r="I585" s="6">
        <f t="shared" si="129"/>
        <v>16</v>
      </c>
      <c r="J585" s="59">
        <f t="shared" si="129"/>
        <v>319</v>
      </c>
      <c r="K585" s="6">
        <f t="shared" si="129"/>
        <v>0</v>
      </c>
      <c r="L585" s="6">
        <f t="shared" si="129"/>
        <v>0</v>
      </c>
      <c r="M585" s="6">
        <f t="shared" si="129"/>
        <v>0</v>
      </c>
      <c r="N585" s="6">
        <f t="shared" si="129"/>
        <v>0</v>
      </c>
      <c r="O585" s="6">
        <f t="shared" si="129"/>
        <v>0</v>
      </c>
      <c r="P585" s="6">
        <f t="shared" si="129"/>
        <v>0</v>
      </c>
      <c r="Q585" s="6">
        <f t="shared" si="129"/>
        <v>0</v>
      </c>
      <c r="R585" s="6">
        <f t="shared" si="129"/>
        <v>0</v>
      </c>
      <c r="S585" s="6">
        <f t="shared" si="129"/>
        <v>0</v>
      </c>
      <c r="T585" s="6">
        <f t="shared" si="129"/>
        <v>0</v>
      </c>
      <c r="U585" s="6">
        <f t="shared" si="129"/>
        <v>0</v>
      </c>
      <c r="V585" s="6">
        <f t="shared" si="129"/>
        <v>1</v>
      </c>
      <c r="W585" s="6">
        <f t="shared" si="129"/>
        <v>3</v>
      </c>
      <c r="X585" s="6">
        <f t="shared" si="129"/>
        <v>0</v>
      </c>
      <c r="Y585" s="6">
        <f t="shared" si="129"/>
        <v>0</v>
      </c>
      <c r="Z585" s="6">
        <f t="shared" si="129"/>
        <v>0</v>
      </c>
      <c r="AA585" s="6">
        <f t="shared" si="129"/>
        <v>0</v>
      </c>
      <c r="AB585" s="6">
        <f t="shared" si="129"/>
        <v>0</v>
      </c>
      <c r="AC585" s="6">
        <f t="shared" ref="AC585:BZ585" si="130">SUM(AC123:AC127)</f>
        <v>45</v>
      </c>
      <c r="AD585" s="6">
        <f t="shared" si="130"/>
        <v>41</v>
      </c>
      <c r="AE585" s="6">
        <f t="shared" si="130"/>
        <v>458</v>
      </c>
      <c r="AF585" s="6">
        <f t="shared" si="130"/>
        <v>26</v>
      </c>
      <c r="AG585" s="6">
        <f t="shared" si="130"/>
        <v>0</v>
      </c>
      <c r="AH585" s="6">
        <f t="shared" si="130"/>
        <v>1373</v>
      </c>
      <c r="AI585" s="6">
        <f t="shared" si="130"/>
        <v>480</v>
      </c>
      <c r="AJ585" s="6">
        <f t="shared" si="130"/>
        <v>1</v>
      </c>
      <c r="AK585" s="6">
        <f t="shared" si="130"/>
        <v>1</v>
      </c>
      <c r="AL585" s="6">
        <f t="shared" si="130"/>
        <v>1458</v>
      </c>
      <c r="AM585" s="6">
        <f t="shared" si="130"/>
        <v>0</v>
      </c>
      <c r="AN585" s="6">
        <f t="shared" si="130"/>
        <v>0</v>
      </c>
      <c r="AO585" s="6">
        <f t="shared" si="130"/>
        <v>0</v>
      </c>
      <c r="AP585" s="6">
        <f t="shared" si="130"/>
        <v>0</v>
      </c>
      <c r="AQ585" s="6">
        <f t="shared" si="130"/>
        <v>0</v>
      </c>
      <c r="AR585" s="6">
        <f t="shared" si="130"/>
        <v>0</v>
      </c>
      <c r="AS585" s="6">
        <f t="shared" si="130"/>
        <v>0</v>
      </c>
      <c r="AT585" s="6">
        <f t="shared" si="130"/>
        <v>0</v>
      </c>
      <c r="AU585" s="6">
        <f t="shared" si="130"/>
        <v>0</v>
      </c>
      <c r="AV585" s="6">
        <f t="shared" si="130"/>
        <v>0</v>
      </c>
      <c r="AW585" s="6">
        <f t="shared" si="130"/>
        <v>0</v>
      </c>
      <c r="AX585" s="6">
        <f t="shared" si="130"/>
        <v>0</v>
      </c>
      <c r="AY585" s="6">
        <f t="shared" si="130"/>
        <v>0</v>
      </c>
      <c r="AZ585" s="6">
        <f t="shared" si="130"/>
        <v>0</v>
      </c>
      <c r="BA585" s="6">
        <f t="shared" si="130"/>
        <v>1554</v>
      </c>
      <c r="BB585" s="6">
        <f t="shared" si="130"/>
        <v>342</v>
      </c>
      <c r="BC585" s="6">
        <f t="shared" si="130"/>
        <v>0</v>
      </c>
      <c r="BD585" s="6">
        <f t="shared" si="130"/>
        <v>0</v>
      </c>
      <c r="BE585" s="6">
        <f t="shared" si="130"/>
        <v>273</v>
      </c>
      <c r="BF585" s="6">
        <f t="shared" si="130"/>
        <v>1636</v>
      </c>
      <c r="BG585" s="6">
        <f t="shared" si="130"/>
        <v>414</v>
      </c>
      <c r="BH585" s="6">
        <f t="shared" si="130"/>
        <v>1510</v>
      </c>
      <c r="BI585" s="6">
        <f t="shared" si="130"/>
        <v>518</v>
      </c>
      <c r="BJ585" s="6">
        <f t="shared" si="130"/>
        <v>1393</v>
      </c>
      <c r="BK585" s="6">
        <f t="shared" si="130"/>
        <v>1466</v>
      </c>
      <c r="BL585" s="6">
        <f t="shared" si="130"/>
        <v>460</v>
      </c>
      <c r="BM585" s="6">
        <f t="shared" si="130"/>
        <v>283</v>
      </c>
      <c r="BN585" s="6">
        <f t="shared" si="130"/>
        <v>1626</v>
      </c>
      <c r="BO585" s="6">
        <f t="shared" si="130"/>
        <v>1463</v>
      </c>
      <c r="BP585" s="6">
        <f t="shared" si="130"/>
        <v>415</v>
      </c>
      <c r="BQ585" s="6">
        <f t="shared" si="130"/>
        <v>437</v>
      </c>
      <c r="BR585" s="6">
        <f t="shared" si="130"/>
        <v>1447</v>
      </c>
      <c r="BS585" s="6">
        <f t="shared" si="130"/>
        <v>794</v>
      </c>
      <c r="BT585" s="6">
        <f t="shared" si="130"/>
        <v>273</v>
      </c>
      <c r="BU585" s="6">
        <f t="shared" si="130"/>
        <v>1621</v>
      </c>
      <c r="BV585" s="6">
        <f t="shared" si="130"/>
        <v>1032</v>
      </c>
      <c r="BW585" s="6">
        <f t="shared" si="130"/>
        <v>613</v>
      </c>
      <c r="BX585" s="6">
        <f t="shared" si="130"/>
        <v>946</v>
      </c>
      <c r="BY585" s="6">
        <f t="shared" si="130"/>
        <v>646</v>
      </c>
      <c r="BZ585" s="6">
        <f t="shared" si="130"/>
        <v>1040</v>
      </c>
      <c r="CA585" s="6">
        <f t="shared" ref="CA585:CP585" si="131">SUM(CA123:CA127)</f>
        <v>894</v>
      </c>
      <c r="CB585" s="6">
        <f t="shared" si="131"/>
        <v>440</v>
      </c>
      <c r="CC585" s="6">
        <f t="shared" si="131"/>
        <v>1122</v>
      </c>
      <c r="CD585" s="6">
        <f t="shared" si="131"/>
        <v>1116</v>
      </c>
      <c r="CE585" s="6">
        <f t="shared" si="131"/>
        <v>1066</v>
      </c>
      <c r="CF585" s="6">
        <f t="shared" si="131"/>
        <v>531</v>
      </c>
      <c r="CG585" s="6">
        <f t="shared" si="131"/>
        <v>532</v>
      </c>
      <c r="CH585" s="6">
        <f t="shared" si="131"/>
        <v>950</v>
      </c>
      <c r="CI585" s="6">
        <f t="shared" si="131"/>
        <v>799</v>
      </c>
      <c r="CJ585" s="6">
        <f t="shared" si="131"/>
        <v>742</v>
      </c>
      <c r="CK585" s="6">
        <f t="shared" si="131"/>
        <v>734</v>
      </c>
      <c r="CL585" s="6">
        <f t="shared" si="131"/>
        <v>868</v>
      </c>
      <c r="CM585" s="6">
        <f t="shared" si="131"/>
        <v>869</v>
      </c>
      <c r="CN585" s="6">
        <f t="shared" si="131"/>
        <v>972</v>
      </c>
      <c r="CO585" s="6">
        <f t="shared" si="131"/>
        <v>902</v>
      </c>
      <c r="CP585" s="6">
        <f t="shared" si="131"/>
        <v>697</v>
      </c>
      <c r="CQ585" s="6">
        <f t="shared" ref="CQ585:EM585" si="132">SUM(CQ123:CQ127)</f>
        <v>0</v>
      </c>
      <c r="CR585" s="6">
        <f t="shared" si="132"/>
        <v>0</v>
      </c>
      <c r="CS585" s="6">
        <f t="shared" si="132"/>
        <v>0</v>
      </c>
      <c r="CT585" s="6">
        <f t="shared" si="132"/>
        <v>0</v>
      </c>
      <c r="CU585" s="6">
        <f t="shared" si="132"/>
        <v>0</v>
      </c>
      <c r="CV585" s="6">
        <f t="shared" si="132"/>
        <v>0</v>
      </c>
      <c r="CW585" s="6">
        <f t="shared" si="132"/>
        <v>0</v>
      </c>
      <c r="CX585" s="6">
        <f t="shared" si="132"/>
        <v>0</v>
      </c>
      <c r="CY585" s="6">
        <f t="shared" si="132"/>
        <v>0</v>
      </c>
      <c r="CZ585" s="6">
        <f t="shared" si="132"/>
        <v>0</v>
      </c>
      <c r="DA585" s="6">
        <f t="shared" si="132"/>
        <v>0</v>
      </c>
      <c r="DB585" s="6">
        <f t="shared" si="132"/>
        <v>0</v>
      </c>
      <c r="DC585" s="6">
        <f t="shared" si="132"/>
        <v>0</v>
      </c>
      <c r="DD585" s="6">
        <f t="shared" si="132"/>
        <v>0</v>
      </c>
      <c r="DE585" s="6">
        <f t="shared" si="132"/>
        <v>0</v>
      </c>
      <c r="DF585" s="6">
        <f t="shared" si="132"/>
        <v>0</v>
      </c>
      <c r="DG585" s="6">
        <f t="shared" si="132"/>
        <v>0</v>
      </c>
      <c r="DH585" s="6">
        <f t="shared" si="132"/>
        <v>0</v>
      </c>
      <c r="DI585" s="6">
        <f t="shared" si="132"/>
        <v>0</v>
      </c>
      <c r="DJ585" s="6">
        <f t="shared" si="132"/>
        <v>0</v>
      </c>
      <c r="DK585" s="6">
        <f t="shared" si="132"/>
        <v>0</v>
      </c>
      <c r="DL585" s="6">
        <f t="shared" si="132"/>
        <v>0</v>
      </c>
      <c r="DM585" s="6">
        <f t="shared" si="132"/>
        <v>0</v>
      </c>
      <c r="DN585" s="6">
        <f t="shared" si="132"/>
        <v>0</v>
      </c>
      <c r="DO585" s="6">
        <f t="shared" si="132"/>
        <v>0</v>
      </c>
      <c r="DP585" s="6">
        <f t="shared" si="132"/>
        <v>0</v>
      </c>
      <c r="DQ585" s="6">
        <f t="shared" si="132"/>
        <v>0</v>
      </c>
      <c r="DR585" s="6">
        <f t="shared" si="132"/>
        <v>0</v>
      </c>
      <c r="DS585" s="6">
        <f t="shared" si="132"/>
        <v>0</v>
      </c>
      <c r="DT585" s="6">
        <f t="shared" si="132"/>
        <v>0</v>
      </c>
      <c r="DU585" s="6">
        <f t="shared" si="132"/>
        <v>0</v>
      </c>
      <c r="DV585" s="6">
        <f t="shared" si="132"/>
        <v>0</v>
      </c>
      <c r="DW585" s="6">
        <f t="shared" si="132"/>
        <v>0</v>
      </c>
      <c r="DX585" s="6">
        <f t="shared" si="132"/>
        <v>0</v>
      </c>
      <c r="DY585" s="6">
        <f t="shared" si="132"/>
        <v>0</v>
      </c>
      <c r="DZ585" s="6">
        <f t="shared" si="132"/>
        <v>0</v>
      </c>
      <c r="EA585" s="6">
        <f t="shared" si="132"/>
        <v>0</v>
      </c>
      <c r="EB585" s="6">
        <f t="shared" si="132"/>
        <v>0</v>
      </c>
      <c r="EC585" s="6">
        <f t="shared" si="132"/>
        <v>0</v>
      </c>
      <c r="ED585" s="6">
        <f t="shared" si="132"/>
        <v>0</v>
      </c>
      <c r="EE585" s="6">
        <f t="shared" si="132"/>
        <v>0</v>
      </c>
      <c r="EF585" s="6">
        <f t="shared" si="132"/>
        <v>0</v>
      </c>
      <c r="EG585" s="6">
        <f t="shared" si="132"/>
        <v>0</v>
      </c>
      <c r="EH585" s="6">
        <f t="shared" si="132"/>
        <v>0</v>
      </c>
      <c r="EI585" s="6">
        <f t="shared" si="132"/>
        <v>0</v>
      </c>
      <c r="EJ585" s="6">
        <f t="shared" si="132"/>
        <v>0</v>
      </c>
      <c r="EK585" s="6">
        <f t="shared" si="132"/>
        <v>0</v>
      </c>
      <c r="EL585" s="6">
        <f t="shared" si="132"/>
        <v>0</v>
      </c>
      <c r="EM585" s="6">
        <f t="shared" si="132"/>
        <v>0</v>
      </c>
      <c r="EN585" s="6">
        <f t="shared" ref="EN585:GR585" si="133">SUM(EN123:EN127)</f>
        <v>0</v>
      </c>
      <c r="EO585" s="6">
        <f t="shared" si="133"/>
        <v>0</v>
      </c>
      <c r="EP585" s="6">
        <f t="shared" si="133"/>
        <v>0</v>
      </c>
      <c r="EQ585" s="6">
        <f t="shared" si="133"/>
        <v>0</v>
      </c>
      <c r="ER585" s="6">
        <f t="shared" si="133"/>
        <v>0</v>
      </c>
      <c r="ES585" s="6">
        <f t="shared" si="133"/>
        <v>0</v>
      </c>
      <c r="ET585" s="6">
        <f t="shared" si="133"/>
        <v>0</v>
      </c>
      <c r="EU585" s="6">
        <f t="shared" si="133"/>
        <v>0</v>
      </c>
      <c r="EV585" s="6">
        <f t="shared" si="133"/>
        <v>0</v>
      </c>
      <c r="EW585" s="6">
        <f t="shared" si="133"/>
        <v>0</v>
      </c>
      <c r="EX585" s="6">
        <f t="shared" si="133"/>
        <v>0</v>
      </c>
      <c r="EY585" s="6">
        <f t="shared" si="133"/>
        <v>0</v>
      </c>
      <c r="EZ585" s="6">
        <f t="shared" si="133"/>
        <v>0</v>
      </c>
      <c r="FA585" s="6">
        <f t="shared" si="133"/>
        <v>0</v>
      </c>
      <c r="FB585" s="6">
        <f t="shared" si="133"/>
        <v>0</v>
      </c>
      <c r="FC585" s="6">
        <f t="shared" si="133"/>
        <v>0</v>
      </c>
      <c r="FD585" s="6">
        <f t="shared" si="133"/>
        <v>0</v>
      </c>
      <c r="FE585" s="6">
        <f t="shared" si="133"/>
        <v>0</v>
      </c>
      <c r="FF585" s="6">
        <f t="shared" si="133"/>
        <v>0</v>
      </c>
      <c r="FG585" s="6">
        <f t="shared" si="133"/>
        <v>0</v>
      </c>
      <c r="FH585" s="6">
        <f t="shared" si="133"/>
        <v>0</v>
      </c>
      <c r="FI585" s="6">
        <f t="shared" si="133"/>
        <v>0</v>
      </c>
      <c r="FJ585" s="6">
        <f t="shared" si="133"/>
        <v>0</v>
      </c>
      <c r="FK585" s="6">
        <f t="shared" si="133"/>
        <v>0</v>
      </c>
      <c r="FL585" s="6">
        <f t="shared" si="133"/>
        <v>0</v>
      </c>
      <c r="FM585" s="6">
        <f t="shared" si="133"/>
        <v>0</v>
      </c>
      <c r="FN585" s="6">
        <f t="shared" si="133"/>
        <v>0</v>
      </c>
      <c r="FO585" s="6">
        <f t="shared" si="133"/>
        <v>0</v>
      </c>
      <c r="FP585" s="6">
        <f t="shared" si="133"/>
        <v>0</v>
      </c>
      <c r="FQ585" s="6">
        <f t="shared" si="133"/>
        <v>0</v>
      </c>
      <c r="FR585" s="6">
        <f t="shared" si="133"/>
        <v>0</v>
      </c>
      <c r="FS585" s="6">
        <f t="shared" si="133"/>
        <v>0</v>
      </c>
      <c r="FT585" s="6">
        <f t="shared" si="133"/>
        <v>0</v>
      </c>
      <c r="FU585" s="6">
        <f t="shared" si="133"/>
        <v>0</v>
      </c>
      <c r="FV585" s="6">
        <f t="shared" si="133"/>
        <v>0</v>
      </c>
      <c r="FW585" s="6">
        <f t="shared" si="133"/>
        <v>0</v>
      </c>
      <c r="FX585" s="6">
        <f t="shared" si="133"/>
        <v>0</v>
      </c>
      <c r="FY585" s="6">
        <f t="shared" si="133"/>
        <v>1287</v>
      </c>
      <c r="FZ585" s="6">
        <f t="shared" si="133"/>
        <v>614</v>
      </c>
      <c r="GA585" s="6">
        <f t="shared" si="133"/>
        <v>0</v>
      </c>
      <c r="GB585" s="6">
        <f t="shared" si="133"/>
        <v>0</v>
      </c>
      <c r="GC585" s="6">
        <f t="shared" si="133"/>
        <v>0</v>
      </c>
      <c r="GD585" s="6">
        <f t="shared" si="133"/>
        <v>0</v>
      </c>
      <c r="GE585" s="6">
        <f t="shared" si="133"/>
        <v>0</v>
      </c>
      <c r="GF585" s="6">
        <f t="shared" si="133"/>
        <v>0</v>
      </c>
      <c r="GG585" s="6">
        <f t="shared" si="133"/>
        <v>0</v>
      </c>
      <c r="GH585" s="6">
        <f t="shared" si="133"/>
        <v>0</v>
      </c>
      <c r="GI585" s="6">
        <f t="shared" si="133"/>
        <v>0</v>
      </c>
      <c r="GJ585" s="6">
        <f t="shared" si="133"/>
        <v>0</v>
      </c>
      <c r="GK585" s="6">
        <f t="shared" si="133"/>
        <v>0</v>
      </c>
      <c r="GL585" s="6">
        <f t="shared" si="133"/>
        <v>0</v>
      </c>
      <c r="GM585" s="6">
        <f t="shared" si="133"/>
        <v>0</v>
      </c>
      <c r="GN585" s="6">
        <f t="shared" si="133"/>
        <v>0</v>
      </c>
      <c r="GO585" s="6">
        <f t="shared" si="133"/>
        <v>1249</v>
      </c>
      <c r="GP585" s="6">
        <f t="shared" si="133"/>
        <v>619</v>
      </c>
      <c r="GQ585" s="6">
        <f t="shared" si="133"/>
        <v>1366</v>
      </c>
      <c r="GR585" s="6">
        <f t="shared" si="133"/>
        <v>512</v>
      </c>
    </row>
    <row r="586" spans="1:200">
      <c r="A586" s="6"/>
      <c r="B586" s="13" t="s">
        <v>55</v>
      </c>
      <c r="C586" s="14">
        <f>SUM(C128:C130)</f>
        <v>4158</v>
      </c>
      <c r="D586" s="14">
        <f>SUM(D128:D130)</f>
        <v>2087</v>
      </c>
      <c r="E586" s="15">
        <f t="shared" si="28"/>
        <v>0.50192400192400188</v>
      </c>
      <c r="F586" s="66">
        <f t="shared" ref="F586:AB586" si="134">SUM(F128:F130)</f>
        <v>1804</v>
      </c>
      <c r="G586" s="6">
        <f t="shared" si="134"/>
        <v>3</v>
      </c>
      <c r="H586" s="6">
        <f t="shared" si="134"/>
        <v>25</v>
      </c>
      <c r="I586" s="6">
        <f t="shared" si="134"/>
        <v>34</v>
      </c>
      <c r="J586" s="59">
        <f t="shared" si="134"/>
        <v>193</v>
      </c>
      <c r="K586" s="6">
        <f t="shared" si="134"/>
        <v>0</v>
      </c>
      <c r="L586" s="6">
        <f t="shared" si="134"/>
        <v>0</v>
      </c>
      <c r="M586" s="6">
        <f t="shared" si="134"/>
        <v>0</v>
      </c>
      <c r="N586" s="6">
        <f t="shared" si="134"/>
        <v>0</v>
      </c>
      <c r="O586" s="6">
        <f t="shared" si="134"/>
        <v>0</v>
      </c>
      <c r="P586" s="6">
        <f t="shared" si="134"/>
        <v>0</v>
      </c>
      <c r="Q586" s="6">
        <f t="shared" si="134"/>
        <v>0</v>
      </c>
      <c r="R586" s="6">
        <f t="shared" si="134"/>
        <v>0</v>
      </c>
      <c r="S586" s="6">
        <f t="shared" si="134"/>
        <v>0</v>
      </c>
      <c r="T586" s="6">
        <f t="shared" si="134"/>
        <v>0</v>
      </c>
      <c r="U586" s="6">
        <f t="shared" si="134"/>
        <v>0</v>
      </c>
      <c r="V586" s="6">
        <f t="shared" si="134"/>
        <v>0</v>
      </c>
      <c r="W586" s="6">
        <f t="shared" si="134"/>
        <v>3</v>
      </c>
      <c r="X586" s="6">
        <f t="shared" si="134"/>
        <v>0</v>
      </c>
      <c r="Y586" s="6">
        <f t="shared" si="134"/>
        <v>0</v>
      </c>
      <c r="Z586" s="6">
        <f t="shared" si="134"/>
        <v>0</v>
      </c>
      <c r="AA586" s="6">
        <f t="shared" si="134"/>
        <v>0</v>
      </c>
      <c r="AB586" s="6">
        <f t="shared" si="134"/>
        <v>0</v>
      </c>
      <c r="AC586" s="6">
        <f t="shared" ref="AC586:BZ586" si="135">SUM(AC128:AC130)</f>
        <v>30</v>
      </c>
      <c r="AD586" s="6">
        <f t="shared" si="135"/>
        <v>60</v>
      </c>
      <c r="AE586" s="6">
        <f t="shared" si="135"/>
        <v>310</v>
      </c>
      <c r="AF586" s="6">
        <f t="shared" si="135"/>
        <v>21</v>
      </c>
      <c r="AG586" s="6">
        <f t="shared" si="135"/>
        <v>0</v>
      </c>
      <c r="AH586" s="6">
        <f t="shared" si="135"/>
        <v>1582</v>
      </c>
      <c r="AI586" s="6">
        <f t="shared" si="135"/>
        <v>316</v>
      </c>
      <c r="AJ586" s="6">
        <f t="shared" si="135"/>
        <v>3</v>
      </c>
      <c r="AK586" s="6">
        <f t="shared" si="135"/>
        <v>0</v>
      </c>
      <c r="AL586" s="6">
        <f t="shared" si="135"/>
        <v>1679</v>
      </c>
      <c r="AM586" s="6">
        <f t="shared" si="135"/>
        <v>0</v>
      </c>
      <c r="AN586" s="6">
        <f t="shared" si="135"/>
        <v>0</v>
      </c>
      <c r="AO586" s="6">
        <f t="shared" si="135"/>
        <v>0</v>
      </c>
      <c r="AP586" s="6">
        <f t="shared" si="135"/>
        <v>0</v>
      </c>
      <c r="AQ586" s="6">
        <f t="shared" si="135"/>
        <v>0</v>
      </c>
      <c r="AR586" s="6">
        <f t="shared" si="135"/>
        <v>0</v>
      </c>
      <c r="AS586" s="6">
        <f t="shared" si="135"/>
        <v>0</v>
      </c>
      <c r="AT586" s="6">
        <f t="shared" si="135"/>
        <v>0</v>
      </c>
      <c r="AU586" s="6">
        <f t="shared" si="135"/>
        <v>0</v>
      </c>
      <c r="AV586" s="6">
        <f t="shared" si="135"/>
        <v>0</v>
      </c>
      <c r="AW586" s="6">
        <f t="shared" si="135"/>
        <v>0</v>
      </c>
      <c r="AX586" s="6">
        <f t="shared" si="135"/>
        <v>0</v>
      </c>
      <c r="AY586" s="6">
        <f t="shared" si="135"/>
        <v>0</v>
      </c>
      <c r="AZ586" s="6">
        <f t="shared" si="135"/>
        <v>0</v>
      </c>
      <c r="BA586" s="6">
        <f t="shared" si="135"/>
        <v>1763</v>
      </c>
      <c r="BB586" s="6">
        <f t="shared" si="135"/>
        <v>200</v>
      </c>
      <c r="BC586" s="6">
        <f t="shared" si="135"/>
        <v>0</v>
      </c>
      <c r="BD586" s="6">
        <f t="shared" si="135"/>
        <v>0</v>
      </c>
      <c r="BE586" s="6">
        <f t="shared" si="135"/>
        <v>182</v>
      </c>
      <c r="BF586" s="6">
        <f t="shared" si="135"/>
        <v>1789</v>
      </c>
      <c r="BG586" s="6">
        <f t="shared" si="135"/>
        <v>281</v>
      </c>
      <c r="BH586" s="6">
        <f t="shared" si="135"/>
        <v>1679</v>
      </c>
      <c r="BI586" s="6">
        <f t="shared" si="135"/>
        <v>353</v>
      </c>
      <c r="BJ586" s="6">
        <f t="shared" si="135"/>
        <v>1599</v>
      </c>
      <c r="BK586" s="6">
        <f t="shared" si="135"/>
        <v>1645</v>
      </c>
      <c r="BL586" s="6">
        <f t="shared" si="135"/>
        <v>312</v>
      </c>
      <c r="BM586" s="6">
        <f t="shared" si="135"/>
        <v>188</v>
      </c>
      <c r="BN586" s="6">
        <f t="shared" si="135"/>
        <v>1766</v>
      </c>
      <c r="BO586" s="6">
        <f t="shared" si="135"/>
        <v>1656</v>
      </c>
      <c r="BP586" s="6">
        <f t="shared" si="135"/>
        <v>269</v>
      </c>
      <c r="BQ586" s="6">
        <f t="shared" si="135"/>
        <v>265</v>
      </c>
      <c r="BR586" s="6">
        <f t="shared" si="135"/>
        <v>1675</v>
      </c>
      <c r="BS586" s="6">
        <f t="shared" si="135"/>
        <v>709</v>
      </c>
      <c r="BT586" s="6">
        <f t="shared" si="135"/>
        <v>181</v>
      </c>
      <c r="BU586" s="6">
        <f t="shared" si="135"/>
        <v>1781</v>
      </c>
      <c r="BV586" s="6">
        <f t="shared" si="135"/>
        <v>991</v>
      </c>
      <c r="BW586" s="6">
        <f t="shared" si="135"/>
        <v>532</v>
      </c>
      <c r="BX586" s="6">
        <f t="shared" si="135"/>
        <v>1084</v>
      </c>
      <c r="BY586" s="6">
        <f t="shared" si="135"/>
        <v>492</v>
      </c>
      <c r="BZ586" s="6">
        <f t="shared" si="135"/>
        <v>1244</v>
      </c>
      <c r="CA586" s="6">
        <f t="shared" ref="CA586:CP586" si="136">SUM(CA128:CA130)</f>
        <v>870</v>
      </c>
      <c r="CB586" s="6">
        <f t="shared" si="136"/>
        <v>369</v>
      </c>
      <c r="CC586" s="6">
        <f t="shared" si="136"/>
        <v>1245</v>
      </c>
      <c r="CD586" s="6">
        <f t="shared" si="136"/>
        <v>1163</v>
      </c>
      <c r="CE586" s="6">
        <f t="shared" si="136"/>
        <v>1239</v>
      </c>
      <c r="CF586" s="6">
        <f t="shared" si="136"/>
        <v>392</v>
      </c>
      <c r="CG586" s="6">
        <f t="shared" si="136"/>
        <v>435</v>
      </c>
      <c r="CH586" s="6">
        <f t="shared" si="136"/>
        <v>1101</v>
      </c>
      <c r="CI586" s="6">
        <f t="shared" si="136"/>
        <v>975</v>
      </c>
      <c r="CJ586" s="6">
        <f t="shared" si="136"/>
        <v>615</v>
      </c>
      <c r="CK586" s="6">
        <f t="shared" si="136"/>
        <v>604</v>
      </c>
      <c r="CL586" s="6">
        <f t="shared" si="136"/>
        <v>1033</v>
      </c>
      <c r="CM586" s="6">
        <f t="shared" si="136"/>
        <v>826</v>
      </c>
      <c r="CN586" s="6">
        <f t="shared" si="136"/>
        <v>922</v>
      </c>
      <c r="CO586" s="6">
        <f t="shared" si="136"/>
        <v>1023</v>
      </c>
      <c r="CP586" s="6">
        <f t="shared" si="136"/>
        <v>611</v>
      </c>
      <c r="CQ586" s="6">
        <f t="shared" ref="CQ586:EM586" si="137">SUM(CQ128:CQ130)</f>
        <v>0</v>
      </c>
      <c r="CR586" s="6">
        <f t="shared" si="137"/>
        <v>0</v>
      </c>
      <c r="CS586" s="6">
        <f t="shared" si="137"/>
        <v>339</v>
      </c>
      <c r="CT586" s="6">
        <f t="shared" si="137"/>
        <v>470</v>
      </c>
      <c r="CU586" s="6">
        <f t="shared" si="137"/>
        <v>0</v>
      </c>
      <c r="CV586" s="6">
        <f t="shared" si="137"/>
        <v>0</v>
      </c>
      <c r="CW586" s="6">
        <f t="shared" si="137"/>
        <v>0</v>
      </c>
      <c r="CX586" s="6">
        <f t="shared" si="137"/>
        <v>0</v>
      </c>
      <c r="CY586" s="6">
        <f t="shared" si="137"/>
        <v>0</v>
      </c>
      <c r="CZ586" s="6">
        <f t="shared" si="137"/>
        <v>0</v>
      </c>
      <c r="DA586" s="6">
        <f t="shared" si="137"/>
        <v>0</v>
      </c>
      <c r="DB586" s="6">
        <f t="shared" si="137"/>
        <v>0</v>
      </c>
      <c r="DC586" s="6">
        <f t="shared" si="137"/>
        <v>0</v>
      </c>
      <c r="DD586" s="6">
        <f t="shared" si="137"/>
        <v>0</v>
      </c>
      <c r="DE586" s="6">
        <f t="shared" si="137"/>
        <v>0</v>
      </c>
      <c r="DF586" s="6">
        <f t="shared" si="137"/>
        <v>0</v>
      </c>
      <c r="DG586" s="6">
        <f t="shared" si="137"/>
        <v>0</v>
      </c>
      <c r="DH586" s="6">
        <f t="shared" si="137"/>
        <v>0</v>
      </c>
      <c r="DI586" s="6">
        <f t="shared" si="137"/>
        <v>0</v>
      </c>
      <c r="DJ586" s="6">
        <f t="shared" si="137"/>
        <v>0</v>
      </c>
      <c r="DK586" s="6">
        <f t="shared" si="137"/>
        <v>0</v>
      </c>
      <c r="DL586" s="6">
        <f t="shared" si="137"/>
        <v>0</v>
      </c>
      <c r="DM586" s="6">
        <f t="shared" si="137"/>
        <v>0</v>
      </c>
      <c r="DN586" s="6">
        <f t="shared" si="137"/>
        <v>0</v>
      </c>
      <c r="DO586" s="6">
        <f t="shared" si="137"/>
        <v>0</v>
      </c>
      <c r="DP586" s="6">
        <f t="shared" si="137"/>
        <v>0</v>
      </c>
      <c r="DQ586" s="6">
        <f t="shared" si="137"/>
        <v>0</v>
      </c>
      <c r="DR586" s="6">
        <f t="shared" si="137"/>
        <v>0</v>
      </c>
      <c r="DS586" s="6">
        <f t="shared" si="137"/>
        <v>0</v>
      </c>
      <c r="DT586" s="6">
        <f t="shared" si="137"/>
        <v>0</v>
      </c>
      <c r="DU586" s="6">
        <f t="shared" si="137"/>
        <v>0</v>
      </c>
      <c r="DV586" s="6">
        <f t="shared" si="137"/>
        <v>0</v>
      </c>
      <c r="DW586" s="6">
        <f t="shared" si="137"/>
        <v>0</v>
      </c>
      <c r="DX586" s="6">
        <f t="shared" si="137"/>
        <v>0</v>
      </c>
      <c r="DY586" s="6">
        <f t="shared" si="137"/>
        <v>0</v>
      </c>
      <c r="DZ586" s="6">
        <f t="shared" si="137"/>
        <v>0</v>
      </c>
      <c r="EA586" s="6">
        <f t="shared" si="137"/>
        <v>0</v>
      </c>
      <c r="EB586" s="6">
        <f t="shared" si="137"/>
        <v>0</v>
      </c>
      <c r="EC586" s="6">
        <f t="shared" si="137"/>
        <v>0</v>
      </c>
      <c r="ED586" s="6">
        <f t="shared" si="137"/>
        <v>0</v>
      </c>
      <c r="EE586" s="6">
        <f t="shared" si="137"/>
        <v>0</v>
      </c>
      <c r="EF586" s="6">
        <f t="shared" si="137"/>
        <v>0</v>
      </c>
      <c r="EG586" s="6">
        <f t="shared" si="137"/>
        <v>0</v>
      </c>
      <c r="EH586" s="6">
        <f t="shared" si="137"/>
        <v>0</v>
      </c>
      <c r="EI586" s="6">
        <f t="shared" si="137"/>
        <v>0</v>
      </c>
      <c r="EJ586" s="6">
        <f t="shared" si="137"/>
        <v>0</v>
      </c>
      <c r="EK586" s="6">
        <f t="shared" si="137"/>
        <v>0</v>
      </c>
      <c r="EL586" s="6">
        <f t="shared" si="137"/>
        <v>0</v>
      </c>
      <c r="EM586" s="6">
        <f t="shared" si="137"/>
        <v>0</v>
      </c>
      <c r="EN586" s="6">
        <f t="shared" ref="EN586:GR586" si="138">SUM(EN128:EN130)</f>
        <v>0</v>
      </c>
      <c r="EO586" s="6">
        <f t="shared" si="138"/>
        <v>0</v>
      </c>
      <c r="EP586" s="6">
        <f t="shared" si="138"/>
        <v>0</v>
      </c>
      <c r="EQ586" s="6">
        <f t="shared" si="138"/>
        <v>0</v>
      </c>
      <c r="ER586" s="6">
        <f t="shared" si="138"/>
        <v>0</v>
      </c>
      <c r="ES586" s="6">
        <f t="shared" si="138"/>
        <v>0</v>
      </c>
      <c r="ET586" s="6">
        <f t="shared" si="138"/>
        <v>0</v>
      </c>
      <c r="EU586" s="6">
        <f t="shared" si="138"/>
        <v>0</v>
      </c>
      <c r="EV586" s="6">
        <f t="shared" si="138"/>
        <v>0</v>
      </c>
      <c r="EW586" s="6">
        <f t="shared" si="138"/>
        <v>0</v>
      </c>
      <c r="EX586" s="6">
        <f t="shared" si="138"/>
        <v>0</v>
      </c>
      <c r="EY586" s="6">
        <f t="shared" si="138"/>
        <v>0</v>
      </c>
      <c r="EZ586" s="6">
        <f t="shared" si="138"/>
        <v>0</v>
      </c>
      <c r="FA586" s="6">
        <f t="shared" si="138"/>
        <v>0</v>
      </c>
      <c r="FB586" s="6">
        <f t="shared" si="138"/>
        <v>0</v>
      </c>
      <c r="FC586" s="6">
        <f t="shared" si="138"/>
        <v>0</v>
      </c>
      <c r="FD586" s="6">
        <f t="shared" si="138"/>
        <v>0</v>
      </c>
      <c r="FE586" s="6">
        <f t="shared" si="138"/>
        <v>0</v>
      </c>
      <c r="FF586" s="6">
        <f t="shared" si="138"/>
        <v>0</v>
      </c>
      <c r="FG586" s="6">
        <f t="shared" si="138"/>
        <v>0</v>
      </c>
      <c r="FH586" s="6">
        <f t="shared" si="138"/>
        <v>0</v>
      </c>
      <c r="FI586" s="6">
        <f t="shared" si="138"/>
        <v>0</v>
      </c>
      <c r="FJ586" s="6">
        <f t="shared" si="138"/>
        <v>0</v>
      </c>
      <c r="FK586" s="6">
        <f t="shared" si="138"/>
        <v>0</v>
      </c>
      <c r="FL586" s="6">
        <f t="shared" si="138"/>
        <v>0</v>
      </c>
      <c r="FM586" s="6">
        <f t="shared" si="138"/>
        <v>0</v>
      </c>
      <c r="FN586" s="6">
        <f t="shared" si="138"/>
        <v>0</v>
      </c>
      <c r="FO586" s="6">
        <f t="shared" si="138"/>
        <v>0</v>
      </c>
      <c r="FP586" s="6">
        <f t="shared" si="138"/>
        <v>0</v>
      </c>
      <c r="FQ586" s="6">
        <f t="shared" si="138"/>
        <v>0</v>
      </c>
      <c r="FR586" s="6">
        <f t="shared" si="138"/>
        <v>0</v>
      </c>
      <c r="FS586" s="6">
        <f t="shared" si="138"/>
        <v>0</v>
      </c>
      <c r="FT586" s="6">
        <f t="shared" si="138"/>
        <v>0</v>
      </c>
      <c r="FU586" s="6">
        <f t="shared" si="138"/>
        <v>0</v>
      </c>
      <c r="FV586" s="6">
        <f t="shared" si="138"/>
        <v>0</v>
      </c>
      <c r="FW586" s="6">
        <f t="shared" si="138"/>
        <v>0</v>
      </c>
      <c r="FX586" s="6">
        <f t="shared" si="138"/>
        <v>0</v>
      </c>
      <c r="FY586" s="6">
        <f t="shared" si="138"/>
        <v>1465</v>
      </c>
      <c r="FZ586" s="6">
        <f t="shared" si="138"/>
        <v>498</v>
      </c>
      <c r="GA586" s="6">
        <f t="shared" si="138"/>
        <v>0</v>
      </c>
      <c r="GB586" s="6">
        <f t="shared" si="138"/>
        <v>0</v>
      </c>
      <c r="GC586" s="6">
        <f t="shared" si="138"/>
        <v>0</v>
      </c>
      <c r="GD586" s="6">
        <f t="shared" si="138"/>
        <v>0</v>
      </c>
      <c r="GE586" s="6">
        <f t="shared" si="138"/>
        <v>0</v>
      </c>
      <c r="GF586" s="6">
        <f t="shared" si="138"/>
        <v>0</v>
      </c>
      <c r="GG586" s="6">
        <f t="shared" si="138"/>
        <v>0</v>
      </c>
      <c r="GH586" s="6">
        <f t="shared" si="138"/>
        <v>0</v>
      </c>
      <c r="GI586" s="6">
        <f t="shared" si="138"/>
        <v>0</v>
      </c>
      <c r="GJ586" s="6">
        <f t="shared" si="138"/>
        <v>0</v>
      </c>
      <c r="GK586" s="6">
        <f t="shared" si="138"/>
        <v>0</v>
      </c>
      <c r="GL586" s="6">
        <f t="shared" si="138"/>
        <v>0</v>
      </c>
      <c r="GM586" s="6">
        <f t="shared" si="138"/>
        <v>0</v>
      </c>
      <c r="GN586" s="6">
        <f t="shared" si="138"/>
        <v>0</v>
      </c>
      <c r="GO586" s="6">
        <f t="shared" si="138"/>
        <v>1411</v>
      </c>
      <c r="GP586" s="6">
        <f t="shared" si="138"/>
        <v>510</v>
      </c>
      <c r="GQ586" s="6">
        <f t="shared" si="138"/>
        <v>1538</v>
      </c>
      <c r="GR586" s="6">
        <f t="shared" si="138"/>
        <v>402</v>
      </c>
    </row>
    <row r="587" spans="1:200">
      <c r="A587" s="6"/>
      <c r="B587" s="13" t="s">
        <v>56</v>
      </c>
      <c r="C587" s="14">
        <f>SUM(C131:C148)</f>
        <v>19192</v>
      </c>
      <c r="D587" s="14">
        <f>SUM(D131:D148)</f>
        <v>13248</v>
      </c>
      <c r="E587" s="15">
        <f t="shared" si="28"/>
        <v>0.6902876198416007</v>
      </c>
      <c r="F587" s="66">
        <f t="shared" ref="F587:AB587" si="139">SUM(F131:F148)</f>
        <v>10493</v>
      </c>
      <c r="G587" s="6">
        <f t="shared" si="139"/>
        <v>32</v>
      </c>
      <c r="H587" s="6">
        <f t="shared" si="139"/>
        <v>246</v>
      </c>
      <c r="I587" s="6">
        <f t="shared" si="139"/>
        <v>156</v>
      </c>
      <c r="J587" s="59">
        <f t="shared" si="139"/>
        <v>2107</v>
      </c>
      <c r="K587" s="6">
        <f t="shared" si="139"/>
        <v>0</v>
      </c>
      <c r="L587" s="6">
        <f t="shared" si="139"/>
        <v>0</v>
      </c>
      <c r="M587" s="6">
        <f t="shared" si="139"/>
        <v>4</v>
      </c>
      <c r="N587" s="6">
        <f t="shared" si="139"/>
        <v>0</v>
      </c>
      <c r="O587" s="6">
        <f t="shared" si="139"/>
        <v>0</v>
      </c>
      <c r="P587" s="6">
        <f t="shared" si="139"/>
        <v>0</v>
      </c>
      <c r="Q587" s="6">
        <f t="shared" si="139"/>
        <v>0</v>
      </c>
      <c r="R587" s="6">
        <f t="shared" si="139"/>
        <v>0</v>
      </c>
      <c r="S587" s="6">
        <f t="shared" si="139"/>
        <v>0</v>
      </c>
      <c r="T587" s="6">
        <f t="shared" si="139"/>
        <v>0</v>
      </c>
      <c r="U587" s="6">
        <f t="shared" si="139"/>
        <v>0</v>
      </c>
      <c r="V587" s="6">
        <f t="shared" si="139"/>
        <v>0</v>
      </c>
      <c r="W587" s="6">
        <f t="shared" si="139"/>
        <v>24</v>
      </c>
      <c r="X587" s="6">
        <f t="shared" si="139"/>
        <v>0</v>
      </c>
      <c r="Y587" s="6">
        <f t="shared" si="139"/>
        <v>0</v>
      </c>
      <c r="Z587" s="6">
        <f t="shared" si="139"/>
        <v>0</v>
      </c>
      <c r="AA587" s="6">
        <f t="shared" si="139"/>
        <v>0</v>
      </c>
      <c r="AB587" s="6">
        <f t="shared" si="139"/>
        <v>0</v>
      </c>
      <c r="AC587" s="6">
        <f t="shared" ref="AC587:BZ587" si="140">SUM(AC131:AC148)</f>
        <v>156</v>
      </c>
      <c r="AD587" s="6">
        <f t="shared" si="140"/>
        <v>265</v>
      </c>
      <c r="AE587" s="6">
        <f t="shared" si="140"/>
        <v>3212</v>
      </c>
      <c r="AF587" s="6">
        <f t="shared" si="140"/>
        <v>120</v>
      </c>
      <c r="AG587" s="6">
        <f t="shared" si="140"/>
        <v>0</v>
      </c>
      <c r="AH587" s="6">
        <f t="shared" si="140"/>
        <v>9073</v>
      </c>
      <c r="AI587" s="6">
        <f t="shared" si="140"/>
        <v>3132</v>
      </c>
      <c r="AJ587" s="6">
        <f t="shared" si="140"/>
        <v>14</v>
      </c>
      <c r="AK587" s="6">
        <f t="shared" si="140"/>
        <v>1</v>
      </c>
      <c r="AL587" s="6">
        <f t="shared" si="140"/>
        <v>9667</v>
      </c>
      <c r="AM587" s="6">
        <f t="shared" si="140"/>
        <v>0</v>
      </c>
      <c r="AN587" s="6">
        <f t="shared" si="140"/>
        <v>0</v>
      </c>
      <c r="AO587" s="6">
        <f t="shared" si="140"/>
        <v>0</v>
      </c>
      <c r="AP587" s="6">
        <f t="shared" si="140"/>
        <v>0</v>
      </c>
      <c r="AQ587" s="6">
        <f t="shared" si="140"/>
        <v>0</v>
      </c>
      <c r="AR587" s="6">
        <f t="shared" si="140"/>
        <v>0</v>
      </c>
      <c r="AS587" s="6">
        <f t="shared" si="140"/>
        <v>0</v>
      </c>
      <c r="AT587" s="6">
        <f t="shared" si="140"/>
        <v>0</v>
      </c>
      <c r="AU587" s="6">
        <f t="shared" si="140"/>
        <v>0</v>
      </c>
      <c r="AV587" s="6">
        <f t="shared" si="140"/>
        <v>0</v>
      </c>
      <c r="AW587" s="6">
        <f t="shared" si="140"/>
        <v>0</v>
      </c>
      <c r="AX587" s="6">
        <f t="shared" si="140"/>
        <v>0</v>
      </c>
      <c r="AY587" s="6">
        <f t="shared" si="140"/>
        <v>0</v>
      </c>
      <c r="AZ587" s="6">
        <f t="shared" si="140"/>
        <v>0</v>
      </c>
      <c r="BA587" s="6">
        <f t="shared" si="140"/>
        <v>10005</v>
      </c>
      <c r="BB587" s="6">
        <f t="shared" si="140"/>
        <v>2430</v>
      </c>
      <c r="BC587" s="6">
        <f t="shared" si="140"/>
        <v>0</v>
      </c>
      <c r="BD587" s="6">
        <f t="shared" si="140"/>
        <v>0</v>
      </c>
      <c r="BE587" s="6">
        <f t="shared" si="140"/>
        <v>2016</v>
      </c>
      <c r="BF587" s="6">
        <f t="shared" si="140"/>
        <v>10608</v>
      </c>
      <c r="BG587" s="6">
        <f t="shared" si="140"/>
        <v>2732</v>
      </c>
      <c r="BH587" s="6">
        <f t="shared" si="140"/>
        <v>9875</v>
      </c>
      <c r="BI587" s="6">
        <f t="shared" si="140"/>
        <v>3415</v>
      </c>
      <c r="BJ587" s="6">
        <f t="shared" si="140"/>
        <v>9123</v>
      </c>
      <c r="BK587" s="6">
        <f t="shared" si="140"/>
        <v>9662</v>
      </c>
      <c r="BL587" s="6">
        <f t="shared" si="140"/>
        <v>2907</v>
      </c>
      <c r="BM587" s="6">
        <f t="shared" si="140"/>
        <v>1974</v>
      </c>
      <c r="BN587" s="6">
        <f t="shared" si="140"/>
        <v>10489</v>
      </c>
      <c r="BO587" s="6">
        <f t="shared" si="140"/>
        <v>9622</v>
      </c>
      <c r="BP587" s="6">
        <f t="shared" si="140"/>
        <v>2742</v>
      </c>
      <c r="BQ587" s="6">
        <f t="shared" si="140"/>
        <v>3089</v>
      </c>
      <c r="BR587" s="6">
        <f t="shared" si="140"/>
        <v>9288</v>
      </c>
      <c r="BS587" s="6">
        <f t="shared" si="140"/>
        <v>5313</v>
      </c>
      <c r="BT587" s="6">
        <f t="shared" si="140"/>
        <v>1756</v>
      </c>
      <c r="BU587" s="6">
        <f t="shared" si="140"/>
        <v>10721</v>
      </c>
      <c r="BV587" s="6">
        <f t="shared" si="140"/>
        <v>6655</v>
      </c>
      <c r="BW587" s="6">
        <f t="shared" si="140"/>
        <v>3938</v>
      </c>
      <c r="BX587" s="6">
        <f t="shared" si="140"/>
        <v>6398</v>
      </c>
      <c r="BY587" s="6">
        <f t="shared" si="140"/>
        <v>3903</v>
      </c>
      <c r="BZ587" s="6">
        <f t="shared" si="140"/>
        <v>7310</v>
      </c>
      <c r="CA587" s="6">
        <f t="shared" ref="CA587:CP587" si="141">SUM(CA131:CA148)</f>
        <v>5862</v>
      </c>
      <c r="CB587" s="6">
        <f t="shared" si="141"/>
        <v>2677</v>
      </c>
      <c r="CC587" s="6">
        <f t="shared" si="141"/>
        <v>7706</v>
      </c>
      <c r="CD587" s="6">
        <f t="shared" si="141"/>
        <v>7433</v>
      </c>
      <c r="CE587" s="6">
        <f t="shared" si="141"/>
        <v>7401</v>
      </c>
      <c r="CF587" s="6">
        <f t="shared" si="141"/>
        <v>3178</v>
      </c>
      <c r="CG587" s="6">
        <f t="shared" si="141"/>
        <v>3198</v>
      </c>
      <c r="CH587" s="6">
        <f t="shared" si="141"/>
        <v>6795</v>
      </c>
      <c r="CI587" s="6">
        <f t="shared" si="141"/>
        <v>5969</v>
      </c>
      <c r="CJ587" s="6">
        <f t="shared" si="141"/>
        <v>4409</v>
      </c>
      <c r="CK587" s="6">
        <f t="shared" si="141"/>
        <v>4250</v>
      </c>
      <c r="CL587" s="6">
        <f t="shared" si="141"/>
        <v>6338</v>
      </c>
      <c r="CM587" s="6">
        <f t="shared" si="141"/>
        <v>5625</v>
      </c>
      <c r="CN587" s="6">
        <f t="shared" si="141"/>
        <v>6134</v>
      </c>
      <c r="CO587" s="6">
        <f t="shared" si="141"/>
        <v>6287</v>
      </c>
      <c r="CP587" s="6">
        <f t="shared" si="141"/>
        <v>4337</v>
      </c>
      <c r="CQ587" s="6">
        <f t="shared" ref="CQ587:EM587" si="142">SUM(CQ131:CQ148)</f>
        <v>0</v>
      </c>
      <c r="CR587" s="6">
        <f t="shared" si="142"/>
        <v>0</v>
      </c>
      <c r="CS587" s="6">
        <f t="shared" si="142"/>
        <v>0</v>
      </c>
      <c r="CT587" s="6">
        <f t="shared" si="142"/>
        <v>0</v>
      </c>
      <c r="CU587" s="6">
        <f t="shared" si="142"/>
        <v>0</v>
      </c>
      <c r="CV587" s="6">
        <f t="shared" si="142"/>
        <v>0</v>
      </c>
      <c r="CW587" s="6">
        <f t="shared" si="142"/>
        <v>0</v>
      </c>
      <c r="CX587" s="6">
        <f t="shared" si="142"/>
        <v>0</v>
      </c>
      <c r="CY587" s="6">
        <f t="shared" si="142"/>
        <v>0</v>
      </c>
      <c r="CZ587" s="6">
        <f t="shared" si="142"/>
        <v>0</v>
      </c>
      <c r="DA587" s="6">
        <f t="shared" si="142"/>
        <v>0</v>
      </c>
      <c r="DB587" s="6">
        <f t="shared" si="142"/>
        <v>0</v>
      </c>
      <c r="DC587" s="6">
        <f t="shared" si="142"/>
        <v>0</v>
      </c>
      <c r="DD587" s="6">
        <f t="shared" si="142"/>
        <v>0</v>
      </c>
      <c r="DE587" s="6">
        <f t="shared" si="142"/>
        <v>0</v>
      </c>
      <c r="DF587" s="6">
        <f t="shared" si="142"/>
        <v>0</v>
      </c>
      <c r="DG587" s="6">
        <f t="shared" si="142"/>
        <v>0</v>
      </c>
      <c r="DH587" s="6">
        <f t="shared" si="142"/>
        <v>0</v>
      </c>
      <c r="DI587" s="6">
        <f t="shared" si="142"/>
        <v>0</v>
      </c>
      <c r="DJ587" s="6">
        <f t="shared" si="142"/>
        <v>0</v>
      </c>
      <c r="DK587" s="6">
        <f t="shared" si="142"/>
        <v>0</v>
      </c>
      <c r="DL587" s="6">
        <f t="shared" si="142"/>
        <v>0</v>
      </c>
      <c r="DM587" s="6">
        <f t="shared" si="142"/>
        <v>0</v>
      </c>
      <c r="DN587" s="6">
        <f t="shared" si="142"/>
        <v>0</v>
      </c>
      <c r="DO587" s="6">
        <f t="shared" si="142"/>
        <v>0</v>
      </c>
      <c r="DP587" s="6">
        <f t="shared" si="142"/>
        <v>0</v>
      </c>
      <c r="DQ587" s="6">
        <f t="shared" si="142"/>
        <v>0</v>
      </c>
      <c r="DR587" s="6">
        <f t="shared" si="142"/>
        <v>0</v>
      </c>
      <c r="DS587" s="6">
        <f t="shared" si="142"/>
        <v>0</v>
      </c>
      <c r="DT587" s="6">
        <f t="shared" si="142"/>
        <v>0</v>
      </c>
      <c r="DU587" s="6">
        <f t="shared" si="142"/>
        <v>0</v>
      </c>
      <c r="DV587" s="6">
        <f t="shared" si="142"/>
        <v>0</v>
      </c>
      <c r="DW587" s="6">
        <f t="shared" si="142"/>
        <v>0</v>
      </c>
      <c r="DX587" s="6">
        <f t="shared" si="142"/>
        <v>0</v>
      </c>
      <c r="DY587" s="6">
        <f t="shared" si="142"/>
        <v>0</v>
      </c>
      <c r="DZ587" s="6">
        <f t="shared" si="142"/>
        <v>0</v>
      </c>
      <c r="EA587" s="6">
        <f t="shared" si="142"/>
        <v>0</v>
      </c>
      <c r="EB587" s="6">
        <f t="shared" si="142"/>
        <v>0</v>
      </c>
      <c r="EC587" s="6">
        <f t="shared" si="142"/>
        <v>0</v>
      </c>
      <c r="ED587" s="6">
        <f t="shared" si="142"/>
        <v>0</v>
      </c>
      <c r="EE587" s="6">
        <f t="shared" si="142"/>
        <v>0</v>
      </c>
      <c r="EF587" s="6">
        <f t="shared" si="142"/>
        <v>0</v>
      </c>
      <c r="EG587" s="6">
        <f t="shared" si="142"/>
        <v>0</v>
      </c>
      <c r="EH587" s="6">
        <f t="shared" si="142"/>
        <v>0</v>
      </c>
      <c r="EI587" s="6">
        <f t="shared" si="142"/>
        <v>0</v>
      </c>
      <c r="EJ587" s="6">
        <f t="shared" si="142"/>
        <v>0</v>
      </c>
      <c r="EK587" s="6">
        <f t="shared" si="142"/>
        <v>0</v>
      </c>
      <c r="EL587" s="6">
        <f t="shared" si="142"/>
        <v>0</v>
      </c>
      <c r="EM587" s="6">
        <f t="shared" si="142"/>
        <v>0</v>
      </c>
      <c r="EN587" s="6">
        <f t="shared" ref="EN587:GR587" si="143">SUM(EN131:EN148)</f>
        <v>0</v>
      </c>
      <c r="EO587" s="6">
        <f t="shared" si="143"/>
        <v>0</v>
      </c>
      <c r="EP587" s="6">
        <f t="shared" si="143"/>
        <v>0</v>
      </c>
      <c r="EQ587" s="6">
        <f t="shared" si="143"/>
        <v>0</v>
      </c>
      <c r="ER587" s="6">
        <f t="shared" si="143"/>
        <v>0</v>
      </c>
      <c r="ES587" s="6">
        <f t="shared" si="143"/>
        <v>0</v>
      </c>
      <c r="ET587" s="6">
        <f t="shared" si="143"/>
        <v>0</v>
      </c>
      <c r="EU587" s="6">
        <f t="shared" si="143"/>
        <v>0</v>
      </c>
      <c r="EV587" s="6">
        <f t="shared" si="143"/>
        <v>0</v>
      </c>
      <c r="EW587" s="6">
        <f t="shared" si="143"/>
        <v>0</v>
      </c>
      <c r="EX587" s="6">
        <f t="shared" si="143"/>
        <v>0</v>
      </c>
      <c r="EY587" s="6">
        <f t="shared" si="143"/>
        <v>0</v>
      </c>
      <c r="EZ587" s="6">
        <f t="shared" si="143"/>
        <v>0</v>
      </c>
      <c r="FA587" s="6">
        <f t="shared" si="143"/>
        <v>0</v>
      </c>
      <c r="FB587" s="6">
        <f t="shared" si="143"/>
        <v>0</v>
      </c>
      <c r="FC587" s="6">
        <f t="shared" si="143"/>
        <v>0</v>
      </c>
      <c r="FD587" s="6">
        <f t="shared" si="143"/>
        <v>0</v>
      </c>
      <c r="FE587" s="6">
        <f t="shared" si="143"/>
        <v>0</v>
      </c>
      <c r="FF587" s="6">
        <f t="shared" si="143"/>
        <v>0</v>
      </c>
      <c r="FG587" s="6">
        <f t="shared" si="143"/>
        <v>0</v>
      </c>
      <c r="FH587" s="6">
        <f t="shared" si="143"/>
        <v>0</v>
      </c>
      <c r="FI587" s="6">
        <f t="shared" si="143"/>
        <v>0</v>
      </c>
      <c r="FJ587" s="6">
        <f t="shared" si="143"/>
        <v>0</v>
      </c>
      <c r="FK587" s="6">
        <f t="shared" si="143"/>
        <v>0</v>
      </c>
      <c r="FL587" s="6">
        <f t="shared" si="143"/>
        <v>0</v>
      </c>
      <c r="FM587" s="6">
        <f t="shared" si="143"/>
        <v>0</v>
      </c>
      <c r="FN587" s="6">
        <f t="shared" si="143"/>
        <v>0</v>
      </c>
      <c r="FO587" s="6">
        <f t="shared" si="143"/>
        <v>0</v>
      </c>
      <c r="FP587" s="6">
        <f t="shared" si="143"/>
        <v>0</v>
      </c>
      <c r="FQ587" s="6">
        <f t="shared" si="143"/>
        <v>0</v>
      </c>
      <c r="FR587" s="6">
        <f t="shared" si="143"/>
        <v>0</v>
      </c>
      <c r="FS587" s="6">
        <f t="shared" si="143"/>
        <v>0</v>
      </c>
      <c r="FT587" s="6">
        <f t="shared" si="143"/>
        <v>0</v>
      </c>
      <c r="FU587" s="6">
        <f t="shared" si="143"/>
        <v>0</v>
      </c>
      <c r="FV587" s="6">
        <f t="shared" si="143"/>
        <v>0</v>
      </c>
      <c r="FW587" s="6">
        <f t="shared" si="143"/>
        <v>0</v>
      </c>
      <c r="FX587" s="6">
        <f t="shared" si="143"/>
        <v>0</v>
      </c>
      <c r="FY587" s="6">
        <f t="shared" si="143"/>
        <v>8368</v>
      </c>
      <c r="FZ587" s="6">
        <f t="shared" si="143"/>
        <v>4252</v>
      </c>
      <c r="GA587" s="6">
        <f t="shared" si="143"/>
        <v>0</v>
      </c>
      <c r="GB587" s="6">
        <f t="shared" si="143"/>
        <v>0</v>
      </c>
      <c r="GC587" s="6">
        <f t="shared" si="143"/>
        <v>0</v>
      </c>
      <c r="GD587" s="6">
        <f t="shared" si="143"/>
        <v>0</v>
      </c>
      <c r="GE587" s="6">
        <f t="shared" si="143"/>
        <v>0</v>
      </c>
      <c r="GF587" s="6">
        <f t="shared" si="143"/>
        <v>0</v>
      </c>
      <c r="GG587" s="6">
        <f t="shared" si="143"/>
        <v>0</v>
      </c>
      <c r="GH587" s="6">
        <f t="shared" si="143"/>
        <v>0</v>
      </c>
      <c r="GI587" s="6">
        <f t="shared" si="143"/>
        <v>0</v>
      </c>
      <c r="GJ587" s="6">
        <f t="shared" si="143"/>
        <v>0</v>
      </c>
      <c r="GK587" s="6">
        <f t="shared" si="143"/>
        <v>0</v>
      </c>
      <c r="GL587" s="6">
        <f t="shared" si="143"/>
        <v>0</v>
      </c>
      <c r="GM587" s="6">
        <f t="shared" si="143"/>
        <v>0</v>
      </c>
      <c r="GN587" s="6">
        <f t="shared" si="143"/>
        <v>0</v>
      </c>
      <c r="GO587" s="6">
        <f t="shared" si="143"/>
        <v>9069</v>
      </c>
      <c r="GP587" s="6">
        <f t="shared" si="143"/>
        <v>3367</v>
      </c>
      <c r="GQ587" s="6">
        <f t="shared" si="143"/>
        <v>9880</v>
      </c>
      <c r="GR587" s="6">
        <f t="shared" si="143"/>
        <v>2645</v>
      </c>
    </row>
    <row r="588" spans="1:200">
      <c r="A588" s="6"/>
      <c r="B588" s="13" t="s">
        <v>57</v>
      </c>
      <c r="C588" s="14">
        <f>SUM(C149:C157)</f>
        <v>10562</v>
      </c>
      <c r="D588" s="14">
        <f>SUM(D149:D157)</f>
        <v>6333</v>
      </c>
      <c r="E588" s="15">
        <f t="shared" si="28"/>
        <v>0.5996023480401439</v>
      </c>
      <c r="F588" s="66">
        <f t="shared" ref="F588:AB588" si="144">SUM(F149:F157)</f>
        <v>4845</v>
      </c>
      <c r="G588" s="6">
        <f t="shared" si="144"/>
        <v>19</v>
      </c>
      <c r="H588" s="6">
        <f t="shared" si="144"/>
        <v>99</v>
      </c>
      <c r="I588" s="6">
        <f t="shared" si="144"/>
        <v>72</v>
      </c>
      <c r="J588" s="59">
        <f t="shared" si="144"/>
        <v>1181</v>
      </c>
      <c r="K588" s="6">
        <f t="shared" si="144"/>
        <v>0</v>
      </c>
      <c r="L588" s="6">
        <f t="shared" si="144"/>
        <v>0</v>
      </c>
      <c r="M588" s="6">
        <f t="shared" si="144"/>
        <v>4</v>
      </c>
      <c r="N588" s="6">
        <f t="shared" si="144"/>
        <v>0</v>
      </c>
      <c r="O588" s="6">
        <f t="shared" si="144"/>
        <v>0</v>
      </c>
      <c r="P588" s="6">
        <f t="shared" si="144"/>
        <v>0</v>
      </c>
      <c r="Q588" s="6">
        <f t="shared" si="144"/>
        <v>0</v>
      </c>
      <c r="R588" s="6">
        <f t="shared" si="144"/>
        <v>0</v>
      </c>
      <c r="S588" s="6">
        <f t="shared" si="144"/>
        <v>0</v>
      </c>
      <c r="T588" s="6">
        <f t="shared" si="144"/>
        <v>0</v>
      </c>
      <c r="U588" s="6">
        <f t="shared" si="144"/>
        <v>0</v>
      </c>
      <c r="V588" s="6">
        <f t="shared" si="144"/>
        <v>0</v>
      </c>
      <c r="W588" s="6">
        <f t="shared" si="144"/>
        <v>9</v>
      </c>
      <c r="X588" s="6">
        <f t="shared" si="144"/>
        <v>0</v>
      </c>
      <c r="Y588" s="6">
        <f t="shared" si="144"/>
        <v>0</v>
      </c>
      <c r="Z588" s="6">
        <f t="shared" si="144"/>
        <v>0</v>
      </c>
      <c r="AA588" s="6">
        <f t="shared" si="144"/>
        <v>0</v>
      </c>
      <c r="AB588" s="6">
        <f t="shared" si="144"/>
        <v>0</v>
      </c>
      <c r="AC588" s="6">
        <f t="shared" ref="AC588:BZ588" si="145">SUM(AC149:AC157)</f>
        <v>69</v>
      </c>
      <c r="AD588" s="6">
        <f t="shared" si="145"/>
        <v>121</v>
      </c>
      <c r="AE588" s="6">
        <f t="shared" si="145"/>
        <v>1618</v>
      </c>
      <c r="AF588" s="6">
        <f t="shared" si="145"/>
        <v>50</v>
      </c>
      <c r="AG588" s="6">
        <f t="shared" si="145"/>
        <v>1</v>
      </c>
      <c r="AH588" s="6">
        <f t="shared" si="145"/>
        <v>4205</v>
      </c>
      <c r="AI588" s="6">
        <f t="shared" si="145"/>
        <v>806</v>
      </c>
      <c r="AJ588" s="6">
        <f t="shared" si="145"/>
        <v>3</v>
      </c>
      <c r="AK588" s="6">
        <f t="shared" si="145"/>
        <v>0</v>
      </c>
      <c r="AL588" s="6">
        <f t="shared" si="145"/>
        <v>3268</v>
      </c>
      <c r="AM588" s="6">
        <f t="shared" si="145"/>
        <v>43</v>
      </c>
      <c r="AN588" s="6">
        <f t="shared" si="145"/>
        <v>1185</v>
      </c>
      <c r="AO588" s="6">
        <f t="shared" si="145"/>
        <v>699</v>
      </c>
      <c r="AP588" s="6">
        <f t="shared" si="145"/>
        <v>0</v>
      </c>
      <c r="AQ588" s="6">
        <f t="shared" si="145"/>
        <v>0</v>
      </c>
      <c r="AR588" s="6">
        <f t="shared" si="145"/>
        <v>0</v>
      </c>
      <c r="AS588" s="6">
        <f t="shared" si="145"/>
        <v>0</v>
      </c>
      <c r="AT588" s="6">
        <f t="shared" si="145"/>
        <v>0</v>
      </c>
      <c r="AU588" s="6">
        <f t="shared" si="145"/>
        <v>0</v>
      </c>
      <c r="AV588" s="6">
        <f t="shared" si="145"/>
        <v>0</v>
      </c>
      <c r="AW588" s="6">
        <f t="shared" si="145"/>
        <v>0</v>
      </c>
      <c r="AX588" s="6">
        <f t="shared" si="145"/>
        <v>0</v>
      </c>
      <c r="AY588" s="6">
        <f t="shared" si="145"/>
        <v>0</v>
      </c>
      <c r="AZ588" s="6">
        <f t="shared" si="145"/>
        <v>0</v>
      </c>
      <c r="BA588" s="6">
        <f t="shared" si="145"/>
        <v>0</v>
      </c>
      <c r="BB588" s="6">
        <f t="shared" si="145"/>
        <v>0</v>
      </c>
      <c r="BC588" s="6">
        <f t="shared" si="145"/>
        <v>1294</v>
      </c>
      <c r="BD588" s="6">
        <f t="shared" si="145"/>
        <v>4790</v>
      </c>
      <c r="BE588" s="6">
        <f t="shared" si="145"/>
        <v>1075</v>
      </c>
      <c r="BF588" s="6">
        <f t="shared" si="145"/>
        <v>4910</v>
      </c>
      <c r="BG588" s="6">
        <f t="shared" si="145"/>
        <v>1442</v>
      </c>
      <c r="BH588" s="6">
        <f t="shared" si="145"/>
        <v>4553</v>
      </c>
      <c r="BI588" s="6">
        <f t="shared" si="145"/>
        <v>1737</v>
      </c>
      <c r="BJ588" s="6">
        <f t="shared" si="145"/>
        <v>4265</v>
      </c>
      <c r="BK588" s="6">
        <f t="shared" si="145"/>
        <v>4330</v>
      </c>
      <c r="BL588" s="6">
        <f t="shared" si="145"/>
        <v>1601</v>
      </c>
      <c r="BM588" s="6">
        <f t="shared" si="145"/>
        <v>1060</v>
      </c>
      <c r="BN588" s="6">
        <f t="shared" si="145"/>
        <v>4889</v>
      </c>
      <c r="BO588" s="6">
        <f t="shared" si="145"/>
        <v>4414</v>
      </c>
      <c r="BP588" s="6">
        <f t="shared" si="145"/>
        <v>1464</v>
      </c>
      <c r="BQ588" s="6">
        <f t="shared" si="145"/>
        <v>1546</v>
      </c>
      <c r="BR588" s="6">
        <f t="shared" si="145"/>
        <v>4353</v>
      </c>
      <c r="BS588" s="6">
        <f t="shared" si="145"/>
        <v>2646</v>
      </c>
      <c r="BT588" s="6">
        <f t="shared" si="145"/>
        <v>1031</v>
      </c>
      <c r="BU588" s="6">
        <f t="shared" si="145"/>
        <v>4899</v>
      </c>
      <c r="BV588" s="6">
        <f t="shared" si="145"/>
        <v>3299</v>
      </c>
      <c r="BW588" s="6">
        <f t="shared" si="145"/>
        <v>1958</v>
      </c>
      <c r="BX588" s="6">
        <f t="shared" si="145"/>
        <v>2823</v>
      </c>
      <c r="BY588" s="6">
        <f t="shared" si="145"/>
        <v>2110</v>
      </c>
      <c r="BZ588" s="6">
        <f t="shared" si="145"/>
        <v>3090</v>
      </c>
      <c r="CA588" s="6">
        <f t="shared" ref="CA588:CP588" si="146">SUM(CA149:CA157)</f>
        <v>2884</v>
      </c>
      <c r="CB588" s="6">
        <f t="shared" si="146"/>
        <v>1371</v>
      </c>
      <c r="CC588" s="6">
        <f t="shared" si="146"/>
        <v>3373</v>
      </c>
      <c r="CD588" s="6">
        <f t="shared" si="146"/>
        <v>3432</v>
      </c>
      <c r="CE588" s="6">
        <f t="shared" si="146"/>
        <v>3209</v>
      </c>
      <c r="CF588" s="6">
        <f t="shared" si="146"/>
        <v>1658</v>
      </c>
      <c r="CG588" s="6">
        <f t="shared" si="146"/>
        <v>1721</v>
      </c>
      <c r="CH588" s="6">
        <f t="shared" si="146"/>
        <v>2761</v>
      </c>
      <c r="CI588" s="6">
        <f t="shared" si="146"/>
        <v>2384</v>
      </c>
      <c r="CJ588" s="6">
        <f t="shared" si="146"/>
        <v>2360</v>
      </c>
      <c r="CK588" s="6">
        <f t="shared" si="146"/>
        <v>2234</v>
      </c>
      <c r="CL588" s="6">
        <f t="shared" si="146"/>
        <v>2584</v>
      </c>
      <c r="CM588" s="6">
        <f t="shared" si="146"/>
        <v>2782</v>
      </c>
      <c r="CN588" s="6">
        <f t="shared" si="146"/>
        <v>3083</v>
      </c>
      <c r="CO588" s="6">
        <f t="shared" si="146"/>
        <v>2703</v>
      </c>
      <c r="CP588" s="6">
        <f t="shared" si="146"/>
        <v>2199</v>
      </c>
      <c r="CQ588" s="6">
        <f t="shared" ref="CQ588:EM588" si="147">SUM(CQ149:CQ157)</f>
        <v>0</v>
      </c>
      <c r="CR588" s="6">
        <f t="shared" si="147"/>
        <v>0</v>
      </c>
      <c r="CS588" s="6">
        <f t="shared" si="147"/>
        <v>0</v>
      </c>
      <c r="CT588" s="6">
        <f t="shared" si="147"/>
        <v>0</v>
      </c>
      <c r="CU588" s="6">
        <f t="shared" si="147"/>
        <v>0</v>
      </c>
      <c r="CV588" s="6">
        <f t="shared" si="147"/>
        <v>0</v>
      </c>
      <c r="CW588" s="6">
        <f t="shared" si="147"/>
        <v>0</v>
      </c>
      <c r="CX588" s="6">
        <f t="shared" si="147"/>
        <v>0</v>
      </c>
      <c r="CY588" s="6">
        <f t="shared" si="147"/>
        <v>0</v>
      </c>
      <c r="CZ588" s="6">
        <f t="shared" si="147"/>
        <v>0</v>
      </c>
      <c r="DA588" s="6">
        <f t="shared" si="147"/>
        <v>0</v>
      </c>
      <c r="DB588" s="6">
        <f t="shared" si="147"/>
        <v>0</v>
      </c>
      <c r="DC588" s="6">
        <f t="shared" si="147"/>
        <v>0</v>
      </c>
      <c r="DD588" s="6">
        <f t="shared" si="147"/>
        <v>0</v>
      </c>
      <c r="DE588" s="6">
        <f t="shared" si="147"/>
        <v>0</v>
      </c>
      <c r="DF588" s="6">
        <f t="shared" si="147"/>
        <v>0</v>
      </c>
      <c r="DG588" s="6">
        <f t="shared" si="147"/>
        <v>0</v>
      </c>
      <c r="DH588" s="6">
        <f t="shared" si="147"/>
        <v>0</v>
      </c>
      <c r="DI588" s="6">
        <f t="shared" si="147"/>
        <v>0</v>
      </c>
      <c r="DJ588" s="6">
        <f t="shared" si="147"/>
        <v>0</v>
      </c>
      <c r="DK588" s="6">
        <f t="shared" si="147"/>
        <v>0</v>
      </c>
      <c r="DL588" s="6">
        <f t="shared" si="147"/>
        <v>0</v>
      </c>
      <c r="DM588" s="6">
        <f t="shared" si="147"/>
        <v>0</v>
      </c>
      <c r="DN588" s="6">
        <f t="shared" si="147"/>
        <v>0</v>
      </c>
      <c r="DO588" s="6">
        <f t="shared" si="147"/>
        <v>0</v>
      </c>
      <c r="DP588" s="6">
        <f t="shared" si="147"/>
        <v>0</v>
      </c>
      <c r="DQ588" s="6">
        <f t="shared" si="147"/>
        <v>0</v>
      </c>
      <c r="DR588" s="6">
        <f t="shared" si="147"/>
        <v>0</v>
      </c>
      <c r="DS588" s="6">
        <f t="shared" si="147"/>
        <v>0</v>
      </c>
      <c r="DT588" s="6">
        <f t="shared" si="147"/>
        <v>0</v>
      </c>
      <c r="DU588" s="6">
        <f t="shared" si="147"/>
        <v>0</v>
      </c>
      <c r="DV588" s="6">
        <f t="shared" si="147"/>
        <v>0</v>
      </c>
      <c r="DW588" s="6">
        <f t="shared" si="147"/>
        <v>0</v>
      </c>
      <c r="DX588" s="6">
        <f t="shared" si="147"/>
        <v>0</v>
      </c>
      <c r="DY588" s="6">
        <f t="shared" si="147"/>
        <v>0</v>
      </c>
      <c r="DZ588" s="6">
        <f t="shared" si="147"/>
        <v>0</v>
      </c>
      <c r="EA588" s="6">
        <f t="shared" si="147"/>
        <v>0</v>
      </c>
      <c r="EB588" s="6">
        <f t="shared" si="147"/>
        <v>0</v>
      </c>
      <c r="EC588" s="6">
        <f t="shared" si="147"/>
        <v>0</v>
      </c>
      <c r="ED588" s="6">
        <f t="shared" si="147"/>
        <v>0</v>
      </c>
      <c r="EE588" s="6">
        <f t="shared" si="147"/>
        <v>0</v>
      </c>
      <c r="EF588" s="6">
        <f t="shared" si="147"/>
        <v>0</v>
      </c>
      <c r="EG588" s="6">
        <f t="shared" si="147"/>
        <v>0</v>
      </c>
      <c r="EH588" s="6">
        <f t="shared" si="147"/>
        <v>0</v>
      </c>
      <c r="EI588" s="6">
        <f t="shared" si="147"/>
        <v>0</v>
      </c>
      <c r="EJ588" s="6">
        <f t="shared" si="147"/>
        <v>0</v>
      </c>
      <c r="EK588" s="6">
        <f t="shared" si="147"/>
        <v>0</v>
      </c>
      <c r="EL588" s="6">
        <f t="shared" si="147"/>
        <v>0</v>
      </c>
      <c r="EM588" s="6">
        <f t="shared" si="147"/>
        <v>0</v>
      </c>
      <c r="EN588" s="6">
        <f t="shared" ref="EN588:GR588" si="148">SUM(EN149:EN157)</f>
        <v>0</v>
      </c>
      <c r="EO588" s="6">
        <f t="shared" si="148"/>
        <v>0</v>
      </c>
      <c r="EP588" s="6">
        <f t="shared" si="148"/>
        <v>0</v>
      </c>
      <c r="EQ588" s="6">
        <f t="shared" si="148"/>
        <v>0</v>
      </c>
      <c r="ER588" s="6">
        <f t="shared" si="148"/>
        <v>0</v>
      </c>
      <c r="ES588" s="6">
        <f t="shared" si="148"/>
        <v>0</v>
      </c>
      <c r="ET588" s="6">
        <f t="shared" si="148"/>
        <v>0</v>
      </c>
      <c r="EU588" s="6">
        <f t="shared" si="148"/>
        <v>0</v>
      </c>
      <c r="EV588" s="6">
        <f t="shared" si="148"/>
        <v>0</v>
      </c>
      <c r="EW588" s="6">
        <f t="shared" si="148"/>
        <v>0</v>
      </c>
      <c r="EX588" s="6">
        <f t="shared" si="148"/>
        <v>0</v>
      </c>
      <c r="EY588" s="6">
        <f t="shared" si="148"/>
        <v>0</v>
      </c>
      <c r="EZ588" s="6">
        <f t="shared" si="148"/>
        <v>0</v>
      </c>
      <c r="FA588" s="6">
        <f t="shared" si="148"/>
        <v>0</v>
      </c>
      <c r="FB588" s="6">
        <f t="shared" si="148"/>
        <v>0</v>
      </c>
      <c r="FC588" s="6">
        <f t="shared" si="148"/>
        <v>0</v>
      </c>
      <c r="FD588" s="6">
        <f t="shared" si="148"/>
        <v>0</v>
      </c>
      <c r="FE588" s="6">
        <f t="shared" si="148"/>
        <v>0</v>
      </c>
      <c r="FF588" s="6">
        <f t="shared" si="148"/>
        <v>0</v>
      </c>
      <c r="FG588" s="6">
        <f t="shared" si="148"/>
        <v>0</v>
      </c>
      <c r="FH588" s="6">
        <f t="shared" si="148"/>
        <v>0</v>
      </c>
      <c r="FI588" s="6">
        <f t="shared" si="148"/>
        <v>0</v>
      </c>
      <c r="FJ588" s="6">
        <f t="shared" si="148"/>
        <v>0</v>
      </c>
      <c r="FK588" s="6">
        <f t="shared" si="148"/>
        <v>0</v>
      </c>
      <c r="FL588" s="6">
        <f t="shared" si="148"/>
        <v>0</v>
      </c>
      <c r="FM588" s="6">
        <f t="shared" si="148"/>
        <v>0</v>
      </c>
      <c r="FN588" s="6">
        <f t="shared" si="148"/>
        <v>0</v>
      </c>
      <c r="FO588" s="6">
        <f t="shared" si="148"/>
        <v>0</v>
      </c>
      <c r="FP588" s="6">
        <f t="shared" si="148"/>
        <v>0</v>
      </c>
      <c r="FQ588" s="6">
        <f t="shared" si="148"/>
        <v>0</v>
      </c>
      <c r="FR588" s="6">
        <f t="shared" si="148"/>
        <v>0</v>
      </c>
      <c r="FS588" s="6">
        <f t="shared" si="148"/>
        <v>0</v>
      </c>
      <c r="FT588" s="6">
        <f t="shared" si="148"/>
        <v>0</v>
      </c>
      <c r="FU588" s="6">
        <f t="shared" si="148"/>
        <v>0</v>
      </c>
      <c r="FV588" s="6">
        <f t="shared" si="148"/>
        <v>0</v>
      </c>
      <c r="FW588" s="6">
        <f t="shared" si="148"/>
        <v>0</v>
      </c>
      <c r="FX588" s="6">
        <f t="shared" si="148"/>
        <v>0</v>
      </c>
      <c r="FY588" s="6">
        <f t="shared" si="148"/>
        <v>3927</v>
      </c>
      <c r="FZ588" s="6">
        <f t="shared" si="148"/>
        <v>1997</v>
      </c>
      <c r="GA588" s="6">
        <f t="shared" si="148"/>
        <v>0</v>
      </c>
      <c r="GB588" s="6">
        <f t="shared" si="148"/>
        <v>0</v>
      </c>
      <c r="GC588" s="6">
        <f t="shared" si="148"/>
        <v>0</v>
      </c>
      <c r="GD588" s="6">
        <f t="shared" si="148"/>
        <v>0</v>
      </c>
      <c r="GE588" s="6">
        <f t="shared" si="148"/>
        <v>0</v>
      </c>
      <c r="GF588" s="6">
        <f t="shared" si="148"/>
        <v>0</v>
      </c>
      <c r="GG588" s="6">
        <f t="shared" si="148"/>
        <v>0</v>
      </c>
      <c r="GH588" s="6">
        <f t="shared" si="148"/>
        <v>0</v>
      </c>
      <c r="GI588" s="6">
        <f t="shared" si="148"/>
        <v>0</v>
      </c>
      <c r="GJ588" s="6">
        <f t="shared" si="148"/>
        <v>0</v>
      </c>
      <c r="GK588" s="6">
        <f t="shared" si="148"/>
        <v>0</v>
      </c>
      <c r="GL588" s="6">
        <f t="shared" si="148"/>
        <v>0</v>
      </c>
      <c r="GM588" s="6">
        <f t="shared" si="148"/>
        <v>0</v>
      </c>
      <c r="GN588" s="6">
        <f t="shared" si="148"/>
        <v>0</v>
      </c>
      <c r="GO588" s="6">
        <f t="shared" si="148"/>
        <v>3991</v>
      </c>
      <c r="GP588" s="6">
        <f t="shared" si="148"/>
        <v>1814</v>
      </c>
      <c r="GQ588" s="6">
        <f t="shared" si="148"/>
        <v>4385</v>
      </c>
      <c r="GR588" s="6">
        <f t="shared" si="148"/>
        <v>1470</v>
      </c>
    </row>
    <row r="589" spans="1:200">
      <c r="A589" s="6"/>
      <c r="B589" s="13" t="s">
        <v>696</v>
      </c>
      <c r="C589" s="14">
        <f>SUM(C158:C169)</f>
        <v>13753</v>
      </c>
      <c r="D589" s="14">
        <f>SUM(D158:D169)</f>
        <v>8428</v>
      </c>
      <c r="E589" s="15">
        <f t="shared" si="28"/>
        <v>0.61281175016360068</v>
      </c>
      <c r="F589" s="66">
        <f t="shared" ref="F589:AB589" si="149">SUM(F158:F169)</f>
        <v>5109</v>
      </c>
      <c r="G589" s="6">
        <f t="shared" si="149"/>
        <v>30</v>
      </c>
      <c r="H589" s="6">
        <f t="shared" si="149"/>
        <v>211</v>
      </c>
      <c r="I589" s="6">
        <f t="shared" si="149"/>
        <v>99</v>
      </c>
      <c r="J589" s="59">
        <f t="shared" si="149"/>
        <v>2813</v>
      </c>
      <c r="K589" s="6">
        <f t="shared" si="149"/>
        <v>0</v>
      </c>
      <c r="L589" s="6">
        <f t="shared" si="149"/>
        <v>0</v>
      </c>
      <c r="M589" s="6">
        <f t="shared" si="149"/>
        <v>1</v>
      </c>
      <c r="N589" s="6">
        <f t="shared" si="149"/>
        <v>0</v>
      </c>
      <c r="O589" s="6">
        <f t="shared" si="149"/>
        <v>0</v>
      </c>
      <c r="P589" s="6">
        <f t="shared" si="149"/>
        <v>0</v>
      </c>
      <c r="Q589" s="6">
        <f t="shared" si="149"/>
        <v>0</v>
      </c>
      <c r="R589" s="6">
        <f t="shared" si="149"/>
        <v>0</v>
      </c>
      <c r="S589" s="6">
        <f t="shared" si="149"/>
        <v>0</v>
      </c>
      <c r="T589" s="6">
        <f t="shared" si="149"/>
        <v>0</v>
      </c>
      <c r="U589" s="6">
        <f t="shared" si="149"/>
        <v>0</v>
      </c>
      <c r="V589" s="6">
        <f t="shared" si="149"/>
        <v>1</v>
      </c>
      <c r="W589" s="6">
        <f t="shared" si="149"/>
        <v>21</v>
      </c>
      <c r="X589" s="6">
        <f t="shared" si="149"/>
        <v>0</v>
      </c>
      <c r="Y589" s="6">
        <f t="shared" si="149"/>
        <v>0</v>
      </c>
      <c r="Z589" s="6">
        <f t="shared" si="149"/>
        <v>0</v>
      </c>
      <c r="AA589" s="6">
        <f t="shared" si="149"/>
        <v>0</v>
      </c>
      <c r="AB589" s="6">
        <f t="shared" si="149"/>
        <v>0</v>
      </c>
      <c r="AC589" s="6">
        <f t="shared" ref="AC589:BZ589" si="150">SUM(AC158:AC169)</f>
        <v>118</v>
      </c>
      <c r="AD589" s="6">
        <f t="shared" si="150"/>
        <v>189</v>
      </c>
      <c r="AE589" s="6">
        <f t="shared" si="150"/>
        <v>3335</v>
      </c>
      <c r="AF589" s="6">
        <f t="shared" si="150"/>
        <v>122</v>
      </c>
      <c r="AG589" s="6">
        <f t="shared" si="150"/>
        <v>0</v>
      </c>
      <c r="AH589" s="6">
        <f t="shared" si="150"/>
        <v>4330</v>
      </c>
      <c r="AI589" s="6">
        <f t="shared" si="150"/>
        <v>3382</v>
      </c>
      <c r="AJ589" s="6">
        <f t="shared" si="150"/>
        <v>6</v>
      </c>
      <c r="AK589" s="6">
        <f t="shared" si="150"/>
        <v>0</v>
      </c>
      <c r="AL589" s="6">
        <f t="shared" si="150"/>
        <v>4722</v>
      </c>
      <c r="AM589" s="6">
        <f t="shared" si="150"/>
        <v>0</v>
      </c>
      <c r="AN589" s="6">
        <f t="shared" si="150"/>
        <v>0</v>
      </c>
      <c r="AO589" s="6">
        <f t="shared" si="150"/>
        <v>0</v>
      </c>
      <c r="AP589" s="6">
        <f t="shared" si="150"/>
        <v>2999</v>
      </c>
      <c r="AQ589" s="6">
        <f t="shared" si="150"/>
        <v>2429</v>
      </c>
      <c r="AR589" s="6">
        <f t="shared" si="150"/>
        <v>0</v>
      </c>
      <c r="AS589" s="6">
        <f t="shared" si="150"/>
        <v>0</v>
      </c>
      <c r="AT589" s="6">
        <f t="shared" si="150"/>
        <v>0</v>
      </c>
      <c r="AU589" s="6">
        <f t="shared" si="150"/>
        <v>0</v>
      </c>
      <c r="AV589" s="6">
        <f t="shared" si="150"/>
        <v>0</v>
      </c>
      <c r="AW589" s="6">
        <f t="shared" si="150"/>
        <v>2991</v>
      </c>
      <c r="AX589" s="6">
        <f t="shared" si="150"/>
        <v>2455</v>
      </c>
      <c r="AY589" s="6">
        <f t="shared" si="150"/>
        <v>0</v>
      </c>
      <c r="AZ589" s="6">
        <f t="shared" si="150"/>
        <v>0</v>
      </c>
      <c r="BA589" s="6">
        <f t="shared" si="150"/>
        <v>1943</v>
      </c>
      <c r="BB589" s="6">
        <f t="shared" si="150"/>
        <v>398</v>
      </c>
      <c r="BC589" s="6">
        <f t="shared" si="150"/>
        <v>0</v>
      </c>
      <c r="BD589" s="6">
        <f t="shared" si="150"/>
        <v>0</v>
      </c>
      <c r="BE589" s="6">
        <f t="shared" si="150"/>
        <v>2307</v>
      </c>
      <c r="BF589" s="6">
        <f t="shared" si="150"/>
        <v>5577</v>
      </c>
      <c r="BG589" s="6">
        <f t="shared" si="150"/>
        <v>2909</v>
      </c>
      <c r="BH589" s="6">
        <f t="shared" si="150"/>
        <v>5092</v>
      </c>
      <c r="BI589" s="6">
        <f t="shared" si="150"/>
        <v>3607</v>
      </c>
      <c r="BJ589" s="6">
        <f t="shared" si="150"/>
        <v>4267</v>
      </c>
      <c r="BK589" s="6">
        <f t="shared" si="150"/>
        <v>4763</v>
      </c>
      <c r="BL589" s="6">
        <f t="shared" si="150"/>
        <v>3152</v>
      </c>
      <c r="BM589" s="6">
        <f t="shared" si="150"/>
        <v>2103</v>
      </c>
      <c r="BN589" s="6">
        <f t="shared" si="150"/>
        <v>5772</v>
      </c>
      <c r="BO589" s="6">
        <f t="shared" si="150"/>
        <v>4608</v>
      </c>
      <c r="BP589" s="6">
        <f t="shared" si="150"/>
        <v>3122</v>
      </c>
      <c r="BQ589" s="6">
        <f t="shared" si="150"/>
        <v>3209</v>
      </c>
      <c r="BR589" s="6">
        <f t="shared" si="150"/>
        <v>4514</v>
      </c>
      <c r="BS589" s="6">
        <f t="shared" si="150"/>
        <v>4386</v>
      </c>
      <c r="BT589" s="6">
        <f t="shared" si="150"/>
        <v>2088</v>
      </c>
      <c r="BU589" s="6">
        <f t="shared" si="150"/>
        <v>5653</v>
      </c>
      <c r="BV589" s="6">
        <f t="shared" si="150"/>
        <v>4830</v>
      </c>
      <c r="BW589" s="6">
        <f t="shared" si="150"/>
        <v>3063</v>
      </c>
      <c r="BX589" s="6">
        <f t="shared" si="150"/>
        <v>3364</v>
      </c>
      <c r="BY589" s="6">
        <f t="shared" si="150"/>
        <v>3562</v>
      </c>
      <c r="BZ589" s="6">
        <f t="shared" si="150"/>
        <v>3404</v>
      </c>
      <c r="CA589" s="6">
        <f t="shared" ref="CA589:CP589" si="151">SUM(CA158:CA169)</f>
        <v>4380</v>
      </c>
      <c r="CB589" s="6">
        <f t="shared" si="151"/>
        <v>2619</v>
      </c>
      <c r="CC589" s="6">
        <f t="shared" si="151"/>
        <v>3708</v>
      </c>
      <c r="CD589" s="6">
        <f t="shared" si="151"/>
        <v>4695</v>
      </c>
      <c r="CE589" s="6">
        <f t="shared" si="151"/>
        <v>3500</v>
      </c>
      <c r="CF589" s="6">
        <f t="shared" si="151"/>
        <v>3111</v>
      </c>
      <c r="CG589" s="6">
        <f t="shared" si="151"/>
        <v>2934</v>
      </c>
      <c r="CH589" s="6">
        <f t="shared" si="151"/>
        <v>3105</v>
      </c>
      <c r="CI589" s="6">
        <f t="shared" si="151"/>
        <v>2509</v>
      </c>
      <c r="CJ589" s="6">
        <f t="shared" si="151"/>
        <v>3823</v>
      </c>
      <c r="CK589" s="6">
        <f t="shared" si="151"/>
        <v>3438</v>
      </c>
      <c r="CL589" s="6">
        <f t="shared" si="151"/>
        <v>2994</v>
      </c>
      <c r="CM589" s="6">
        <f t="shared" si="151"/>
        <v>4224</v>
      </c>
      <c r="CN589" s="6">
        <f t="shared" si="151"/>
        <v>4387</v>
      </c>
      <c r="CO589" s="6">
        <f t="shared" si="151"/>
        <v>2868</v>
      </c>
      <c r="CP589" s="6">
        <f t="shared" si="151"/>
        <v>3563</v>
      </c>
      <c r="CQ589" s="6">
        <f t="shared" ref="CQ589:EM589" si="152">SUM(CQ158:CQ169)</f>
        <v>0</v>
      </c>
      <c r="CR589" s="6">
        <f t="shared" si="152"/>
        <v>0</v>
      </c>
      <c r="CS589" s="6">
        <f t="shared" si="152"/>
        <v>0</v>
      </c>
      <c r="CT589" s="6">
        <f t="shared" si="152"/>
        <v>0</v>
      </c>
      <c r="CU589" s="6">
        <f t="shared" si="152"/>
        <v>0</v>
      </c>
      <c r="CV589" s="6">
        <f t="shared" si="152"/>
        <v>0</v>
      </c>
      <c r="CW589" s="6">
        <f t="shared" si="152"/>
        <v>0</v>
      </c>
      <c r="CX589" s="6">
        <f t="shared" si="152"/>
        <v>0</v>
      </c>
      <c r="CY589" s="6">
        <f t="shared" si="152"/>
        <v>0</v>
      </c>
      <c r="CZ589" s="6">
        <f t="shared" si="152"/>
        <v>0</v>
      </c>
      <c r="DA589" s="6">
        <f t="shared" si="152"/>
        <v>0</v>
      </c>
      <c r="DB589" s="6">
        <f t="shared" si="152"/>
        <v>0</v>
      </c>
      <c r="DC589" s="6">
        <f t="shared" si="152"/>
        <v>0</v>
      </c>
      <c r="DD589" s="6">
        <f t="shared" si="152"/>
        <v>0</v>
      </c>
      <c r="DE589" s="6">
        <f t="shared" si="152"/>
        <v>0</v>
      </c>
      <c r="DF589" s="6">
        <f t="shared" si="152"/>
        <v>0</v>
      </c>
      <c r="DG589" s="6">
        <f t="shared" si="152"/>
        <v>0</v>
      </c>
      <c r="DH589" s="6">
        <f t="shared" si="152"/>
        <v>0</v>
      </c>
      <c r="DI589" s="6">
        <f t="shared" si="152"/>
        <v>0</v>
      </c>
      <c r="DJ589" s="6">
        <f t="shared" si="152"/>
        <v>0</v>
      </c>
      <c r="DK589" s="6">
        <f t="shared" si="152"/>
        <v>0</v>
      </c>
      <c r="DL589" s="6">
        <f t="shared" si="152"/>
        <v>0</v>
      </c>
      <c r="DM589" s="6">
        <f t="shared" si="152"/>
        <v>0</v>
      </c>
      <c r="DN589" s="6">
        <f t="shared" si="152"/>
        <v>0</v>
      </c>
      <c r="DO589" s="6">
        <f t="shared" si="152"/>
        <v>0</v>
      </c>
      <c r="DP589" s="6">
        <f t="shared" si="152"/>
        <v>0</v>
      </c>
      <c r="DQ589" s="6">
        <f t="shared" si="152"/>
        <v>0</v>
      </c>
      <c r="DR589" s="6">
        <f t="shared" si="152"/>
        <v>0</v>
      </c>
      <c r="DS589" s="6">
        <f t="shared" si="152"/>
        <v>0</v>
      </c>
      <c r="DT589" s="6">
        <f t="shared" si="152"/>
        <v>0</v>
      </c>
      <c r="DU589" s="6">
        <f t="shared" si="152"/>
        <v>0</v>
      </c>
      <c r="DV589" s="6">
        <f t="shared" si="152"/>
        <v>0</v>
      </c>
      <c r="DW589" s="6">
        <f t="shared" si="152"/>
        <v>0</v>
      </c>
      <c r="DX589" s="6">
        <f t="shared" si="152"/>
        <v>0</v>
      </c>
      <c r="DY589" s="6">
        <f t="shared" si="152"/>
        <v>0</v>
      </c>
      <c r="DZ589" s="6">
        <f t="shared" si="152"/>
        <v>0</v>
      </c>
      <c r="EA589" s="6">
        <f t="shared" si="152"/>
        <v>0</v>
      </c>
      <c r="EB589" s="6">
        <f t="shared" si="152"/>
        <v>0</v>
      </c>
      <c r="EC589" s="6">
        <f t="shared" si="152"/>
        <v>0</v>
      </c>
      <c r="ED589" s="6">
        <f t="shared" si="152"/>
        <v>0</v>
      </c>
      <c r="EE589" s="6">
        <f t="shared" si="152"/>
        <v>0</v>
      </c>
      <c r="EF589" s="6">
        <f t="shared" si="152"/>
        <v>0</v>
      </c>
      <c r="EG589" s="6">
        <f t="shared" si="152"/>
        <v>0</v>
      </c>
      <c r="EH589" s="6">
        <f t="shared" si="152"/>
        <v>0</v>
      </c>
      <c r="EI589" s="6">
        <f t="shared" si="152"/>
        <v>0</v>
      </c>
      <c r="EJ589" s="6">
        <f t="shared" si="152"/>
        <v>0</v>
      </c>
      <c r="EK589" s="6">
        <f t="shared" si="152"/>
        <v>0</v>
      </c>
      <c r="EL589" s="6">
        <f t="shared" si="152"/>
        <v>0</v>
      </c>
      <c r="EM589" s="6">
        <f t="shared" si="152"/>
        <v>0</v>
      </c>
      <c r="EN589" s="6">
        <f t="shared" ref="EN589:GR589" si="153">SUM(EN158:EN169)</f>
        <v>0</v>
      </c>
      <c r="EO589" s="6">
        <f t="shared" si="153"/>
        <v>0</v>
      </c>
      <c r="EP589" s="6">
        <f t="shared" si="153"/>
        <v>0</v>
      </c>
      <c r="EQ589" s="6">
        <f t="shared" si="153"/>
        <v>0</v>
      </c>
      <c r="ER589" s="6">
        <f t="shared" si="153"/>
        <v>0</v>
      </c>
      <c r="ES589" s="6">
        <f t="shared" si="153"/>
        <v>0</v>
      </c>
      <c r="ET589" s="6">
        <f t="shared" si="153"/>
        <v>0</v>
      </c>
      <c r="EU589" s="6">
        <f t="shared" si="153"/>
        <v>0</v>
      </c>
      <c r="EV589" s="6">
        <f t="shared" si="153"/>
        <v>0</v>
      </c>
      <c r="EW589" s="6">
        <f t="shared" si="153"/>
        <v>0</v>
      </c>
      <c r="EX589" s="6">
        <f t="shared" si="153"/>
        <v>0</v>
      </c>
      <c r="EY589" s="6">
        <f t="shared" si="153"/>
        <v>0</v>
      </c>
      <c r="EZ589" s="6">
        <f t="shared" si="153"/>
        <v>0</v>
      </c>
      <c r="FA589" s="6">
        <f t="shared" si="153"/>
        <v>0</v>
      </c>
      <c r="FB589" s="6">
        <f t="shared" si="153"/>
        <v>0</v>
      </c>
      <c r="FC589" s="6">
        <f t="shared" si="153"/>
        <v>0</v>
      </c>
      <c r="FD589" s="6">
        <f t="shared" si="153"/>
        <v>0</v>
      </c>
      <c r="FE589" s="6">
        <f t="shared" si="153"/>
        <v>0</v>
      </c>
      <c r="FF589" s="6">
        <f t="shared" si="153"/>
        <v>0</v>
      </c>
      <c r="FG589" s="6">
        <f t="shared" si="153"/>
        <v>0</v>
      </c>
      <c r="FH589" s="6">
        <f t="shared" si="153"/>
        <v>0</v>
      </c>
      <c r="FI589" s="6">
        <f t="shared" si="153"/>
        <v>0</v>
      </c>
      <c r="FJ589" s="6">
        <f t="shared" si="153"/>
        <v>0</v>
      </c>
      <c r="FK589" s="6">
        <f t="shared" si="153"/>
        <v>0</v>
      </c>
      <c r="FL589" s="6">
        <f t="shared" si="153"/>
        <v>0</v>
      </c>
      <c r="FM589" s="6">
        <f t="shared" si="153"/>
        <v>0</v>
      </c>
      <c r="FN589" s="6">
        <f t="shared" si="153"/>
        <v>0</v>
      </c>
      <c r="FO589" s="6">
        <f t="shared" si="153"/>
        <v>0</v>
      </c>
      <c r="FP589" s="6">
        <f t="shared" si="153"/>
        <v>0</v>
      </c>
      <c r="FQ589" s="6">
        <f t="shared" si="153"/>
        <v>0</v>
      </c>
      <c r="FR589" s="6">
        <f t="shared" si="153"/>
        <v>0</v>
      </c>
      <c r="FS589" s="6">
        <f t="shared" si="153"/>
        <v>0</v>
      </c>
      <c r="FT589" s="6">
        <f t="shared" si="153"/>
        <v>0</v>
      </c>
      <c r="FU589" s="6">
        <f t="shared" si="153"/>
        <v>0</v>
      </c>
      <c r="FV589" s="6">
        <f t="shared" si="153"/>
        <v>0</v>
      </c>
      <c r="FW589" s="6">
        <f t="shared" si="153"/>
        <v>0</v>
      </c>
      <c r="FX589" s="6">
        <f t="shared" si="153"/>
        <v>0</v>
      </c>
      <c r="FY589" s="6">
        <f t="shared" si="153"/>
        <v>4426</v>
      </c>
      <c r="FZ589" s="6">
        <f t="shared" si="153"/>
        <v>3518</v>
      </c>
      <c r="GA589" s="6">
        <f t="shared" si="153"/>
        <v>0</v>
      </c>
      <c r="GB589" s="6">
        <f t="shared" si="153"/>
        <v>0</v>
      </c>
      <c r="GC589" s="6">
        <f t="shared" si="153"/>
        <v>0</v>
      </c>
      <c r="GD589" s="6">
        <f t="shared" si="153"/>
        <v>0</v>
      </c>
      <c r="GE589" s="6">
        <f t="shared" si="153"/>
        <v>0</v>
      </c>
      <c r="GF589" s="6">
        <f t="shared" si="153"/>
        <v>0</v>
      </c>
      <c r="GG589" s="6">
        <f t="shared" si="153"/>
        <v>0</v>
      </c>
      <c r="GH589" s="6">
        <f t="shared" si="153"/>
        <v>0</v>
      </c>
      <c r="GI589" s="6">
        <f t="shared" si="153"/>
        <v>0</v>
      </c>
      <c r="GJ589" s="6">
        <f t="shared" si="153"/>
        <v>0</v>
      </c>
      <c r="GK589" s="6">
        <f t="shared" si="153"/>
        <v>0</v>
      </c>
      <c r="GL589" s="6">
        <f t="shared" si="153"/>
        <v>0</v>
      </c>
      <c r="GM589" s="6">
        <f t="shared" si="153"/>
        <v>0</v>
      </c>
      <c r="GN589" s="6">
        <f t="shared" si="153"/>
        <v>0</v>
      </c>
      <c r="GO589" s="6">
        <f t="shared" si="153"/>
        <v>5398</v>
      </c>
      <c r="GP589" s="6">
        <f t="shared" si="153"/>
        <v>2474</v>
      </c>
      <c r="GQ589" s="6">
        <f t="shared" si="153"/>
        <v>5556</v>
      </c>
      <c r="GR589" s="6">
        <f t="shared" si="153"/>
        <v>2340</v>
      </c>
    </row>
    <row r="590" spans="1:200">
      <c r="A590" s="6"/>
      <c r="B590" s="13" t="s">
        <v>697</v>
      </c>
      <c r="C590" s="14">
        <f>SUM(C170:C188)</f>
        <v>20208</v>
      </c>
      <c r="D590" s="14">
        <f>SUM(D170:D188)</f>
        <v>12240</v>
      </c>
      <c r="E590" s="15">
        <f t="shared" si="28"/>
        <v>0.60570071258907365</v>
      </c>
      <c r="F590" s="66">
        <f t="shared" ref="F590:AB590" si="154">SUM(F170:F188)</f>
        <v>8755</v>
      </c>
      <c r="G590" s="6">
        <f t="shared" si="154"/>
        <v>49</v>
      </c>
      <c r="H590" s="6">
        <f t="shared" si="154"/>
        <v>279</v>
      </c>
      <c r="I590" s="6">
        <f t="shared" si="154"/>
        <v>147</v>
      </c>
      <c r="J590" s="59">
        <f t="shared" si="154"/>
        <v>2761</v>
      </c>
      <c r="K590" s="6">
        <f t="shared" si="154"/>
        <v>0</v>
      </c>
      <c r="L590" s="6">
        <f t="shared" si="154"/>
        <v>0</v>
      </c>
      <c r="M590" s="6">
        <f t="shared" si="154"/>
        <v>6</v>
      </c>
      <c r="N590" s="6">
        <f t="shared" si="154"/>
        <v>0</v>
      </c>
      <c r="O590" s="6">
        <f t="shared" si="154"/>
        <v>0</v>
      </c>
      <c r="P590" s="6">
        <f t="shared" si="154"/>
        <v>2</v>
      </c>
      <c r="Q590" s="6">
        <f t="shared" si="154"/>
        <v>0</v>
      </c>
      <c r="R590" s="6">
        <f t="shared" si="154"/>
        <v>0</v>
      </c>
      <c r="S590" s="6">
        <f t="shared" si="154"/>
        <v>0</v>
      </c>
      <c r="T590" s="6">
        <f t="shared" si="154"/>
        <v>0</v>
      </c>
      <c r="U590" s="6">
        <f t="shared" si="154"/>
        <v>0</v>
      </c>
      <c r="V590" s="6">
        <f t="shared" si="154"/>
        <v>2</v>
      </c>
      <c r="W590" s="6">
        <f t="shared" si="154"/>
        <v>30</v>
      </c>
      <c r="X590" s="6">
        <f t="shared" si="154"/>
        <v>0</v>
      </c>
      <c r="Y590" s="6">
        <f t="shared" si="154"/>
        <v>0</v>
      </c>
      <c r="Z590" s="6">
        <f t="shared" si="154"/>
        <v>0</v>
      </c>
      <c r="AA590" s="6">
        <f t="shared" si="154"/>
        <v>0</v>
      </c>
      <c r="AB590" s="6">
        <f t="shared" si="154"/>
        <v>0</v>
      </c>
      <c r="AC590" s="6">
        <f t="shared" ref="AC590:BZ590" si="155">SUM(AC170:AC188)</f>
        <v>181</v>
      </c>
      <c r="AD590" s="6">
        <f t="shared" si="155"/>
        <v>249</v>
      </c>
      <c r="AE590" s="6">
        <f t="shared" si="155"/>
        <v>3780</v>
      </c>
      <c r="AF590" s="6">
        <f t="shared" si="155"/>
        <v>107</v>
      </c>
      <c r="AG590" s="6">
        <f t="shared" si="155"/>
        <v>0</v>
      </c>
      <c r="AH590" s="6">
        <f t="shared" si="155"/>
        <v>7423</v>
      </c>
      <c r="AI590" s="6">
        <f t="shared" si="155"/>
        <v>3901</v>
      </c>
      <c r="AJ590" s="6">
        <f t="shared" si="155"/>
        <v>2</v>
      </c>
      <c r="AK590" s="6">
        <f t="shared" si="155"/>
        <v>0</v>
      </c>
      <c r="AL590" s="6">
        <f t="shared" si="155"/>
        <v>7877</v>
      </c>
      <c r="AM590" s="6">
        <f t="shared" si="155"/>
        <v>0</v>
      </c>
      <c r="AN590" s="6">
        <f t="shared" si="155"/>
        <v>0</v>
      </c>
      <c r="AO590" s="6">
        <f t="shared" si="155"/>
        <v>0</v>
      </c>
      <c r="AP590" s="6">
        <f t="shared" si="155"/>
        <v>0</v>
      </c>
      <c r="AQ590" s="6">
        <f t="shared" si="155"/>
        <v>0</v>
      </c>
      <c r="AR590" s="6">
        <f t="shared" si="155"/>
        <v>0</v>
      </c>
      <c r="AS590" s="6">
        <f t="shared" si="155"/>
        <v>0</v>
      </c>
      <c r="AT590" s="6">
        <f t="shared" si="155"/>
        <v>0</v>
      </c>
      <c r="AU590" s="6">
        <f t="shared" si="155"/>
        <v>0</v>
      </c>
      <c r="AV590" s="6">
        <f t="shared" si="155"/>
        <v>0</v>
      </c>
      <c r="AW590" s="6">
        <f t="shared" si="155"/>
        <v>0</v>
      </c>
      <c r="AX590" s="6">
        <f t="shared" si="155"/>
        <v>0</v>
      </c>
      <c r="AY590" s="6">
        <f t="shared" si="155"/>
        <v>0</v>
      </c>
      <c r="AZ590" s="6">
        <f t="shared" si="155"/>
        <v>0</v>
      </c>
      <c r="BA590" s="6">
        <f t="shared" si="155"/>
        <v>8390</v>
      </c>
      <c r="BB590" s="6">
        <f t="shared" si="155"/>
        <v>2941</v>
      </c>
      <c r="BC590" s="6">
        <f t="shared" si="155"/>
        <v>0</v>
      </c>
      <c r="BD590" s="6">
        <f t="shared" si="155"/>
        <v>0</v>
      </c>
      <c r="BE590" s="6">
        <f t="shared" si="155"/>
        <v>2446</v>
      </c>
      <c r="BF590" s="6">
        <f t="shared" si="155"/>
        <v>9059</v>
      </c>
      <c r="BG590" s="6">
        <f t="shared" si="155"/>
        <v>3243</v>
      </c>
      <c r="BH590" s="6">
        <f t="shared" si="155"/>
        <v>8332</v>
      </c>
      <c r="BI590" s="6">
        <f t="shared" si="155"/>
        <v>4088</v>
      </c>
      <c r="BJ590" s="6">
        <f t="shared" si="155"/>
        <v>7371</v>
      </c>
      <c r="BK590" s="6">
        <f t="shared" si="155"/>
        <v>7888</v>
      </c>
      <c r="BL590" s="6">
        <f t="shared" si="155"/>
        <v>3578</v>
      </c>
      <c r="BM590" s="6">
        <f t="shared" si="155"/>
        <v>2355</v>
      </c>
      <c r="BN590" s="6">
        <f t="shared" si="155"/>
        <v>9099</v>
      </c>
      <c r="BO590" s="6">
        <f t="shared" si="155"/>
        <v>7782</v>
      </c>
      <c r="BP590" s="6">
        <f t="shared" si="155"/>
        <v>3439</v>
      </c>
      <c r="BQ590" s="6">
        <f t="shared" si="155"/>
        <v>3554</v>
      </c>
      <c r="BR590" s="6">
        <f t="shared" si="155"/>
        <v>7725</v>
      </c>
      <c r="BS590" s="6">
        <f t="shared" si="155"/>
        <v>5555</v>
      </c>
      <c r="BT590" s="6">
        <f t="shared" si="155"/>
        <v>2221</v>
      </c>
      <c r="BU590" s="6">
        <f t="shared" si="155"/>
        <v>9195</v>
      </c>
      <c r="BV590" s="6">
        <f t="shared" si="155"/>
        <v>6633</v>
      </c>
      <c r="BW590" s="6">
        <f t="shared" si="155"/>
        <v>4081</v>
      </c>
      <c r="BX590" s="6">
        <f t="shared" si="155"/>
        <v>5278</v>
      </c>
      <c r="BY590" s="6">
        <f t="shared" si="155"/>
        <v>4542</v>
      </c>
      <c r="BZ590" s="6">
        <f t="shared" si="155"/>
        <v>5584</v>
      </c>
      <c r="CA590" s="6">
        <f t="shared" ref="CA590:CP590" si="156">SUM(CA170:CA188)</f>
        <v>5826</v>
      </c>
      <c r="CB590" s="6">
        <f t="shared" si="156"/>
        <v>3170</v>
      </c>
      <c r="CC590" s="6">
        <f t="shared" si="156"/>
        <v>6058</v>
      </c>
      <c r="CD590" s="6">
        <f t="shared" si="156"/>
        <v>6715</v>
      </c>
      <c r="CE590" s="6">
        <f t="shared" si="156"/>
        <v>5729</v>
      </c>
      <c r="CF590" s="6">
        <f t="shared" si="156"/>
        <v>3806</v>
      </c>
      <c r="CG590" s="6">
        <f t="shared" si="156"/>
        <v>3646</v>
      </c>
      <c r="CH590" s="6">
        <f t="shared" si="156"/>
        <v>5175</v>
      </c>
      <c r="CI590" s="6">
        <f t="shared" si="156"/>
        <v>4232</v>
      </c>
      <c r="CJ590" s="6">
        <f t="shared" si="156"/>
        <v>5020</v>
      </c>
      <c r="CK590" s="6">
        <f t="shared" si="156"/>
        <v>4616</v>
      </c>
      <c r="CL590" s="6">
        <f t="shared" si="156"/>
        <v>4839</v>
      </c>
      <c r="CM590" s="6">
        <f t="shared" si="156"/>
        <v>5727</v>
      </c>
      <c r="CN590" s="6">
        <f t="shared" si="156"/>
        <v>6128</v>
      </c>
      <c r="CO590" s="6">
        <f t="shared" si="156"/>
        <v>4797</v>
      </c>
      <c r="CP590" s="6">
        <f t="shared" si="156"/>
        <v>4662</v>
      </c>
      <c r="CQ590" s="6">
        <f t="shared" ref="CQ590:EM590" si="157">SUM(CQ170:CQ188)</f>
        <v>0</v>
      </c>
      <c r="CR590" s="6">
        <f t="shared" si="157"/>
        <v>0</v>
      </c>
      <c r="CS590" s="6">
        <f t="shared" si="157"/>
        <v>0</v>
      </c>
      <c r="CT590" s="6">
        <f t="shared" si="157"/>
        <v>0</v>
      </c>
      <c r="CU590" s="6">
        <f t="shared" si="157"/>
        <v>0</v>
      </c>
      <c r="CV590" s="6">
        <f t="shared" si="157"/>
        <v>0</v>
      </c>
      <c r="CW590" s="6">
        <f t="shared" si="157"/>
        <v>0</v>
      </c>
      <c r="CX590" s="6">
        <f t="shared" si="157"/>
        <v>0</v>
      </c>
      <c r="CY590" s="6">
        <f t="shared" si="157"/>
        <v>0</v>
      </c>
      <c r="CZ590" s="6">
        <f t="shared" si="157"/>
        <v>0</v>
      </c>
      <c r="DA590" s="6">
        <f t="shared" si="157"/>
        <v>0</v>
      </c>
      <c r="DB590" s="6">
        <f t="shared" si="157"/>
        <v>0</v>
      </c>
      <c r="DC590" s="6">
        <f t="shared" si="157"/>
        <v>0</v>
      </c>
      <c r="DD590" s="6">
        <f t="shared" si="157"/>
        <v>0</v>
      </c>
      <c r="DE590" s="6">
        <f t="shared" si="157"/>
        <v>0</v>
      </c>
      <c r="DF590" s="6">
        <f t="shared" si="157"/>
        <v>0</v>
      </c>
      <c r="DG590" s="6">
        <f t="shared" si="157"/>
        <v>0</v>
      </c>
      <c r="DH590" s="6">
        <f t="shared" si="157"/>
        <v>0</v>
      </c>
      <c r="DI590" s="6">
        <f t="shared" si="157"/>
        <v>0</v>
      </c>
      <c r="DJ590" s="6">
        <f t="shared" si="157"/>
        <v>0</v>
      </c>
      <c r="DK590" s="6">
        <f t="shared" si="157"/>
        <v>0</v>
      </c>
      <c r="DL590" s="6">
        <f t="shared" si="157"/>
        <v>0</v>
      </c>
      <c r="DM590" s="6">
        <f t="shared" si="157"/>
        <v>0</v>
      </c>
      <c r="DN590" s="6">
        <f t="shared" si="157"/>
        <v>0</v>
      </c>
      <c r="DO590" s="6">
        <f t="shared" si="157"/>
        <v>0</v>
      </c>
      <c r="DP590" s="6">
        <f t="shared" si="157"/>
        <v>0</v>
      </c>
      <c r="DQ590" s="6">
        <f t="shared" si="157"/>
        <v>0</v>
      </c>
      <c r="DR590" s="6">
        <f t="shared" si="157"/>
        <v>0</v>
      </c>
      <c r="DS590" s="6">
        <f t="shared" si="157"/>
        <v>0</v>
      </c>
      <c r="DT590" s="6">
        <f t="shared" si="157"/>
        <v>0</v>
      </c>
      <c r="DU590" s="6">
        <f t="shared" si="157"/>
        <v>0</v>
      </c>
      <c r="DV590" s="6">
        <f t="shared" si="157"/>
        <v>0</v>
      </c>
      <c r="DW590" s="6">
        <f t="shared" si="157"/>
        <v>0</v>
      </c>
      <c r="DX590" s="6">
        <f t="shared" si="157"/>
        <v>0</v>
      </c>
      <c r="DY590" s="6">
        <f t="shared" si="157"/>
        <v>0</v>
      </c>
      <c r="DZ590" s="6">
        <f t="shared" si="157"/>
        <v>0</v>
      </c>
      <c r="EA590" s="6">
        <f t="shared" si="157"/>
        <v>0</v>
      </c>
      <c r="EB590" s="6">
        <f t="shared" si="157"/>
        <v>0</v>
      </c>
      <c r="EC590" s="6">
        <f t="shared" si="157"/>
        <v>0</v>
      </c>
      <c r="ED590" s="6">
        <f t="shared" si="157"/>
        <v>0</v>
      </c>
      <c r="EE590" s="6">
        <f t="shared" si="157"/>
        <v>0</v>
      </c>
      <c r="EF590" s="6">
        <f t="shared" si="157"/>
        <v>0</v>
      </c>
      <c r="EG590" s="6">
        <f t="shared" si="157"/>
        <v>0</v>
      </c>
      <c r="EH590" s="6">
        <f t="shared" si="157"/>
        <v>0</v>
      </c>
      <c r="EI590" s="6">
        <f t="shared" si="157"/>
        <v>0</v>
      </c>
      <c r="EJ590" s="6">
        <f t="shared" si="157"/>
        <v>0</v>
      </c>
      <c r="EK590" s="6">
        <f t="shared" si="157"/>
        <v>0</v>
      </c>
      <c r="EL590" s="6">
        <f t="shared" si="157"/>
        <v>0</v>
      </c>
      <c r="EM590" s="6">
        <f t="shared" si="157"/>
        <v>0</v>
      </c>
      <c r="EN590" s="6">
        <f t="shared" ref="EN590:GR590" si="158">SUM(EN170:EN188)</f>
        <v>0</v>
      </c>
      <c r="EO590" s="6">
        <f t="shared" si="158"/>
        <v>0</v>
      </c>
      <c r="EP590" s="6">
        <f t="shared" si="158"/>
        <v>0</v>
      </c>
      <c r="EQ590" s="6">
        <f t="shared" si="158"/>
        <v>0</v>
      </c>
      <c r="ER590" s="6">
        <f t="shared" si="158"/>
        <v>0</v>
      </c>
      <c r="ES590" s="6">
        <f t="shared" si="158"/>
        <v>0</v>
      </c>
      <c r="ET590" s="6">
        <f t="shared" si="158"/>
        <v>0</v>
      </c>
      <c r="EU590" s="6">
        <f t="shared" si="158"/>
        <v>0</v>
      </c>
      <c r="EV590" s="6">
        <f t="shared" si="158"/>
        <v>0</v>
      </c>
      <c r="EW590" s="6">
        <f t="shared" si="158"/>
        <v>0</v>
      </c>
      <c r="EX590" s="6">
        <f t="shared" si="158"/>
        <v>0</v>
      </c>
      <c r="EY590" s="6">
        <f t="shared" si="158"/>
        <v>0</v>
      </c>
      <c r="EZ590" s="6">
        <f t="shared" si="158"/>
        <v>0</v>
      </c>
      <c r="FA590" s="6">
        <f t="shared" si="158"/>
        <v>0</v>
      </c>
      <c r="FB590" s="6">
        <f t="shared" si="158"/>
        <v>0</v>
      </c>
      <c r="FC590" s="6">
        <f t="shared" si="158"/>
        <v>0</v>
      </c>
      <c r="FD590" s="6">
        <f t="shared" si="158"/>
        <v>0</v>
      </c>
      <c r="FE590" s="6">
        <f t="shared" si="158"/>
        <v>0</v>
      </c>
      <c r="FF590" s="6">
        <f t="shared" si="158"/>
        <v>0</v>
      </c>
      <c r="FG590" s="6">
        <f t="shared" si="158"/>
        <v>0</v>
      </c>
      <c r="FH590" s="6">
        <f t="shared" si="158"/>
        <v>0</v>
      </c>
      <c r="FI590" s="6">
        <f t="shared" si="158"/>
        <v>0</v>
      </c>
      <c r="FJ590" s="6">
        <f t="shared" si="158"/>
        <v>0</v>
      </c>
      <c r="FK590" s="6">
        <f t="shared" si="158"/>
        <v>0</v>
      </c>
      <c r="FL590" s="6">
        <f t="shared" si="158"/>
        <v>0</v>
      </c>
      <c r="FM590" s="6">
        <f t="shared" si="158"/>
        <v>0</v>
      </c>
      <c r="FN590" s="6">
        <f t="shared" si="158"/>
        <v>0</v>
      </c>
      <c r="FO590" s="6">
        <f t="shared" si="158"/>
        <v>0</v>
      </c>
      <c r="FP590" s="6">
        <f t="shared" si="158"/>
        <v>0</v>
      </c>
      <c r="FQ590" s="6">
        <f t="shared" si="158"/>
        <v>0</v>
      </c>
      <c r="FR590" s="6">
        <f t="shared" si="158"/>
        <v>0</v>
      </c>
      <c r="FS590" s="6">
        <f t="shared" si="158"/>
        <v>0</v>
      </c>
      <c r="FT590" s="6">
        <f t="shared" si="158"/>
        <v>0</v>
      </c>
      <c r="FU590" s="6">
        <f t="shared" si="158"/>
        <v>0</v>
      </c>
      <c r="FV590" s="6">
        <f t="shared" si="158"/>
        <v>0</v>
      </c>
      <c r="FW590" s="6">
        <f t="shared" si="158"/>
        <v>0</v>
      </c>
      <c r="FX590" s="6">
        <f t="shared" si="158"/>
        <v>0</v>
      </c>
      <c r="FY590" s="6">
        <f t="shared" si="158"/>
        <v>6937</v>
      </c>
      <c r="FZ590" s="6">
        <f t="shared" si="158"/>
        <v>4548</v>
      </c>
      <c r="GA590" s="6">
        <f t="shared" si="158"/>
        <v>0</v>
      </c>
      <c r="GB590" s="6">
        <f t="shared" si="158"/>
        <v>0</v>
      </c>
      <c r="GC590" s="6">
        <f t="shared" si="158"/>
        <v>0</v>
      </c>
      <c r="GD590" s="6">
        <f t="shared" si="158"/>
        <v>0</v>
      </c>
      <c r="GE590" s="6">
        <f t="shared" si="158"/>
        <v>0</v>
      </c>
      <c r="GF590" s="6">
        <f t="shared" si="158"/>
        <v>0</v>
      </c>
      <c r="GG590" s="6">
        <f t="shared" si="158"/>
        <v>0</v>
      </c>
      <c r="GH590" s="6">
        <f t="shared" si="158"/>
        <v>0</v>
      </c>
      <c r="GI590" s="6">
        <f t="shared" si="158"/>
        <v>0</v>
      </c>
      <c r="GJ590" s="6">
        <f t="shared" si="158"/>
        <v>0</v>
      </c>
      <c r="GK590" s="6">
        <f t="shared" si="158"/>
        <v>0</v>
      </c>
      <c r="GL590" s="6">
        <f t="shared" si="158"/>
        <v>0</v>
      </c>
      <c r="GM590" s="6">
        <f t="shared" si="158"/>
        <v>0</v>
      </c>
      <c r="GN590" s="6">
        <f t="shared" si="158"/>
        <v>0</v>
      </c>
      <c r="GO590" s="6">
        <f t="shared" si="158"/>
        <v>7841</v>
      </c>
      <c r="GP590" s="6">
        <f t="shared" si="158"/>
        <v>3517</v>
      </c>
      <c r="GQ590" s="6">
        <f t="shared" si="158"/>
        <v>8347</v>
      </c>
      <c r="GR590" s="6">
        <f t="shared" si="158"/>
        <v>3080</v>
      </c>
    </row>
    <row r="591" spans="1:200">
      <c r="A591" s="6"/>
      <c r="B591" s="16" t="s">
        <v>116</v>
      </c>
      <c r="C591" s="14">
        <f>SUM(C189:C198)</f>
        <v>9170</v>
      </c>
      <c r="D591" s="14">
        <f>SUM(D189:D198)</f>
        <v>7268</v>
      </c>
      <c r="E591" s="15">
        <f t="shared" si="28"/>
        <v>0.79258451472191926</v>
      </c>
      <c r="F591" s="66">
        <f t="shared" ref="F591:AB591" si="159">SUM(F189:F198)</f>
        <v>3548</v>
      </c>
      <c r="G591" s="6">
        <f t="shared" si="159"/>
        <v>29</v>
      </c>
      <c r="H591" s="6">
        <f t="shared" si="159"/>
        <v>308</v>
      </c>
      <c r="I591" s="6">
        <f t="shared" si="159"/>
        <v>52</v>
      </c>
      <c r="J591" s="59">
        <f t="shared" si="159"/>
        <v>3131</v>
      </c>
      <c r="K591" s="6">
        <f t="shared" si="159"/>
        <v>0</v>
      </c>
      <c r="L591" s="6">
        <f t="shared" si="159"/>
        <v>0</v>
      </c>
      <c r="M591" s="6">
        <f t="shared" si="159"/>
        <v>4</v>
      </c>
      <c r="N591" s="6">
        <f t="shared" si="159"/>
        <v>0</v>
      </c>
      <c r="O591" s="6">
        <f t="shared" si="159"/>
        <v>0</v>
      </c>
      <c r="P591" s="6">
        <f t="shared" si="159"/>
        <v>0</v>
      </c>
      <c r="Q591" s="6">
        <f t="shared" si="159"/>
        <v>0</v>
      </c>
      <c r="R591" s="6">
        <f t="shared" si="159"/>
        <v>0</v>
      </c>
      <c r="S591" s="6">
        <f t="shared" si="159"/>
        <v>0</v>
      </c>
      <c r="T591" s="6">
        <f t="shared" si="159"/>
        <v>0</v>
      </c>
      <c r="U591" s="6">
        <f t="shared" si="159"/>
        <v>0</v>
      </c>
      <c r="V591" s="6">
        <f t="shared" si="159"/>
        <v>0</v>
      </c>
      <c r="W591" s="6">
        <f t="shared" si="159"/>
        <v>40</v>
      </c>
      <c r="X591" s="6">
        <f t="shared" si="159"/>
        <v>0</v>
      </c>
      <c r="Y591" s="6">
        <f t="shared" si="159"/>
        <v>0</v>
      </c>
      <c r="Z591" s="6">
        <f t="shared" si="159"/>
        <v>1</v>
      </c>
      <c r="AA591" s="6">
        <f t="shared" si="159"/>
        <v>0</v>
      </c>
      <c r="AB591" s="6">
        <f t="shared" si="159"/>
        <v>0</v>
      </c>
      <c r="AC591" s="6">
        <f t="shared" ref="AC591:BZ591" si="160">SUM(AC189:AC198)</f>
        <v>54</v>
      </c>
      <c r="AD591" s="6">
        <f t="shared" si="160"/>
        <v>97</v>
      </c>
      <c r="AE591" s="6">
        <f t="shared" si="160"/>
        <v>4353</v>
      </c>
      <c r="AF591" s="6">
        <f t="shared" si="160"/>
        <v>52</v>
      </c>
      <c r="AG591" s="6">
        <f t="shared" si="160"/>
        <v>1</v>
      </c>
      <c r="AH591" s="6">
        <f t="shared" si="160"/>
        <v>2515</v>
      </c>
      <c r="AI591" s="6">
        <f t="shared" si="160"/>
        <v>0</v>
      </c>
      <c r="AJ591" s="6">
        <f t="shared" si="160"/>
        <v>0</v>
      </c>
      <c r="AK591" s="6">
        <f t="shared" si="160"/>
        <v>0</v>
      </c>
      <c r="AL591" s="6">
        <f t="shared" si="160"/>
        <v>0</v>
      </c>
      <c r="AM591" s="6">
        <f t="shared" si="160"/>
        <v>221</v>
      </c>
      <c r="AN591" s="6">
        <f t="shared" si="160"/>
        <v>2462</v>
      </c>
      <c r="AO591" s="6">
        <f t="shared" si="160"/>
        <v>4124</v>
      </c>
      <c r="AP591" s="6">
        <f t="shared" si="160"/>
        <v>2924</v>
      </c>
      <c r="AQ591" s="6">
        <f t="shared" si="160"/>
        <v>3670</v>
      </c>
      <c r="AR591" s="6">
        <f t="shared" si="160"/>
        <v>0</v>
      </c>
      <c r="AS591" s="6">
        <f t="shared" si="160"/>
        <v>0</v>
      </c>
      <c r="AT591" s="6">
        <f t="shared" si="160"/>
        <v>4045</v>
      </c>
      <c r="AU591" s="6">
        <f t="shared" si="160"/>
        <v>2720</v>
      </c>
      <c r="AV591" s="6">
        <f t="shared" si="160"/>
        <v>0</v>
      </c>
      <c r="AW591" s="6">
        <f t="shared" si="160"/>
        <v>0</v>
      </c>
      <c r="AX591" s="6">
        <f t="shared" si="160"/>
        <v>0</v>
      </c>
      <c r="AY591" s="6">
        <f t="shared" si="160"/>
        <v>0</v>
      </c>
      <c r="AZ591" s="6">
        <f t="shared" si="160"/>
        <v>0</v>
      </c>
      <c r="BA591" s="6">
        <f t="shared" si="160"/>
        <v>0</v>
      </c>
      <c r="BB591" s="6">
        <f t="shared" si="160"/>
        <v>0</v>
      </c>
      <c r="BC591" s="6">
        <f t="shared" si="160"/>
        <v>0</v>
      </c>
      <c r="BD591" s="6">
        <f t="shared" si="160"/>
        <v>0</v>
      </c>
      <c r="BE591" s="6">
        <f t="shared" si="160"/>
        <v>3093</v>
      </c>
      <c r="BF591" s="6">
        <f t="shared" si="160"/>
        <v>3620</v>
      </c>
      <c r="BG591" s="6">
        <f t="shared" si="160"/>
        <v>3771</v>
      </c>
      <c r="BH591" s="6">
        <f t="shared" si="160"/>
        <v>2964</v>
      </c>
      <c r="BI591" s="6">
        <f t="shared" si="160"/>
        <v>4131</v>
      </c>
      <c r="BJ591" s="6">
        <f t="shared" si="160"/>
        <v>2503</v>
      </c>
      <c r="BK591" s="6">
        <f t="shared" si="160"/>
        <v>3247</v>
      </c>
      <c r="BL591" s="6">
        <f t="shared" si="160"/>
        <v>3444</v>
      </c>
      <c r="BM591" s="6">
        <f t="shared" si="160"/>
        <v>3115</v>
      </c>
      <c r="BN591" s="6">
        <f t="shared" si="160"/>
        <v>3486</v>
      </c>
      <c r="BO591" s="6">
        <f t="shared" si="160"/>
        <v>2886</v>
      </c>
      <c r="BP591" s="6">
        <f t="shared" si="160"/>
        <v>3648</v>
      </c>
      <c r="BQ591" s="6">
        <f t="shared" si="160"/>
        <v>4118</v>
      </c>
      <c r="BR591" s="6">
        <f t="shared" si="160"/>
        <v>2440</v>
      </c>
      <c r="BS591" s="6">
        <f t="shared" si="160"/>
        <v>4661</v>
      </c>
      <c r="BT591" s="6">
        <f t="shared" si="160"/>
        <v>2728</v>
      </c>
      <c r="BU591" s="6">
        <f t="shared" si="160"/>
        <v>3803</v>
      </c>
      <c r="BV591" s="6">
        <f t="shared" si="160"/>
        <v>4546</v>
      </c>
      <c r="BW591" s="6">
        <f t="shared" si="160"/>
        <v>3044</v>
      </c>
      <c r="BX591" s="6">
        <f t="shared" si="160"/>
        <v>2338</v>
      </c>
      <c r="BY591" s="6">
        <f t="shared" si="160"/>
        <v>3393</v>
      </c>
      <c r="BZ591" s="6">
        <f t="shared" si="160"/>
        <v>2439</v>
      </c>
      <c r="CA591" s="6">
        <f t="shared" ref="CA591:CP591" si="161">SUM(CA189:CA198)</f>
        <v>4163</v>
      </c>
      <c r="CB591" s="6">
        <f t="shared" si="161"/>
        <v>2704</v>
      </c>
      <c r="CC591" s="6">
        <f t="shared" si="161"/>
        <v>2502</v>
      </c>
      <c r="CD591" s="6">
        <f t="shared" si="161"/>
        <v>4092</v>
      </c>
      <c r="CE591" s="6">
        <f t="shared" si="161"/>
        <v>2501</v>
      </c>
      <c r="CF591" s="6">
        <f t="shared" si="161"/>
        <v>2880</v>
      </c>
      <c r="CG591" s="6">
        <f t="shared" si="161"/>
        <v>2886</v>
      </c>
      <c r="CH591" s="6">
        <f t="shared" si="161"/>
        <v>2159</v>
      </c>
      <c r="CI591" s="6">
        <f t="shared" si="161"/>
        <v>1605</v>
      </c>
      <c r="CJ591" s="6">
        <f t="shared" si="161"/>
        <v>3587</v>
      </c>
      <c r="CK591" s="6">
        <f t="shared" si="161"/>
        <v>2918</v>
      </c>
      <c r="CL591" s="6">
        <f t="shared" si="161"/>
        <v>2226</v>
      </c>
      <c r="CM591" s="6">
        <f t="shared" si="161"/>
        <v>3870</v>
      </c>
      <c r="CN591" s="6">
        <f t="shared" si="161"/>
        <v>3906</v>
      </c>
      <c r="CO591" s="6">
        <f t="shared" si="161"/>
        <v>2082</v>
      </c>
      <c r="CP591" s="6">
        <f t="shared" si="161"/>
        <v>3113</v>
      </c>
      <c r="CQ591" s="6">
        <f t="shared" ref="CQ591:EM591" si="162">SUM(CQ189:CQ198)</f>
        <v>4032</v>
      </c>
      <c r="CR591" s="6">
        <f t="shared" si="162"/>
        <v>1834</v>
      </c>
      <c r="CS591" s="6">
        <f t="shared" si="162"/>
        <v>0</v>
      </c>
      <c r="CT591" s="6">
        <f t="shared" si="162"/>
        <v>0</v>
      </c>
      <c r="CU591" s="6">
        <f t="shared" si="162"/>
        <v>0</v>
      </c>
      <c r="CV591" s="6">
        <f t="shared" si="162"/>
        <v>0</v>
      </c>
      <c r="CW591" s="6">
        <f t="shared" si="162"/>
        <v>0</v>
      </c>
      <c r="CX591" s="6">
        <f t="shared" si="162"/>
        <v>0</v>
      </c>
      <c r="CY591" s="6">
        <f t="shared" si="162"/>
        <v>0</v>
      </c>
      <c r="CZ591" s="6">
        <f t="shared" si="162"/>
        <v>0</v>
      </c>
      <c r="DA591" s="6">
        <f t="shared" si="162"/>
        <v>0</v>
      </c>
      <c r="DB591" s="6">
        <f t="shared" si="162"/>
        <v>0</v>
      </c>
      <c r="DC591" s="6">
        <f t="shared" si="162"/>
        <v>0</v>
      </c>
      <c r="DD591" s="6">
        <f t="shared" si="162"/>
        <v>0</v>
      </c>
      <c r="DE591" s="6">
        <f t="shared" si="162"/>
        <v>0</v>
      </c>
      <c r="DF591" s="6">
        <f t="shared" si="162"/>
        <v>0</v>
      </c>
      <c r="DG591" s="6">
        <f t="shared" si="162"/>
        <v>0</v>
      </c>
      <c r="DH591" s="6">
        <f t="shared" si="162"/>
        <v>0</v>
      </c>
      <c r="DI591" s="6">
        <f t="shared" si="162"/>
        <v>0</v>
      </c>
      <c r="DJ591" s="6">
        <f t="shared" si="162"/>
        <v>0</v>
      </c>
      <c r="DK591" s="6">
        <f t="shared" si="162"/>
        <v>0</v>
      </c>
      <c r="DL591" s="6">
        <f t="shared" si="162"/>
        <v>0</v>
      </c>
      <c r="DM591" s="6">
        <f t="shared" si="162"/>
        <v>0</v>
      </c>
      <c r="DN591" s="6">
        <f t="shared" si="162"/>
        <v>0</v>
      </c>
      <c r="DO591" s="6">
        <f t="shared" si="162"/>
        <v>0</v>
      </c>
      <c r="DP591" s="6">
        <f t="shared" si="162"/>
        <v>0</v>
      </c>
      <c r="DQ591" s="6">
        <f t="shared" si="162"/>
        <v>0</v>
      </c>
      <c r="DR591" s="6">
        <f t="shared" si="162"/>
        <v>0</v>
      </c>
      <c r="DS591" s="6">
        <f t="shared" si="162"/>
        <v>0</v>
      </c>
      <c r="DT591" s="6">
        <f t="shared" si="162"/>
        <v>0</v>
      </c>
      <c r="DU591" s="6">
        <f t="shared" si="162"/>
        <v>0</v>
      </c>
      <c r="DV591" s="6">
        <f t="shared" si="162"/>
        <v>0</v>
      </c>
      <c r="DW591" s="6">
        <f t="shared" si="162"/>
        <v>0</v>
      </c>
      <c r="DX591" s="6">
        <f t="shared" si="162"/>
        <v>0</v>
      </c>
      <c r="DY591" s="6">
        <f t="shared" si="162"/>
        <v>0</v>
      </c>
      <c r="DZ591" s="6">
        <f t="shared" si="162"/>
        <v>0</v>
      </c>
      <c r="EA591" s="6">
        <f t="shared" si="162"/>
        <v>0</v>
      </c>
      <c r="EB591" s="6">
        <f t="shared" si="162"/>
        <v>0</v>
      </c>
      <c r="EC591" s="6">
        <f t="shared" si="162"/>
        <v>0</v>
      </c>
      <c r="ED591" s="6">
        <f t="shared" si="162"/>
        <v>0</v>
      </c>
      <c r="EE591" s="6">
        <f t="shared" si="162"/>
        <v>0</v>
      </c>
      <c r="EF591" s="6">
        <f t="shared" si="162"/>
        <v>0</v>
      </c>
      <c r="EG591" s="6">
        <f t="shared" si="162"/>
        <v>0</v>
      </c>
      <c r="EH591" s="6">
        <f t="shared" si="162"/>
        <v>0</v>
      </c>
      <c r="EI591" s="6">
        <f t="shared" si="162"/>
        <v>0</v>
      </c>
      <c r="EJ591" s="6">
        <f t="shared" si="162"/>
        <v>0</v>
      </c>
      <c r="EK591" s="6">
        <f t="shared" si="162"/>
        <v>0</v>
      </c>
      <c r="EL591" s="6">
        <f t="shared" si="162"/>
        <v>0</v>
      </c>
      <c r="EM591" s="6">
        <f t="shared" si="162"/>
        <v>0</v>
      </c>
      <c r="EN591" s="6">
        <f t="shared" ref="EN591:GR591" si="163">SUM(EN189:EN198)</f>
        <v>0</v>
      </c>
      <c r="EO591" s="6">
        <f t="shared" si="163"/>
        <v>0</v>
      </c>
      <c r="EP591" s="6">
        <f t="shared" si="163"/>
        <v>0</v>
      </c>
      <c r="EQ591" s="6">
        <f t="shared" si="163"/>
        <v>0</v>
      </c>
      <c r="ER591" s="6">
        <f t="shared" si="163"/>
        <v>0</v>
      </c>
      <c r="ES591" s="6">
        <f t="shared" si="163"/>
        <v>0</v>
      </c>
      <c r="ET591" s="6">
        <f t="shared" si="163"/>
        <v>0</v>
      </c>
      <c r="EU591" s="6">
        <f t="shared" si="163"/>
        <v>0</v>
      </c>
      <c r="EV591" s="6">
        <f t="shared" si="163"/>
        <v>0</v>
      </c>
      <c r="EW591" s="6">
        <f t="shared" si="163"/>
        <v>0</v>
      </c>
      <c r="EX591" s="6">
        <f t="shared" si="163"/>
        <v>0</v>
      </c>
      <c r="EY591" s="6">
        <f t="shared" si="163"/>
        <v>0</v>
      </c>
      <c r="EZ591" s="6">
        <f t="shared" si="163"/>
        <v>0</v>
      </c>
      <c r="FA591" s="6">
        <f t="shared" si="163"/>
        <v>0</v>
      </c>
      <c r="FB591" s="6">
        <f t="shared" si="163"/>
        <v>0</v>
      </c>
      <c r="FC591" s="6">
        <f t="shared" si="163"/>
        <v>0</v>
      </c>
      <c r="FD591" s="6">
        <f t="shared" si="163"/>
        <v>0</v>
      </c>
      <c r="FE591" s="6">
        <f t="shared" si="163"/>
        <v>0</v>
      </c>
      <c r="FF591" s="6">
        <f t="shared" si="163"/>
        <v>0</v>
      </c>
      <c r="FG591" s="6">
        <f t="shared" si="163"/>
        <v>0</v>
      </c>
      <c r="FH591" s="6">
        <f t="shared" si="163"/>
        <v>0</v>
      </c>
      <c r="FI591" s="6">
        <f t="shared" si="163"/>
        <v>0</v>
      </c>
      <c r="FJ591" s="6">
        <f t="shared" si="163"/>
        <v>0</v>
      </c>
      <c r="FK591" s="6">
        <f t="shared" si="163"/>
        <v>0</v>
      </c>
      <c r="FL591" s="6">
        <f t="shared" si="163"/>
        <v>0</v>
      </c>
      <c r="FM591" s="6">
        <f t="shared" si="163"/>
        <v>0</v>
      </c>
      <c r="FN591" s="6">
        <f t="shared" si="163"/>
        <v>0</v>
      </c>
      <c r="FO591" s="6">
        <f t="shared" si="163"/>
        <v>0</v>
      </c>
      <c r="FP591" s="6">
        <f t="shared" si="163"/>
        <v>0</v>
      </c>
      <c r="FQ591" s="6">
        <f t="shared" si="163"/>
        <v>0</v>
      </c>
      <c r="FR591" s="6">
        <f t="shared" si="163"/>
        <v>0</v>
      </c>
      <c r="FS591" s="6">
        <f t="shared" si="163"/>
        <v>0</v>
      </c>
      <c r="FT591" s="6">
        <f t="shared" si="163"/>
        <v>0</v>
      </c>
      <c r="FU591" s="6">
        <f t="shared" si="163"/>
        <v>0</v>
      </c>
      <c r="FV591" s="6">
        <f t="shared" si="163"/>
        <v>0</v>
      </c>
      <c r="FW591" s="6">
        <f t="shared" si="163"/>
        <v>0</v>
      </c>
      <c r="FX591" s="6">
        <f t="shared" si="163"/>
        <v>0</v>
      </c>
      <c r="FY591" s="6">
        <f t="shared" si="163"/>
        <v>0</v>
      </c>
      <c r="FZ591" s="6">
        <f t="shared" si="163"/>
        <v>0</v>
      </c>
      <c r="GA591" s="6">
        <f t="shared" si="163"/>
        <v>0</v>
      </c>
      <c r="GB591" s="6">
        <f t="shared" si="163"/>
        <v>0</v>
      </c>
      <c r="GC591" s="6">
        <f t="shared" si="163"/>
        <v>0</v>
      </c>
      <c r="GD591" s="6">
        <f t="shared" si="163"/>
        <v>0</v>
      </c>
      <c r="GE591" s="6">
        <f t="shared" si="163"/>
        <v>0</v>
      </c>
      <c r="GF591" s="6">
        <f t="shared" si="163"/>
        <v>0</v>
      </c>
      <c r="GG591" s="6">
        <f t="shared" si="163"/>
        <v>0</v>
      </c>
      <c r="GH591" s="6">
        <f t="shared" si="163"/>
        <v>0</v>
      </c>
      <c r="GI591" s="6">
        <f t="shared" si="163"/>
        <v>4030</v>
      </c>
      <c r="GJ591" s="6">
        <f t="shared" si="163"/>
        <v>2871</v>
      </c>
      <c r="GK591" s="6">
        <f t="shared" si="163"/>
        <v>0</v>
      </c>
      <c r="GL591" s="6">
        <f t="shared" si="163"/>
        <v>0</v>
      </c>
      <c r="GM591" s="6">
        <f t="shared" si="163"/>
        <v>0</v>
      </c>
      <c r="GN591" s="6">
        <f t="shared" si="163"/>
        <v>0</v>
      </c>
      <c r="GO591" s="6">
        <f t="shared" si="163"/>
        <v>5041</v>
      </c>
      <c r="GP591" s="6">
        <f t="shared" si="163"/>
        <v>1834</v>
      </c>
      <c r="GQ591" s="6">
        <f t="shared" si="163"/>
        <v>4969</v>
      </c>
      <c r="GR591" s="6">
        <f t="shared" si="163"/>
        <v>1841</v>
      </c>
    </row>
    <row r="592" spans="1:200">
      <c r="A592" s="6"/>
      <c r="B592" s="16" t="s">
        <v>58</v>
      </c>
      <c r="C592" s="14">
        <f>SUM(C199:C202)</f>
        <v>5468</v>
      </c>
      <c r="D592" s="14">
        <f>SUM(D199:D202)</f>
        <v>3746</v>
      </c>
      <c r="E592" s="15">
        <f t="shared" si="28"/>
        <v>0.68507681053401615</v>
      </c>
      <c r="F592" s="66">
        <f t="shared" ref="F592:AB592" si="164">SUM(F199:F202)</f>
        <v>1541</v>
      </c>
      <c r="G592" s="6">
        <f t="shared" si="164"/>
        <v>13</v>
      </c>
      <c r="H592" s="6">
        <f t="shared" si="164"/>
        <v>181</v>
      </c>
      <c r="I592" s="6">
        <f t="shared" si="164"/>
        <v>46</v>
      </c>
      <c r="J592" s="59">
        <f t="shared" si="164"/>
        <v>1890</v>
      </c>
      <c r="K592" s="6">
        <f t="shared" si="164"/>
        <v>0</v>
      </c>
      <c r="L592" s="6">
        <f t="shared" si="164"/>
        <v>0</v>
      </c>
      <c r="M592" s="6">
        <f t="shared" si="164"/>
        <v>0</v>
      </c>
      <c r="N592" s="6">
        <f t="shared" si="164"/>
        <v>0</v>
      </c>
      <c r="O592" s="6">
        <f t="shared" si="164"/>
        <v>0</v>
      </c>
      <c r="P592" s="6">
        <f t="shared" si="164"/>
        <v>0</v>
      </c>
      <c r="Q592" s="6">
        <f t="shared" si="164"/>
        <v>0</v>
      </c>
      <c r="R592" s="6">
        <f t="shared" si="164"/>
        <v>0</v>
      </c>
      <c r="S592" s="6">
        <f t="shared" si="164"/>
        <v>0</v>
      </c>
      <c r="T592" s="6">
        <f t="shared" si="164"/>
        <v>0</v>
      </c>
      <c r="U592" s="6">
        <f t="shared" si="164"/>
        <v>0</v>
      </c>
      <c r="V592" s="6">
        <f t="shared" si="164"/>
        <v>0</v>
      </c>
      <c r="W592" s="6">
        <f t="shared" si="164"/>
        <v>7</v>
      </c>
      <c r="X592" s="6">
        <f t="shared" si="164"/>
        <v>0</v>
      </c>
      <c r="Y592" s="6">
        <f t="shared" si="164"/>
        <v>0</v>
      </c>
      <c r="Z592" s="6">
        <f t="shared" si="164"/>
        <v>0</v>
      </c>
      <c r="AA592" s="6">
        <f t="shared" si="164"/>
        <v>0</v>
      </c>
      <c r="AB592" s="6">
        <f t="shared" si="164"/>
        <v>0</v>
      </c>
      <c r="AC592" s="6">
        <f t="shared" ref="AC592:BZ592" si="165">SUM(AC199:AC202)</f>
        <v>59</v>
      </c>
      <c r="AD592" s="6">
        <f t="shared" si="165"/>
        <v>94</v>
      </c>
      <c r="AE592" s="6">
        <f t="shared" si="165"/>
        <v>2117</v>
      </c>
      <c r="AF592" s="6">
        <f t="shared" si="165"/>
        <v>62</v>
      </c>
      <c r="AG592" s="6">
        <f t="shared" si="165"/>
        <v>0</v>
      </c>
      <c r="AH592" s="6">
        <f t="shared" si="165"/>
        <v>1254</v>
      </c>
      <c r="AI592" s="6">
        <f t="shared" si="165"/>
        <v>2187</v>
      </c>
      <c r="AJ592" s="6">
        <f t="shared" si="165"/>
        <v>1</v>
      </c>
      <c r="AK592" s="6">
        <f t="shared" si="165"/>
        <v>0</v>
      </c>
      <c r="AL592" s="6">
        <f t="shared" si="165"/>
        <v>1425</v>
      </c>
      <c r="AM592" s="6">
        <f t="shared" si="165"/>
        <v>0</v>
      </c>
      <c r="AN592" s="6">
        <f t="shared" si="165"/>
        <v>0</v>
      </c>
      <c r="AO592" s="6">
        <f t="shared" si="165"/>
        <v>0</v>
      </c>
      <c r="AP592" s="6">
        <f t="shared" si="165"/>
        <v>1507</v>
      </c>
      <c r="AQ592" s="6">
        <f t="shared" si="165"/>
        <v>1941</v>
      </c>
      <c r="AR592" s="6">
        <f t="shared" si="165"/>
        <v>0</v>
      </c>
      <c r="AS592" s="6">
        <f t="shared" si="165"/>
        <v>0</v>
      </c>
      <c r="AT592" s="6">
        <f t="shared" si="165"/>
        <v>0</v>
      </c>
      <c r="AU592" s="6">
        <f t="shared" si="165"/>
        <v>0</v>
      </c>
      <c r="AV592" s="6">
        <f t="shared" si="165"/>
        <v>0</v>
      </c>
      <c r="AW592" s="6">
        <f t="shared" si="165"/>
        <v>1471</v>
      </c>
      <c r="AX592" s="6">
        <f t="shared" si="165"/>
        <v>1945</v>
      </c>
      <c r="AY592" s="6">
        <f t="shared" si="165"/>
        <v>0</v>
      </c>
      <c r="AZ592" s="6">
        <f t="shared" si="165"/>
        <v>0</v>
      </c>
      <c r="BA592" s="6">
        <f t="shared" si="165"/>
        <v>0</v>
      </c>
      <c r="BB592" s="6">
        <f t="shared" si="165"/>
        <v>0</v>
      </c>
      <c r="BC592" s="6">
        <f t="shared" si="165"/>
        <v>0</v>
      </c>
      <c r="BD592" s="6">
        <f t="shared" si="165"/>
        <v>0</v>
      </c>
      <c r="BE592" s="6">
        <f t="shared" si="165"/>
        <v>1554</v>
      </c>
      <c r="BF592" s="6">
        <f t="shared" si="165"/>
        <v>1927</v>
      </c>
      <c r="BG592" s="6">
        <f t="shared" si="165"/>
        <v>1938</v>
      </c>
      <c r="BH592" s="6">
        <f t="shared" si="165"/>
        <v>1573</v>
      </c>
      <c r="BI592" s="6">
        <f t="shared" si="165"/>
        <v>2163</v>
      </c>
      <c r="BJ592" s="6">
        <f t="shared" si="165"/>
        <v>1308</v>
      </c>
      <c r="BK592" s="6">
        <f t="shared" si="165"/>
        <v>1634</v>
      </c>
      <c r="BL592" s="6">
        <f t="shared" si="165"/>
        <v>1888</v>
      </c>
      <c r="BM592" s="6">
        <f t="shared" si="165"/>
        <v>1394</v>
      </c>
      <c r="BN592" s="6">
        <f t="shared" si="165"/>
        <v>2096</v>
      </c>
      <c r="BO592" s="6">
        <f t="shared" si="165"/>
        <v>1422</v>
      </c>
      <c r="BP592" s="6">
        <f t="shared" si="165"/>
        <v>1970</v>
      </c>
      <c r="BQ592" s="6">
        <f t="shared" si="165"/>
        <v>2065</v>
      </c>
      <c r="BR592" s="6">
        <f t="shared" si="165"/>
        <v>1358</v>
      </c>
      <c r="BS592" s="6">
        <f t="shared" si="165"/>
        <v>2400</v>
      </c>
      <c r="BT592" s="6">
        <f t="shared" si="165"/>
        <v>1417</v>
      </c>
      <c r="BU592" s="6">
        <f t="shared" si="165"/>
        <v>1999</v>
      </c>
      <c r="BV592" s="6">
        <f t="shared" si="165"/>
        <v>2372</v>
      </c>
      <c r="BW592" s="6">
        <f t="shared" si="165"/>
        <v>1586</v>
      </c>
      <c r="BX592" s="6">
        <f t="shared" si="165"/>
        <v>1258</v>
      </c>
      <c r="BY592" s="6">
        <f t="shared" si="165"/>
        <v>1938</v>
      </c>
      <c r="BZ592" s="6">
        <f t="shared" si="165"/>
        <v>1134</v>
      </c>
      <c r="CA592" s="6">
        <f t="shared" ref="CA592:CP592" si="166">SUM(CA199:CA202)</f>
        <v>2155</v>
      </c>
      <c r="CB592" s="6">
        <f t="shared" si="166"/>
        <v>1451</v>
      </c>
      <c r="CC592" s="6">
        <f t="shared" si="166"/>
        <v>1367</v>
      </c>
      <c r="CD592" s="6">
        <f t="shared" si="166"/>
        <v>2127</v>
      </c>
      <c r="CE592" s="6">
        <f t="shared" si="166"/>
        <v>1174</v>
      </c>
      <c r="CF592" s="6">
        <f t="shared" si="166"/>
        <v>1745</v>
      </c>
      <c r="CG592" s="6">
        <f t="shared" si="166"/>
        <v>1576</v>
      </c>
      <c r="CH592" s="6">
        <f t="shared" si="166"/>
        <v>1114</v>
      </c>
      <c r="CI592" s="6">
        <f t="shared" si="166"/>
        <v>768</v>
      </c>
      <c r="CJ592" s="6">
        <f t="shared" si="166"/>
        <v>2052</v>
      </c>
      <c r="CK592" s="6">
        <f t="shared" si="166"/>
        <v>1688</v>
      </c>
      <c r="CL592" s="6">
        <f t="shared" si="166"/>
        <v>1114</v>
      </c>
      <c r="CM592" s="6">
        <f t="shared" si="166"/>
        <v>2079</v>
      </c>
      <c r="CN592" s="6">
        <f t="shared" si="166"/>
        <v>2088</v>
      </c>
      <c r="CO592" s="6">
        <f t="shared" si="166"/>
        <v>1008</v>
      </c>
      <c r="CP592" s="6">
        <f t="shared" si="166"/>
        <v>1803</v>
      </c>
      <c r="CQ592" s="6">
        <f t="shared" ref="CQ592:EM592" si="167">SUM(CQ199:CQ202)</f>
        <v>0</v>
      </c>
      <c r="CR592" s="6">
        <f t="shared" si="167"/>
        <v>0</v>
      </c>
      <c r="CS592" s="6">
        <f t="shared" si="167"/>
        <v>0</v>
      </c>
      <c r="CT592" s="6">
        <f t="shared" si="167"/>
        <v>0</v>
      </c>
      <c r="CU592" s="6">
        <f t="shared" si="167"/>
        <v>0</v>
      </c>
      <c r="CV592" s="6">
        <f t="shared" si="167"/>
        <v>0</v>
      </c>
      <c r="CW592" s="6">
        <f t="shared" si="167"/>
        <v>0</v>
      </c>
      <c r="CX592" s="6">
        <f t="shared" si="167"/>
        <v>0</v>
      </c>
      <c r="CY592" s="6">
        <f t="shared" si="167"/>
        <v>0</v>
      </c>
      <c r="CZ592" s="6">
        <f t="shared" si="167"/>
        <v>0</v>
      </c>
      <c r="DA592" s="6">
        <f t="shared" si="167"/>
        <v>0</v>
      </c>
      <c r="DB592" s="6">
        <f t="shared" si="167"/>
        <v>0</v>
      </c>
      <c r="DC592" s="6">
        <f t="shared" si="167"/>
        <v>0</v>
      </c>
      <c r="DD592" s="6">
        <f t="shared" si="167"/>
        <v>0</v>
      </c>
      <c r="DE592" s="6">
        <f t="shared" si="167"/>
        <v>0</v>
      </c>
      <c r="DF592" s="6">
        <f t="shared" si="167"/>
        <v>0</v>
      </c>
      <c r="DG592" s="6">
        <f t="shared" si="167"/>
        <v>0</v>
      </c>
      <c r="DH592" s="6">
        <f t="shared" si="167"/>
        <v>0</v>
      </c>
      <c r="DI592" s="6">
        <f t="shared" si="167"/>
        <v>0</v>
      </c>
      <c r="DJ592" s="6">
        <f t="shared" si="167"/>
        <v>0</v>
      </c>
      <c r="DK592" s="6">
        <f t="shared" si="167"/>
        <v>0</v>
      </c>
      <c r="DL592" s="6">
        <f t="shared" si="167"/>
        <v>0</v>
      </c>
      <c r="DM592" s="6">
        <f t="shared" si="167"/>
        <v>0</v>
      </c>
      <c r="DN592" s="6">
        <f t="shared" si="167"/>
        <v>0</v>
      </c>
      <c r="DO592" s="6">
        <f t="shared" si="167"/>
        <v>0</v>
      </c>
      <c r="DP592" s="6">
        <f t="shared" si="167"/>
        <v>0</v>
      </c>
      <c r="DQ592" s="6">
        <f t="shared" si="167"/>
        <v>0</v>
      </c>
      <c r="DR592" s="6">
        <f t="shared" si="167"/>
        <v>0</v>
      </c>
      <c r="DS592" s="6">
        <f t="shared" si="167"/>
        <v>0</v>
      </c>
      <c r="DT592" s="6">
        <f t="shared" si="167"/>
        <v>0</v>
      </c>
      <c r="DU592" s="6">
        <f t="shared" si="167"/>
        <v>0</v>
      </c>
      <c r="DV592" s="6">
        <f t="shared" si="167"/>
        <v>0</v>
      </c>
      <c r="DW592" s="6">
        <f t="shared" si="167"/>
        <v>0</v>
      </c>
      <c r="DX592" s="6">
        <f t="shared" si="167"/>
        <v>0</v>
      </c>
      <c r="DY592" s="6">
        <f t="shared" si="167"/>
        <v>0</v>
      </c>
      <c r="DZ592" s="6">
        <f t="shared" si="167"/>
        <v>0</v>
      </c>
      <c r="EA592" s="6">
        <f t="shared" si="167"/>
        <v>0</v>
      </c>
      <c r="EB592" s="6">
        <f t="shared" si="167"/>
        <v>0</v>
      </c>
      <c r="EC592" s="6">
        <f t="shared" si="167"/>
        <v>0</v>
      </c>
      <c r="ED592" s="6">
        <f t="shared" si="167"/>
        <v>0</v>
      </c>
      <c r="EE592" s="6">
        <f t="shared" si="167"/>
        <v>0</v>
      </c>
      <c r="EF592" s="6">
        <f t="shared" si="167"/>
        <v>0</v>
      </c>
      <c r="EG592" s="6">
        <f t="shared" si="167"/>
        <v>0</v>
      </c>
      <c r="EH592" s="6">
        <f t="shared" si="167"/>
        <v>0</v>
      </c>
      <c r="EI592" s="6">
        <f t="shared" si="167"/>
        <v>0</v>
      </c>
      <c r="EJ592" s="6">
        <f t="shared" si="167"/>
        <v>0</v>
      </c>
      <c r="EK592" s="6">
        <f t="shared" si="167"/>
        <v>0</v>
      </c>
      <c r="EL592" s="6">
        <f t="shared" si="167"/>
        <v>0</v>
      </c>
      <c r="EM592" s="6">
        <f t="shared" si="167"/>
        <v>0</v>
      </c>
      <c r="EN592" s="6">
        <f t="shared" ref="EN592:GR592" si="168">SUM(EN199:EN202)</f>
        <v>0</v>
      </c>
      <c r="EO592" s="6">
        <f t="shared" si="168"/>
        <v>0</v>
      </c>
      <c r="EP592" s="6">
        <f t="shared" si="168"/>
        <v>0</v>
      </c>
      <c r="EQ592" s="6">
        <f t="shared" si="168"/>
        <v>0</v>
      </c>
      <c r="ER592" s="6">
        <f t="shared" si="168"/>
        <v>0</v>
      </c>
      <c r="ES592" s="6">
        <f t="shared" si="168"/>
        <v>0</v>
      </c>
      <c r="ET592" s="6">
        <f t="shared" si="168"/>
        <v>0</v>
      </c>
      <c r="EU592" s="6">
        <f t="shared" si="168"/>
        <v>0</v>
      </c>
      <c r="EV592" s="6">
        <f t="shared" si="168"/>
        <v>0</v>
      </c>
      <c r="EW592" s="6">
        <f t="shared" si="168"/>
        <v>0</v>
      </c>
      <c r="EX592" s="6">
        <f t="shared" si="168"/>
        <v>0</v>
      </c>
      <c r="EY592" s="6">
        <f t="shared" si="168"/>
        <v>0</v>
      </c>
      <c r="EZ592" s="6">
        <f t="shared" si="168"/>
        <v>0</v>
      </c>
      <c r="FA592" s="6">
        <f t="shared" si="168"/>
        <v>0</v>
      </c>
      <c r="FB592" s="6">
        <f t="shared" si="168"/>
        <v>0</v>
      </c>
      <c r="FC592" s="6">
        <f t="shared" si="168"/>
        <v>0</v>
      </c>
      <c r="FD592" s="6">
        <f t="shared" si="168"/>
        <v>0</v>
      </c>
      <c r="FE592" s="6">
        <f t="shared" si="168"/>
        <v>0</v>
      </c>
      <c r="FF592" s="6">
        <f t="shared" si="168"/>
        <v>0</v>
      </c>
      <c r="FG592" s="6">
        <f t="shared" si="168"/>
        <v>0</v>
      </c>
      <c r="FH592" s="6">
        <f t="shared" si="168"/>
        <v>0</v>
      </c>
      <c r="FI592" s="6">
        <f t="shared" si="168"/>
        <v>0</v>
      </c>
      <c r="FJ592" s="6">
        <f t="shared" si="168"/>
        <v>0</v>
      </c>
      <c r="FK592" s="6">
        <f t="shared" si="168"/>
        <v>0</v>
      </c>
      <c r="FL592" s="6">
        <f t="shared" si="168"/>
        <v>0</v>
      </c>
      <c r="FM592" s="6">
        <f t="shared" si="168"/>
        <v>0</v>
      </c>
      <c r="FN592" s="6">
        <f t="shared" si="168"/>
        <v>0</v>
      </c>
      <c r="FO592" s="6">
        <f t="shared" si="168"/>
        <v>0</v>
      </c>
      <c r="FP592" s="6">
        <f t="shared" si="168"/>
        <v>0</v>
      </c>
      <c r="FQ592" s="6">
        <f t="shared" si="168"/>
        <v>0</v>
      </c>
      <c r="FR592" s="6">
        <f t="shared" si="168"/>
        <v>0</v>
      </c>
      <c r="FS592" s="6">
        <f t="shared" si="168"/>
        <v>0</v>
      </c>
      <c r="FT592" s="6">
        <f t="shared" si="168"/>
        <v>0</v>
      </c>
      <c r="FU592" s="6">
        <f t="shared" si="168"/>
        <v>0</v>
      </c>
      <c r="FV592" s="6">
        <f t="shared" si="168"/>
        <v>0</v>
      </c>
      <c r="FW592" s="6">
        <f t="shared" si="168"/>
        <v>0</v>
      </c>
      <c r="FX592" s="6">
        <f t="shared" si="168"/>
        <v>0</v>
      </c>
      <c r="FY592" s="6">
        <f t="shared" si="168"/>
        <v>1476</v>
      </c>
      <c r="FZ592" s="6">
        <f t="shared" si="168"/>
        <v>2073</v>
      </c>
      <c r="GA592" s="6">
        <f t="shared" si="168"/>
        <v>0</v>
      </c>
      <c r="GB592" s="6">
        <f t="shared" si="168"/>
        <v>0</v>
      </c>
      <c r="GC592" s="6">
        <f t="shared" si="168"/>
        <v>0</v>
      </c>
      <c r="GD592" s="6">
        <f t="shared" si="168"/>
        <v>0</v>
      </c>
      <c r="GE592" s="6">
        <f t="shared" si="168"/>
        <v>0</v>
      </c>
      <c r="GF592" s="6">
        <f t="shared" si="168"/>
        <v>0</v>
      </c>
      <c r="GG592" s="6">
        <f t="shared" si="168"/>
        <v>0</v>
      </c>
      <c r="GH592" s="6">
        <f t="shared" si="168"/>
        <v>0</v>
      </c>
      <c r="GI592" s="6">
        <f t="shared" si="168"/>
        <v>0</v>
      </c>
      <c r="GJ592" s="6">
        <f t="shared" si="168"/>
        <v>0</v>
      </c>
      <c r="GK592" s="6">
        <f t="shared" si="168"/>
        <v>0</v>
      </c>
      <c r="GL592" s="6">
        <f t="shared" si="168"/>
        <v>0</v>
      </c>
      <c r="GM592" s="6">
        <f t="shared" si="168"/>
        <v>0</v>
      </c>
      <c r="GN592" s="6">
        <f t="shared" si="168"/>
        <v>0</v>
      </c>
      <c r="GO592" s="6">
        <f t="shared" si="168"/>
        <v>2435</v>
      </c>
      <c r="GP592" s="6">
        <f t="shared" si="168"/>
        <v>1143</v>
      </c>
      <c r="GQ592" s="6">
        <f t="shared" si="168"/>
        <v>2296</v>
      </c>
      <c r="GR592" s="6">
        <f t="shared" si="168"/>
        <v>1265</v>
      </c>
    </row>
    <row r="593" spans="1:200">
      <c r="A593" s="6"/>
      <c r="B593" s="16" t="s">
        <v>33</v>
      </c>
      <c r="C593" s="14">
        <f>SUM(C203:C206)</f>
        <v>3921</v>
      </c>
      <c r="D593" s="14">
        <f>SUM(D203:D206)</f>
        <v>2941</v>
      </c>
      <c r="E593" s="15">
        <f t="shared" si="28"/>
        <v>0.7500637592450905</v>
      </c>
      <c r="F593" s="66">
        <f t="shared" ref="F593:AB593" si="169">SUM(F203:F206)</f>
        <v>1112</v>
      </c>
      <c r="G593" s="6">
        <f t="shared" si="169"/>
        <v>12</v>
      </c>
      <c r="H593" s="6">
        <f t="shared" si="169"/>
        <v>190</v>
      </c>
      <c r="I593" s="6">
        <f t="shared" si="169"/>
        <v>32</v>
      </c>
      <c r="J593" s="59">
        <f t="shared" si="169"/>
        <v>1506</v>
      </c>
      <c r="K593" s="6">
        <f t="shared" si="169"/>
        <v>0</v>
      </c>
      <c r="L593" s="6">
        <f t="shared" si="169"/>
        <v>0</v>
      </c>
      <c r="M593" s="6">
        <f t="shared" si="169"/>
        <v>0</v>
      </c>
      <c r="N593" s="6">
        <f t="shared" si="169"/>
        <v>0</v>
      </c>
      <c r="O593" s="6">
        <f t="shared" si="169"/>
        <v>0</v>
      </c>
      <c r="P593" s="6">
        <f t="shared" si="169"/>
        <v>0</v>
      </c>
      <c r="Q593" s="6">
        <f t="shared" si="169"/>
        <v>0</v>
      </c>
      <c r="R593" s="6">
        <f t="shared" si="169"/>
        <v>0</v>
      </c>
      <c r="S593" s="6">
        <f t="shared" si="169"/>
        <v>0</v>
      </c>
      <c r="T593" s="6">
        <f t="shared" si="169"/>
        <v>0</v>
      </c>
      <c r="U593" s="6">
        <f t="shared" si="169"/>
        <v>0</v>
      </c>
      <c r="V593" s="6">
        <f t="shared" si="169"/>
        <v>2</v>
      </c>
      <c r="W593" s="6">
        <f t="shared" si="169"/>
        <v>10</v>
      </c>
      <c r="X593" s="6">
        <f t="shared" si="169"/>
        <v>0</v>
      </c>
      <c r="Y593" s="6">
        <f t="shared" si="169"/>
        <v>0</v>
      </c>
      <c r="Z593" s="6">
        <f t="shared" si="169"/>
        <v>0</v>
      </c>
      <c r="AA593" s="6">
        <f t="shared" si="169"/>
        <v>0</v>
      </c>
      <c r="AB593" s="6">
        <f t="shared" si="169"/>
        <v>0</v>
      </c>
      <c r="AC593" s="6">
        <f t="shared" ref="AC593:BZ593" si="170">SUM(AC203:AC206)</f>
        <v>34</v>
      </c>
      <c r="AD593" s="6">
        <f t="shared" si="170"/>
        <v>61</v>
      </c>
      <c r="AE593" s="6">
        <f t="shared" si="170"/>
        <v>1845</v>
      </c>
      <c r="AF593" s="6">
        <f t="shared" si="170"/>
        <v>46</v>
      </c>
      <c r="AG593" s="6">
        <f t="shared" si="170"/>
        <v>0</v>
      </c>
      <c r="AH593" s="6">
        <f t="shared" si="170"/>
        <v>825</v>
      </c>
      <c r="AI593" s="6">
        <f t="shared" si="170"/>
        <v>0</v>
      </c>
      <c r="AJ593" s="6">
        <f t="shared" si="170"/>
        <v>0</v>
      </c>
      <c r="AK593" s="6">
        <f t="shared" si="170"/>
        <v>0</v>
      </c>
      <c r="AL593" s="6">
        <f t="shared" si="170"/>
        <v>0</v>
      </c>
      <c r="AM593" s="6">
        <f t="shared" si="170"/>
        <v>44</v>
      </c>
      <c r="AN593" s="6">
        <f t="shared" si="170"/>
        <v>880</v>
      </c>
      <c r="AO593" s="6">
        <f t="shared" si="170"/>
        <v>1760</v>
      </c>
      <c r="AP593" s="6">
        <f t="shared" si="170"/>
        <v>1026</v>
      </c>
      <c r="AQ593" s="6">
        <f t="shared" si="170"/>
        <v>1570</v>
      </c>
      <c r="AR593" s="6">
        <f t="shared" si="170"/>
        <v>0</v>
      </c>
      <c r="AS593" s="6">
        <f t="shared" si="170"/>
        <v>0</v>
      </c>
      <c r="AT593" s="6">
        <f t="shared" si="170"/>
        <v>1797</v>
      </c>
      <c r="AU593" s="6">
        <f t="shared" si="170"/>
        <v>882</v>
      </c>
      <c r="AV593" s="6">
        <f t="shared" si="170"/>
        <v>0</v>
      </c>
      <c r="AW593" s="6">
        <f t="shared" si="170"/>
        <v>0</v>
      </c>
      <c r="AX593" s="6">
        <f t="shared" si="170"/>
        <v>0</v>
      </c>
      <c r="AY593" s="6">
        <f t="shared" si="170"/>
        <v>0</v>
      </c>
      <c r="AZ593" s="6">
        <f t="shared" si="170"/>
        <v>0</v>
      </c>
      <c r="BA593" s="6">
        <f t="shared" si="170"/>
        <v>0</v>
      </c>
      <c r="BB593" s="6">
        <f t="shared" si="170"/>
        <v>0</v>
      </c>
      <c r="BC593" s="6">
        <f t="shared" si="170"/>
        <v>0</v>
      </c>
      <c r="BD593" s="6">
        <f t="shared" si="170"/>
        <v>0</v>
      </c>
      <c r="BE593" s="6">
        <f t="shared" si="170"/>
        <v>1340</v>
      </c>
      <c r="BF593" s="6">
        <f t="shared" si="170"/>
        <v>1310</v>
      </c>
      <c r="BG593" s="6">
        <f t="shared" si="170"/>
        <v>1707</v>
      </c>
      <c r="BH593" s="6">
        <f t="shared" si="170"/>
        <v>963</v>
      </c>
      <c r="BI593" s="6">
        <f t="shared" si="170"/>
        <v>1765</v>
      </c>
      <c r="BJ593" s="6">
        <f t="shared" si="170"/>
        <v>890</v>
      </c>
      <c r="BK593" s="6">
        <f t="shared" si="170"/>
        <v>1149</v>
      </c>
      <c r="BL593" s="6">
        <f t="shared" si="170"/>
        <v>1531</v>
      </c>
      <c r="BM593" s="6">
        <f t="shared" si="170"/>
        <v>1292</v>
      </c>
      <c r="BN593" s="6">
        <f t="shared" si="170"/>
        <v>1349</v>
      </c>
      <c r="BO593" s="6">
        <f t="shared" si="170"/>
        <v>952</v>
      </c>
      <c r="BP593" s="6">
        <f t="shared" si="170"/>
        <v>1627</v>
      </c>
      <c r="BQ593" s="6">
        <f t="shared" si="170"/>
        <v>1750</v>
      </c>
      <c r="BR593" s="6">
        <f t="shared" si="170"/>
        <v>846</v>
      </c>
      <c r="BS593" s="6">
        <f t="shared" si="170"/>
        <v>1855</v>
      </c>
      <c r="BT593" s="6">
        <f t="shared" si="170"/>
        <v>1198</v>
      </c>
      <c r="BU593" s="6">
        <f t="shared" si="170"/>
        <v>1352</v>
      </c>
      <c r="BV593" s="6">
        <f t="shared" si="170"/>
        <v>1817</v>
      </c>
      <c r="BW593" s="6">
        <f t="shared" si="170"/>
        <v>1124</v>
      </c>
      <c r="BX593" s="6">
        <f t="shared" si="170"/>
        <v>973</v>
      </c>
      <c r="BY593" s="6">
        <f t="shared" si="170"/>
        <v>1519</v>
      </c>
      <c r="BZ593" s="6">
        <f t="shared" si="170"/>
        <v>776</v>
      </c>
      <c r="CA593" s="6">
        <f t="shared" ref="CA593:CP593" si="171">SUM(CA203:CA206)</f>
        <v>1659</v>
      </c>
      <c r="CB593" s="6">
        <f t="shared" si="171"/>
        <v>1147</v>
      </c>
      <c r="CC593" s="6">
        <f t="shared" si="171"/>
        <v>876</v>
      </c>
      <c r="CD593" s="6">
        <f t="shared" si="171"/>
        <v>1597</v>
      </c>
      <c r="CE593" s="6">
        <f t="shared" si="171"/>
        <v>845</v>
      </c>
      <c r="CF593" s="6">
        <f t="shared" si="171"/>
        <v>1245</v>
      </c>
      <c r="CG593" s="6">
        <f t="shared" si="171"/>
        <v>1218</v>
      </c>
      <c r="CH593" s="6">
        <f t="shared" si="171"/>
        <v>752</v>
      </c>
      <c r="CI593" s="6">
        <f t="shared" si="171"/>
        <v>544</v>
      </c>
      <c r="CJ593" s="6">
        <f t="shared" si="171"/>
        <v>1504</v>
      </c>
      <c r="CK593" s="6">
        <f t="shared" si="171"/>
        <v>1196</v>
      </c>
      <c r="CL593" s="6">
        <f t="shared" si="171"/>
        <v>830</v>
      </c>
      <c r="CM593" s="6">
        <f t="shared" si="171"/>
        <v>1586</v>
      </c>
      <c r="CN593" s="6">
        <f t="shared" si="171"/>
        <v>1621</v>
      </c>
      <c r="CO593" s="6">
        <f t="shared" si="171"/>
        <v>718</v>
      </c>
      <c r="CP593" s="6">
        <f t="shared" si="171"/>
        <v>1313</v>
      </c>
      <c r="CQ593" s="6">
        <f t="shared" ref="CQ593:EM593" si="172">SUM(CQ203:CQ206)</f>
        <v>0</v>
      </c>
      <c r="CR593" s="6">
        <f t="shared" si="172"/>
        <v>0</v>
      </c>
      <c r="CS593" s="6">
        <f t="shared" si="172"/>
        <v>0</v>
      </c>
      <c r="CT593" s="6">
        <f t="shared" si="172"/>
        <v>0</v>
      </c>
      <c r="CU593" s="6">
        <f t="shared" si="172"/>
        <v>1764</v>
      </c>
      <c r="CV593" s="6">
        <f t="shared" si="172"/>
        <v>1053</v>
      </c>
      <c r="CW593" s="6">
        <f t="shared" si="172"/>
        <v>0</v>
      </c>
      <c r="CX593" s="6">
        <f t="shared" si="172"/>
        <v>0</v>
      </c>
      <c r="CY593" s="6">
        <f t="shared" si="172"/>
        <v>0</v>
      </c>
      <c r="CZ593" s="6">
        <f t="shared" si="172"/>
        <v>0</v>
      </c>
      <c r="DA593" s="6">
        <f t="shared" si="172"/>
        <v>0</v>
      </c>
      <c r="DB593" s="6">
        <f t="shared" si="172"/>
        <v>0</v>
      </c>
      <c r="DC593" s="6">
        <f t="shared" si="172"/>
        <v>0</v>
      </c>
      <c r="DD593" s="6">
        <f t="shared" si="172"/>
        <v>0</v>
      </c>
      <c r="DE593" s="6">
        <f t="shared" si="172"/>
        <v>0</v>
      </c>
      <c r="DF593" s="6">
        <f t="shared" si="172"/>
        <v>0</v>
      </c>
      <c r="DG593" s="6">
        <f t="shared" si="172"/>
        <v>0</v>
      </c>
      <c r="DH593" s="6">
        <f t="shared" si="172"/>
        <v>0</v>
      </c>
      <c r="DI593" s="6">
        <f t="shared" si="172"/>
        <v>0</v>
      </c>
      <c r="DJ593" s="6">
        <f t="shared" si="172"/>
        <v>0</v>
      </c>
      <c r="DK593" s="6">
        <f t="shared" si="172"/>
        <v>0</v>
      </c>
      <c r="DL593" s="6">
        <f t="shared" si="172"/>
        <v>0</v>
      </c>
      <c r="DM593" s="6">
        <f t="shared" si="172"/>
        <v>0</v>
      </c>
      <c r="DN593" s="6">
        <f t="shared" si="172"/>
        <v>0</v>
      </c>
      <c r="DO593" s="6">
        <f t="shared" si="172"/>
        <v>0</v>
      </c>
      <c r="DP593" s="6">
        <f t="shared" si="172"/>
        <v>0</v>
      </c>
      <c r="DQ593" s="6">
        <f t="shared" si="172"/>
        <v>0</v>
      </c>
      <c r="DR593" s="6">
        <f t="shared" si="172"/>
        <v>0</v>
      </c>
      <c r="DS593" s="6">
        <f t="shared" si="172"/>
        <v>0</v>
      </c>
      <c r="DT593" s="6">
        <f t="shared" si="172"/>
        <v>0</v>
      </c>
      <c r="DU593" s="6">
        <f t="shared" si="172"/>
        <v>0</v>
      </c>
      <c r="DV593" s="6">
        <f t="shared" si="172"/>
        <v>0</v>
      </c>
      <c r="DW593" s="6">
        <f t="shared" si="172"/>
        <v>0</v>
      </c>
      <c r="DX593" s="6">
        <f t="shared" si="172"/>
        <v>0</v>
      </c>
      <c r="DY593" s="6">
        <f t="shared" si="172"/>
        <v>0</v>
      </c>
      <c r="DZ593" s="6">
        <f t="shared" si="172"/>
        <v>0</v>
      </c>
      <c r="EA593" s="6">
        <f t="shared" si="172"/>
        <v>0</v>
      </c>
      <c r="EB593" s="6">
        <f t="shared" si="172"/>
        <v>0</v>
      </c>
      <c r="EC593" s="6">
        <f t="shared" si="172"/>
        <v>0</v>
      </c>
      <c r="ED593" s="6">
        <f t="shared" si="172"/>
        <v>0</v>
      </c>
      <c r="EE593" s="6">
        <f t="shared" si="172"/>
        <v>0</v>
      </c>
      <c r="EF593" s="6">
        <f t="shared" si="172"/>
        <v>0</v>
      </c>
      <c r="EG593" s="6">
        <f t="shared" si="172"/>
        <v>0</v>
      </c>
      <c r="EH593" s="6">
        <f t="shared" si="172"/>
        <v>0</v>
      </c>
      <c r="EI593" s="6">
        <f t="shared" si="172"/>
        <v>0</v>
      </c>
      <c r="EJ593" s="6">
        <f t="shared" si="172"/>
        <v>0</v>
      </c>
      <c r="EK593" s="6">
        <f t="shared" si="172"/>
        <v>0</v>
      </c>
      <c r="EL593" s="6">
        <f t="shared" si="172"/>
        <v>0</v>
      </c>
      <c r="EM593" s="6">
        <f t="shared" si="172"/>
        <v>0</v>
      </c>
      <c r="EN593" s="6">
        <f t="shared" ref="EN593:GR593" si="173">SUM(EN203:EN206)</f>
        <v>0</v>
      </c>
      <c r="EO593" s="6">
        <f t="shared" si="173"/>
        <v>0</v>
      </c>
      <c r="EP593" s="6">
        <f t="shared" si="173"/>
        <v>0</v>
      </c>
      <c r="EQ593" s="6">
        <f t="shared" si="173"/>
        <v>0</v>
      </c>
      <c r="ER593" s="6">
        <f t="shared" si="173"/>
        <v>0</v>
      </c>
      <c r="ES593" s="6">
        <f t="shared" si="173"/>
        <v>0</v>
      </c>
      <c r="ET593" s="6">
        <f t="shared" si="173"/>
        <v>0</v>
      </c>
      <c r="EU593" s="6">
        <f t="shared" si="173"/>
        <v>0</v>
      </c>
      <c r="EV593" s="6">
        <f t="shared" si="173"/>
        <v>0</v>
      </c>
      <c r="EW593" s="6">
        <f t="shared" si="173"/>
        <v>0</v>
      </c>
      <c r="EX593" s="6">
        <f t="shared" si="173"/>
        <v>0</v>
      </c>
      <c r="EY593" s="6">
        <f t="shared" si="173"/>
        <v>0</v>
      </c>
      <c r="EZ593" s="6">
        <f t="shared" si="173"/>
        <v>0</v>
      </c>
      <c r="FA593" s="6">
        <f t="shared" si="173"/>
        <v>0</v>
      </c>
      <c r="FB593" s="6">
        <f t="shared" si="173"/>
        <v>0</v>
      </c>
      <c r="FC593" s="6">
        <f t="shared" si="173"/>
        <v>0</v>
      </c>
      <c r="FD593" s="6">
        <f t="shared" si="173"/>
        <v>0</v>
      </c>
      <c r="FE593" s="6">
        <f t="shared" si="173"/>
        <v>0</v>
      </c>
      <c r="FF593" s="6">
        <f t="shared" si="173"/>
        <v>0</v>
      </c>
      <c r="FG593" s="6">
        <f t="shared" si="173"/>
        <v>0</v>
      </c>
      <c r="FH593" s="6">
        <f t="shared" si="173"/>
        <v>0</v>
      </c>
      <c r="FI593" s="6">
        <f t="shared" si="173"/>
        <v>0</v>
      </c>
      <c r="FJ593" s="6">
        <f t="shared" si="173"/>
        <v>0</v>
      </c>
      <c r="FK593" s="6">
        <f t="shared" si="173"/>
        <v>0</v>
      </c>
      <c r="FL593" s="6">
        <f t="shared" si="173"/>
        <v>0</v>
      </c>
      <c r="FM593" s="6">
        <f t="shared" si="173"/>
        <v>0</v>
      </c>
      <c r="FN593" s="6">
        <f t="shared" si="173"/>
        <v>0</v>
      </c>
      <c r="FO593" s="6">
        <f t="shared" si="173"/>
        <v>0</v>
      </c>
      <c r="FP593" s="6">
        <f t="shared" si="173"/>
        <v>0</v>
      </c>
      <c r="FQ593" s="6">
        <f t="shared" si="173"/>
        <v>0</v>
      </c>
      <c r="FR593" s="6">
        <f t="shared" si="173"/>
        <v>0</v>
      </c>
      <c r="FS593" s="6">
        <f t="shared" si="173"/>
        <v>0</v>
      </c>
      <c r="FT593" s="6">
        <f t="shared" si="173"/>
        <v>0</v>
      </c>
      <c r="FU593" s="6">
        <f t="shared" si="173"/>
        <v>0</v>
      </c>
      <c r="FV593" s="6">
        <f t="shared" si="173"/>
        <v>0</v>
      </c>
      <c r="FW593" s="6">
        <f t="shared" si="173"/>
        <v>0</v>
      </c>
      <c r="FX593" s="6">
        <f t="shared" si="173"/>
        <v>0</v>
      </c>
      <c r="FY593" s="6">
        <f t="shared" si="173"/>
        <v>0</v>
      </c>
      <c r="FZ593" s="6">
        <f t="shared" si="173"/>
        <v>0</v>
      </c>
      <c r="GA593" s="6">
        <f t="shared" si="173"/>
        <v>1668</v>
      </c>
      <c r="GB593" s="6">
        <f t="shared" si="173"/>
        <v>1160</v>
      </c>
      <c r="GC593" s="6">
        <f t="shared" si="173"/>
        <v>0</v>
      </c>
      <c r="GD593" s="6">
        <f t="shared" si="173"/>
        <v>0</v>
      </c>
      <c r="GE593" s="6">
        <f t="shared" si="173"/>
        <v>0</v>
      </c>
      <c r="GF593" s="6">
        <f t="shared" si="173"/>
        <v>0</v>
      </c>
      <c r="GG593" s="6">
        <f t="shared" si="173"/>
        <v>0</v>
      </c>
      <c r="GH593" s="6">
        <f t="shared" si="173"/>
        <v>0</v>
      </c>
      <c r="GI593" s="6">
        <f t="shared" si="173"/>
        <v>0</v>
      </c>
      <c r="GJ593" s="6">
        <f t="shared" si="173"/>
        <v>0</v>
      </c>
      <c r="GK593" s="6">
        <f t="shared" si="173"/>
        <v>0</v>
      </c>
      <c r="GL593" s="6">
        <f t="shared" si="173"/>
        <v>0</v>
      </c>
      <c r="GM593" s="6">
        <f t="shared" si="173"/>
        <v>0</v>
      </c>
      <c r="GN593" s="6">
        <f t="shared" si="173"/>
        <v>0</v>
      </c>
      <c r="GO593" s="6">
        <f t="shared" si="173"/>
        <v>1886</v>
      </c>
      <c r="GP593" s="6">
        <f t="shared" si="173"/>
        <v>916</v>
      </c>
      <c r="GQ593" s="6">
        <f t="shared" si="173"/>
        <v>1869</v>
      </c>
      <c r="GR593" s="6">
        <f t="shared" si="173"/>
        <v>964</v>
      </c>
    </row>
    <row r="594" spans="1:200">
      <c r="A594" s="6"/>
      <c r="B594" s="16" t="s">
        <v>59</v>
      </c>
      <c r="C594" s="14">
        <f>SUM(C207:C219)</f>
        <v>12577</v>
      </c>
      <c r="D594" s="14">
        <f>SUM(D207:D219)</f>
        <v>9089</v>
      </c>
      <c r="E594" s="15">
        <f t="shared" si="28"/>
        <v>0.72266836288463066</v>
      </c>
      <c r="F594" s="66">
        <f t="shared" ref="F594:AB594" si="174">SUM(F207:F219)</f>
        <v>7285</v>
      </c>
      <c r="G594" s="6">
        <f t="shared" si="174"/>
        <v>31</v>
      </c>
      <c r="H594" s="6">
        <f t="shared" si="174"/>
        <v>129</v>
      </c>
      <c r="I594" s="6">
        <f t="shared" si="174"/>
        <v>82</v>
      </c>
      <c r="J594" s="59">
        <f t="shared" si="174"/>
        <v>1423</v>
      </c>
      <c r="K594" s="6">
        <f t="shared" si="174"/>
        <v>0</v>
      </c>
      <c r="L594" s="6">
        <f t="shared" si="174"/>
        <v>0</v>
      </c>
      <c r="M594" s="6">
        <f t="shared" si="174"/>
        <v>0</v>
      </c>
      <c r="N594" s="6">
        <f t="shared" si="174"/>
        <v>0</v>
      </c>
      <c r="O594" s="6">
        <f t="shared" si="174"/>
        <v>0</v>
      </c>
      <c r="P594" s="6">
        <f t="shared" si="174"/>
        <v>0</v>
      </c>
      <c r="Q594" s="6">
        <f t="shared" si="174"/>
        <v>0</v>
      </c>
      <c r="R594" s="6">
        <f t="shared" si="174"/>
        <v>0</v>
      </c>
      <c r="S594" s="6">
        <f t="shared" si="174"/>
        <v>0</v>
      </c>
      <c r="T594" s="6">
        <f t="shared" si="174"/>
        <v>0</v>
      </c>
      <c r="U594" s="6">
        <f t="shared" si="174"/>
        <v>0</v>
      </c>
      <c r="V594" s="6">
        <f t="shared" si="174"/>
        <v>0</v>
      </c>
      <c r="W594" s="6">
        <f t="shared" si="174"/>
        <v>11</v>
      </c>
      <c r="X594" s="6">
        <f t="shared" si="174"/>
        <v>0</v>
      </c>
      <c r="Y594" s="6">
        <f t="shared" si="174"/>
        <v>0</v>
      </c>
      <c r="Z594" s="6">
        <f t="shared" si="174"/>
        <v>0</v>
      </c>
      <c r="AA594" s="6">
        <f t="shared" si="174"/>
        <v>0</v>
      </c>
      <c r="AB594" s="6">
        <f t="shared" si="174"/>
        <v>0</v>
      </c>
      <c r="AC594" s="6">
        <f t="shared" ref="AC594:BZ594" si="175">SUM(AC207:AC219)</f>
        <v>122</v>
      </c>
      <c r="AD594" s="6">
        <f t="shared" si="175"/>
        <v>139</v>
      </c>
      <c r="AE594" s="6">
        <f t="shared" si="175"/>
        <v>2015</v>
      </c>
      <c r="AF594" s="6">
        <f t="shared" si="175"/>
        <v>92</v>
      </c>
      <c r="AG594" s="6">
        <f t="shared" si="175"/>
        <v>0</v>
      </c>
      <c r="AH594" s="6">
        <f t="shared" si="175"/>
        <v>6409</v>
      </c>
      <c r="AI594" s="6">
        <f t="shared" si="175"/>
        <v>2011</v>
      </c>
      <c r="AJ594" s="6">
        <f t="shared" si="175"/>
        <v>2</v>
      </c>
      <c r="AK594" s="6">
        <f t="shared" si="175"/>
        <v>0</v>
      </c>
      <c r="AL594" s="6">
        <f t="shared" si="175"/>
        <v>6757</v>
      </c>
      <c r="AM594" s="6">
        <f t="shared" si="175"/>
        <v>0</v>
      </c>
      <c r="AN594" s="6">
        <f t="shared" si="175"/>
        <v>0</v>
      </c>
      <c r="AO594" s="6">
        <f t="shared" si="175"/>
        <v>0</v>
      </c>
      <c r="AP594" s="6">
        <f t="shared" si="175"/>
        <v>7047</v>
      </c>
      <c r="AQ594" s="6">
        <f t="shared" si="175"/>
        <v>1501</v>
      </c>
      <c r="AR594" s="6">
        <f t="shared" si="175"/>
        <v>0</v>
      </c>
      <c r="AS594" s="6">
        <f t="shared" si="175"/>
        <v>0</v>
      </c>
      <c r="AT594" s="6">
        <f t="shared" si="175"/>
        <v>1880</v>
      </c>
      <c r="AU594" s="6">
        <f t="shared" si="175"/>
        <v>6745</v>
      </c>
      <c r="AV594" s="6">
        <f t="shared" si="175"/>
        <v>0</v>
      </c>
      <c r="AW594" s="6">
        <f t="shared" si="175"/>
        <v>0</v>
      </c>
      <c r="AX594" s="6">
        <f t="shared" si="175"/>
        <v>0</v>
      </c>
      <c r="AY594" s="6">
        <f t="shared" si="175"/>
        <v>0</v>
      </c>
      <c r="AZ594" s="6">
        <f t="shared" si="175"/>
        <v>0</v>
      </c>
      <c r="BA594" s="6">
        <f t="shared" si="175"/>
        <v>0</v>
      </c>
      <c r="BB594" s="6">
        <f t="shared" si="175"/>
        <v>0</v>
      </c>
      <c r="BC594" s="6">
        <f t="shared" si="175"/>
        <v>0</v>
      </c>
      <c r="BD594" s="6">
        <f t="shared" si="175"/>
        <v>0</v>
      </c>
      <c r="BE594" s="6">
        <f t="shared" si="175"/>
        <v>1364</v>
      </c>
      <c r="BF594" s="6">
        <f t="shared" si="175"/>
        <v>7276</v>
      </c>
      <c r="BG594" s="6">
        <f t="shared" si="175"/>
        <v>1759</v>
      </c>
      <c r="BH594" s="6">
        <f t="shared" si="175"/>
        <v>6878</v>
      </c>
      <c r="BI594" s="6">
        <f t="shared" si="175"/>
        <v>2148</v>
      </c>
      <c r="BJ594" s="6">
        <f t="shared" si="175"/>
        <v>6469</v>
      </c>
      <c r="BK594" s="6">
        <f t="shared" si="175"/>
        <v>6699</v>
      </c>
      <c r="BL594" s="6">
        <f t="shared" si="175"/>
        <v>1922</v>
      </c>
      <c r="BM594" s="6">
        <f t="shared" si="175"/>
        <v>1364</v>
      </c>
      <c r="BN594" s="6">
        <f t="shared" si="175"/>
        <v>7229</v>
      </c>
      <c r="BO594" s="6">
        <f t="shared" si="175"/>
        <v>6999</v>
      </c>
      <c r="BP594" s="6">
        <f t="shared" si="175"/>
        <v>1557</v>
      </c>
      <c r="BQ594" s="6">
        <f t="shared" si="175"/>
        <v>1948</v>
      </c>
      <c r="BR594" s="6">
        <f t="shared" si="175"/>
        <v>6621</v>
      </c>
      <c r="BS594" s="6">
        <f t="shared" si="175"/>
        <v>3735</v>
      </c>
      <c r="BT594" s="6">
        <f t="shared" si="175"/>
        <v>1300</v>
      </c>
      <c r="BU594" s="6">
        <f t="shared" si="175"/>
        <v>7218</v>
      </c>
      <c r="BV594" s="6">
        <f t="shared" si="175"/>
        <v>4685</v>
      </c>
      <c r="BW594" s="6">
        <f t="shared" si="175"/>
        <v>2477</v>
      </c>
      <c r="BX594" s="6">
        <f t="shared" si="175"/>
        <v>4724</v>
      </c>
      <c r="BY594" s="6">
        <f t="shared" si="175"/>
        <v>2662</v>
      </c>
      <c r="BZ594" s="6">
        <f t="shared" si="175"/>
        <v>5064</v>
      </c>
      <c r="CA594" s="6">
        <f t="shared" ref="CA594:CP594" si="176">SUM(CA207:CA219)</f>
        <v>4281</v>
      </c>
      <c r="CB594" s="6">
        <f t="shared" si="176"/>
        <v>1653</v>
      </c>
      <c r="CC594" s="6">
        <f t="shared" si="176"/>
        <v>5552</v>
      </c>
      <c r="CD594" s="6">
        <f t="shared" si="176"/>
        <v>5418</v>
      </c>
      <c r="CE594" s="6">
        <f t="shared" si="176"/>
        <v>5124</v>
      </c>
      <c r="CF594" s="6">
        <f t="shared" si="176"/>
        <v>2044</v>
      </c>
      <c r="CG594" s="6">
        <f t="shared" si="176"/>
        <v>2187</v>
      </c>
      <c r="CH594" s="6">
        <f t="shared" si="176"/>
        <v>4654</v>
      </c>
      <c r="CI594" s="6">
        <f t="shared" si="176"/>
        <v>4202</v>
      </c>
      <c r="CJ594" s="6">
        <f t="shared" si="176"/>
        <v>2984</v>
      </c>
      <c r="CK594" s="6">
        <f t="shared" si="176"/>
        <v>2938</v>
      </c>
      <c r="CL594" s="6">
        <f t="shared" si="176"/>
        <v>4445</v>
      </c>
      <c r="CM594" s="6">
        <f t="shared" si="176"/>
        <v>4124</v>
      </c>
      <c r="CN594" s="6">
        <f t="shared" si="176"/>
        <v>4366</v>
      </c>
      <c r="CO594" s="6">
        <f t="shared" si="176"/>
        <v>4527</v>
      </c>
      <c r="CP594" s="6">
        <f t="shared" si="176"/>
        <v>2755</v>
      </c>
      <c r="CQ594" s="6">
        <f t="shared" ref="CQ594:EM594" si="177">SUM(CQ207:CQ219)</f>
        <v>0</v>
      </c>
      <c r="CR594" s="6">
        <f t="shared" si="177"/>
        <v>0</v>
      </c>
      <c r="CS594" s="6">
        <f t="shared" si="177"/>
        <v>0</v>
      </c>
      <c r="CT594" s="6">
        <f t="shared" si="177"/>
        <v>0</v>
      </c>
      <c r="CU594" s="6">
        <f t="shared" si="177"/>
        <v>0</v>
      </c>
      <c r="CV594" s="6">
        <f t="shared" si="177"/>
        <v>0</v>
      </c>
      <c r="CW594" s="6">
        <f t="shared" si="177"/>
        <v>0</v>
      </c>
      <c r="CX594" s="6">
        <f t="shared" si="177"/>
        <v>0</v>
      </c>
      <c r="CY594" s="6">
        <f t="shared" si="177"/>
        <v>0</v>
      </c>
      <c r="CZ594" s="6">
        <f t="shared" si="177"/>
        <v>0</v>
      </c>
      <c r="DA594" s="6">
        <f t="shared" si="177"/>
        <v>0</v>
      </c>
      <c r="DB594" s="6">
        <f t="shared" si="177"/>
        <v>0</v>
      </c>
      <c r="DC594" s="6">
        <f t="shared" si="177"/>
        <v>0</v>
      </c>
      <c r="DD594" s="6">
        <f t="shared" si="177"/>
        <v>0</v>
      </c>
      <c r="DE594" s="6">
        <f t="shared" si="177"/>
        <v>0</v>
      </c>
      <c r="DF594" s="6">
        <f t="shared" si="177"/>
        <v>0</v>
      </c>
      <c r="DG594" s="6">
        <f t="shared" si="177"/>
        <v>0</v>
      </c>
      <c r="DH594" s="6">
        <f t="shared" si="177"/>
        <v>0</v>
      </c>
      <c r="DI594" s="6">
        <f t="shared" si="177"/>
        <v>0</v>
      </c>
      <c r="DJ594" s="6">
        <f t="shared" si="177"/>
        <v>0</v>
      </c>
      <c r="DK594" s="6">
        <f t="shared" si="177"/>
        <v>0</v>
      </c>
      <c r="DL594" s="6">
        <f t="shared" si="177"/>
        <v>0</v>
      </c>
      <c r="DM594" s="6">
        <f t="shared" si="177"/>
        <v>0</v>
      </c>
      <c r="DN594" s="6">
        <f t="shared" si="177"/>
        <v>0</v>
      </c>
      <c r="DO594" s="6">
        <f t="shared" si="177"/>
        <v>0</v>
      </c>
      <c r="DP594" s="6">
        <f t="shared" si="177"/>
        <v>0</v>
      </c>
      <c r="DQ594" s="6">
        <f t="shared" si="177"/>
        <v>0</v>
      </c>
      <c r="DR594" s="6">
        <f t="shared" si="177"/>
        <v>0</v>
      </c>
      <c r="DS594" s="6">
        <f t="shared" si="177"/>
        <v>0</v>
      </c>
      <c r="DT594" s="6">
        <f t="shared" si="177"/>
        <v>0</v>
      </c>
      <c r="DU594" s="6">
        <f t="shared" si="177"/>
        <v>0</v>
      </c>
      <c r="DV594" s="6">
        <f t="shared" si="177"/>
        <v>0</v>
      </c>
      <c r="DW594" s="6">
        <f t="shared" si="177"/>
        <v>0</v>
      </c>
      <c r="DX594" s="6">
        <f t="shared" si="177"/>
        <v>0</v>
      </c>
      <c r="DY594" s="6">
        <f t="shared" si="177"/>
        <v>0</v>
      </c>
      <c r="DZ594" s="6">
        <f t="shared" si="177"/>
        <v>0</v>
      </c>
      <c r="EA594" s="6">
        <f t="shared" si="177"/>
        <v>0</v>
      </c>
      <c r="EB594" s="6">
        <f t="shared" si="177"/>
        <v>0</v>
      </c>
      <c r="EC594" s="6">
        <f t="shared" si="177"/>
        <v>0</v>
      </c>
      <c r="ED594" s="6">
        <f t="shared" si="177"/>
        <v>0</v>
      </c>
      <c r="EE594" s="6">
        <f t="shared" si="177"/>
        <v>0</v>
      </c>
      <c r="EF594" s="6">
        <f t="shared" si="177"/>
        <v>0</v>
      </c>
      <c r="EG594" s="6">
        <f t="shared" si="177"/>
        <v>0</v>
      </c>
      <c r="EH594" s="6">
        <f t="shared" si="177"/>
        <v>0</v>
      </c>
      <c r="EI594" s="6">
        <f t="shared" si="177"/>
        <v>0</v>
      </c>
      <c r="EJ594" s="6">
        <f t="shared" si="177"/>
        <v>0</v>
      </c>
      <c r="EK594" s="6">
        <f t="shared" si="177"/>
        <v>0</v>
      </c>
      <c r="EL594" s="6">
        <f t="shared" si="177"/>
        <v>0</v>
      </c>
      <c r="EM594" s="6">
        <f t="shared" si="177"/>
        <v>0</v>
      </c>
      <c r="EN594" s="6">
        <f t="shared" ref="EN594:GR594" si="178">SUM(EN207:EN219)</f>
        <v>0</v>
      </c>
      <c r="EO594" s="6">
        <f t="shared" si="178"/>
        <v>0</v>
      </c>
      <c r="EP594" s="6">
        <f t="shared" si="178"/>
        <v>0</v>
      </c>
      <c r="EQ594" s="6">
        <f t="shared" si="178"/>
        <v>0</v>
      </c>
      <c r="ER594" s="6">
        <f t="shared" si="178"/>
        <v>0</v>
      </c>
      <c r="ES594" s="6">
        <f t="shared" si="178"/>
        <v>0</v>
      </c>
      <c r="ET594" s="6">
        <f t="shared" si="178"/>
        <v>0</v>
      </c>
      <c r="EU594" s="6">
        <f t="shared" si="178"/>
        <v>0</v>
      </c>
      <c r="EV594" s="6">
        <f t="shared" si="178"/>
        <v>0</v>
      </c>
      <c r="EW594" s="6">
        <f t="shared" si="178"/>
        <v>0</v>
      </c>
      <c r="EX594" s="6">
        <f t="shared" si="178"/>
        <v>0</v>
      </c>
      <c r="EY594" s="6">
        <f t="shared" si="178"/>
        <v>0</v>
      </c>
      <c r="EZ594" s="6">
        <f t="shared" si="178"/>
        <v>0</v>
      </c>
      <c r="FA594" s="6">
        <f t="shared" si="178"/>
        <v>0</v>
      </c>
      <c r="FB594" s="6">
        <f t="shared" si="178"/>
        <v>0</v>
      </c>
      <c r="FC594" s="6">
        <f t="shared" si="178"/>
        <v>0</v>
      </c>
      <c r="FD594" s="6">
        <f t="shared" si="178"/>
        <v>0</v>
      </c>
      <c r="FE594" s="6">
        <f t="shared" si="178"/>
        <v>0</v>
      </c>
      <c r="FF594" s="6">
        <f t="shared" si="178"/>
        <v>0</v>
      </c>
      <c r="FG594" s="6">
        <f t="shared" si="178"/>
        <v>0</v>
      </c>
      <c r="FH594" s="6">
        <f t="shared" si="178"/>
        <v>0</v>
      </c>
      <c r="FI594" s="6">
        <f t="shared" si="178"/>
        <v>0</v>
      </c>
      <c r="FJ594" s="6">
        <f t="shared" si="178"/>
        <v>0</v>
      </c>
      <c r="FK594" s="6">
        <f t="shared" si="178"/>
        <v>0</v>
      </c>
      <c r="FL594" s="6">
        <f t="shared" si="178"/>
        <v>0</v>
      </c>
      <c r="FM594" s="6">
        <f t="shared" si="178"/>
        <v>0</v>
      </c>
      <c r="FN594" s="6">
        <f t="shared" si="178"/>
        <v>0</v>
      </c>
      <c r="FO594" s="6">
        <f t="shared" si="178"/>
        <v>0</v>
      </c>
      <c r="FP594" s="6">
        <f t="shared" si="178"/>
        <v>0</v>
      </c>
      <c r="FQ594" s="6">
        <f t="shared" si="178"/>
        <v>0</v>
      </c>
      <c r="FR594" s="6">
        <f t="shared" si="178"/>
        <v>0</v>
      </c>
      <c r="FS594" s="6">
        <f t="shared" si="178"/>
        <v>0</v>
      </c>
      <c r="FT594" s="6">
        <f t="shared" si="178"/>
        <v>0</v>
      </c>
      <c r="FU594" s="6">
        <f t="shared" si="178"/>
        <v>0</v>
      </c>
      <c r="FV594" s="6">
        <f t="shared" si="178"/>
        <v>0</v>
      </c>
      <c r="FW594" s="6">
        <f t="shared" si="178"/>
        <v>0</v>
      </c>
      <c r="FX594" s="6">
        <f t="shared" si="178"/>
        <v>0</v>
      </c>
      <c r="FY594" s="6">
        <f t="shared" si="178"/>
        <v>0</v>
      </c>
      <c r="FZ594" s="6">
        <f t="shared" si="178"/>
        <v>0</v>
      </c>
      <c r="GA594" s="6">
        <f t="shared" si="178"/>
        <v>0</v>
      </c>
      <c r="GB594" s="6">
        <f t="shared" si="178"/>
        <v>0</v>
      </c>
      <c r="GC594" s="6">
        <f t="shared" si="178"/>
        <v>0</v>
      </c>
      <c r="GD594" s="6">
        <f t="shared" si="178"/>
        <v>0</v>
      </c>
      <c r="GE594" s="6">
        <f t="shared" si="178"/>
        <v>0</v>
      </c>
      <c r="GF594" s="6">
        <f t="shared" si="178"/>
        <v>0</v>
      </c>
      <c r="GG594" s="6">
        <f t="shared" si="178"/>
        <v>0</v>
      </c>
      <c r="GH594" s="6">
        <f t="shared" si="178"/>
        <v>0</v>
      </c>
      <c r="GI594" s="6">
        <f t="shared" si="178"/>
        <v>0</v>
      </c>
      <c r="GJ594" s="6">
        <f t="shared" si="178"/>
        <v>0</v>
      </c>
      <c r="GK594" s="6">
        <f t="shared" si="178"/>
        <v>5200</v>
      </c>
      <c r="GL594" s="6">
        <f t="shared" si="178"/>
        <v>2997</v>
      </c>
      <c r="GM594" s="6">
        <f t="shared" si="178"/>
        <v>0</v>
      </c>
      <c r="GN594" s="6">
        <f t="shared" si="178"/>
        <v>0</v>
      </c>
      <c r="GO594" s="6">
        <f t="shared" si="178"/>
        <v>5308</v>
      </c>
      <c r="GP594" s="6">
        <f t="shared" si="178"/>
        <v>3233</v>
      </c>
      <c r="GQ594" s="6">
        <f t="shared" si="178"/>
        <v>5953</v>
      </c>
      <c r="GR594" s="6">
        <f t="shared" si="178"/>
        <v>2576</v>
      </c>
    </row>
    <row r="595" spans="1:200">
      <c r="A595" s="6"/>
      <c r="B595" s="16" t="s">
        <v>698</v>
      </c>
      <c r="C595" s="14">
        <f>SUM(C220:C225)</f>
        <v>7235</v>
      </c>
      <c r="D595" s="14">
        <f>SUM(D220:D225)</f>
        <v>5437</v>
      </c>
      <c r="E595" s="15">
        <f t="shared" si="28"/>
        <v>0.7514858327574292</v>
      </c>
      <c r="F595" s="66">
        <f t="shared" ref="F595:AB595" si="179">SUM(F220:F225)</f>
        <v>1018</v>
      </c>
      <c r="G595" s="6">
        <f t="shared" si="179"/>
        <v>18</v>
      </c>
      <c r="H595" s="6">
        <f t="shared" si="179"/>
        <v>187</v>
      </c>
      <c r="I595" s="6">
        <f t="shared" si="179"/>
        <v>43</v>
      </c>
      <c r="J595" s="59">
        <f t="shared" si="179"/>
        <v>4057</v>
      </c>
      <c r="K595" s="6">
        <f t="shared" si="179"/>
        <v>0</v>
      </c>
      <c r="L595" s="6">
        <f t="shared" si="179"/>
        <v>0</v>
      </c>
      <c r="M595" s="6">
        <f t="shared" si="179"/>
        <v>0</v>
      </c>
      <c r="N595" s="6">
        <f t="shared" si="179"/>
        <v>0</v>
      </c>
      <c r="O595" s="6">
        <f t="shared" si="179"/>
        <v>0</v>
      </c>
      <c r="P595" s="6">
        <f t="shared" si="179"/>
        <v>2</v>
      </c>
      <c r="Q595" s="6">
        <f t="shared" si="179"/>
        <v>0</v>
      </c>
      <c r="R595" s="6">
        <f t="shared" si="179"/>
        <v>0</v>
      </c>
      <c r="S595" s="6">
        <f t="shared" si="179"/>
        <v>0</v>
      </c>
      <c r="T595" s="6">
        <f t="shared" si="179"/>
        <v>0</v>
      </c>
      <c r="U595" s="6">
        <f t="shared" si="179"/>
        <v>0</v>
      </c>
      <c r="V595" s="6">
        <f t="shared" si="179"/>
        <v>0</v>
      </c>
      <c r="W595" s="6">
        <f t="shared" si="179"/>
        <v>7</v>
      </c>
      <c r="X595" s="6">
        <f t="shared" si="179"/>
        <v>0</v>
      </c>
      <c r="Y595" s="6">
        <f t="shared" si="179"/>
        <v>0</v>
      </c>
      <c r="Z595" s="6">
        <f t="shared" si="179"/>
        <v>0</v>
      </c>
      <c r="AA595" s="6">
        <f t="shared" si="179"/>
        <v>0</v>
      </c>
      <c r="AB595" s="6">
        <f t="shared" si="179"/>
        <v>0</v>
      </c>
      <c r="AC595" s="6">
        <f t="shared" ref="AC595:BZ595" si="180">SUM(AC220:AC225)</f>
        <v>96</v>
      </c>
      <c r="AD595" s="6">
        <f t="shared" si="180"/>
        <v>71</v>
      </c>
      <c r="AE595" s="6">
        <f t="shared" si="180"/>
        <v>4186</v>
      </c>
      <c r="AF595" s="6">
        <f t="shared" si="180"/>
        <v>69</v>
      </c>
      <c r="AG595" s="6">
        <f t="shared" si="180"/>
        <v>1</v>
      </c>
      <c r="AH595" s="6">
        <f t="shared" si="180"/>
        <v>788</v>
      </c>
      <c r="AI595" s="6">
        <f t="shared" si="180"/>
        <v>4253</v>
      </c>
      <c r="AJ595" s="6">
        <f t="shared" si="180"/>
        <v>0</v>
      </c>
      <c r="AK595" s="6">
        <f t="shared" si="180"/>
        <v>0</v>
      </c>
      <c r="AL595" s="6">
        <f t="shared" si="180"/>
        <v>960</v>
      </c>
      <c r="AM595" s="6">
        <f t="shared" si="180"/>
        <v>0</v>
      </c>
      <c r="AN595" s="6">
        <f t="shared" si="180"/>
        <v>0</v>
      </c>
      <c r="AO595" s="6">
        <f t="shared" si="180"/>
        <v>0</v>
      </c>
      <c r="AP595" s="6">
        <f t="shared" si="180"/>
        <v>1087</v>
      </c>
      <c r="AQ595" s="6">
        <f t="shared" si="180"/>
        <v>3831</v>
      </c>
      <c r="AR595" s="6">
        <f t="shared" si="180"/>
        <v>0</v>
      </c>
      <c r="AS595" s="6">
        <f t="shared" si="180"/>
        <v>0</v>
      </c>
      <c r="AT595" s="6">
        <f t="shared" si="180"/>
        <v>0</v>
      </c>
      <c r="AU595" s="6">
        <f t="shared" si="180"/>
        <v>0</v>
      </c>
      <c r="AV595" s="6">
        <f t="shared" si="180"/>
        <v>3864</v>
      </c>
      <c r="AW595" s="6">
        <f t="shared" si="180"/>
        <v>0</v>
      </c>
      <c r="AX595" s="6">
        <f t="shared" si="180"/>
        <v>0</v>
      </c>
      <c r="AY595" s="6">
        <f t="shared" si="180"/>
        <v>0</v>
      </c>
      <c r="AZ595" s="6">
        <f t="shared" si="180"/>
        <v>0</v>
      </c>
      <c r="BA595" s="6">
        <f t="shared" si="180"/>
        <v>0</v>
      </c>
      <c r="BB595" s="6">
        <f t="shared" si="180"/>
        <v>0</v>
      </c>
      <c r="BC595" s="6">
        <f t="shared" si="180"/>
        <v>0</v>
      </c>
      <c r="BD595" s="6">
        <f t="shared" si="180"/>
        <v>0</v>
      </c>
      <c r="BE595" s="6">
        <f t="shared" si="180"/>
        <v>3317</v>
      </c>
      <c r="BF595" s="6">
        <f t="shared" si="180"/>
        <v>1698</v>
      </c>
      <c r="BG595" s="6">
        <f t="shared" si="180"/>
        <v>3979</v>
      </c>
      <c r="BH595" s="6">
        <f t="shared" si="180"/>
        <v>1107</v>
      </c>
      <c r="BI595" s="6">
        <f t="shared" si="180"/>
        <v>3994</v>
      </c>
      <c r="BJ595" s="6">
        <f t="shared" si="180"/>
        <v>1038</v>
      </c>
      <c r="BK595" s="6">
        <f t="shared" si="180"/>
        <v>1235</v>
      </c>
      <c r="BL595" s="6">
        <f t="shared" si="180"/>
        <v>3799</v>
      </c>
      <c r="BM595" s="6">
        <f t="shared" si="180"/>
        <v>2775</v>
      </c>
      <c r="BN595" s="6">
        <f t="shared" si="180"/>
        <v>2310</v>
      </c>
      <c r="BO595" s="6">
        <f t="shared" si="180"/>
        <v>1024</v>
      </c>
      <c r="BP595" s="6">
        <f t="shared" si="180"/>
        <v>3845</v>
      </c>
      <c r="BQ595" s="6">
        <f t="shared" si="180"/>
        <v>4157</v>
      </c>
      <c r="BR595" s="6">
        <f t="shared" si="180"/>
        <v>796</v>
      </c>
      <c r="BS595" s="6">
        <f t="shared" si="180"/>
        <v>3955</v>
      </c>
      <c r="BT595" s="6">
        <f t="shared" si="180"/>
        <v>3056</v>
      </c>
      <c r="BU595" s="6">
        <f t="shared" si="180"/>
        <v>1767</v>
      </c>
      <c r="BV595" s="6">
        <f t="shared" si="180"/>
        <v>3579</v>
      </c>
      <c r="BW595" s="6">
        <f t="shared" si="180"/>
        <v>2522</v>
      </c>
      <c r="BX595" s="6">
        <f t="shared" si="180"/>
        <v>1475</v>
      </c>
      <c r="BY595" s="6">
        <f t="shared" si="180"/>
        <v>3415</v>
      </c>
      <c r="BZ595" s="6">
        <f t="shared" si="180"/>
        <v>959</v>
      </c>
      <c r="CA595" s="6">
        <f t="shared" ref="CA595:CP595" si="181">SUM(CA220:CA225)</f>
        <v>3259</v>
      </c>
      <c r="CB595" s="6">
        <f t="shared" si="181"/>
        <v>2668</v>
      </c>
      <c r="CC595" s="6">
        <f t="shared" si="181"/>
        <v>1173</v>
      </c>
      <c r="CD595" s="6">
        <f t="shared" si="181"/>
        <v>2988</v>
      </c>
      <c r="CE595" s="6">
        <f t="shared" si="181"/>
        <v>1059</v>
      </c>
      <c r="CF595" s="6">
        <f t="shared" si="181"/>
        <v>3045</v>
      </c>
      <c r="CG595" s="6">
        <f t="shared" si="181"/>
        <v>2451</v>
      </c>
      <c r="CH595" s="6">
        <f t="shared" si="181"/>
        <v>1316</v>
      </c>
      <c r="CI595" s="6">
        <f t="shared" si="181"/>
        <v>692</v>
      </c>
      <c r="CJ595" s="6">
        <f t="shared" si="181"/>
        <v>3314</v>
      </c>
      <c r="CK595" s="6">
        <f t="shared" si="181"/>
        <v>2612</v>
      </c>
      <c r="CL595" s="6">
        <f t="shared" si="181"/>
        <v>1334</v>
      </c>
      <c r="CM595" s="6">
        <f t="shared" si="181"/>
        <v>3160</v>
      </c>
      <c r="CN595" s="6">
        <f t="shared" si="181"/>
        <v>3117</v>
      </c>
      <c r="CO595" s="6">
        <f t="shared" si="181"/>
        <v>1137</v>
      </c>
      <c r="CP595" s="6">
        <f t="shared" si="181"/>
        <v>2821</v>
      </c>
      <c r="CQ595" s="6">
        <f t="shared" ref="CQ595:EM595" si="182">SUM(CQ220:CQ225)</f>
        <v>0</v>
      </c>
      <c r="CR595" s="6">
        <f t="shared" si="182"/>
        <v>0</v>
      </c>
      <c r="CS595" s="6">
        <f t="shared" si="182"/>
        <v>0</v>
      </c>
      <c r="CT595" s="6">
        <f t="shared" si="182"/>
        <v>0</v>
      </c>
      <c r="CU595" s="6">
        <f t="shared" si="182"/>
        <v>0</v>
      </c>
      <c r="CV595" s="6">
        <f t="shared" si="182"/>
        <v>0</v>
      </c>
      <c r="CW595" s="6">
        <f t="shared" si="182"/>
        <v>0</v>
      </c>
      <c r="CX595" s="6">
        <f t="shared" si="182"/>
        <v>0</v>
      </c>
      <c r="CY595" s="6">
        <f t="shared" si="182"/>
        <v>0</v>
      </c>
      <c r="CZ595" s="6">
        <f t="shared" si="182"/>
        <v>0</v>
      </c>
      <c r="DA595" s="6">
        <f t="shared" si="182"/>
        <v>0</v>
      </c>
      <c r="DB595" s="6">
        <f t="shared" si="182"/>
        <v>0</v>
      </c>
      <c r="DC595" s="6">
        <f t="shared" si="182"/>
        <v>0</v>
      </c>
      <c r="DD595" s="6">
        <f t="shared" si="182"/>
        <v>0</v>
      </c>
      <c r="DE595" s="6">
        <f t="shared" si="182"/>
        <v>0</v>
      </c>
      <c r="DF595" s="6">
        <f t="shared" si="182"/>
        <v>0</v>
      </c>
      <c r="DG595" s="6">
        <f t="shared" si="182"/>
        <v>0</v>
      </c>
      <c r="DH595" s="6">
        <f t="shared" si="182"/>
        <v>0</v>
      </c>
      <c r="DI595" s="6">
        <f t="shared" si="182"/>
        <v>0</v>
      </c>
      <c r="DJ595" s="6">
        <f t="shared" si="182"/>
        <v>0</v>
      </c>
      <c r="DK595" s="6">
        <f t="shared" si="182"/>
        <v>0</v>
      </c>
      <c r="DL595" s="6">
        <f t="shared" si="182"/>
        <v>0</v>
      </c>
      <c r="DM595" s="6">
        <f t="shared" si="182"/>
        <v>0</v>
      </c>
      <c r="DN595" s="6">
        <f t="shared" si="182"/>
        <v>0</v>
      </c>
      <c r="DO595" s="6">
        <f t="shared" si="182"/>
        <v>0</v>
      </c>
      <c r="DP595" s="6">
        <f t="shared" si="182"/>
        <v>0</v>
      </c>
      <c r="DQ595" s="6">
        <f t="shared" si="182"/>
        <v>0</v>
      </c>
      <c r="DR595" s="6">
        <f t="shared" si="182"/>
        <v>0</v>
      </c>
      <c r="DS595" s="6">
        <f t="shared" si="182"/>
        <v>0</v>
      </c>
      <c r="DT595" s="6">
        <f t="shared" si="182"/>
        <v>0</v>
      </c>
      <c r="DU595" s="6">
        <f t="shared" si="182"/>
        <v>0</v>
      </c>
      <c r="DV595" s="6">
        <f t="shared" si="182"/>
        <v>0</v>
      </c>
      <c r="DW595" s="6">
        <f t="shared" si="182"/>
        <v>0</v>
      </c>
      <c r="DX595" s="6">
        <f t="shared" si="182"/>
        <v>0</v>
      </c>
      <c r="DY595" s="6">
        <f t="shared" si="182"/>
        <v>0</v>
      </c>
      <c r="DZ595" s="6">
        <f t="shared" si="182"/>
        <v>0</v>
      </c>
      <c r="EA595" s="6">
        <f t="shared" si="182"/>
        <v>0</v>
      </c>
      <c r="EB595" s="6">
        <f t="shared" si="182"/>
        <v>0</v>
      </c>
      <c r="EC595" s="6">
        <f t="shared" si="182"/>
        <v>0</v>
      </c>
      <c r="ED595" s="6">
        <f t="shared" si="182"/>
        <v>0</v>
      </c>
      <c r="EE595" s="6">
        <f t="shared" si="182"/>
        <v>0</v>
      </c>
      <c r="EF595" s="6">
        <f t="shared" si="182"/>
        <v>0</v>
      </c>
      <c r="EG595" s="6">
        <f t="shared" si="182"/>
        <v>0</v>
      </c>
      <c r="EH595" s="6">
        <f t="shared" si="182"/>
        <v>0</v>
      </c>
      <c r="EI595" s="6">
        <f t="shared" si="182"/>
        <v>0</v>
      </c>
      <c r="EJ595" s="6">
        <f t="shared" si="182"/>
        <v>0</v>
      </c>
      <c r="EK595" s="6">
        <f t="shared" si="182"/>
        <v>0</v>
      </c>
      <c r="EL595" s="6">
        <f t="shared" si="182"/>
        <v>0</v>
      </c>
      <c r="EM595" s="6">
        <f t="shared" si="182"/>
        <v>0</v>
      </c>
      <c r="EN595" s="6">
        <f t="shared" ref="EN595:GR595" si="183">SUM(EN220:EN225)</f>
        <v>0</v>
      </c>
      <c r="EO595" s="6">
        <f t="shared" si="183"/>
        <v>0</v>
      </c>
      <c r="EP595" s="6">
        <f t="shared" si="183"/>
        <v>0</v>
      </c>
      <c r="EQ595" s="6">
        <f t="shared" si="183"/>
        <v>0</v>
      </c>
      <c r="ER595" s="6">
        <f t="shared" si="183"/>
        <v>0</v>
      </c>
      <c r="ES595" s="6">
        <f t="shared" si="183"/>
        <v>0</v>
      </c>
      <c r="ET595" s="6">
        <f t="shared" si="183"/>
        <v>0</v>
      </c>
      <c r="EU595" s="6">
        <f t="shared" si="183"/>
        <v>0</v>
      </c>
      <c r="EV595" s="6">
        <f t="shared" si="183"/>
        <v>0</v>
      </c>
      <c r="EW595" s="6">
        <f t="shared" si="183"/>
        <v>0</v>
      </c>
      <c r="EX595" s="6">
        <f t="shared" si="183"/>
        <v>0</v>
      </c>
      <c r="EY595" s="6">
        <f t="shared" si="183"/>
        <v>0</v>
      </c>
      <c r="EZ595" s="6">
        <f t="shared" si="183"/>
        <v>0</v>
      </c>
      <c r="FA595" s="6">
        <f t="shared" si="183"/>
        <v>0</v>
      </c>
      <c r="FB595" s="6">
        <f t="shared" si="183"/>
        <v>0</v>
      </c>
      <c r="FC595" s="6">
        <f t="shared" si="183"/>
        <v>0</v>
      </c>
      <c r="FD595" s="6">
        <f t="shared" si="183"/>
        <v>0</v>
      </c>
      <c r="FE595" s="6">
        <f t="shared" si="183"/>
        <v>0</v>
      </c>
      <c r="FF595" s="6">
        <f t="shared" si="183"/>
        <v>0</v>
      </c>
      <c r="FG595" s="6">
        <f t="shared" si="183"/>
        <v>0</v>
      </c>
      <c r="FH595" s="6">
        <f t="shared" si="183"/>
        <v>0</v>
      </c>
      <c r="FI595" s="6">
        <f t="shared" si="183"/>
        <v>0</v>
      </c>
      <c r="FJ595" s="6">
        <f t="shared" si="183"/>
        <v>0</v>
      </c>
      <c r="FK595" s="6">
        <f t="shared" si="183"/>
        <v>0</v>
      </c>
      <c r="FL595" s="6">
        <f t="shared" si="183"/>
        <v>0</v>
      </c>
      <c r="FM595" s="6">
        <f t="shared" si="183"/>
        <v>0</v>
      </c>
      <c r="FN595" s="6">
        <f t="shared" si="183"/>
        <v>0</v>
      </c>
      <c r="FO595" s="6">
        <f t="shared" si="183"/>
        <v>0</v>
      </c>
      <c r="FP595" s="6">
        <f t="shared" si="183"/>
        <v>0</v>
      </c>
      <c r="FQ595" s="6">
        <f t="shared" si="183"/>
        <v>0</v>
      </c>
      <c r="FR595" s="6">
        <f t="shared" si="183"/>
        <v>0</v>
      </c>
      <c r="FS595" s="6">
        <f t="shared" si="183"/>
        <v>0</v>
      </c>
      <c r="FT595" s="6">
        <f t="shared" si="183"/>
        <v>0</v>
      </c>
      <c r="FU595" s="6">
        <f t="shared" si="183"/>
        <v>0</v>
      </c>
      <c r="FV595" s="6">
        <f t="shared" si="183"/>
        <v>0</v>
      </c>
      <c r="FW595" s="6">
        <f t="shared" si="183"/>
        <v>0</v>
      </c>
      <c r="FX595" s="6">
        <f t="shared" si="183"/>
        <v>0</v>
      </c>
      <c r="FY595" s="6">
        <f t="shared" si="183"/>
        <v>0</v>
      </c>
      <c r="FZ595" s="6">
        <f t="shared" si="183"/>
        <v>0</v>
      </c>
      <c r="GA595" s="6">
        <f t="shared" si="183"/>
        <v>0</v>
      </c>
      <c r="GB595" s="6">
        <f t="shared" si="183"/>
        <v>0</v>
      </c>
      <c r="GC595" s="6">
        <f t="shared" si="183"/>
        <v>0</v>
      </c>
      <c r="GD595" s="6">
        <f t="shared" si="183"/>
        <v>0</v>
      </c>
      <c r="GE595" s="6">
        <f t="shared" si="183"/>
        <v>0</v>
      </c>
      <c r="GF595" s="6">
        <f t="shared" si="183"/>
        <v>0</v>
      </c>
      <c r="GG595" s="6">
        <f t="shared" si="183"/>
        <v>0</v>
      </c>
      <c r="GH595" s="6">
        <f t="shared" si="183"/>
        <v>0</v>
      </c>
      <c r="GI595" s="6">
        <f t="shared" si="183"/>
        <v>0</v>
      </c>
      <c r="GJ595" s="6">
        <f t="shared" si="183"/>
        <v>0</v>
      </c>
      <c r="GK595" s="6">
        <f t="shared" si="183"/>
        <v>0</v>
      </c>
      <c r="GL595" s="6">
        <f t="shared" si="183"/>
        <v>0</v>
      </c>
      <c r="GM595" s="6">
        <f t="shared" si="183"/>
        <v>0</v>
      </c>
      <c r="GN595" s="6">
        <f t="shared" si="183"/>
        <v>0</v>
      </c>
      <c r="GO595" s="6">
        <f t="shared" si="183"/>
        <v>3369</v>
      </c>
      <c r="GP595" s="6">
        <f t="shared" si="183"/>
        <v>1830</v>
      </c>
      <c r="GQ595" s="6">
        <f t="shared" si="183"/>
        <v>3014</v>
      </c>
      <c r="GR595" s="6">
        <f t="shared" si="183"/>
        <v>2126</v>
      </c>
    </row>
    <row r="596" spans="1:200">
      <c r="A596" s="6"/>
      <c r="B596" s="16" t="s">
        <v>60</v>
      </c>
      <c r="C596" s="14">
        <f>SUM(C226:C231)</f>
        <v>5048</v>
      </c>
      <c r="D596" s="14">
        <f>SUM(D226:D231)</f>
        <v>4096</v>
      </c>
      <c r="E596" s="15">
        <f t="shared" si="28"/>
        <v>0.81141045958795566</v>
      </c>
      <c r="F596" s="66">
        <f t="shared" ref="F596:AB596" si="184">SUM(F226:F231)</f>
        <v>1430</v>
      </c>
      <c r="G596" s="6">
        <f t="shared" si="184"/>
        <v>2</v>
      </c>
      <c r="H596" s="6">
        <f t="shared" si="184"/>
        <v>116</v>
      </c>
      <c r="I596" s="6">
        <f t="shared" si="184"/>
        <v>21</v>
      </c>
      <c r="J596" s="59">
        <f t="shared" si="184"/>
        <v>2335</v>
      </c>
      <c r="K596" s="6">
        <f t="shared" si="184"/>
        <v>0</v>
      </c>
      <c r="L596" s="6">
        <f t="shared" si="184"/>
        <v>0</v>
      </c>
      <c r="M596" s="6">
        <f t="shared" si="184"/>
        <v>1</v>
      </c>
      <c r="N596" s="6">
        <f t="shared" si="184"/>
        <v>0</v>
      </c>
      <c r="O596" s="6">
        <f t="shared" si="184"/>
        <v>0</v>
      </c>
      <c r="P596" s="6">
        <f t="shared" si="184"/>
        <v>0</v>
      </c>
      <c r="Q596" s="6">
        <f t="shared" si="184"/>
        <v>0</v>
      </c>
      <c r="R596" s="6">
        <f t="shared" si="184"/>
        <v>0</v>
      </c>
      <c r="S596" s="6">
        <f t="shared" si="184"/>
        <v>0</v>
      </c>
      <c r="T596" s="6">
        <f t="shared" si="184"/>
        <v>0</v>
      </c>
      <c r="U596" s="6">
        <f t="shared" si="184"/>
        <v>0</v>
      </c>
      <c r="V596" s="6">
        <f t="shared" si="184"/>
        <v>0</v>
      </c>
      <c r="W596" s="6">
        <f t="shared" si="184"/>
        <v>18</v>
      </c>
      <c r="X596" s="6">
        <f t="shared" si="184"/>
        <v>0</v>
      </c>
      <c r="Y596" s="6">
        <f t="shared" si="184"/>
        <v>1</v>
      </c>
      <c r="Z596" s="6">
        <f t="shared" si="184"/>
        <v>0</v>
      </c>
      <c r="AA596" s="6">
        <f t="shared" si="184"/>
        <v>0</v>
      </c>
      <c r="AB596" s="6">
        <f t="shared" si="184"/>
        <v>0</v>
      </c>
      <c r="AC596" s="6">
        <f t="shared" ref="AC596:BZ596" si="185">SUM(AC226:AC231)</f>
        <v>16</v>
      </c>
      <c r="AD596" s="6">
        <f t="shared" si="185"/>
        <v>28</v>
      </c>
      <c r="AE596" s="6">
        <f t="shared" si="185"/>
        <v>3173</v>
      </c>
      <c r="AF596" s="6">
        <f t="shared" si="185"/>
        <v>11</v>
      </c>
      <c r="AG596" s="6">
        <f t="shared" si="185"/>
        <v>0</v>
      </c>
      <c r="AH596" s="6">
        <f t="shared" si="185"/>
        <v>787</v>
      </c>
      <c r="AI596" s="6">
        <f t="shared" si="185"/>
        <v>2847</v>
      </c>
      <c r="AJ596" s="6">
        <f t="shared" si="185"/>
        <v>0</v>
      </c>
      <c r="AK596" s="6">
        <f t="shared" si="185"/>
        <v>0</v>
      </c>
      <c r="AL596" s="6">
        <f t="shared" si="185"/>
        <v>1132</v>
      </c>
      <c r="AM596" s="6">
        <f t="shared" si="185"/>
        <v>0</v>
      </c>
      <c r="AN596" s="6">
        <f t="shared" si="185"/>
        <v>0</v>
      </c>
      <c r="AO596" s="6">
        <f t="shared" si="185"/>
        <v>0</v>
      </c>
      <c r="AP596" s="6">
        <f t="shared" si="185"/>
        <v>0</v>
      </c>
      <c r="AQ596" s="6">
        <f t="shared" si="185"/>
        <v>0</v>
      </c>
      <c r="AR596" s="6">
        <f t="shared" si="185"/>
        <v>2910</v>
      </c>
      <c r="AS596" s="6">
        <f t="shared" si="185"/>
        <v>946</v>
      </c>
      <c r="AT596" s="6">
        <f t="shared" si="185"/>
        <v>0</v>
      </c>
      <c r="AU596" s="6">
        <f t="shared" si="185"/>
        <v>0</v>
      </c>
      <c r="AV596" s="6">
        <f t="shared" si="185"/>
        <v>0</v>
      </c>
      <c r="AW596" s="6">
        <f t="shared" si="185"/>
        <v>0</v>
      </c>
      <c r="AX596" s="6">
        <f t="shared" si="185"/>
        <v>0</v>
      </c>
      <c r="AY596" s="6">
        <f t="shared" si="185"/>
        <v>0</v>
      </c>
      <c r="AZ596" s="6">
        <f t="shared" si="185"/>
        <v>0</v>
      </c>
      <c r="BA596" s="6">
        <f t="shared" si="185"/>
        <v>0</v>
      </c>
      <c r="BB596" s="6">
        <f t="shared" si="185"/>
        <v>0</v>
      </c>
      <c r="BC596" s="6">
        <f t="shared" si="185"/>
        <v>0</v>
      </c>
      <c r="BD596" s="6">
        <f t="shared" si="185"/>
        <v>0</v>
      </c>
      <c r="BE596" s="6">
        <f t="shared" si="185"/>
        <v>2611</v>
      </c>
      <c r="BF596" s="6">
        <f t="shared" si="185"/>
        <v>1259</v>
      </c>
      <c r="BG596" s="6">
        <f t="shared" si="185"/>
        <v>2810</v>
      </c>
      <c r="BH596" s="6">
        <f t="shared" si="185"/>
        <v>1074</v>
      </c>
      <c r="BI596" s="6">
        <f t="shared" si="185"/>
        <v>2952</v>
      </c>
      <c r="BJ596" s="6">
        <f t="shared" si="185"/>
        <v>883</v>
      </c>
      <c r="BK596" s="6">
        <f t="shared" si="185"/>
        <v>1318</v>
      </c>
      <c r="BL596" s="6">
        <f t="shared" si="185"/>
        <v>2532</v>
      </c>
      <c r="BM596" s="6">
        <f t="shared" si="185"/>
        <v>2544</v>
      </c>
      <c r="BN596" s="6">
        <f t="shared" si="185"/>
        <v>1244</v>
      </c>
      <c r="BO596" s="6">
        <f t="shared" si="185"/>
        <v>1011</v>
      </c>
      <c r="BP596" s="6">
        <f t="shared" si="185"/>
        <v>2763</v>
      </c>
      <c r="BQ596" s="6">
        <f t="shared" si="185"/>
        <v>3096</v>
      </c>
      <c r="BR596" s="6">
        <f t="shared" si="185"/>
        <v>754</v>
      </c>
      <c r="BS596" s="6">
        <f t="shared" si="185"/>
        <v>3032</v>
      </c>
      <c r="BT596" s="6">
        <f t="shared" si="185"/>
        <v>1985</v>
      </c>
      <c r="BU596" s="6">
        <f t="shared" si="185"/>
        <v>1869</v>
      </c>
      <c r="BV596" s="6">
        <f t="shared" si="185"/>
        <v>3003</v>
      </c>
      <c r="BW596" s="6">
        <f t="shared" si="185"/>
        <v>2471</v>
      </c>
      <c r="BX596" s="6">
        <f t="shared" si="185"/>
        <v>833</v>
      </c>
      <c r="BY596" s="6">
        <f t="shared" si="185"/>
        <v>2498</v>
      </c>
      <c r="BZ596" s="6">
        <f t="shared" si="185"/>
        <v>1018</v>
      </c>
      <c r="CA596" s="6">
        <f t="shared" ref="CA596:CP596" si="186">SUM(CA226:CA231)</f>
        <v>2818</v>
      </c>
      <c r="CB596" s="6">
        <f t="shared" si="186"/>
        <v>2469</v>
      </c>
      <c r="CC596" s="6">
        <f t="shared" si="186"/>
        <v>852</v>
      </c>
      <c r="CD596" s="6">
        <f t="shared" si="186"/>
        <v>2186</v>
      </c>
      <c r="CE596" s="6">
        <f t="shared" si="186"/>
        <v>1066</v>
      </c>
      <c r="CF596" s="6">
        <f t="shared" si="186"/>
        <v>2265</v>
      </c>
      <c r="CG596" s="6">
        <f t="shared" si="186"/>
        <v>2536</v>
      </c>
      <c r="CH596" s="6">
        <f t="shared" si="186"/>
        <v>725</v>
      </c>
      <c r="CI596" s="6">
        <f t="shared" si="186"/>
        <v>541</v>
      </c>
      <c r="CJ596" s="6">
        <f t="shared" si="186"/>
        <v>2658</v>
      </c>
      <c r="CK596" s="6">
        <f t="shared" si="186"/>
        <v>2298</v>
      </c>
      <c r="CL596" s="6">
        <f t="shared" si="186"/>
        <v>844</v>
      </c>
      <c r="CM596" s="6">
        <f t="shared" si="186"/>
        <v>2639</v>
      </c>
      <c r="CN596" s="6">
        <f t="shared" si="186"/>
        <v>2656</v>
      </c>
      <c r="CO596" s="6">
        <f t="shared" si="186"/>
        <v>710</v>
      </c>
      <c r="CP596" s="6">
        <f t="shared" si="186"/>
        <v>2506</v>
      </c>
      <c r="CQ596" s="6">
        <f t="shared" ref="CQ596:EM596" si="187">SUM(CQ226:CQ231)</f>
        <v>0</v>
      </c>
      <c r="CR596" s="6">
        <f t="shared" si="187"/>
        <v>0</v>
      </c>
      <c r="CS596" s="6">
        <f t="shared" si="187"/>
        <v>0</v>
      </c>
      <c r="CT596" s="6">
        <f t="shared" si="187"/>
        <v>0</v>
      </c>
      <c r="CU596" s="6">
        <f t="shared" si="187"/>
        <v>0</v>
      </c>
      <c r="CV596" s="6">
        <f t="shared" si="187"/>
        <v>0</v>
      </c>
      <c r="CW596" s="6">
        <f t="shared" si="187"/>
        <v>0</v>
      </c>
      <c r="CX596" s="6">
        <f t="shared" si="187"/>
        <v>0</v>
      </c>
      <c r="CY596" s="6">
        <f t="shared" si="187"/>
        <v>0</v>
      </c>
      <c r="CZ596" s="6">
        <f t="shared" si="187"/>
        <v>0</v>
      </c>
      <c r="DA596" s="6">
        <f t="shared" si="187"/>
        <v>0</v>
      </c>
      <c r="DB596" s="6">
        <f t="shared" si="187"/>
        <v>0</v>
      </c>
      <c r="DC596" s="6">
        <f t="shared" si="187"/>
        <v>0</v>
      </c>
      <c r="DD596" s="6">
        <f t="shared" si="187"/>
        <v>0</v>
      </c>
      <c r="DE596" s="6">
        <f t="shared" si="187"/>
        <v>0</v>
      </c>
      <c r="DF596" s="6">
        <f t="shared" si="187"/>
        <v>0</v>
      </c>
      <c r="DG596" s="6">
        <f t="shared" si="187"/>
        <v>0</v>
      </c>
      <c r="DH596" s="6">
        <f t="shared" si="187"/>
        <v>0</v>
      </c>
      <c r="DI596" s="6">
        <f t="shared" si="187"/>
        <v>0</v>
      </c>
      <c r="DJ596" s="6">
        <f t="shared" si="187"/>
        <v>0</v>
      </c>
      <c r="DK596" s="6">
        <f t="shared" si="187"/>
        <v>0</v>
      </c>
      <c r="DL596" s="6">
        <f t="shared" si="187"/>
        <v>0</v>
      </c>
      <c r="DM596" s="6">
        <f t="shared" si="187"/>
        <v>0</v>
      </c>
      <c r="DN596" s="6">
        <f t="shared" si="187"/>
        <v>0</v>
      </c>
      <c r="DO596" s="6">
        <f t="shared" si="187"/>
        <v>0</v>
      </c>
      <c r="DP596" s="6">
        <f t="shared" si="187"/>
        <v>0</v>
      </c>
      <c r="DQ596" s="6">
        <f t="shared" si="187"/>
        <v>0</v>
      </c>
      <c r="DR596" s="6">
        <f t="shared" si="187"/>
        <v>0</v>
      </c>
      <c r="DS596" s="6">
        <f t="shared" si="187"/>
        <v>0</v>
      </c>
      <c r="DT596" s="6">
        <f t="shared" si="187"/>
        <v>0</v>
      </c>
      <c r="DU596" s="6">
        <f t="shared" si="187"/>
        <v>0</v>
      </c>
      <c r="DV596" s="6">
        <f t="shared" si="187"/>
        <v>0</v>
      </c>
      <c r="DW596" s="6">
        <f t="shared" si="187"/>
        <v>0</v>
      </c>
      <c r="DX596" s="6">
        <f t="shared" si="187"/>
        <v>0</v>
      </c>
      <c r="DY596" s="6">
        <f t="shared" si="187"/>
        <v>0</v>
      </c>
      <c r="DZ596" s="6">
        <f t="shared" si="187"/>
        <v>0</v>
      </c>
      <c r="EA596" s="6">
        <f t="shared" si="187"/>
        <v>0</v>
      </c>
      <c r="EB596" s="6">
        <f t="shared" si="187"/>
        <v>0</v>
      </c>
      <c r="EC596" s="6">
        <f t="shared" si="187"/>
        <v>0</v>
      </c>
      <c r="ED596" s="6">
        <f t="shared" si="187"/>
        <v>0</v>
      </c>
      <c r="EE596" s="6">
        <f t="shared" si="187"/>
        <v>0</v>
      </c>
      <c r="EF596" s="6">
        <f t="shared" si="187"/>
        <v>0</v>
      </c>
      <c r="EG596" s="6">
        <f t="shared" si="187"/>
        <v>0</v>
      </c>
      <c r="EH596" s="6">
        <f t="shared" si="187"/>
        <v>0</v>
      </c>
      <c r="EI596" s="6">
        <f t="shared" si="187"/>
        <v>0</v>
      </c>
      <c r="EJ596" s="6">
        <f t="shared" si="187"/>
        <v>0</v>
      </c>
      <c r="EK596" s="6">
        <f t="shared" si="187"/>
        <v>0</v>
      </c>
      <c r="EL596" s="6">
        <f t="shared" si="187"/>
        <v>0</v>
      </c>
      <c r="EM596" s="6">
        <f t="shared" si="187"/>
        <v>0</v>
      </c>
      <c r="EN596" s="6">
        <f t="shared" ref="EN596:GR596" si="188">SUM(EN226:EN231)</f>
        <v>0</v>
      </c>
      <c r="EO596" s="6">
        <f t="shared" si="188"/>
        <v>0</v>
      </c>
      <c r="EP596" s="6">
        <f t="shared" si="188"/>
        <v>0</v>
      </c>
      <c r="EQ596" s="6">
        <f t="shared" si="188"/>
        <v>0</v>
      </c>
      <c r="ER596" s="6">
        <f t="shared" si="188"/>
        <v>0</v>
      </c>
      <c r="ES596" s="6">
        <f t="shared" si="188"/>
        <v>0</v>
      </c>
      <c r="ET596" s="6">
        <f t="shared" si="188"/>
        <v>0</v>
      </c>
      <c r="EU596" s="6">
        <f t="shared" si="188"/>
        <v>0</v>
      </c>
      <c r="EV596" s="6">
        <f t="shared" si="188"/>
        <v>0</v>
      </c>
      <c r="EW596" s="6">
        <f t="shared" si="188"/>
        <v>0</v>
      </c>
      <c r="EX596" s="6">
        <f t="shared" si="188"/>
        <v>0</v>
      </c>
      <c r="EY596" s="6">
        <f t="shared" si="188"/>
        <v>0</v>
      </c>
      <c r="EZ596" s="6">
        <f t="shared" si="188"/>
        <v>0</v>
      </c>
      <c r="FA596" s="6">
        <f t="shared" si="188"/>
        <v>0</v>
      </c>
      <c r="FB596" s="6">
        <f t="shared" si="188"/>
        <v>0</v>
      </c>
      <c r="FC596" s="6">
        <f t="shared" si="188"/>
        <v>0</v>
      </c>
      <c r="FD596" s="6">
        <f t="shared" si="188"/>
        <v>0</v>
      </c>
      <c r="FE596" s="6">
        <f t="shared" si="188"/>
        <v>0</v>
      </c>
      <c r="FF596" s="6">
        <f t="shared" si="188"/>
        <v>0</v>
      </c>
      <c r="FG596" s="6">
        <f t="shared" si="188"/>
        <v>0</v>
      </c>
      <c r="FH596" s="6">
        <f t="shared" si="188"/>
        <v>0</v>
      </c>
      <c r="FI596" s="6">
        <f t="shared" si="188"/>
        <v>0</v>
      </c>
      <c r="FJ596" s="6">
        <f t="shared" si="188"/>
        <v>0</v>
      </c>
      <c r="FK596" s="6">
        <f t="shared" si="188"/>
        <v>0</v>
      </c>
      <c r="FL596" s="6">
        <f t="shared" si="188"/>
        <v>0</v>
      </c>
      <c r="FM596" s="6">
        <f t="shared" si="188"/>
        <v>0</v>
      </c>
      <c r="FN596" s="6">
        <f t="shared" si="188"/>
        <v>0</v>
      </c>
      <c r="FO596" s="6">
        <f t="shared" si="188"/>
        <v>0</v>
      </c>
      <c r="FP596" s="6">
        <f t="shared" si="188"/>
        <v>0</v>
      </c>
      <c r="FQ596" s="6">
        <f t="shared" si="188"/>
        <v>0</v>
      </c>
      <c r="FR596" s="6">
        <f t="shared" si="188"/>
        <v>0</v>
      </c>
      <c r="FS596" s="6">
        <f t="shared" si="188"/>
        <v>0</v>
      </c>
      <c r="FT596" s="6">
        <f t="shared" si="188"/>
        <v>0</v>
      </c>
      <c r="FU596" s="6">
        <f t="shared" si="188"/>
        <v>0</v>
      </c>
      <c r="FV596" s="6">
        <f t="shared" si="188"/>
        <v>0</v>
      </c>
      <c r="FW596" s="6">
        <f t="shared" si="188"/>
        <v>0</v>
      </c>
      <c r="FX596" s="6">
        <f t="shared" si="188"/>
        <v>0</v>
      </c>
      <c r="FY596" s="6">
        <f t="shared" si="188"/>
        <v>0</v>
      </c>
      <c r="FZ596" s="6">
        <f t="shared" si="188"/>
        <v>0</v>
      </c>
      <c r="GA596" s="6">
        <f t="shared" si="188"/>
        <v>0</v>
      </c>
      <c r="GB596" s="6">
        <f t="shared" si="188"/>
        <v>0</v>
      </c>
      <c r="GC596" s="6">
        <f t="shared" si="188"/>
        <v>13</v>
      </c>
      <c r="GD596" s="6">
        <f t="shared" si="188"/>
        <v>26</v>
      </c>
      <c r="GE596" s="6">
        <f t="shared" si="188"/>
        <v>0</v>
      </c>
      <c r="GF596" s="6">
        <f t="shared" si="188"/>
        <v>0</v>
      </c>
      <c r="GG596" s="6">
        <f t="shared" si="188"/>
        <v>0</v>
      </c>
      <c r="GH596" s="6">
        <f t="shared" si="188"/>
        <v>0</v>
      </c>
      <c r="GI596" s="6">
        <f t="shared" si="188"/>
        <v>0</v>
      </c>
      <c r="GJ596" s="6">
        <f t="shared" si="188"/>
        <v>0</v>
      </c>
      <c r="GK596" s="6">
        <f t="shared" si="188"/>
        <v>0</v>
      </c>
      <c r="GL596" s="6">
        <f t="shared" si="188"/>
        <v>0</v>
      </c>
      <c r="GM596" s="6">
        <f t="shared" si="188"/>
        <v>0</v>
      </c>
      <c r="GN596" s="6">
        <f t="shared" si="188"/>
        <v>0</v>
      </c>
      <c r="GO596" s="6">
        <f t="shared" si="188"/>
        <v>2819</v>
      </c>
      <c r="GP596" s="6">
        <f t="shared" si="188"/>
        <v>1043</v>
      </c>
      <c r="GQ596" s="6">
        <f t="shared" si="188"/>
        <v>2925</v>
      </c>
      <c r="GR596" s="6">
        <f t="shared" si="188"/>
        <v>956</v>
      </c>
    </row>
    <row r="597" spans="1:200">
      <c r="A597" s="6"/>
      <c r="B597" s="16" t="s">
        <v>61</v>
      </c>
      <c r="C597" s="14">
        <f>SUM(C232:C238)</f>
        <v>6493</v>
      </c>
      <c r="D597" s="14">
        <f>SUM(D232:D238)</f>
        <v>4881</v>
      </c>
      <c r="E597" s="15">
        <f t="shared" si="28"/>
        <v>0.75173263514554134</v>
      </c>
      <c r="F597" s="66">
        <f t="shared" ref="F597:AB597" si="189">SUM(F232:F238)</f>
        <v>1826</v>
      </c>
      <c r="G597" s="6">
        <f t="shared" si="189"/>
        <v>8</v>
      </c>
      <c r="H597" s="6">
        <f t="shared" si="189"/>
        <v>189</v>
      </c>
      <c r="I597" s="6">
        <f t="shared" si="189"/>
        <v>37</v>
      </c>
      <c r="J597" s="59">
        <f t="shared" si="189"/>
        <v>2694</v>
      </c>
      <c r="K597" s="6">
        <f t="shared" si="189"/>
        <v>0</v>
      </c>
      <c r="L597" s="6">
        <f t="shared" si="189"/>
        <v>0</v>
      </c>
      <c r="M597" s="6">
        <f t="shared" si="189"/>
        <v>2</v>
      </c>
      <c r="N597" s="6">
        <f t="shared" si="189"/>
        <v>0</v>
      </c>
      <c r="O597" s="6">
        <f t="shared" si="189"/>
        <v>0</v>
      </c>
      <c r="P597" s="6">
        <f t="shared" si="189"/>
        <v>0</v>
      </c>
      <c r="Q597" s="6">
        <f t="shared" si="189"/>
        <v>0</v>
      </c>
      <c r="R597" s="6">
        <f t="shared" si="189"/>
        <v>0</v>
      </c>
      <c r="S597" s="6">
        <f t="shared" si="189"/>
        <v>0</v>
      </c>
      <c r="T597" s="6">
        <f t="shared" si="189"/>
        <v>0</v>
      </c>
      <c r="U597" s="6">
        <f t="shared" si="189"/>
        <v>0</v>
      </c>
      <c r="V597" s="6">
        <f t="shared" si="189"/>
        <v>0</v>
      </c>
      <c r="W597" s="6">
        <f t="shared" si="189"/>
        <v>20</v>
      </c>
      <c r="X597" s="6">
        <f t="shared" si="189"/>
        <v>0</v>
      </c>
      <c r="Y597" s="6">
        <f t="shared" si="189"/>
        <v>0</v>
      </c>
      <c r="Z597" s="6">
        <f t="shared" si="189"/>
        <v>0</v>
      </c>
      <c r="AA597" s="6">
        <f t="shared" si="189"/>
        <v>0</v>
      </c>
      <c r="AB597" s="6">
        <f t="shared" si="189"/>
        <v>0</v>
      </c>
      <c r="AC597" s="6">
        <f t="shared" ref="AC597:BZ597" si="190">SUM(AC232:AC238)</f>
        <v>39</v>
      </c>
      <c r="AD597" s="6">
        <f t="shared" si="190"/>
        <v>77</v>
      </c>
      <c r="AE597" s="6">
        <f t="shared" si="190"/>
        <v>3240</v>
      </c>
      <c r="AF597" s="6">
        <f t="shared" si="190"/>
        <v>55</v>
      </c>
      <c r="AG597" s="6">
        <f t="shared" si="190"/>
        <v>0</v>
      </c>
      <c r="AH597" s="6">
        <f t="shared" si="190"/>
        <v>1306</v>
      </c>
      <c r="AI597" s="6">
        <f t="shared" si="190"/>
        <v>0</v>
      </c>
      <c r="AJ597" s="6">
        <f t="shared" si="190"/>
        <v>0</v>
      </c>
      <c r="AK597" s="6">
        <f t="shared" si="190"/>
        <v>0</v>
      </c>
      <c r="AL597" s="6">
        <f t="shared" si="190"/>
        <v>0</v>
      </c>
      <c r="AM597" s="6">
        <f t="shared" si="190"/>
        <v>112</v>
      </c>
      <c r="AN597" s="6">
        <f t="shared" si="190"/>
        <v>1296</v>
      </c>
      <c r="AO597" s="6">
        <f t="shared" si="190"/>
        <v>3115</v>
      </c>
      <c r="AP597" s="6">
        <f t="shared" si="190"/>
        <v>0</v>
      </c>
      <c r="AQ597" s="6">
        <f t="shared" si="190"/>
        <v>0</v>
      </c>
      <c r="AR597" s="6">
        <f t="shared" si="190"/>
        <v>3001</v>
      </c>
      <c r="AS597" s="6">
        <f t="shared" si="190"/>
        <v>1472</v>
      </c>
      <c r="AT597" s="6">
        <f t="shared" si="190"/>
        <v>0</v>
      </c>
      <c r="AU597" s="6">
        <f t="shared" si="190"/>
        <v>0</v>
      </c>
      <c r="AV597" s="6">
        <f t="shared" si="190"/>
        <v>0</v>
      </c>
      <c r="AW597" s="6">
        <f t="shared" si="190"/>
        <v>0</v>
      </c>
      <c r="AX597" s="6">
        <f t="shared" si="190"/>
        <v>0</v>
      </c>
      <c r="AY597" s="6">
        <f t="shared" si="190"/>
        <v>0</v>
      </c>
      <c r="AZ597" s="6">
        <f t="shared" si="190"/>
        <v>0</v>
      </c>
      <c r="BA597" s="6">
        <f t="shared" si="190"/>
        <v>0</v>
      </c>
      <c r="BB597" s="6">
        <f t="shared" si="190"/>
        <v>0</v>
      </c>
      <c r="BC597" s="6">
        <f t="shared" si="190"/>
        <v>0</v>
      </c>
      <c r="BD597" s="6">
        <f t="shared" si="190"/>
        <v>0</v>
      </c>
      <c r="BE597" s="6">
        <f t="shared" si="190"/>
        <v>2515</v>
      </c>
      <c r="BF597" s="6">
        <f t="shared" si="190"/>
        <v>1954</v>
      </c>
      <c r="BG597" s="6">
        <f t="shared" si="190"/>
        <v>2941</v>
      </c>
      <c r="BH597" s="6">
        <f t="shared" si="190"/>
        <v>1580</v>
      </c>
      <c r="BI597" s="6">
        <f t="shared" si="190"/>
        <v>3121</v>
      </c>
      <c r="BJ597" s="6">
        <f t="shared" si="190"/>
        <v>1361</v>
      </c>
      <c r="BK597" s="6">
        <f t="shared" si="190"/>
        <v>1719</v>
      </c>
      <c r="BL597" s="6">
        <f t="shared" si="190"/>
        <v>2740</v>
      </c>
      <c r="BM597" s="6">
        <f t="shared" si="190"/>
        <v>2453</v>
      </c>
      <c r="BN597" s="6">
        <f t="shared" si="190"/>
        <v>1969</v>
      </c>
      <c r="BO597" s="6">
        <f t="shared" si="190"/>
        <v>1496</v>
      </c>
      <c r="BP597" s="6">
        <f t="shared" si="190"/>
        <v>2840</v>
      </c>
      <c r="BQ597" s="6">
        <f t="shared" si="190"/>
        <v>3045</v>
      </c>
      <c r="BR597" s="6">
        <f t="shared" si="190"/>
        <v>1300</v>
      </c>
      <c r="BS597" s="6">
        <f t="shared" si="190"/>
        <v>3292</v>
      </c>
      <c r="BT597" s="6">
        <f t="shared" si="190"/>
        <v>2313</v>
      </c>
      <c r="BU597" s="6">
        <f t="shared" si="190"/>
        <v>2033</v>
      </c>
      <c r="BV597" s="6">
        <f t="shared" si="190"/>
        <v>3104</v>
      </c>
      <c r="BW597" s="6">
        <f t="shared" si="190"/>
        <v>2160</v>
      </c>
      <c r="BX597" s="6">
        <f t="shared" si="190"/>
        <v>1375</v>
      </c>
      <c r="BY597" s="6">
        <f t="shared" si="190"/>
        <v>2548</v>
      </c>
      <c r="BZ597" s="6">
        <f t="shared" si="190"/>
        <v>1295</v>
      </c>
      <c r="CA597" s="6">
        <f t="shared" ref="CA597:CP597" si="191">SUM(CA232:CA238)</f>
        <v>2835</v>
      </c>
      <c r="CB597" s="6">
        <f t="shared" si="191"/>
        <v>1972</v>
      </c>
      <c r="CC597" s="6">
        <f t="shared" si="191"/>
        <v>1435</v>
      </c>
      <c r="CD597" s="6">
        <f t="shared" si="191"/>
        <v>2633</v>
      </c>
      <c r="CE597" s="6">
        <f t="shared" si="191"/>
        <v>1404</v>
      </c>
      <c r="CF597" s="6">
        <f t="shared" si="191"/>
        <v>2092</v>
      </c>
      <c r="CG597" s="6">
        <f t="shared" si="191"/>
        <v>2073</v>
      </c>
      <c r="CH597" s="6">
        <f t="shared" si="191"/>
        <v>1177</v>
      </c>
      <c r="CI597" s="6">
        <f t="shared" si="191"/>
        <v>818</v>
      </c>
      <c r="CJ597" s="6">
        <f t="shared" si="191"/>
        <v>2603</v>
      </c>
      <c r="CK597" s="6">
        <f t="shared" si="191"/>
        <v>2100</v>
      </c>
      <c r="CL597" s="6">
        <f t="shared" si="191"/>
        <v>1247</v>
      </c>
      <c r="CM597" s="6">
        <f t="shared" si="191"/>
        <v>2695</v>
      </c>
      <c r="CN597" s="6">
        <f t="shared" si="191"/>
        <v>2732</v>
      </c>
      <c r="CO597" s="6">
        <f t="shared" si="191"/>
        <v>1152</v>
      </c>
      <c r="CP597" s="6">
        <f t="shared" si="191"/>
        <v>2257</v>
      </c>
      <c r="CQ597" s="6">
        <f t="shared" ref="CQ597:EM597" si="192">SUM(CQ232:CQ238)</f>
        <v>0</v>
      </c>
      <c r="CR597" s="6">
        <f t="shared" si="192"/>
        <v>0</v>
      </c>
      <c r="CS597" s="6">
        <f t="shared" si="192"/>
        <v>0</v>
      </c>
      <c r="CT597" s="6">
        <f t="shared" si="192"/>
        <v>0</v>
      </c>
      <c r="CU597" s="6">
        <f t="shared" si="192"/>
        <v>0</v>
      </c>
      <c r="CV597" s="6">
        <f t="shared" si="192"/>
        <v>0</v>
      </c>
      <c r="CW597" s="6">
        <f t="shared" si="192"/>
        <v>0</v>
      </c>
      <c r="CX597" s="6">
        <f t="shared" si="192"/>
        <v>0</v>
      </c>
      <c r="CY597" s="6">
        <f t="shared" si="192"/>
        <v>0</v>
      </c>
      <c r="CZ597" s="6">
        <f t="shared" si="192"/>
        <v>0</v>
      </c>
      <c r="DA597" s="6">
        <f t="shared" si="192"/>
        <v>0</v>
      </c>
      <c r="DB597" s="6">
        <f t="shared" si="192"/>
        <v>0</v>
      </c>
      <c r="DC597" s="6">
        <f t="shared" si="192"/>
        <v>0</v>
      </c>
      <c r="DD597" s="6">
        <f t="shared" si="192"/>
        <v>0</v>
      </c>
      <c r="DE597" s="6">
        <f t="shared" si="192"/>
        <v>0</v>
      </c>
      <c r="DF597" s="6">
        <f t="shared" si="192"/>
        <v>0</v>
      </c>
      <c r="DG597" s="6">
        <f t="shared" si="192"/>
        <v>0</v>
      </c>
      <c r="DH597" s="6">
        <f t="shared" si="192"/>
        <v>0</v>
      </c>
      <c r="DI597" s="6">
        <f t="shared" si="192"/>
        <v>0</v>
      </c>
      <c r="DJ597" s="6">
        <f t="shared" si="192"/>
        <v>0</v>
      </c>
      <c r="DK597" s="6">
        <f t="shared" si="192"/>
        <v>0</v>
      </c>
      <c r="DL597" s="6">
        <f t="shared" si="192"/>
        <v>0</v>
      </c>
      <c r="DM597" s="6">
        <f t="shared" si="192"/>
        <v>0</v>
      </c>
      <c r="DN597" s="6">
        <f t="shared" si="192"/>
        <v>0</v>
      </c>
      <c r="DO597" s="6">
        <f t="shared" si="192"/>
        <v>0</v>
      </c>
      <c r="DP597" s="6">
        <f t="shared" si="192"/>
        <v>0</v>
      </c>
      <c r="DQ597" s="6">
        <f t="shared" si="192"/>
        <v>0</v>
      </c>
      <c r="DR597" s="6">
        <f t="shared" si="192"/>
        <v>0</v>
      </c>
      <c r="DS597" s="6">
        <f t="shared" si="192"/>
        <v>0</v>
      </c>
      <c r="DT597" s="6">
        <f t="shared" si="192"/>
        <v>0</v>
      </c>
      <c r="DU597" s="6">
        <f t="shared" si="192"/>
        <v>0</v>
      </c>
      <c r="DV597" s="6">
        <f t="shared" si="192"/>
        <v>0</v>
      </c>
      <c r="DW597" s="6">
        <f t="shared" si="192"/>
        <v>0</v>
      </c>
      <c r="DX597" s="6">
        <f t="shared" si="192"/>
        <v>0</v>
      </c>
      <c r="DY597" s="6">
        <f t="shared" si="192"/>
        <v>0</v>
      </c>
      <c r="DZ597" s="6">
        <f t="shared" si="192"/>
        <v>0</v>
      </c>
      <c r="EA597" s="6">
        <f t="shared" si="192"/>
        <v>0</v>
      </c>
      <c r="EB597" s="6">
        <f t="shared" si="192"/>
        <v>0</v>
      </c>
      <c r="EC597" s="6">
        <f t="shared" si="192"/>
        <v>0</v>
      </c>
      <c r="ED597" s="6">
        <f t="shared" si="192"/>
        <v>0</v>
      </c>
      <c r="EE597" s="6">
        <f t="shared" si="192"/>
        <v>0</v>
      </c>
      <c r="EF597" s="6">
        <f t="shared" si="192"/>
        <v>0</v>
      </c>
      <c r="EG597" s="6">
        <f t="shared" si="192"/>
        <v>0</v>
      </c>
      <c r="EH597" s="6">
        <f t="shared" si="192"/>
        <v>0</v>
      </c>
      <c r="EI597" s="6">
        <f t="shared" si="192"/>
        <v>0</v>
      </c>
      <c r="EJ597" s="6">
        <f t="shared" si="192"/>
        <v>0</v>
      </c>
      <c r="EK597" s="6">
        <f t="shared" si="192"/>
        <v>0</v>
      </c>
      <c r="EL597" s="6">
        <f t="shared" si="192"/>
        <v>0</v>
      </c>
      <c r="EM597" s="6">
        <f t="shared" si="192"/>
        <v>0</v>
      </c>
      <c r="EN597" s="6">
        <f t="shared" ref="EN597:GR597" si="193">SUM(EN232:EN238)</f>
        <v>0</v>
      </c>
      <c r="EO597" s="6">
        <f t="shared" si="193"/>
        <v>0</v>
      </c>
      <c r="EP597" s="6">
        <f t="shared" si="193"/>
        <v>0</v>
      </c>
      <c r="EQ597" s="6">
        <f t="shared" si="193"/>
        <v>0</v>
      </c>
      <c r="ER597" s="6">
        <f t="shared" si="193"/>
        <v>0</v>
      </c>
      <c r="ES597" s="6">
        <f t="shared" si="193"/>
        <v>0</v>
      </c>
      <c r="ET597" s="6">
        <f t="shared" si="193"/>
        <v>0</v>
      </c>
      <c r="EU597" s="6">
        <f t="shared" si="193"/>
        <v>0</v>
      </c>
      <c r="EV597" s="6">
        <f t="shared" si="193"/>
        <v>0</v>
      </c>
      <c r="EW597" s="6">
        <f t="shared" si="193"/>
        <v>0</v>
      </c>
      <c r="EX597" s="6">
        <f t="shared" si="193"/>
        <v>0</v>
      </c>
      <c r="EY597" s="6">
        <f t="shared" si="193"/>
        <v>0</v>
      </c>
      <c r="EZ597" s="6">
        <f t="shared" si="193"/>
        <v>0</v>
      </c>
      <c r="FA597" s="6">
        <f t="shared" si="193"/>
        <v>0</v>
      </c>
      <c r="FB597" s="6">
        <f t="shared" si="193"/>
        <v>0</v>
      </c>
      <c r="FC597" s="6">
        <f t="shared" si="193"/>
        <v>0</v>
      </c>
      <c r="FD597" s="6">
        <f t="shared" si="193"/>
        <v>0</v>
      </c>
      <c r="FE597" s="6">
        <f t="shared" si="193"/>
        <v>0</v>
      </c>
      <c r="FF597" s="6">
        <f t="shared" si="193"/>
        <v>0</v>
      </c>
      <c r="FG597" s="6">
        <f t="shared" si="193"/>
        <v>0</v>
      </c>
      <c r="FH597" s="6">
        <f t="shared" si="193"/>
        <v>0</v>
      </c>
      <c r="FI597" s="6">
        <f t="shared" si="193"/>
        <v>0</v>
      </c>
      <c r="FJ597" s="6">
        <f t="shared" si="193"/>
        <v>0</v>
      </c>
      <c r="FK597" s="6">
        <f t="shared" si="193"/>
        <v>0</v>
      </c>
      <c r="FL597" s="6">
        <f t="shared" si="193"/>
        <v>0</v>
      </c>
      <c r="FM597" s="6">
        <f t="shared" si="193"/>
        <v>0</v>
      </c>
      <c r="FN597" s="6">
        <f t="shared" si="193"/>
        <v>0</v>
      </c>
      <c r="FO597" s="6">
        <f t="shared" si="193"/>
        <v>0</v>
      </c>
      <c r="FP597" s="6">
        <f t="shared" si="193"/>
        <v>0</v>
      </c>
      <c r="FQ597" s="6">
        <f t="shared" si="193"/>
        <v>0</v>
      </c>
      <c r="FR597" s="6">
        <f t="shared" si="193"/>
        <v>0</v>
      </c>
      <c r="FS597" s="6">
        <f t="shared" si="193"/>
        <v>0</v>
      </c>
      <c r="FT597" s="6">
        <f t="shared" si="193"/>
        <v>0</v>
      </c>
      <c r="FU597" s="6">
        <f t="shared" si="193"/>
        <v>0</v>
      </c>
      <c r="FV597" s="6">
        <f t="shared" si="193"/>
        <v>0</v>
      </c>
      <c r="FW597" s="6">
        <f t="shared" si="193"/>
        <v>0</v>
      </c>
      <c r="FX597" s="6">
        <f t="shared" si="193"/>
        <v>0</v>
      </c>
      <c r="FY597" s="6">
        <f t="shared" si="193"/>
        <v>0</v>
      </c>
      <c r="FZ597" s="6">
        <f t="shared" si="193"/>
        <v>0</v>
      </c>
      <c r="GA597" s="6">
        <f t="shared" si="193"/>
        <v>0</v>
      </c>
      <c r="GB597" s="6">
        <f t="shared" si="193"/>
        <v>0</v>
      </c>
      <c r="GC597" s="6">
        <f t="shared" si="193"/>
        <v>0</v>
      </c>
      <c r="GD597" s="6">
        <f t="shared" si="193"/>
        <v>0</v>
      </c>
      <c r="GE597" s="6">
        <f t="shared" si="193"/>
        <v>0</v>
      </c>
      <c r="GF597" s="6">
        <f t="shared" si="193"/>
        <v>0</v>
      </c>
      <c r="GG597" s="6">
        <f t="shared" si="193"/>
        <v>0</v>
      </c>
      <c r="GH597" s="6">
        <f t="shared" si="193"/>
        <v>0</v>
      </c>
      <c r="GI597" s="6">
        <f t="shared" si="193"/>
        <v>193</v>
      </c>
      <c r="GJ597" s="6">
        <f t="shared" si="193"/>
        <v>162</v>
      </c>
      <c r="GK597" s="6">
        <f t="shared" si="193"/>
        <v>0</v>
      </c>
      <c r="GL597" s="6">
        <f t="shared" si="193"/>
        <v>0</v>
      </c>
      <c r="GM597" s="6">
        <f t="shared" si="193"/>
        <v>0</v>
      </c>
      <c r="GN597" s="6">
        <f t="shared" si="193"/>
        <v>0</v>
      </c>
      <c r="GO597" s="6">
        <f t="shared" si="193"/>
        <v>3290</v>
      </c>
      <c r="GP597" s="6">
        <f t="shared" si="193"/>
        <v>1327</v>
      </c>
      <c r="GQ597" s="6">
        <f t="shared" si="193"/>
        <v>3319</v>
      </c>
      <c r="GR597" s="6">
        <f t="shared" si="193"/>
        <v>1282</v>
      </c>
    </row>
    <row r="598" spans="1:200">
      <c r="A598" s="6"/>
      <c r="B598" s="16" t="s">
        <v>62</v>
      </c>
      <c r="C598" s="14">
        <f>SUM(C239:C246)</f>
        <v>6952</v>
      </c>
      <c r="D598" s="14">
        <f>SUM(D239:D246)</f>
        <v>5767</v>
      </c>
      <c r="E598" s="15">
        <f t="shared" si="28"/>
        <v>0.82954545454545459</v>
      </c>
      <c r="F598" s="66">
        <f t="shared" ref="F598:AB598" si="194">SUM(F239:F246)</f>
        <v>2449</v>
      </c>
      <c r="G598" s="6">
        <f t="shared" si="194"/>
        <v>14</v>
      </c>
      <c r="H598" s="6">
        <f t="shared" si="194"/>
        <v>233</v>
      </c>
      <c r="I598" s="6">
        <f t="shared" si="194"/>
        <v>36</v>
      </c>
      <c r="J598" s="59">
        <f t="shared" si="194"/>
        <v>2787</v>
      </c>
      <c r="K598" s="6">
        <f t="shared" si="194"/>
        <v>0</v>
      </c>
      <c r="L598" s="6">
        <f t="shared" si="194"/>
        <v>0</v>
      </c>
      <c r="M598" s="6">
        <f t="shared" si="194"/>
        <v>0</v>
      </c>
      <c r="N598" s="6">
        <f t="shared" si="194"/>
        <v>0</v>
      </c>
      <c r="O598" s="6">
        <f t="shared" si="194"/>
        <v>0</v>
      </c>
      <c r="P598" s="6">
        <f t="shared" si="194"/>
        <v>0</v>
      </c>
      <c r="Q598" s="6">
        <f t="shared" si="194"/>
        <v>0</v>
      </c>
      <c r="R598" s="6">
        <f t="shared" si="194"/>
        <v>1</v>
      </c>
      <c r="S598" s="6">
        <f t="shared" si="194"/>
        <v>0</v>
      </c>
      <c r="T598" s="6">
        <f t="shared" si="194"/>
        <v>0</v>
      </c>
      <c r="U598" s="6">
        <f t="shared" si="194"/>
        <v>0</v>
      </c>
      <c r="V598" s="6">
        <f t="shared" si="194"/>
        <v>5</v>
      </c>
      <c r="W598" s="6">
        <f t="shared" si="194"/>
        <v>57</v>
      </c>
      <c r="X598" s="6">
        <f t="shared" si="194"/>
        <v>0</v>
      </c>
      <c r="Y598" s="6">
        <f t="shared" si="194"/>
        <v>0</v>
      </c>
      <c r="Z598" s="6">
        <f t="shared" si="194"/>
        <v>0</v>
      </c>
      <c r="AA598" s="6">
        <f t="shared" si="194"/>
        <v>0</v>
      </c>
      <c r="AB598" s="6">
        <f t="shared" si="194"/>
        <v>0</v>
      </c>
      <c r="AC598" s="6">
        <f t="shared" ref="AC598:BZ598" si="195">SUM(AC239:AC246)</f>
        <v>52</v>
      </c>
      <c r="AD598" s="6">
        <f t="shared" si="195"/>
        <v>66</v>
      </c>
      <c r="AE598" s="6">
        <f t="shared" si="195"/>
        <v>3865</v>
      </c>
      <c r="AF598" s="6">
        <f t="shared" si="195"/>
        <v>39</v>
      </c>
      <c r="AG598" s="6">
        <f t="shared" si="195"/>
        <v>0</v>
      </c>
      <c r="AH598" s="6">
        <f t="shared" si="195"/>
        <v>1560</v>
      </c>
      <c r="AI598" s="6">
        <f t="shared" si="195"/>
        <v>0</v>
      </c>
      <c r="AJ598" s="6">
        <f t="shared" si="195"/>
        <v>0</v>
      </c>
      <c r="AK598" s="6">
        <f t="shared" si="195"/>
        <v>0</v>
      </c>
      <c r="AL598" s="6">
        <f t="shared" si="195"/>
        <v>0</v>
      </c>
      <c r="AM598" s="6">
        <f t="shared" si="195"/>
        <v>169</v>
      </c>
      <c r="AN598" s="6">
        <f t="shared" si="195"/>
        <v>1463</v>
      </c>
      <c r="AO598" s="6">
        <f t="shared" si="195"/>
        <v>3772</v>
      </c>
      <c r="AP598" s="6">
        <f t="shared" si="195"/>
        <v>1844</v>
      </c>
      <c r="AQ598" s="6">
        <f t="shared" si="195"/>
        <v>3345</v>
      </c>
      <c r="AR598" s="6">
        <f t="shared" si="195"/>
        <v>0</v>
      </c>
      <c r="AS598" s="6">
        <f t="shared" si="195"/>
        <v>0</v>
      </c>
      <c r="AT598" s="6">
        <f t="shared" si="195"/>
        <v>3698</v>
      </c>
      <c r="AU598" s="6">
        <f t="shared" si="195"/>
        <v>1696</v>
      </c>
      <c r="AV598" s="6">
        <f t="shared" si="195"/>
        <v>0</v>
      </c>
      <c r="AW598" s="6">
        <f t="shared" si="195"/>
        <v>0</v>
      </c>
      <c r="AX598" s="6">
        <f t="shared" si="195"/>
        <v>0</v>
      </c>
      <c r="AY598" s="6">
        <f t="shared" si="195"/>
        <v>0</v>
      </c>
      <c r="AZ598" s="6">
        <f t="shared" si="195"/>
        <v>0</v>
      </c>
      <c r="BA598" s="6">
        <f t="shared" si="195"/>
        <v>0</v>
      </c>
      <c r="BB598" s="6">
        <f t="shared" si="195"/>
        <v>0</v>
      </c>
      <c r="BC598" s="6">
        <f t="shared" si="195"/>
        <v>0</v>
      </c>
      <c r="BD598" s="6">
        <f t="shared" si="195"/>
        <v>0</v>
      </c>
      <c r="BE598" s="6">
        <f t="shared" si="195"/>
        <v>2930</v>
      </c>
      <c r="BF598" s="6">
        <f t="shared" si="195"/>
        <v>2403</v>
      </c>
      <c r="BG598" s="6">
        <f t="shared" si="195"/>
        <v>3415</v>
      </c>
      <c r="BH598" s="6">
        <f t="shared" si="195"/>
        <v>1968</v>
      </c>
      <c r="BI598" s="6">
        <f t="shared" si="195"/>
        <v>3727</v>
      </c>
      <c r="BJ598" s="6">
        <f t="shared" si="195"/>
        <v>1571</v>
      </c>
      <c r="BK598" s="6">
        <f t="shared" si="195"/>
        <v>2284</v>
      </c>
      <c r="BL598" s="6">
        <f t="shared" si="195"/>
        <v>3031</v>
      </c>
      <c r="BM598" s="6">
        <f t="shared" si="195"/>
        <v>2806</v>
      </c>
      <c r="BN598" s="6">
        <f t="shared" si="195"/>
        <v>2393</v>
      </c>
      <c r="BO598" s="6">
        <f t="shared" si="195"/>
        <v>1793</v>
      </c>
      <c r="BP598" s="6">
        <f t="shared" si="195"/>
        <v>3316</v>
      </c>
      <c r="BQ598" s="6">
        <f t="shared" si="195"/>
        <v>3730</v>
      </c>
      <c r="BR598" s="6">
        <f t="shared" si="195"/>
        <v>1475</v>
      </c>
      <c r="BS598" s="6">
        <f t="shared" si="195"/>
        <v>3809</v>
      </c>
      <c r="BT598" s="6">
        <f t="shared" si="195"/>
        <v>2266</v>
      </c>
      <c r="BU598" s="6">
        <f t="shared" si="195"/>
        <v>2851</v>
      </c>
      <c r="BV598" s="6">
        <f t="shared" si="195"/>
        <v>3644</v>
      </c>
      <c r="BW598" s="6">
        <f t="shared" si="195"/>
        <v>2707</v>
      </c>
      <c r="BX598" s="6">
        <f t="shared" si="195"/>
        <v>1485</v>
      </c>
      <c r="BY598" s="6">
        <f t="shared" si="195"/>
        <v>3081</v>
      </c>
      <c r="BZ598" s="6">
        <f t="shared" si="195"/>
        <v>1510</v>
      </c>
      <c r="CA598" s="6">
        <f t="shared" ref="CA598:CP598" si="196">SUM(CA239:CA246)</f>
        <v>3291</v>
      </c>
      <c r="CB598" s="6">
        <f t="shared" si="196"/>
        <v>2495</v>
      </c>
      <c r="CC598" s="6">
        <f t="shared" si="196"/>
        <v>1580</v>
      </c>
      <c r="CD598" s="6">
        <f t="shared" si="196"/>
        <v>3013</v>
      </c>
      <c r="CE598" s="6">
        <f t="shared" si="196"/>
        <v>1601</v>
      </c>
      <c r="CF598" s="6">
        <f t="shared" si="196"/>
        <v>2648</v>
      </c>
      <c r="CG598" s="6">
        <f t="shared" si="196"/>
        <v>2645</v>
      </c>
      <c r="CH598" s="6">
        <f t="shared" si="196"/>
        <v>1371</v>
      </c>
      <c r="CI598" s="6">
        <f t="shared" si="196"/>
        <v>979</v>
      </c>
      <c r="CJ598" s="6">
        <f t="shared" si="196"/>
        <v>3133</v>
      </c>
      <c r="CK598" s="6">
        <f t="shared" si="196"/>
        <v>2583</v>
      </c>
      <c r="CL598" s="6">
        <f t="shared" si="196"/>
        <v>1411</v>
      </c>
      <c r="CM598" s="6">
        <f t="shared" si="196"/>
        <v>3127</v>
      </c>
      <c r="CN598" s="6">
        <f t="shared" si="196"/>
        <v>3092</v>
      </c>
      <c r="CO598" s="6">
        <f t="shared" si="196"/>
        <v>1218</v>
      </c>
      <c r="CP598" s="6">
        <f t="shared" si="196"/>
        <v>2827</v>
      </c>
      <c r="CQ598" s="6">
        <f t="shared" ref="CQ598:EM598" si="197">SUM(CQ239:CQ246)</f>
        <v>0</v>
      </c>
      <c r="CR598" s="6">
        <f t="shared" si="197"/>
        <v>0</v>
      </c>
      <c r="CS598" s="6">
        <f t="shared" si="197"/>
        <v>0</v>
      </c>
      <c r="CT598" s="6">
        <f t="shared" si="197"/>
        <v>0</v>
      </c>
      <c r="CU598" s="6">
        <f t="shared" si="197"/>
        <v>0</v>
      </c>
      <c r="CV598" s="6">
        <f t="shared" si="197"/>
        <v>0</v>
      </c>
      <c r="CW598" s="6">
        <f t="shared" si="197"/>
        <v>0</v>
      </c>
      <c r="CX598" s="6">
        <f t="shared" si="197"/>
        <v>0</v>
      </c>
      <c r="CY598" s="6">
        <f t="shared" si="197"/>
        <v>0</v>
      </c>
      <c r="CZ598" s="6">
        <f t="shared" si="197"/>
        <v>0</v>
      </c>
      <c r="DA598" s="6">
        <f t="shared" si="197"/>
        <v>0</v>
      </c>
      <c r="DB598" s="6">
        <f t="shared" si="197"/>
        <v>0</v>
      </c>
      <c r="DC598" s="6">
        <f t="shared" si="197"/>
        <v>0</v>
      </c>
      <c r="DD598" s="6">
        <f t="shared" si="197"/>
        <v>0</v>
      </c>
      <c r="DE598" s="6">
        <f t="shared" si="197"/>
        <v>0</v>
      </c>
      <c r="DF598" s="6">
        <f t="shared" si="197"/>
        <v>0</v>
      </c>
      <c r="DG598" s="6">
        <f t="shared" si="197"/>
        <v>0</v>
      </c>
      <c r="DH598" s="6">
        <f t="shared" si="197"/>
        <v>0</v>
      </c>
      <c r="DI598" s="6">
        <f t="shared" si="197"/>
        <v>0</v>
      </c>
      <c r="DJ598" s="6">
        <f t="shared" si="197"/>
        <v>0</v>
      </c>
      <c r="DK598" s="6">
        <f t="shared" si="197"/>
        <v>0</v>
      </c>
      <c r="DL598" s="6">
        <f t="shared" si="197"/>
        <v>0</v>
      </c>
      <c r="DM598" s="6">
        <f t="shared" si="197"/>
        <v>0</v>
      </c>
      <c r="DN598" s="6">
        <f t="shared" si="197"/>
        <v>0</v>
      </c>
      <c r="DO598" s="6">
        <f t="shared" si="197"/>
        <v>0</v>
      </c>
      <c r="DP598" s="6">
        <f t="shared" si="197"/>
        <v>0</v>
      </c>
      <c r="DQ598" s="6">
        <f t="shared" si="197"/>
        <v>0</v>
      </c>
      <c r="DR598" s="6">
        <f t="shared" si="197"/>
        <v>0</v>
      </c>
      <c r="DS598" s="6">
        <f t="shared" si="197"/>
        <v>0</v>
      </c>
      <c r="DT598" s="6">
        <f t="shared" si="197"/>
        <v>0</v>
      </c>
      <c r="DU598" s="6">
        <f t="shared" si="197"/>
        <v>0</v>
      </c>
      <c r="DV598" s="6">
        <f t="shared" si="197"/>
        <v>0</v>
      </c>
      <c r="DW598" s="6">
        <f t="shared" si="197"/>
        <v>0</v>
      </c>
      <c r="DX598" s="6">
        <f t="shared" si="197"/>
        <v>0</v>
      </c>
      <c r="DY598" s="6">
        <f t="shared" si="197"/>
        <v>0</v>
      </c>
      <c r="DZ598" s="6">
        <f t="shared" si="197"/>
        <v>0</v>
      </c>
      <c r="EA598" s="6">
        <f t="shared" si="197"/>
        <v>0</v>
      </c>
      <c r="EB598" s="6">
        <f t="shared" si="197"/>
        <v>0</v>
      </c>
      <c r="EC598" s="6">
        <f t="shared" si="197"/>
        <v>0</v>
      </c>
      <c r="ED598" s="6">
        <f t="shared" si="197"/>
        <v>0</v>
      </c>
      <c r="EE598" s="6">
        <f t="shared" si="197"/>
        <v>0</v>
      </c>
      <c r="EF598" s="6">
        <f t="shared" si="197"/>
        <v>0</v>
      </c>
      <c r="EG598" s="6">
        <f t="shared" si="197"/>
        <v>0</v>
      </c>
      <c r="EH598" s="6">
        <f t="shared" si="197"/>
        <v>0</v>
      </c>
      <c r="EI598" s="6">
        <f t="shared" si="197"/>
        <v>0</v>
      </c>
      <c r="EJ598" s="6">
        <f t="shared" si="197"/>
        <v>0</v>
      </c>
      <c r="EK598" s="6">
        <f t="shared" si="197"/>
        <v>0</v>
      </c>
      <c r="EL598" s="6">
        <f t="shared" si="197"/>
        <v>0</v>
      </c>
      <c r="EM598" s="6">
        <f t="shared" si="197"/>
        <v>0</v>
      </c>
      <c r="EN598" s="6">
        <f t="shared" ref="EN598:GR598" si="198">SUM(EN239:EN246)</f>
        <v>0</v>
      </c>
      <c r="EO598" s="6">
        <f t="shared" si="198"/>
        <v>0</v>
      </c>
      <c r="EP598" s="6">
        <f t="shared" si="198"/>
        <v>0</v>
      </c>
      <c r="EQ598" s="6">
        <f t="shared" si="198"/>
        <v>0</v>
      </c>
      <c r="ER598" s="6">
        <f t="shared" si="198"/>
        <v>0</v>
      </c>
      <c r="ES598" s="6">
        <f t="shared" si="198"/>
        <v>0</v>
      </c>
      <c r="ET598" s="6">
        <f t="shared" si="198"/>
        <v>0</v>
      </c>
      <c r="EU598" s="6">
        <f t="shared" si="198"/>
        <v>0</v>
      </c>
      <c r="EV598" s="6">
        <f t="shared" si="198"/>
        <v>0</v>
      </c>
      <c r="EW598" s="6">
        <f t="shared" si="198"/>
        <v>0</v>
      </c>
      <c r="EX598" s="6">
        <f t="shared" si="198"/>
        <v>0</v>
      </c>
      <c r="EY598" s="6">
        <f t="shared" si="198"/>
        <v>0</v>
      </c>
      <c r="EZ598" s="6">
        <f t="shared" si="198"/>
        <v>0</v>
      </c>
      <c r="FA598" s="6">
        <f t="shared" si="198"/>
        <v>0</v>
      </c>
      <c r="FB598" s="6">
        <f t="shared" si="198"/>
        <v>0</v>
      </c>
      <c r="FC598" s="6">
        <f t="shared" si="198"/>
        <v>0</v>
      </c>
      <c r="FD598" s="6">
        <f t="shared" si="198"/>
        <v>0</v>
      </c>
      <c r="FE598" s="6">
        <f t="shared" si="198"/>
        <v>0</v>
      </c>
      <c r="FF598" s="6">
        <f t="shared" si="198"/>
        <v>0</v>
      </c>
      <c r="FG598" s="6">
        <f t="shared" si="198"/>
        <v>0</v>
      </c>
      <c r="FH598" s="6">
        <f t="shared" si="198"/>
        <v>0</v>
      </c>
      <c r="FI598" s="6">
        <f t="shared" si="198"/>
        <v>0</v>
      </c>
      <c r="FJ598" s="6">
        <f t="shared" si="198"/>
        <v>0</v>
      </c>
      <c r="FK598" s="6">
        <f t="shared" si="198"/>
        <v>0</v>
      </c>
      <c r="FL598" s="6">
        <f t="shared" si="198"/>
        <v>0</v>
      </c>
      <c r="FM598" s="6">
        <f t="shared" si="198"/>
        <v>0</v>
      </c>
      <c r="FN598" s="6">
        <f t="shared" si="198"/>
        <v>0</v>
      </c>
      <c r="FO598" s="6">
        <f t="shared" si="198"/>
        <v>0</v>
      </c>
      <c r="FP598" s="6">
        <f t="shared" si="198"/>
        <v>0</v>
      </c>
      <c r="FQ598" s="6">
        <f t="shared" si="198"/>
        <v>0</v>
      </c>
      <c r="FR598" s="6">
        <f t="shared" si="198"/>
        <v>0</v>
      </c>
      <c r="FS598" s="6">
        <f t="shared" si="198"/>
        <v>0</v>
      </c>
      <c r="FT598" s="6">
        <f t="shared" si="198"/>
        <v>0</v>
      </c>
      <c r="FU598" s="6">
        <f t="shared" si="198"/>
        <v>0</v>
      </c>
      <c r="FV598" s="6">
        <f t="shared" si="198"/>
        <v>0</v>
      </c>
      <c r="FW598" s="6">
        <f t="shared" si="198"/>
        <v>0</v>
      </c>
      <c r="FX598" s="6">
        <f t="shared" si="198"/>
        <v>0</v>
      </c>
      <c r="FY598" s="6">
        <f t="shared" si="198"/>
        <v>7</v>
      </c>
      <c r="FZ598" s="6">
        <f t="shared" si="198"/>
        <v>4</v>
      </c>
      <c r="GA598" s="6">
        <f t="shared" si="198"/>
        <v>0</v>
      </c>
      <c r="GB598" s="6">
        <f t="shared" si="198"/>
        <v>0</v>
      </c>
      <c r="GC598" s="6">
        <f t="shared" si="198"/>
        <v>3375</v>
      </c>
      <c r="GD598" s="6">
        <f t="shared" si="198"/>
        <v>2145</v>
      </c>
      <c r="GE598" s="6">
        <f t="shared" si="198"/>
        <v>0</v>
      </c>
      <c r="GF598" s="6">
        <f t="shared" si="198"/>
        <v>0</v>
      </c>
      <c r="GG598" s="6">
        <f t="shared" si="198"/>
        <v>0</v>
      </c>
      <c r="GH598" s="6">
        <f t="shared" si="198"/>
        <v>0</v>
      </c>
      <c r="GI598" s="6">
        <f t="shared" si="198"/>
        <v>0</v>
      </c>
      <c r="GJ598" s="6">
        <f t="shared" si="198"/>
        <v>0</v>
      </c>
      <c r="GK598" s="6">
        <f t="shared" si="198"/>
        <v>0</v>
      </c>
      <c r="GL598" s="6">
        <f t="shared" si="198"/>
        <v>0</v>
      </c>
      <c r="GM598" s="6">
        <f t="shared" si="198"/>
        <v>0</v>
      </c>
      <c r="GN598" s="6">
        <f t="shared" si="198"/>
        <v>0</v>
      </c>
      <c r="GO598" s="6">
        <f t="shared" si="198"/>
        <v>4100</v>
      </c>
      <c r="GP598" s="6">
        <f t="shared" si="198"/>
        <v>1456</v>
      </c>
      <c r="GQ598" s="6">
        <f t="shared" si="198"/>
        <v>4069</v>
      </c>
      <c r="GR598" s="6">
        <f t="shared" si="198"/>
        <v>1436</v>
      </c>
    </row>
    <row r="599" spans="1:200">
      <c r="A599" s="6"/>
      <c r="B599" s="16" t="s">
        <v>34</v>
      </c>
      <c r="C599" s="14">
        <f>SUM(C389:C391)</f>
        <v>24</v>
      </c>
      <c r="D599" s="14">
        <f>SUM(D389:D391)</f>
        <v>20</v>
      </c>
      <c r="E599" s="15">
        <f t="shared" si="28"/>
        <v>0.83333333333333337</v>
      </c>
      <c r="F599" s="66">
        <f t="shared" ref="F599:AB599" si="199">SUM(F389:F391)</f>
        <v>4</v>
      </c>
      <c r="G599" s="6">
        <f t="shared" si="199"/>
        <v>0</v>
      </c>
      <c r="H599" s="6">
        <f t="shared" si="199"/>
        <v>1</v>
      </c>
      <c r="I599" s="6">
        <f t="shared" si="199"/>
        <v>0</v>
      </c>
      <c r="J599" s="59">
        <f t="shared" si="199"/>
        <v>15</v>
      </c>
      <c r="K599" s="6">
        <f t="shared" si="199"/>
        <v>0</v>
      </c>
      <c r="L599" s="6">
        <f t="shared" si="199"/>
        <v>0</v>
      </c>
      <c r="M599" s="6">
        <f t="shared" si="199"/>
        <v>0</v>
      </c>
      <c r="N599" s="6">
        <f t="shared" si="199"/>
        <v>0</v>
      </c>
      <c r="O599" s="6">
        <f t="shared" si="199"/>
        <v>0</v>
      </c>
      <c r="P599" s="6">
        <f t="shared" si="199"/>
        <v>0</v>
      </c>
      <c r="Q599" s="6">
        <f t="shared" si="199"/>
        <v>0</v>
      </c>
      <c r="R599" s="6">
        <f t="shared" si="199"/>
        <v>0</v>
      </c>
      <c r="S599" s="6">
        <f t="shared" si="199"/>
        <v>0</v>
      </c>
      <c r="T599" s="6">
        <f t="shared" si="199"/>
        <v>0</v>
      </c>
      <c r="U599" s="6">
        <f t="shared" si="199"/>
        <v>0</v>
      </c>
      <c r="V599" s="6">
        <f t="shared" si="199"/>
        <v>0</v>
      </c>
      <c r="W599" s="6">
        <f t="shared" si="199"/>
        <v>0</v>
      </c>
      <c r="X599" s="6">
        <f t="shared" si="199"/>
        <v>0</v>
      </c>
      <c r="Y599" s="6">
        <f t="shared" si="199"/>
        <v>0</v>
      </c>
      <c r="Z599" s="6">
        <f t="shared" si="199"/>
        <v>0</v>
      </c>
      <c r="AA599" s="6">
        <f t="shared" si="199"/>
        <v>0</v>
      </c>
      <c r="AB599" s="6">
        <f t="shared" si="199"/>
        <v>0</v>
      </c>
      <c r="AC599" s="6">
        <f t="shared" ref="AC599:BZ599" si="200">SUM(AC389:AC391)</f>
        <v>0</v>
      </c>
      <c r="AD599" s="6">
        <f t="shared" si="200"/>
        <v>0</v>
      </c>
      <c r="AE599" s="6">
        <f t="shared" si="200"/>
        <v>17</v>
      </c>
      <c r="AF599" s="6">
        <f t="shared" si="200"/>
        <v>1</v>
      </c>
      <c r="AG599" s="6">
        <f t="shared" si="200"/>
        <v>0</v>
      </c>
      <c r="AH599" s="6">
        <f t="shared" si="200"/>
        <v>1</v>
      </c>
      <c r="AI599" s="6">
        <f t="shared" si="200"/>
        <v>0</v>
      </c>
      <c r="AJ599" s="6">
        <f t="shared" si="200"/>
        <v>0</v>
      </c>
      <c r="AK599" s="6">
        <f t="shared" si="200"/>
        <v>0</v>
      </c>
      <c r="AL599" s="6">
        <f t="shared" si="200"/>
        <v>0</v>
      </c>
      <c r="AM599" s="6">
        <f t="shared" si="200"/>
        <v>0</v>
      </c>
      <c r="AN599" s="6">
        <f t="shared" si="200"/>
        <v>1</v>
      </c>
      <c r="AO599" s="6">
        <f t="shared" si="200"/>
        <v>18</v>
      </c>
      <c r="AP599" s="6">
        <f t="shared" si="200"/>
        <v>0</v>
      </c>
      <c r="AQ599" s="6">
        <f t="shared" si="200"/>
        <v>0</v>
      </c>
      <c r="AR599" s="6">
        <f t="shared" si="200"/>
        <v>18</v>
      </c>
      <c r="AS599" s="6">
        <f t="shared" si="200"/>
        <v>1</v>
      </c>
      <c r="AT599" s="6">
        <f t="shared" si="200"/>
        <v>0</v>
      </c>
      <c r="AU599" s="6">
        <f t="shared" si="200"/>
        <v>0</v>
      </c>
      <c r="AV599" s="6">
        <f t="shared" si="200"/>
        <v>0</v>
      </c>
      <c r="AW599" s="6">
        <f t="shared" si="200"/>
        <v>0</v>
      </c>
      <c r="AX599" s="6">
        <f t="shared" si="200"/>
        <v>0</v>
      </c>
      <c r="AY599" s="6">
        <f t="shared" si="200"/>
        <v>0</v>
      </c>
      <c r="AZ599" s="6">
        <f t="shared" si="200"/>
        <v>0</v>
      </c>
      <c r="BA599" s="6">
        <f t="shared" si="200"/>
        <v>0</v>
      </c>
      <c r="BB599" s="6">
        <f t="shared" si="200"/>
        <v>0</v>
      </c>
      <c r="BC599" s="6">
        <f t="shared" si="200"/>
        <v>0</v>
      </c>
      <c r="BD599" s="6">
        <f t="shared" si="200"/>
        <v>0</v>
      </c>
      <c r="BE599" s="6">
        <f t="shared" si="200"/>
        <v>15</v>
      </c>
      <c r="BF599" s="6">
        <f t="shared" si="200"/>
        <v>4</v>
      </c>
      <c r="BG599" s="6">
        <f t="shared" si="200"/>
        <v>17</v>
      </c>
      <c r="BH599" s="6">
        <f t="shared" si="200"/>
        <v>1</v>
      </c>
      <c r="BI599" s="6">
        <f t="shared" si="200"/>
        <v>17</v>
      </c>
      <c r="BJ599" s="6">
        <f t="shared" si="200"/>
        <v>2</v>
      </c>
      <c r="BK599" s="6">
        <f t="shared" si="200"/>
        <v>4</v>
      </c>
      <c r="BL599" s="6">
        <f t="shared" si="200"/>
        <v>15</v>
      </c>
      <c r="BM599" s="6">
        <f t="shared" si="200"/>
        <v>15</v>
      </c>
      <c r="BN599" s="6">
        <f t="shared" si="200"/>
        <v>4</v>
      </c>
      <c r="BO599" s="6">
        <f t="shared" si="200"/>
        <v>2</v>
      </c>
      <c r="BP599" s="6">
        <f t="shared" si="200"/>
        <v>15</v>
      </c>
      <c r="BQ599" s="6">
        <f t="shared" si="200"/>
        <v>18</v>
      </c>
      <c r="BR599" s="6">
        <f t="shared" si="200"/>
        <v>1</v>
      </c>
      <c r="BS599" s="6">
        <f t="shared" si="200"/>
        <v>14</v>
      </c>
      <c r="BT599" s="6">
        <f t="shared" si="200"/>
        <v>13</v>
      </c>
      <c r="BU599" s="6">
        <f t="shared" si="200"/>
        <v>4</v>
      </c>
      <c r="BV599" s="6">
        <f t="shared" si="200"/>
        <v>15</v>
      </c>
      <c r="BW599" s="6">
        <f t="shared" si="200"/>
        <v>10</v>
      </c>
      <c r="BX599" s="6">
        <f t="shared" si="200"/>
        <v>5</v>
      </c>
      <c r="BY599" s="6">
        <f t="shared" si="200"/>
        <v>14</v>
      </c>
      <c r="BZ599" s="6">
        <f t="shared" si="200"/>
        <v>4</v>
      </c>
      <c r="CA599" s="6">
        <f t="shared" ref="CA599:CP599" si="201">SUM(CA389:CA391)</f>
        <v>11</v>
      </c>
      <c r="CB599" s="6">
        <f t="shared" si="201"/>
        <v>12</v>
      </c>
      <c r="CC599" s="6">
        <f t="shared" si="201"/>
        <v>4</v>
      </c>
      <c r="CD599" s="6">
        <f t="shared" si="201"/>
        <v>12</v>
      </c>
      <c r="CE599" s="6">
        <f t="shared" si="201"/>
        <v>4</v>
      </c>
      <c r="CF599" s="6">
        <f t="shared" si="201"/>
        <v>11</v>
      </c>
      <c r="CG599" s="6">
        <f t="shared" si="201"/>
        <v>10</v>
      </c>
      <c r="CH599" s="6">
        <f t="shared" si="201"/>
        <v>4</v>
      </c>
      <c r="CI599" s="6">
        <f t="shared" si="201"/>
        <v>3</v>
      </c>
      <c r="CJ599" s="6">
        <f t="shared" si="201"/>
        <v>11</v>
      </c>
      <c r="CK599" s="6">
        <f t="shared" si="201"/>
        <v>10</v>
      </c>
      <c r="CL599" s="6">
        <f t="shared" si="201"/>
        <v>5</v>
      </c>
      <c r="CM599" s="6">
        <f t="shared" si="201"/>
        <v>12</v>
      </c>
      <c r="CN599" s="6">
        <f t="shared" si="201"/>
        <v>12</v>
      </c>
      <c r="CO599" s="6">
        <f t="shared" si="201"/>
        <v>4</v>
      </c>
      <c r="CP599" s="6">
        <f t="shared" si="201"/>
        <v>10</v>
      </c>
      <c r="CQ599" s="6">
        <f t="shared" ref="CQ599:EM599" si="202">SUM(CQ389:CQ391)</f>
        <v>0</v>
      </c>
      <c r="CR599" s="6">
        <f t="shared" si="202"/>
        <v>0</v>
      </c>
      <c r="CS599" s="6">
        <f t="shared" si="202"/>
        <v>0</v>
      </c>
      <c r="CT599" s="6">
        <f t="shared" si="202"/>
        <v>0</v>
      </c>
      <c r="CU599" s="6">
        <f t="shared" si="202"/>
        <v>0</v>
      </c>
      <c r="CV599" s="6">
        <f t="shared" si="202"/>
        <v>0</v>
      </c>
      <c r="CW599" s="6">
        <f t="shared" si="202"/>
        <v>0</v>
      </c>
      <c r="CX599" s="6">
        <f t="shared" si="202"/>
        <v>0</v>
      </c>
      <c r="CY599" s="6">
        <f t="shared" si="202"/>
        <v>0</v>
      </c>
      <c r="CZ599" s="6">
        <f t="shared" si="202"/>
        <v>0</v>
      </c>
      <c r="DA599" s="6">
        <f t="shared" si="202"/>
        <v>0</v>
      </c>
      <c r="DB599" s="6">
        <f t="shared" si="202"/>
        <v>0</v>
      </c>
      <c r="DC599" s="6">
        <f t="shared" si="202"/>
        <v>0</v>
      </c>
      <c r="DD599" s="6">
        <f t="shared" si="202"/>
        <v>0</v>
      </c>
      <c r="DE599" s="6">
        <f t="shared" si="202"/>
        <v>0</v>
      </c>
      <c r="DF599" s="6">
        <f t="shared" si="202"/>
        <v>0</v>
      </c>
      <c r="DG599" s="6">
        <f t="shared" si="202"/>
        <v>0</v>
      </c>
      <c r="DH599" s="6">
        <f t="shared" si="202"/>
        <v>0</v>
      </c>
      <c r="DI599" s="6">
        <f t="shared" si="202"/>
        <v>0</v>
      </c>
      <c r="DJ599" s="6">
        <f t="shared" si="202"/>
        <v>0</v>
      </c>
      <c r="DK599" s="6">
        <f t="shared" si="202"/>
        <v>0</v>
      </c>
      <c r="DL599" s="6">
        <f t="shared" si="202"/>
        <v>0</v>
      </c>
      <c r="DM599" s="6">
        <f t="shared" si="202"/>
        <v>0</v>
      </c>
      <c r="DN599" s="6">
        <f t="shared" si="202"/>
        <v>0</v>
      </c>
      <c r="DO599" s="6">
        <f t="shared" si="202"/>
        <v>0</v>
      </c>
      <c r="DP599" s="6">
        <f t="shared" si="202"/>
        <v>0</v>
      </c>
      <c r="DQ599" s="6">
        <f t="shared" si="202"/>
        <v>0</v>
      </c>
      <c r="DR599" s="6">
        <f t="shared" si="202"/>
        <v>0</v>
      </c>
      <c r="DS599" s="6">
        <f t="shared" si="202"/>
        <v>0</v>
      </c>
      <c r="DT599" s="6">
        <f t="shared" si="202"/>
        <v>0</v>
      </c>
      <c r="DU599" s="6">
        <f t="shared" si="202"/>
        <v>0</v>
      </c>
      <c r="DV599" s="6">
        <f t="shared" si="202"/>
        <v>0</v>
      </c>
      <c r="DW599" s="6">
        <f t="shared" si="202"/>
        <v>0</v>
      </c>
      <c r="DX599" s="6">
        <f t="shared" si="202"/>
        <v>0</v>
      </c>
      <c r="DY599" s="6">
        <f t="shared" si="202"/>
        <v>0</v>
      </c>
      <c r="DZ599" s="6">
        <f t="shared" si="202"/>
        <v>0</v>
      </c>
      <c r="EA599" s="6">
        <f t="shared" si="202"/>
        <v>0</v>
      </c>
      <c r="EB599" s="6">
        <f t="shared" si="202"/>
        <v>0</v>
      </c>
      <c r="EC599" s="6">
        <f t="shared" si="202"/>
        <v>0</v>
      </c>
      <c r="ED599" s="6">
        <f t="shared" si="202"/>
        <v>0</v>
      </c>
      <c r="EE599" s="6">
        <f t="shared" si="202"/>
        <v>0</v>
      </c>
      <c r="EF599" s="6">
        <f t="shared" si="202"/>
        <v>0</v>
      </c>
      <c r="EG599" s="6">
        <f t="shared" si="202"/>
        <v>0</v>
      </c>
      <c r="EH599" s="6">
        <f t="shared" si="202"/>
        <v>0</v>
      </c>
      <c r="EI599" s="6">
        <f t="shared" si="202"/>
        <v>0</v>
      </c>
      <c r="EJ599" s="6">
        <f t="shared" si="202"/>
        <v>0</v>
      </c>
      <c r="EK599" s="6">
        <f t="shared" si="202"/>
        <v>0</v>
      </c>
      <c r="EL599" s="6">
        <f t="shared" si="202"/>
        <v>0</v>
      </c>
      <c r="EM599" s="6">
        <f t="shared" si="202"/>
        <v>0</v>
      </c>
      <c r="EN599" s="6">
        <f t="shared" ref="EN599:GR599" si="203">SUM(EN389:EN391)</f>
        <v>0</v>
      </c>
      <c r="EO599" s="6">
        <f t="shared" si="203"/>
        <v>0</v>
      </c>
      <c r="EP599" s="6">
        <f t="shared" si="203"/>
        <v>0</v>
      </c>
      <c r="EQ599" s="6">
        <f t="shared" si="203"/>
        <v>0</v>
      </c>
      <c r="ER599" s="6">
        <f t="shared" si="203"/>
        <v>0</v>
      </c>
      <c r="ES599" s="6">
        <f t="shared" si="203"/>
        <v>0</v>
      </c>
      <c r="ET599" s="6">
        <f t="shared" si="203"/>
        <v>0</v>
      </c>
      <c r="EU599" s="6">
        <f t="shared" si="203"/>
        <v>0</v>
      </c>
      <c r="EV599" s="6">
        <f t="shared" si="203"/>
        <v>0</v>
      </c>
      <c r="EW599" s="6">
        <f t="shared" si="203"/>
        <v>0</v>
      </c>
      <c r="EX599" s="6">
        <f t="shared" si="203"/>
        <v>0</v>
      </c>
      <c r="EY599" s="6">
        <f t="shared" si="203"/>
        <v>0</v>
      </c>
      <c r="EZ599" s="6">
        <f t="shared" si="203"/>
        <v>0</v>
      </c>
      <c r="FA599" s="6">
        <f t="shared" si="203"/>
        <v>0</v>
      </c>
      <c r="FB599" s="6">
        <f t="shared" si="203"/>
        <v>0</v>
      </c>
      <c r="FC599" s="6">
        <f t="shared" si="203"/>
        <v>0</v>
      </c>
      <c r="FD599" s="6">
        <f t="shared" si="203"/>
        <v>0</v>
      </c>
      <c r="FE599" s="6">
        <f t="shared" si="203"/>
        <v>0</v>
      </c>
      <c r="FF599" s="6">
        <f t="shared" si="203"/>
        <v>0</v>
      </c>
      <c r="FG599" s="6">
        <f t="shared" si="203"/>
        <v>0</v>
      </c>
      <c r="FH599" s="6">
        <f t="shared" si="203"/>
        <v>0</v>
      </c>
      <c r="FI599" s="6">
        <f t="shared" si="203"/>
        <v>0</v>
      </c>
      <c r="FJ599" s="6">
        <f t="shared" si="203"/>
        <v>0</v>
      </c>
      <c r="FK599" s="6">
        <f t="shared" si="203"/>
        <v>0</v>
      </c>
      <c r="FL599" s="6">
        <f t="shared" si="203"/>
        <v>0</v>
      </c>
      <c r="FM599" s="6">
        <f t="shared" si="203"/>
        <v>0</v>
      </c>
      <c r="FN599" s="6">
        <f t="shared" si="203"/>
        <v>0</v>
      </c>
      <c r="FO599" s="6">
        <f t="shared" si="203"/>
        <v>0</v>
      </c>
      <c r="FP599" s="6">
        <f t="shared" si="203"/>
        <v>0</v>
      </c>
      <c r="FQ599" s="6">
        <f t="shared" si="203"/>
        <v>0</v>
      </c>
      <c r="FR599" s="6">
        <f t="shared" si="203"/>
        <v>0</v>
      </c>
      <c r="FS599" s="6">
        <f t="shared" si="203"/>
        <v>0</v>
      </c>
      <c r="FT599" s="6">
        <f t="shared" si="203"/>
        <v>0</v>
      </c>
      <c r="FU599" s="6">
        <f t="shared" si="203"/>
        <v>0</v>
      </c>
      <c r="FV599" s="6">
        <f t="shared" si="203"/>
        <v>0</v>
      </c>
      <c r="FW599" s="6">
        <f t="shared" si="203"/>
        <v>0</v>
      </c>
      <c r="FX599" s="6">
        <f t="shared" si="203"/>
        <v>0</v>
      </c>
      <c r="FY599" s="6">
        <f t="shared" si="203"/>
        <v>0</v>
      </c>
      <c r="FZ599" s="6">
        <f t="shared" si="203"/>
        <v>0</v>
      </c>
      <c r="GA599" s="6">
        <f t="shared" si="203"/>
        <v>0</v>
      </c>
      <c r="GB599" s="6">
        <f t="shared" si="203"/>
        <v>0</v>
      </c>
      <c r="GC599" s="6">
        <f t="shared" si="203"/>
        <v>0</v>
      </c>
      <c r="GD599" s="6">
        <f t="shared" si="203"/>
        <v>0</v>
      </c>
      <c r="GE599" s="6">
        <f t="shared" si="203"/>
        <v>0</v>
      </c>
      <c r="GF599" s="6">
        <f t="shared" si="203"/>
        <v>0</v>
      </c>
      <c r="GG599" s="6">
        <f t="shared" si="203"/>
        <v>0</v>
      </c>
      <c r="GH599" s="6">
        <f t="shared" si="203"/>
        <v>0</v>
      </c>
      <c r="GI599" s="6">
        <f t="shared" si="203"/>
        <v>0</v>
      </c>
      <c r="GJ599" s="6">
        <f t="shared" si="203"/>
        <v>0</v>
      </c>
      <c r="GK599" s="6">
        <f t="shared" si="203"/>
        <v>0</v>
      </c>
      <c r="GL599" s="6">
        <f t="shared" si="203"/>
        <v>0</v>
      </c>
      <c r="GM599" s="6">
        <f t="shared" si="203"/>
        <v>0</v>
      </c>
      <c r="GN599" s="6">
        <f t="shared" si="203"/>
        <v>0</v>
      </c>
      <c r="GO599" s="6">
        <f t="shared" si="203"/>
        <v>16</v>
      </c>
      <c r="GP599" s="6">
        <f t="shared" si="203"/>
        <v>3</v>
      </c>
      <c r="GQ599" s="6">
        <f t="shared" si="203"/>
        <v>14</v>
      </c>
      <c r="GR599" s="6">
        <f t="shared" si="203"/>
        <v>5</v>
      </c>
    </row>
    <row r="600" spans="1:200">
      <c r="A600" s="6"/>
      <c r="B600" s="16" t="s">
        <v>63</v>
      </c>
      <c r="C600" s="14">
        <f>SUM(C247:C255)</f>
        <v>8446</v>
      </c>
      <c r="D600" s="14">
        <f>SUM(D247:D255)</f>
        <v>7037</v>
      </c>
      <c r="E600" s="15">
        <f t="shared" si="28"/>
        <v>0.8331754676770069</v>
      </c>
      <c r="F600" s="66">
        <f t="shared" ref="F600:AB600" si="204">SUM(F247:F255)</f>
        <v>3049</v>
      </c>
      <c r="G600" s="6">
        <f t="shared" si="204"/>
        <v>15</v>
      </c>
      <c r="H600" s="6">
        <f t="shared" si="204"/>
        <v>273</v>
      </c>
      <c r="I600" s="6">
        <f t="shared" si="204"/>
        <v>57</v>
      </c>
      <c r="J600" s="59">
        <f t="shared" si="204"/>
        <v>3379</v>
      </c>
      <c r="K600" s="6">
        <f t="shared" si="204"/>
        <v>0</v>
      </c>
      <c r="L600" s="6">
        <f t="shared" si="204"/>
        <v>0</v>
      </c>
      <c r="M600" s="6">
        <f t="shared" si="204"/>
        <v>2</v>
      </c>
      <c r="N600" s="6">
        <f t="shared" si="204"/>
        <v>0</v>
      </c>
      <c r="O600" s="6">
        <f t="shared" si="204"/>
        <v>0</v>
      </c>
      <c r="P600" s="6">
        <f t="shared" si="204"/>
        <v>0</v>
      </c>
      <c r="Q600" s="6">
        <f t="shared" si="204"/>
        <v>0</v>
      </c>
      <c r="R600" s="6">
        <f t="shared" si="204"/>
        <v>0</v>
      </c>
      <c r="S600" s="6">
        <f t="shared" si="204"/>
        <v>0</v>
      </c>
      <c r="T600" s="6">
        <f t="shared" si="204"/>
        <v>1</v>
      </c>
      <c r="U600" s="6">
        <f t="shared" si="204"/>
        <v>0</v>
      </c>
      <c r="V600" s="6">
        <f t="shared" si="204"/>
        <v>0</v>
      </c>
      <c r="W600" s="6">
        <f t="shared" si="204"/>
        <v>40</v>
      </c>
      <c r="X600" s="6">
        <f t="shared" si="204"/>
        <v>0</v>
      </c>
      <c r="Y600" s="6">
        <f t="shared" si="204"/>
        <v>0</v>
      </c>
      <c r="Z600" s="6">
        <f t="shared" si="204"/>
        <v>0</v>
      </c>
      <c r="AA600" s="6">
        <f t="shared" si="204"/>
        <v>0</v>
      </c>
      <c r="AB600" s="6">
        <f t="shared" si="204"/>
        <v>0</v>
      </c>
      <c r="AC600" s="6">
        <f t="shared" ref="AC600:BZ600" si="205">SUM(AC247:AC255)</f>
        <v>38</v>
      </c>
      <c r="AD600" s="6">
        <f t="shared" si="205"/>
        <v>71</v>
      </c>
      <c r="AE600" s="6">
        <f t="shared" si="205"/>
        <v>4698</v>
      </c>
      <c r="AF600" s="6">
        <f t="shared" si="205"/>
        <v>40</v>
      </c>
      <c r="AG600" s="6">
        <f t="shared" si="205"/>
        <v>0</v>
      </c>
      <c r="AH600" s="6">
        <f t="shared" si="205"/>
        <v>2005</v>
      </c>
      <c r="AI600" s="6">
        <f t="shared" si="205"/>
        <v>4383</v>
      </c>
      <c r="AJ600" s="6">
        <f t="shared" si="205"/>
        <v>2</v>
      </c>
      <c r="AK600" s="6">
        <f t="shared" si="205"/>
        <v>0</v>
      </c>
      <c r="AL600" s="6">
        <f t="shared" si="205"/>
        <v>2396</v>
      </c>
      <c r="AM600" s="6">
        <f t="shared" si="205"/>
        <v>0</v>
      </c>
      <c r="AN600" s="6">
        <f t="shared" si="205"/>
        <v>0</v>
      </c>
      <c r="AO600" s="6">
        <f t="shared" si="205"/>
        <v>0</v>
      </c>
      <c r="AP600" s="6">
        <f t="shared" si="205"/>
        <v>2332</v>
      </c>
      <c r="AQ600" s="6">
        <f t="shared" si="205"/>
        <v>4087</v>
      </c>
      <c r="AR600" s="6">
        <f t="shared" si="205"/>
        <v>0</v>
      </c>
      <c r="AS600" s="6">
        <f t="shared" si="205"/>
        <v>0</v>
      </c>
      <c r="AT600" s="6">
        <f t="shared" si="205"/>
        <v>4360</v>
      </c>
      <c r="AU600" s="6">
        <f t="shared" si="205"/>
        <v>2221</v>
      </c>
      <c r="AV600" s="6">
        <f t="shared" si="205"/>
        <v>0</v>
      </c>
      <c r="AW600" s="6">
        <f t="shared" si="205"/>
        <v>0</v>
      </c>
      <c r="AX600" s="6">
        <f t="shared" si="205"/>
        <v>0</v>
      </c>
      <c r="AY600" s="6">
        <f t="shared" si="205"/>
        <v>0</v>
      </c>
      <c r="AZ600" s="6">
        <f t="shared" si="205"/>
        <v>0</v>
      </c>
      <c r="BA600" s="6">
        <f t="shared" si="205"/>
        <v>0</v>
      </c>
      <c r="BB600" s="6">
        <f t="shared" si="205"/>
        <v>0</v>
      </c>
      <c r="BC600" s="6">
        <f t="shared" si="205"/>
        <v>0</v>
      </c>
      <c r="BD600" s="6">
        <f t="shared" si="205"/>
        <v>0</v>
      </c>
      <c r="BE600" s="6">
        <f t="shared" si="205"/>
        <v>3601</v>
      </c>
      <c r="BF600" s="6">
        <f t="shared" si="205"/>
        <v>2948</v>
      </c>
      <c r="BG600" s="6">
        <f t="shared" si="205"/>
        <v>4111</v>
      </c>
      <c r="BH600" s="6">
        <f t="shared" si="205"/>
        <v>2503</v>
      </c>
      <c r="BI600" s="6">
        <f t="shared" si="205"/>
        <v>4444</v>
      </c>
      <c r="BJ600" s="6">
        <f t="shared" si="205"/>
        <v>2048</v>
      </c>
      <c r="BK600" s="6">
        <f t="shared" si="205"/>
        <v>2711</v>
      </c>
      <c r="BL600" s="6">
        <f t="shared" si="205"/>
        <v>3793</v>
      </c>
      <c r="BM600" s="6">
        <f t="shared" si="205"/>
        <v>3495</v>
      </c>
      <c r="BN600" s="6">
        <f t="shared" si="205"/>
        <v>2917</v>
      </c>
      <c r="BO600" s="6">
        <f t="shared" si="205"/>
        <v>2378</v>
      </c>
      <c r="BP600" s="6">
        <f t="shared" si="205"/>
        <v>3973</v>
      </c>
      <c r="BQ600" s="6">
        <f t="shared" si="205"/>
        <v>4507</v>
      </c>
      <c r="BR600" s="6">
        <f t="shared" si="205"/>
        <v>1925</v>
      </c>
      <c r="BS600" s="6">
        <f t="shared" si="205"/>
        <v>4721</v>
      </c>
      <c r="BT600" s="6">
        <f t="shared" si="205"/>
        <v>2975</v>
      </c>
      <c r="BU600" s="6">
        <f t="shared" si="205"/>
        <v>3321</v>
      </c>
      <c r="BV600" s="6">
        <f t="shared" si="205"/>
        <v>4547</v>
      </c>
      <c r="BW600" s="6">
        <f t="shared" si="205"/>
        <v>3368</v>
      </c>
      <c r="BX600" s="6">
        <f t="shared" si="205"/>
        <v>1887</v>
      </c>
      <c r="BY600" s="6">
        <f t="shared" si="205"/>
        <v>3678</v>
      </c>
      <c r="BZ600" s="6">
        <f t="shared" si="205"/>
        <v>2073</v>
      </c>
      <c r="CA600" s="6">
        <f t="shared" ref="CA600:CP600" si="206">SUM(CA247:CA255)</f>
        <v>4174</v>
      </c>
      <c r="CB600" s="6">
        <f t="shared" si="206"/>
        <v>3098</v>
      </c>
      <c r="CC600" s="6">
        <f t="shared" si="206"/>
        <v>1995</v>
      </c>
      <c r="CD600" s="6">
        <f t="shared" si="206"/>
        <v>3852</v>
      </c>
      <c r="CE600" s="6">
        <f t="shared" si="206"/>
        <v>2134</v>
      </c>
      <c r="CF600" s="6">
        <f t="shared" si="206"/>
        <v>3171</v>
      </c>
      <c r="CG600" s="6">
        <f t="shared" si="206"/>
        <v>3219</v>
      </c>
      <c r="CH600" s="6">
        <f t="shared" si="206"/>
        <v>1764</v>
      </c>
      <c r="CI600" s="6">
        <f t="shared" si="206"/>
        <v>1346</v>
      </c>
      <c r="CJ600" s="6">
        <f t="shared" si="206"/>
        <v>3757</v>
      </c>
      <c r="CK600" s="6">
        <f t="shared" si="206"/>
        <v>3124</v>
      </c>
      <c r="CL600" s="6">
        <f t="shared" si="206"/>
        <v>1900</v>
      </c>
      <c r="CM600" s="6">
        <f t="shared" si="206"/>
        <v>3813</v>
      </c>
      <c r="CN600" s="6">
        <f t="shared" si="206"/>
        <v>3815</v>
      </c>
      <c r="CO600" s="6">
        <f t="shared" si="206"/>
        <v>1735</v>
      </c>
      <c r="CP600" s="6">
        <f t="shared" si="206"/>
        <v>3309</v>
      </c>
      <c r="CQ600" s="6">
        <f t="shared" ref="CQ600:EM600" si="207">SUM(CQ247:CQ255)</f>
        <v>0</v>
      </c>
      <c r="CR600" s="6">
        <f t="shared" si="207"/>
        <v>0</v>
      </c>
      <c r="CS600" s="6">
        <f t="shared" si="207"/>
        <v>0</v>
      </c>
      <c r="CT600" s="6">
        <f t="shared" si="207"/>
        <v>0</v>
      </c>
      <c r="CU600" s="6">
        <f t="shared" si="207"/>
        <v>0</v>
      </c>
      <c r="CV600" s="6">
        <f t="shared" si="207"/>
        <v>0</v>
      </c>
      <c r="CW600" s="6">
        <f t="shared" si="207"/>
        <v>0</v>
      </c>
      <c r="CX600" s="6">
        <f t="shared" si="207"/>
        <v>0</v>
      </c>
      <c r="CY600" s="6">
        <f t="shared" si="207"/>
        <v>0</v>
      </c>
      <c r="CZ600" s="6">
        <f t="shared" si="207"/>
        <v>0</v>
      </c>
      <c r="DA600" s="6">
        <f t="shared" si="207"/>
        <v>0</v>
      </c>
      <c r="DB600" s="6">
        <f t="shared" si="207"/>
        <v>0</v>
      </c>
      <c r="DC600" s="6">
        <f t="shared" si="207"/>
        <v>0</v>
      </c>
      <c r="DD600" s="6">
        <f t="shared" si="207"/>
        <v>0</v>
      </c>
      <c r="DE600" s="6">
        <f t="shared" si="207"/>
        <v>0</v>
      </c>
      <c r="DF600" s="6">
        <f t="shared" si="207"/>
        <v>0</v>
      </c>
      <c r="DG600" s="6">
        <f t="shared" si="207"/>
        <v>0</v>
      </c>
      <c r="DH600" s="6">
        <f t="shared" si="207"/>
        <v>0</v>
      </c>
      <c r="DI600" s="6">
        <f t="shared" si="207"/>
        <v>0</v>
      </c>
      <c r="DJ600" s="6">
        <f t="shared" si="207"/>
        <v>0</v>
      </c>
      <c r="DK600" s="6">
        <f t="shared" si="207"/>
        <v>0</v>
      </c>
      <c r="DL600" s="6">
        <f t="shared" si="207"/>
        <v>0</v>
      </c>
      <c r="DM600" s="6">
        <f t="shared" si="207"/>
        <v>0</v>
      </c>
      <c r="DN600" s="6">
        <f t="shared" si="207"/>
        <v>0</v>
      </c>
      <c r="DO600" s="6">
        <f t="shared" si="207"/>
        <v>0</v>
      </c>
      <c r="DP600" s="6">
        <f t="shared" si="207"/>
        <v>0</v>
      </c>
      <c r="DQ600" s="6">
        <f t="shared" si="207"/>
        <v>0</v>
      </c>
      <c r="DR600" s="6">
        <f t="shared" si="207"/>
        <v>0</v>
      </c>
      <c r="DS600" s="6">
        <f t="shared" si="207"/>
        <v>0</v>
      </c>
      <c r="DT600" s="6">
        <f t="shared" si="207"/>
        <v>0</v>
      </c>
      <c r="DU600" s="6">
        <f t="shared" si="207"/>
        <v>0</v>
      </c>
      <c r="DV600" s="6">
        <f t="shared" si="207"/>
        <v>0</v>
      </c>
      <c r="DW600" s="6">
        <f t="shared" si="207"/>
        <v>0</v>
      </c>
      <c r="DX600" s="6">
        <f t="shared" si="207"/>
        <v>0</v>
      </c>
      <c r="DY600" s="6">
        <f t="shared" si="207"/>
        <v>0</v>
      </c>
      <c r="DZ600" s="6">
        <f t="shared" si="207"/>
        <v>0</v>
      </c>
      <c r="EA600" s="6">
        <f t="shared" si="207"/>
        <v>0</v>
      </c>
      <c r="EB600" s="6">
        <f t="shared" si="207"/>
        <v>0</v>
      </c>
      <c r="EC600" s="6">
        <f t="shared" si="207"/>
        <v>0</v>
      </c>
      <c r="ED600" s="6">
        <f t="shared" si="207"/>
        <v>0</v>
      </c>
      <c r="EE600" s="6">
        <f t="shared" si="207"/>
        <v>0</v>
      </c>
      <c r="EF600" s="6">
        <f t="shared" si="207"/>
        <v>0</v>
      </c>
      <c r="EG600" s="6">
        <f t="shared" si="207"/>
        <v>0</v>
      </c>
      <c r="EH600" s="6">
        <f t="shared" si="207"/>
        <v>0</v>
      </c>
      <c r="EI600" s="6">
        <f t="shared" si="207"/>
        <v>0</v>
      </c>
      <c r="EJ600" s="6">
        <f t="shared" si="207"/>
        <v>0</v>
      </c>
      <c r="EK600" s="6">
        <f t="shared" si="207"/>
        <v>0</v>
      </c>
      <c r="EL600" s="6">
        <f t="shared" si="207"/>
        <v>0</v>
      </c>
      <c r="EM600" s="6">
        <f t="shared" si="207"/>
        <v>0</v>
      </c>
      <c r="EN600" s="6">
        <f t="shared" ref="EN600:GR600" si="208">SUM(EN247:EN255)</f>
        <v>0</v>
      </c>
      <c r="EO600" s="6">
        <f t="shared" si="208"/>
        <v>0</v>
      </c>
      <c r="EP600" s="6">
        <f t="shared" si="208"/>
        <v>0</v>
      </c>
      <c r="EQ600" s="6">
        <f t="shared" si="208"/>
        <v>0</v>
      </c>
      <c r="ER600" s="6">
        <f t="shared" si="208"/>
        <v>0</v>
      </c>
      <c r="ES600" s="6">
        <f t="shared" si="208"/>
        <v>0</v>
      </c>
      <c r="ET600" s="6">
        <f t="shared" si="208"/>
        <v>0</v>
      </c>
      <c r="EU600" s="6">
        <f t="shared" si="208"/>
        <v>0</v>
      </c>
      <c r="EV600" s="6">
        <f t="shared" si="208"/>
        <v>0</v>
      </c>
      <c r="EW600" s="6">
        <f t="shared" si="208"/>
        <v>0</v>
      </c>
      <c r="EX600" s="6">
        <f t="shared" si="208"/>
        <v>0</v>
      </c>
      <c r="EY600" s="6">
        <f t="shared" si="208"/>
        <v>0</v>
      </c>
      <c r="EZ600" s="6">
        <f t="shared" si="208"/>
        <v>0</v>
      </c>
      <c r="FA600" s="6">
        <f t="shared" si="208"/>
        <v>0</v>
      </c>
      <c r="FB600" s="6">
        <f t="shared" si="208"/>
        <v>0</v>
      </c>
      <c r="FC600" s="6">
        <f t="shared" si="208"/>
        <v>0</v>
      </c>
      <c r="FD600" s="6">
        <f t="shared" si="208"/>
        <v>0</v>
      </c>
      <c r="FE600" s="6">
        <f t="shared" si="208"/>
        <v>0</v>
      </c>
      <c r="FF600" s="6">
        <f t="shared" si="208"/>
        <v>0</v>
      </c>
      <c r="FG600" s="6">
        <f t="shared" si="208"/>
        <v>0</v>
      </c>
      <c r="FH600" s="6">
        <f t="shared" si="208"/>
        <v>0</v>
      </c>
      <c r="FI600" s="6">
        <f t="shared" si="208"/>
        <v>0</v>
      </c>
      <c r="FJ600" s="6">
        <f t="shared" si="208"/>
        <v>0</v>
      </c>
      <c r="FK600" s="6">
        <f t="shared" si="208"/>
        <v>0</v>
      </c>
      <c r="FL600" s="6">
        <f t="shared" si="208"/>
        <v>0</v>
      </c>
      <c r="FM600" s="6">
        <f t="shared" si="208"/>
        <v>0</v>
      </c>
      <c r="FN600" s="6">
        <f t="shared" si="208"/>
        <v>0</v>
      </c>
      <c r="FO600" s="6">
        <f t="shared" si="208"/>
        <v>0</v>
      </c>
      <c r="FP600" s="6">
        <f t="shared" si="208"/>
        <v>0</v>
      </c>
      <c r="FQ600" s="6">
        <f t="shared" si="208"/>
        <v>0</v>
      </c>
      <c r="FR600" s="6">
        <f t="shared" si="208"/>
        <v>0</v>
      </c>
      <c r="FS600" s="6">
        <f t="shared" si="208"/>
        <v>0</v>
      </c>
      <c r="FT600" s="6">
        <f t="shared" si="208"/>
        <v>0</v>
      </c>
      <c r="FU600" s="6">
        <f t="shared" si="208"/>
        <v>0</v>
      </c>
      <c r="FV600" s="6">
        <f t="shared" si="208"/>
        <v>0</v>
      </c>
      <c r="FW600" s="6">
        <f t="shared" si="208"/>
        <v>0</v>
      </c>
      <c r="FX600" s="6">
        <f t="shared" si="208"/>
        <v>0</v>
      </c>
      <c r="FY600" s="6">
        <f t="shared" si="208"/>
        <v>0</v>
      </c>
      <c r="FZ600" s="6">
        <f t="shared" si="208"/>
        <v>0</v>
      </c>
      <c r="GA600" s="6">
        <f t="shared" si="208"/>
        <v>0</v>
      </c>
      <c r="GB600" s="6">
        <f t="shared" si="208"/>
        <v>0</v>
      </c>
      <c r="GC600" s="6">
        <f t="shared" si="208"/>
        <v>0</v>
      </c>
      <c r="GD600" s="6">
        <f t="shared" si="208"/>
        <v>0</v>
      </c>
      <c r="GE600" s="6">
        <f t="shared" si="208"/>
        <v>0</v>
      </c>
      <c r="GF600" s="6">
        <f t="shared" si="208"/>
        <v>0</v>
      </c>
      <c r="GG600" s="6">
        <f t="shared" si="208"/>
        <v>0</v>
      </c>
      <c r="GH600" s="6">
        <f t="shared" si="208"/>
        <v>0</v>
      </c>
      <c r="GI600" s="6">
        <f t="shared" si="208"/>
        <v>4152</v>
      </c>
      <c r="GJ600" s="6">
        <f t="shared" si="208"/>
        <v>2642</v>
      </c>
      <c r="GK600" s="6">
        <f t="shared" si="208"/>
        <v>0</v>
      </c>
      <c r="GL600" s="6">
        <f t="shared" si="208"/>
        <v>0</v>
      </c>
      <c r="GM600" s="6">
        <f t="shared" si="208"/>
        <v>0</v>
      </c>
      <c r="GN600" s="6">
        <f t="shared" si="208"/>
        <v>0</v>
      </c>
      <c r="GO600" s="6">
        <f t="shared" si="208"/>
        <v>5023</v>
      </c>
      <c r="GP600" s="6">
        <f t="shared" si="208"/>
        <v>1736</v>
      </c>
      <c r="GQ600" s="6">
        <f t="shared" si="208"/>
        <v>5125</v>
      </c>
      <c r="GR600" s="6">
        <f t="shared" si="208"/>
        <v>1603</v>
      </c>
    </row>
    <row r="601" spans="1:200">
      <c r="A601" s="6"/>
      <c r="B601" s="16" t="s">
        <v>64</v>
      </c>
      <c r="C601" s="14">
        <f>SUM(C256:C259)</f>
        <v>4439</v>
      </c>
      <c r="D601" s="14">
        <f>SUM(D256:D259)</f>
        <v>2944</v>
      </c>
      <c r="E601" s="15">
        <f t="shared" si="28"/>
        <v>0.66321243523316065</v>
      </c>
      <c r="F601" s="66">
        <f t="shared" ref="F601:AB601" si="209">SUM(F256:F259)</f>
        <v>1816</v>
      </c>
      <c r="G601" s="6">
        <f t="shared" si="209"/>
        <v>9</v>
      </c>
      <c r="H601" s="6">
        <f t="shared" si="209"/>
        <v>69</v>
      </c>
      <c r="I601" s="6">
        <f t="shared" si="209"/>
        <v>31</v>
      </c>
      <c r="J601" s="59">
        <f t="shared" si="209"/>
        <v>974</v>
      </c>
      <c r="K601" s="6">
        <f t="shared" si="209"/>
        <v>0</v>
      </c>
      <c r="L601" s="6">
        <f t="shared" si="209"/>
        <v>0</v>
      </c>
      <c r="M601" s="6">
        <f t="shared" si="209"/>
        <v>4</v>
      </c>
      <c r="N601" s="6">
        <f t="shared" si="209"/>
        <v>0</v>
      </c>
      <c r="O601" s="6">
        <f t="shared" si="209"/>
        <v>0</v>
      </c>
      <c r="P601" s="6">
        <f t="shared" si="209"/>
        <v>0</v>
      </c>
      <c r="Q601" s="6">
        <f t="shared" si="209"/>
        <v>0</v>
      </c>
      <c r="R601" s="6">
        <f t="shared" si="209"/>
        <v>0</v>
      </c>
      <c r="S601" s="6">
        <f t="shared" si="209"/>
        <v>0</v>
      </c>
      <c r="T601" s="6">
        <f t="shared" si="209"/>
        <v>0</v>
      </c>
      <c r="U601" s="6">
        <f t="shared" si="209"/>
        <v>0</v>
      </c>
      <c r="V601" s="6">
        <f t="shared" si="209"/>
        <v>1</v>
      </c>
      <c r="W601" s="6">
        <f t="shared" si="209"/>
        <v>2</v>
      </c>
      <c r="X601" s="6">
        <f t="shared" si="209"/>
        <v>0</v>
      </c>
      <c r="Y601" s="6">
        <f t="shared" si="209"/>
        <v>0</v>
      </c>
      <c r="Z601" s="6">
        <f t="shared" si="209"/>
        <v>0</v>
      </c>
      <c r="AA601" s="6">
        <f t="shared" si="209"/>
        <v>0</v>
      </c>
      <c r="AB601" s="6">
        <f t="shared" si="209"/>
        <v>0</v>
      </c>
      <c r="AC601" s="6">
        <f t="shared" ref="AC601:BZ601" si="210">SUM(AC256:AC259)</f>
        <v>53</v>
      </c>
      <c r="AD601" s="6">
        <f t="shared" si="210"/>
        <v>54</v>
      </c>
      <c r="AE601" s="6">
        <f t="shared" si="210"/>
        <v>1141</v>
      </c>
      <c r="AF601" s="6">
        <f t="shared" si="210"/>
        <v>34</v>
      </c>
      <c r="AG601" s="6">
        <f t="shared" si="210"/>
        <v>0</v>
      </c>
      <c r="AH601" s="6">
        <f t="shared" si="210"/>
        <v>1569</v>
      </c>
      <c r="AI601" s="6">
        <f t="shared" si="210"/>
        <v>0</v>
      </c>
      <c r="AJ601" s="6">
        <f t="shared" si="210"/>
        <v>0</v>
      </c>
      <c r="AK601" s="6">
        <f t="shared" si="210"/>
        <v>0</v>
      </c>
      <c r="AL601" s="6">
        <f t="shared" si="210"/>
        <v>0</v>
      </c>
      <c r="AM601" s="6">
        <f t="shared" si="210"/>
        <v>44</v>
      </c>
      <c r="AN601" s="6">
        <f t="shared" si="210"/>
        <v>1628</v>
      </c>
      <c r="AO601" s="6">
        <f t="shared" si="210"/>
        <v>1081</v>
      </c>
      <c r="AP601" s="6">
        <f t="shared" si="210"/>
        <v>0</v>
      </c>
      <c r="AQ601" s="6">
        <f t="shared" si="210"/>
        <v>0</v>
      </c>
      <c r="AR601" s="6">
        <f t="shared" si="210"/>
        <v>0</v>
      </c>
      <c r="AS601" s="6">
        <f t="shared" si="210"/>
        <v>0</v>
      </c>
      <c r="AT601" s="6">
        <f t="shared" si="210"/>
        <v>0</v>
      </c>
      <c r="AU601" s="6">
        <f t="shared" si="210"/>
        <v>0</v>
      </c>
      <c r="AV601" s="6">
        <f t="shared" si="210"/>
        <v>0</v>
      </c>
      <c r="AW601" s="6">
        <f t="shared" si="210"/>
        <v>0</v>
      </c>
      <c r="AX601" s="6">
        <f t="shared" si="210"/>
        <v>0</v>
      </c>
      <c r="AY601" s="6">
        <f t="shared" si="210"/>
        <v>0</v>
      </c>
      <c r="AZ601" s="6">
        <f t="shared" si="210"/>
        <v>0</v>
      </c>
      <c r="BA601" s="6">
        <f t="shared" si="210"/>
        <v>1765</v>
      </c>
      <c r="BB601" s="6">
        <f t="shared" si="210"/>
        <v>990</v>
      </c>
      <c r="BC601" s="6">
        <f t="shared" si="210"/>
        <v>0</v>
      </c>
      <c r="BD601" s="6">
        <f t="shared" si="210"/>
        <v>0</v>
      </c>
      <c r="BE601" s="6">
        <f t="shared" si="210"/>
        <v>802</v>
      </c>
      <c r="BF601" s="6">
        <f t="shared" si="210"/>
        <v>1964</v>
      </c>
      <c r="BG601" s="6">
        <f t="shared" si="210"/>
        <v>1070</v>
      </c>
      <c r="BH601" s="6">
        <f t="shared" si="210"/>
        <v>1709</v>
      </c>
      <c r="BI601" s="6">
        <f t="shared" si="210"/>
        <v>1172</v>
      </c>
      <c r="BJ601" s="6">
        <f t="shared" si="210"/>
        <v>1603</v>
      </c>
      <c r="BK601" s="6">
        <f t="shared" si="210"/>
        <v>1709</v>
      </c>
      <c r="BL601" s="6">
        <f t="shared" si="210"/>
        <v>1051</v>
      </c>
      <c r="BM601" s="6">
        <f t="shared" si="210"/>
        <v>747</v>
      </c>
      <c r="BN601" s="6">
        <f t="shared" si="210"/>
        <v>2030</v>
      </c>
      <c r="BO601" s="6">
        <f t="shared" si="210"/>
        <v>1708</v>
      </c>
      <c r="BP601" s="6">
        <f t="shared" si="210"/>
        <v>1031</v>
      </c>
      <c r="BQ601" s="6">
        <f t="shared" si="210"/>
        <v>1119</v>
      </c>
      <c r="BR601" s="6">
        <f t="shared" si="210"/>
        <v>1623</v>
      </c>
      <c r="BS601" s="6">
        <f t="shared" si="210"/>
        <v>1539</v>
      </c>
      <c r="BT601" s="6">
        <f t="shared" si="210"/>
        <v>773</v>
      </c>
      <c r="BU601" s="6">
        <f t="shared" si="210"/>
        <v>1968</v>
      </c>
      <c r="BV601" s="6">
        <f t="shared" si="210"/>
        <v>1765</v>
      </c>
      <c r="BW601" s="6">
        <f t="shared" si="210"/>
        <v>1142</v>
      </c>
      <c r="BX601" s="6">
        <f t="shared" si="210"/>
        <v>1113</v>
      </c>
      <c r="BY601" s="6">
        <f t="shared" si="210"/>
        <v>1317</v>
      </c>
      <c r="BZ601" s="6">
        <f t="shared" si="210"/>
        <v>1149</v>
      </c>
      <c r="CA601" s="6">
        <f t="shared" ref="CA601:CP601" si="211">SUM(CA256:CA259)</f>
        <v>1579</v>
      </c>
      <c r="CB601" s="6">
        <f t="shared" si="211"/>
        <v>879</v>
      </c>
      <c r="CC601" s="6">
        <f t="shared" si="211"/>
        <v>1386</v>
      </c>
      <c r="CD601" s="6">
        <f t="shared" si="211"/>
        <v>1646</v>
      </c>
      <c r="CE601" s="6">
        <f t="shared" si="211"/>
        <v>1287</v>
      </c>
      <c r="CF601" s="6">
        <f t="shared" si="211"/>
        <v>1000</v>
      </c>
      <c r="CG601" s="6">
        <f t="shared" si="211"/>
        <v>1043</v>
      </c>
      <c r="CH601" s="6">
        <f t="shared" si="211"/>
        <v>1066</v>
      </c>
      <c r="CI601" s="6">
        <f t="shared" si="211"/>
        <v>888</v>
      </c>
      <c r="CJ601" s="6">
        <f t="shared" si="211"/>
        <v>1356</v>
      </c>
      <c r="CK601" s="6">
        <f t="shared" si="211"/>
        <v>1225</v>
      </c>
      <c r="CL601" s="6">
        <f t="shared" si="211"/>
        <v>1025</v>
      </c>
      <c r="CM601" s="6">
        <f t="shared" si="211"/>
        <v>1529</v>
      </c>
      <c r="CN601" s="6">
        <f t="shared" si="211"/>
        <v>1643</v>
      </c>
      <c r="CO601" s="6">
        <f t="shared" si="211"/>
        <v>1033</v>
      </c>
      <c r="CP601" s="6">
        <f t="shared" si="211"/>
        <v>1261</v>
      </c>
      <c r="CQ601" s="6">
        <f t="shared" ref="CQ601:EM601" si="212">SUM(CQ256:CQ259)</f>
        <v>0</v>
      </c>
      <c r="CR601" s="6">
        <f t="shared" si="212"/>
        <v>0</v>
      </c>
      <c r="CS601" s="6">
        <f t="shared" si="212"/>
        <v>0</v>
      </c>
      <c r="CT601" s="6">
        <f t="shared" si="212"/>
        <v>0</v>
      </c>
      <c r="CU601" s="6">
        <f t="shared" si="212"/>
        <v>0</v>
      </c>
      <c r="CV601" s="6">
        <f t="shared" si="212"/>
        <v>0</v>
      </c>
      <c r="CW601" s="6">
        <f t="shared" si="212"/>
        <v>0</v>
      </c>
      <c r="CX601" s="6">
        <f t="shared" si="212"/>
        <v>0</v>
      </c>
      <c r="CY601" s="6">
        <f t="shared" si="212"/>
        <v>0</v>
      </c>
      <c r="CZ601" s="6">
        <f t="shared" si="212"/>
        <v>0</v>
      </c>
      <c r="DA601" s="6">
        <f t="shared" si="212"/>
        <v>0</v>
      </c>
      <c r="DB601" s="6">
        <f t="shared" si="212"/>
        <v>0</v>
      </c>
      <c r="DC601" s="6">
        <f t="shared" si="212"/>
        <v>0</v>
      </c>
      <c r="DD601" s="6">
        <f t="shared" si="212"/>
        <v>0</v>
      </c>
      <c r="DE601" s="6">
        <f t="shared" si="212"/>
        <v>0</v>
      </c>
      <c r="DF601" s="6">
        <f t="shared" si="212"/>
        <v>0</v>
      </c>
      <c r="DG601" s="6">
        <f t="shared" si="212"/>
        <v>0</v>
      </c>
      <c r="DH601" s="6">
        <f t="shared" si="212"/>
        <v>0</v>
      </c>
      <c r="DI601" s="6">
        <f t="shared" si="212"/>
        <v>0</v>
      </c>
      <c r="DJ601" s="6">
        <f t="shared" si="212"/>
        <v>0</v>
      </c>
      <c r="DK601" s="6">
        <f t="shared" si="212"/>
        <v>0</v>
      </c>
      <c r="DL601" s="6">
        <f t="shared" si="212"/>
        <v>0</v>
      </c>
      <c r="DM601" s="6">
        <f t="shared" si="212"/>
        <v>0</v>
      </c>
      <c r="DN601" s="6">
        <f t="shared" si="212"/>
        <v>0</v>
      </c>
      <c r="DO601" s="6">
        <f t="shared" si="212"/>
        <v>0</v>
      </c>
      <c r="DP601" s="6">
        <f t="shared" si="212"/>
        <v>0</v>
      </c>
      <c r="DQ601" s="6">
        <f t="shared" si="212"/>
        <v>0</v>
      </c>
      <c r="DR601" s="6">
        <f t="shared" si="212"/>
        <v>0</v>
      </c>
      <c r="DS601" s="6">
        <f t="shared" si="212"/>
        <v>0</v>
      </c>
      <c r="DT601" s="6">
        <f t="shared" si="212"/>
        <v>0</v>
      </c>
      <c r="DU601" s="6">
        <f t="shared" si="212"/>
        <v>0</v>
      </c>
      <c r="DV601" s="6">
        <f t="shared" si="212"/>
        <v>0</v>
      </c>
      <c r="DW601" s="6">
        <f t="shared" si="212"/>
        <v>0</v>
      </c>
      <c r="DX601" s="6">
        <f t="shared" si="212"/>
        <v>0</v>
      </c>
      <c r="DY601" s="6">
        <f t="shared" si="212"/>
        <v>0</v>
      </c>
      <c r="DZ601" s="6">
        <f t="shared" si="212"/>
        <v>0</v>
      </c>
      <c r="EA601" s="6">
        <f t="shared" si="212"/>
        <v>0</v>
      </c>
      <c r="EB601" s="6">
        <f t="shared" si="212"/>
        <v>0</v>
      </c>
      <c r="EC601" s="6">
        <f t="shared" si="212"/>
        <v>0</v>
      </c>
      <c r="ED601" s="6">
        <f t="shared" si="212"/>
        <v>0</v>
      </c>
      <c r="EE601" s="6">
        <f t="shared" si="212"/>
        <v>0</v>
      </c>
      <c r="EF601" s="6">
        <f t="shared" si="212"/>
        <v>0</v>
      </c>
      <c r="EG601" s="6">
        <f t="shared" si="212"/>
        <v>0</v>
      </c>
      <c r="EH601" s="6">
        <f t="shared" si="212"/>
        <v>0</v>
      </c>
      <c r="EI601" s="6">
        <f t="shared" si="212"/>
        <v>0</v>
      </c>
      <c r="EJ601" s="6">
        <f t="shared" si="212"/>
        <v>0</v>
      </c>
      <c r="EK601" s="6">
        <f t="shared" si="212"/>
        <v>0</v>
      </c>
      <c r="EL601" s="6">
        <f t="shared" si="212"/>
        <v>0</v>
      </c>
      <c r="EM601" s="6">
        <f t="shared" si="212"/>
        <v>0</v>
      </c>
      <c r="EN601" s="6">
        <f t="shared" ref="EN601:GR601" si="213">SUM(EN256:EN259)</f>
        <v>0</v>
      </c>
      <c r="EO601" s="6">
        <f t="shared" si="213"/>
        <v>0</v>
      </c>
      <c r="EP601" s="6">
        <f t="shared" si="213"/>
        <v>0</v>
      </c>
      <c r="EQ601" s="6">
        <f t="shared" si="213"/>
        <v>0</v>
      </c>
      <c r="ER601" s="6">
        <f t="shared" si="213"/>
        <v>0</v>
      </c>
      <c r="ES601" s="6">
        <f t="shared" si="213"/>
        <v>0</v>
      </c>
      <c r="ET601" s="6">
        <f t="shared" si="213"/>
        <v>0</v>
      </c>
      <c r="EU601" s="6">
        <f t="shared" si="213"/>
        <v>0</v>
      </c>
      <c r="EV601" s="6">
        <f t="shared" si="213"/>
        <v>0</v>
      </c>
      <c r="EW601" s="6">
        <f t="shared" si="213"/>
        <v>0</v>
      </c>
      <c r="EX601" s="6">
        <f t="shared" si="213"/>
        <v>0</v>
      </c>
      <c r="EY601" s="6">
        <f t="shared" si="213"/>
        <v>0</v>
      </c>
      <c r="EZ601" s="6">
        <f t="shared" si="213"/>
        <v>0</v>
      </c>
      <c r="FA601" s="6">
        <f t="shared" si="213"/>
        <v>0</v>
      </c>
      <c r="FB601" s="6">
        <f t="shared" si="213"/>
        <v>0</v>
      </c>
      <c r="FC601" s="6">
        <f t="shared" si="213"/>
        <v>0</v>
      </c>
      <c r="FD601" s="6">
        <f t="shared" si="213"/>
        <v>0</v>
      </c>
      <c r="FE601" s="6">
        <f t="shared" si="213"/>
        <v>0</v>
      </c>
      <c r="FF601" s="6">
        <f t="shared" si="213"/>
        <v>0</v>
      </c>
      <c r="FG601" s="6">
        <f t="shared" si="213"/>
        <v>0</v>
      </c>
      <c r="FH601" s="6">
        <f t="shared" si="213"/>
        <v>0</v>
      </c>
      <c r="FI601" s="6">
        <f t="shared" si="213"/>
        <v>0</v>
      </c>
      <c r="FJ601" s="6">
        <f t="shared" si="213"/>
        <v>0</v>
      </c>
      <c r="FK601" s="6">
        <f t="shared" si="213"/>
        <v>0</v>
      </c>
      <c r="FL601" s="6">
        <f t="shared" si="213"/>
        <v>0</v>
      </c>
      <c r="FM601" s="6">
        <f t="shared" si="213"/>
        <v>0</v>
      </c>
      <c r="FN601" s="6">
        <f t="shared" si="213"/>
        <v>0</v>
      </c>
      <c r="FO601" s="6">
        <f t="shared" si="213"/>
        <v>0</v>
      </c>
      <c r="FP601" s="6">
        <f t="shared" si="213"/>
        <v>0</v>
      </c>
      <c r="FQ601" s="6">
        <f t="shared" si="213"/>
        <v>0</v>
      </c>
      <c r="FR601" s="6">
        <f t="shared" si="213"/>
        <v>0</v>
      </c>
      <c r="FS601" s="6">
        <f t="shared" si="213"/>
        <v>0</v>
      </c>
      <c r="FT601" s="6">
        <f t="shared" si="213"/>
        <v>0</v>
      </c>
      <c r="FU601" s="6">
        <f t="shared" si="213"/>
        <v>0</v>
      </c>
      <c r="FV601" s="6">
        <f t="shared" si="213"/>
        <v>0</v>
      </c>
      <c r="FW601" s="6">
        <f t="shared" si="213"/>
        <v>0</v>
      </c>
      <c r="FX601" s="6">
        <f t="shared" si="213"/>
        <v>0</v>
      </c>
      <c r="FY601" s="6">
        <f t="shared" si="213"/>
        <v>0</v>
      </c>
      <c r="FZ601" s="6">
        <f t="shared" si="213"/>
        <v>0</v>
      </c>
      <c r="GA601" s="6">
        <f t="shared" si="213"/>
        <v>0</v>
      </c>
      <c r="GB601" s="6">
        <f t="shared" si="213"/>
        <v>0</v>
      </c>
      <c r="GC601" s="6">
        <f t="shared" si="213"/>
        <v>0</v>
      </c>
      <c r="GD601" s="6">
        <f t="shared" si="213"/>
        <v>0</v>
      </c>
      <c r="GE601" s="6">
        <f t="shared" si="213"/>
        <v>0</v>
      </c>
      <c r="GF601" s="6">
        <f t="shared" si="213"/>
        <v>0</v>
      </c>
      <c r="GG601" s="6">
        <f t="shared" si="213"/>
        <v>0</v>
      </c>
      <c r="GH601" s="6">
        <f t="shared" si="213"/>
        <v>0</v>
      </c>
      <c r="GI601" s="6">
        <f t="shared" si="213"/>
        <v>0</v>
      </c>
      <c r="GJ601" s="6">
        <f t="shared" si="213"/>
        <v>0</v>
      </c>
      <c r="GK601" s="6">
        <f t="shared" si="213"/>
        <v>0</v>
      </c>
      <c r="GL601" s="6">
        <f t="shared" si="213"/>
        <v>0</v>
      </c>
      <c r="GM601" s="6">
        <f t="shared" si="213"/>
        <v>0</v>
      </c>
      <c r="GN601" s="6">
        <f t="shared" si="213"/>
        <v>0</v>
      </c>
      <c r="GO601" s="6">
        <f t="shared" si="213"/>
        <v>1873</v>
      </c>
      <c r="GP601" s="6">
        <f t="shared" si="213"/>
        <v>880</v>
      </c>
      <c r="GQ601" s="6">
        <f t="shared" si="213"/>
        <v>1972</v>
      </c>
      <c r="GR601" s="6">
        <f t="shared" si="213"/>
        <v>788</v>
      </c>
    </row>
    <row r="602" spans="1:200">
      <c r="A602" s="6"/>
      <c r="B602" s="16" t="s">
        <v>65</v>
      </c>
      <c r="C602" s="14">
        <f>SUM(C260:C266)</f>
        <v>6302</v>
      </c>
      <c r="D602" s="14">
        <f>SUM(D260:D266)</f>
        <v>4333</v>
      </c>
      <c r="E602" s="15">
        <f t="shared" si="28"/>
        <v>0.68755950491907336</v>
      </c>
      <c r="F602" s="66">
        <f t="shared" ref="F602:AB602" si="214">SUM(F260:F266)</f>
        <v>2856</v>
      </c>
      <c r="G602" s="6">
        <f t="shared" si="214"/>
        <v>15</v>
      </c>
      <c r="H602" s="6">
        <f t="shared" si="214"/>
        <v>102</v>
      </c>
      <c r="I602" s="6">
        <f t="shared" si="214"/>
        <v>49</v>
      </c>
      <c r="J602" s="59">
        <f t="shared" si="214"/>
        <v>1224</v>
      </c>
      <c r="K602" s="6">
        <f t="shared" si="214"/>
        <v>0</v>
      </c>
      <c r="L602" s="6">
        <f t="shared" si="214"/>
        <v>0</v>
      </c>
      <c r="M602" s="6">
        <f t="shared" si="214"/>
        <v>2</v>
      </c>
      <c r="N602" s="6">
        <f t="shared" si="214"/>
        <v>0</v>
      </c>
      <c r="O602" s="6">
        <f t="shared" si="214"/>
        <v>0</v>
      </c>
      <c r="P602" s="6">
        <f t="shared" si="214"/>
        <v>0</v>
      </c>
      <c r="Q602" s="6">
        <f t="shared" si="214"/>
        <v>0</v>
      </c>
      <c r="R602" s="6">
        <f t="shared" si="214"/>
        <v>0</v>
      </c>
      <c r="S602" s="6">
        <f t="shared" si="214"/>
        <v>0</v>
      </c>
      <c r="T602" s="6">
        <f t="shared" si="214"/>
        <v>0</v>
      </c>
      <c r="U602" s="6">
        <f t="shared" si="214"/>
        <v>0</v>
      </c>
      <c r="V602" s="6">
        <f t="shared" si="214"/>
        <v>0</v>
      </c>
      <c r="W602" s="6">
        <f t="shared" si="214"/>
        <v>9</v>
      </c>
      <c r="X602" s="6">
        <f t="shared" si="214"/>
        <v>0</v>
      </c>
      <c r="Y602" s="6">
        <f t="shared" si="214"/>
        <v>0</v>
      </c>
      <c r="Z602" s="6">
        <f t="shared" si="214"/>
        <v>0</v>
      </c>
      <c r="AA602" s="6">
        <f t="shared" si="214"/>
        <v>0</v>
      </c>
      <c r="AB602" s="6">
        <f t="shared" si="214"/>
        <v>0</v>
      </c>
      <c r="AC602" s="6">
        <f t="shared" ref="AC602:BZ602" si="215">SUM(AC260:AC266)</f>
        <v>56</v>
      </c>
      <c r="AD602" s="6">
        <f t="shared" si="215"/>
        <v>79</v>
      </c>
      <c r="AE602" s="6">
        <f t="shared" si="215"/>
        <v>1532</v>
      </c>
      <c r="AF602" s="6">
        <f t="shared" si="215"/>
        <v>47</v>
      </c>
      <c r="AG602" s="6">
        <f t="shared" si="215"/>
        <v>0</v>
      </c>
      <c r="AH602" s="6">
        <f t="shared" si="215"/>
        <v>2469</v>
      </c>
      <c r="AI602" s="6">
        <f t="shared" si="215"/>
        <v>0</v>
      </c>
      <c r="AJ602" s="6">
        <f t="shared" si="215"/>
        <v>0</v>
      </c>
      <c r="AK602" s="6">
        <f t="shared" si="215"/>
        <v>0</v>
      </c>
      <c r="AL602" s="6">
        <f t="shared" si="215"/>
        <v>0</v>
      </c>
      <c r="AM602" s="6">
        <f t="shared" si="215"/>
        <v>99</v>
      </c>
      <c r="AN602" s="6">
        <f t="shared" si="215"/>
        <v>2557</v>
      </c>
      <c r="AO602" s="6">
        <f t="shared" si="215"/>
        <v>1403</v>
      </c>
      <c r="AP602" s="6">
        <f t="shared" si="215"/>
        <v>0</v>
      </c>
      <c r="AQ602" s="6">
        <f t="shared" si="215"/>
        <v>0</v>
      </c>
      <c r="AR602" s="6">
        <f t="shared" si="215"/>
        <v>0</v>
      </c>
      <c r="AS602" s="6">
        <f t="shared" si="215"/>
        <v>0</v>
      </c>
      <c r="AT602" s="6">
        <f t="shared" si="215"/>
        <v>0</v>
      </c>
      <c r="AU602" s="6">
        <f t="shared" si="215"/>
        <v>0</v>
      </c>
      <c r="AV602" s="6">
        <f t="shared" si="215"/>
        <v>0</v>
      </c>
      <c r="AW602" s="6">
        <f t="shared" si="215"/>
        <v>0</v>
      </c>
      <c r="AX602" s="6">
        <f t="shared" si="215"/>
        <v>0</v>
      </c>
      <c r="AY602" s="6">
        <f t="shared" si="215"/>
        <v>0</v>
      </c>
      <c r="AZ602" s="6">
        <f t="shared" si="215"/>
        <v>0</v>
      </c>
      <c r="BA602" s="6">
        <f t="shared" si="215"/>
        <v>2802</v>
      </c>
      <c r="BB602" s="6">
        <f t="shared" si="215"/>
        <v>1267</v>
      </c>
      <c r="BC602" s="6">
        <f t="shared" si="215"/>
        <v>0</v>
      </c>
      <c r="BD602" s="6">
        <f t="shared" si="215"/>
        <v>0</v>
      </c>
      <c r="BE602" s="6">
        <f t="shared" si="215"/>
        <v>986</v>
      </c>
      <c r="BF602" s="6">
        <f t="shared" si="215"/>
        <v>3116</v>
      </c>
      <c r="BG602" s="6">
        <f t="shared" si="215"/>
        <v>1369</v>
      </c>
      <c r="BH602" s="6">
        <f t="shared" si="215"/>
        <v>2743</v>
      </c>
      <c r="BI602" s="6">
        <f t="shared" si="215"/>
        <v>1579</v>
      </c>
      <c r="BJ602" s="6">
        <f t="shared" si="215"/>
        <v>2546</v>
      </c>
      <c r="BK602" s="6">
        <f t="shared" si="215"/>
        <v>2716</v>
      </c>
      <c r="BL602" s="6">
        <f t="shared" si="215"/>
        <v>1390</v>
      </c>
      <c r="BM602" s="6">
        <f t="shared" si="215"/>
        <v>1033</v>
      </c>
      <c r="BN602" s="6">
        <f t="shared" si="215"/>
        <v>3072</v>
      </c>
      <c r="BO602" s="6">
        <f t="shared" si="215"/>
        <v>2689</v>
      </c>
      <c r="BP602" s="6">
        <f t="shared" si="215"/>
        <v>1359</v>
      </c>
      <c r="BQ602" s="6">
        <f t="shared" si="215"/>
        <v>1447</v>
      </c>
      <c r="BR602" s="6">
        <f t="shared" si="215"/>
        <v>2617</v>
      </c>
      <c r="BS602" s="6">
        <f t="shared" si="215"/>
        <v>2131</v>
      </c>
      <c r="BT602" s="6">
        <f t="shared" si="215"/>
        <v>987</v>
      </c>
      <c r="BU602" s="6">
        <f t="shared" si="215"/>
        <v>3089</v>
      </c>
      <c r="BV602" s="6">
        <f t="shared" si="215"/>
        <v>2481</v>
      </c>
      <c r="BW602" s="6">
        <f t="shared" si="215"/>
        <v>1567</v>
      </c>
      <c r="BX602" s="6">
        <f t="shared" si="215"/>
        <v>1802</v>
      </c>
      <c r="BY602" s="6">
        <f t="shared" si="215"/>
        <v>1795</v>
      </c>
      <c r="BZ602" s="6">
        <f t="shared" si="215"/>
        <v>1860</v>
      </c>
      <c r="CA602" s="6">
        <f t="shared" ref="CA602:CP602" si="216">SUM(CA260:CA266)</f>
        <v>2207</v>
      </c>
      <c r="CB602" s="6">
        <f t="shared" si="216"/>
        <v>1172</v>
      </c>
      <c r="CC602" s="6">
        <f t="shared" si="216"/>
        <v>2175</v>
      </c>
      <c r="CD602" s="6">
        <f t="shared" si="216"/>
        <v>2470</v>
      </c>
      <c r="CE602" s="6">
        <f t="shared" si="216"/>
        <v>2044</v>
      </c>
      <c r="CF602" s="6">
        <f t="shared" si="216"/>
        <v>1361</v>
      </c>
      <c r="CG602" s="6">
        <f t="shared" si="216"/>
        <v>1340</v>
      </c>
      <c r="CH602" s="6">
        <f t="shared" si="216"/>
        <v>1826</v>
      </c>
      <c r="CI602" s="6">
        <f t="shared" si="216"/>
        <v>1541</v>
      </c>
      <c r="CJ602" s="6">
        <f t="shared" si="216"/>
        <v>1793</v>
      </c>
      <c r="CK602" s="6">
        <f t="shared" si="216"/>
        <v>1641</v>
      </c>
      <c r="CL602" s="6">
        <f t="shared" si="216"/>
        <v>1745</v>
      </c>
      <c r="CM602" s="6">
        <f t="shared" si="216"/>
        <v>2122</v>
      </c>
      <c r="CN602" s="6">
        <f t="shared" si="216"/>
        <v>2291</v>
      </c>
      <c r="CO602" s="6">
        <f t="shared" si="216"/>
        <v>1765</v>
      </c>
      <c r="CP602" s="6">
        <f t="shared" si="216"/>
        <v>1651</v>
      </c>
      <c r="CQ602" s="6">
        <f t="shared" ref="CQ602:EM602" si="217">SUM(CQ260:CQ266)</f>
        <v>0</v>
      </c>
      <c r="CR602" s="6">
        <f t="shared" si="217"/>
        <v>0</v>
      </c>
      <c r="CS602" s="6">
        <f t="shared" si="217"/>
        <v>0</v>
      </c>
      <c r="CT602" s="6">
        <f t="shared" si="217"/>
        <v>0</v>
      </c>
      <c r="CU602" s="6">
        <f t="shared" si="217"/>
        <v>0</v>
      </c>
      <c r="CV602" s="6">
        <f t="shared" si="217"/>
        <v>0</v>
      </c>
      <c r="CW602" s="6">
        <f t="shared" si="217"/>
        <v>2426</v>
      </c>
      <c r="CX602" s="6">
        <f t="shared" si="217"/>
        <v>1657</v>
      </c>
      <c r="CY602" s="6">
        <f t="shared" si="217"/>
        <v>0</v>
      </c>
      <c r="CZ602" s="6">
        <f t="shared" si="217"/>
        <v>0</v>
      </c>
      <c r="DA602" s="6">
        <f t="shared" si="217"/>
        <v>0</v>
      </c>
      <c r="DB602" s="6">
        <f t="shared" si="217"/>
        <v>0</v>
      </c>
      <c r="DC602" s="6">
        <f t="shared" si="217"/>
        <v>0</v>
      </c>
      <c r="DD602" s="6">
        <f t="shared" si="217"/>
        <v>0</v>
      </c>
      <c r="DE602" s="6">
        <f t="shared" si="217"/>
        <v>0</v>
      </c>
      <c r="DF602" s="6">
        <f t="shared" si="217"/>
        <v>0</v>
      </c>
      <c r="DG602" s="6">
        <f t="shared" si="217"/>
        <v>0</v>
      </c>
      <c r="DH602" s="6">
        <f t="shared" si="217"/>
        <v>0</v>
      </c>
      <c r="DI602" s="6">
        <f t="shared" si="217"/>
        <v>0</v>
      </c>
      <c r="DJ602" s="6">
        <f t="shared" si="217"/>
        <v>0</v>
      </c>
      <c r="DK602" s="6">
        <f t="shared" si="217"/>
        <v>0</v>
      </c>
      <c r="DL602" s="6">
        <f t="shared" si="217"/>
        <v>0</v>
      </c>
      <c r="DM602" s="6">
        <f t="shared" si="217"/>
        <v>0</v>
      </c>
      <c r="DN602" s="6">
        <f t="shared" si="217"/>
        <v>0</v>
      </c>
      <c r="DO602" s="6">
        <f t="shared" si="217"/>
        <v>0</v>
      </c>
      <c r="DP602" s="6">
        <f t="shared" si="217"/>
        <v>0</v>
      </c>
      <c r="DQ602" s="6">
        <f t="shared" si="217"/>
        <v>0</v>
      </c>
      <c r="DR602" s="6">
        <f t="shared" si="217"/>
        <v>0</v>
      </c>
      <c r="DS602" s="6">
        <f t="shared" si="217"/>
        <v>0</v>
      </c>
      <c r="DT602" s="6">
        <f t="shared" si="217"/>
        <v>0</v>
      </c>
      <c r="DU602" s="6">
        <f t="shared" si="217"/>
        <v>0</v>
      </c>
      <c r="DV602" s="6">
        <f t="shared" si="217"/>
        <v>0</v>
      </c>
      <c r="DW602" s="6">
        <f t="shared" si="217"/>
        <v>0</v>
      </c>
      <c r="DX602" s="6">
        <f t="shared" si="217"/>
        <v>0</v>
      </c>
      <c r="DY602" s="6">
        <f t="shared" si="217"/>
        <v>0</v>
      </c>
      <c r="DZ602" s="6">
        <f t="shared" si="217"/>
        <v>0</v>
      </c>
      <c r="EA602" s="6">
        <f t="shared" si="217"/>
        <v>0</v>
      </c>
      <c r="EB602" s="6">
        <f t="shared" si="217"/>
        <v>0</v>
      </c>
      <c r="EC602" s="6">
        <f t="shared" si="217"/>
        <v>0</v>
      </c>
      <c r="ED602" s="6">
        <f t="shared" si="217"/>
        <v>0</v>
      </c>
      <c r="EE602" s="6">
        <f t="shared" si="217"/>
        <v>0</v>
      </c>
      <c r="EF602" s="6">
        <f t="shared" si="217"/>
        <v>0</v>
      </c>
      <c r="EG602" s="6">
        <f t="shared" si="217"/>
        <v>0</v>
      </c>
      <c r="EH602" s="6">
        <f t="shared" si="217"/>
        <v>0</v>
      </c>
      <c r="EI602" s="6">
        <f t="shared" si="217"/>
        <v>0</v>
      </c>
      <c r="EJ602" s="6">
        <f t="shared" si="217"/>
        <v>0</v>
      </c>
      <c r="EK602" s="6">
        <f t="shared" si="217"/>
        <v>0</v>
      </c>
      <c r="EL602" s="6">
        <f t="shared" si="217"/>
        <v>0</v>
      </c>
      <c r="EM602" s="6">
        <f t="shared" si="217"/>
        <v>0</v>
      </c>
      <c r="EN602" s="6">
        <f t="shared" ref="EN602:GR602" si="218">SUM(EN260:EN266)</f>
        <v>0</v>
      </c>
      <c r="EO602" s="6">
        <f t="shared" si="218"/>
        <v>0</v>
      </c>
      <c r="EP602" s="6">
        <f t="shared" si="218"/>
        <v>0</v>
      </c>
      <c r="EQ602" s="6">
        <f t="shared" si="218"/>
        <v>0</v>
      </c>
      <c r="ER602" s="6">
        <f t="shared" si="218"/>
        <v>0</v>
      </c>
      <c r="ES602" s="6">
        <f t="shared" si="218"/>
        <v>0</v>
      </c>
      <c r="ET602" s="6">
        <f t="shared" si="218"/>
        <v>0</v>
      </c>
      <c r="EU602" s="6">
        <f t="shared" si="218"/>
        <v>0</v>
      </c>
      <c r="EV602" s="6">
        <f t="shared" si="218"/>
        <v>0</v>
      </c>
      <c r="EW602" s="6">
        <f t="shared" si="218"/>
        <v>0</v>
      </c>
      <c r="EX602" s="6">
        <f t="shared" si="218"/>
        <v>0</v>
      </c>
      <c r="EY602" s="6">
        <f t="shared" si="218"/>
        <v>0</v>
      </c>
      <c r="EZ602" s="6">
        <f t="shared" si="218"/>
        <v>0</v>
      </c>
      <c r="FA602" s="6">
        <f t="shared" si="218"/>
        <v>0</v>
      </c>
      <c r="FB602" s="6">
        <f t="shared" si="218"/>
        <v>0</v>
      </c>
      <c r="FC602" s="6">
        <f t="shared" si="218"/>
        <v>0</v>
      </c>
      <c r="FD602" s="6">
        <f t="shared" si="218"/>
        <v>0</v>
      </c>
      <c r="FE602" s="6">
        <f t="shared" si="218"/>
        <v>0</v>
      </c>
      <c r="FF602" s="6">
        <f t="shared" si="218"/>
        <v>0</v>
      </c>
      <c r="FG602" s="6">
        <f t="shared" si="218"/>
        <v>0</v>
      </c>
      <c r="FH602" s="6">
        <f t="shared" si="218"/>
        <v>0</v>
      </c>
      <c r="FI602" s="6">
        <f t="shared" si="218"/>
        <v>0</v>
      </c>
      <c r="FJ602" s="6">
        <f t="shared" si="218"/>
        <v>0</v>
      </c>
      <c r="FK602" s="6">
        <f t="shared" si="218"/>
        <v>0</v>
      </c>
      <c r="FL602" s="6">
        <f t="shared" si="218"/>
        <v>0</v>
      </c>
      <c r="FM602" s="6">
        <f t="shared" si="218"/>
        <v>0</v>
      </c>
      <c r="FN602" s="6">
        <f t="shared" si="218"/>
        <v>0</v>
      </c>
      <c r="FO602" s="6">
        <f t="shared" si="218"/>
        <v>0</v>
      </c>
      <c r="FP602" s="6">
        <f t="shared" si="218"/>
        <v>0</v>
      </c>
      <c r="FQ602" s="6">
        <f t="shared" si="218"/>
        <v>0</v>
      </c>
      <c r="FR602" s="6">
        <f t="shared" si="218"/>
        <v>0</v>
      </c>
      <c r="FS602" s="6">
        <f t="shared" si="218"/>
        <v>0</v>
      </c>
      <c r="FT602" s="6">
        <f t="shared" si="218"/>
        <v>0</v>
      </c>
      <c r="FU602" s="6">
        <f t="shared" si="218"/>
        <v>0</v>
      </c>
      <c r="FV602" s="6">
        <f t="shared" si="218"/>
        <v>0</v>
      </c>
      <c r="FW602" s="6">
        <f t="shared" si="218"/>
        <v>0</v>
      </c>
      <c r="FX602" s="6">
        <f t="shared" si="218"/>
        <v>0</v>
      </c>
      <c r="FY602" s="6">
        <f t="shared" si="218"/>
        <v>0</v>
      </c>
      <c r="FZ602" s="6">
        <f t="shared" si="218"/>
        <v>0</v>
      </c>
      <c r="GA602" s="6">
        <f t="shared" si="218"/>
        <v>0</v>
      </c>
      <c r="GB602" s="6">
        <f t="shared" si="218"/>
        <v>0</v>
      </c>
      <c r="GC602" s="6">
        <f t="shared" si="218"/>
        <v>0</v>
      </c>
      <c r="GD602" s="6">
        <f t="shared" si="218"/>
        <v>0</v>
      </c>
      <c r="GE602" s="6">
        <f t="shared" si="218"/>
        <v>0</v>
      </c>
      <c r="GF602" s="6">
        <f t="shared" si="218"/>
        <v>0</v>
      </c>
      <c r="GG602" s="6">
        <f t="shared" si="218"/>
        <v>0</v>
      </c>
      <c r="GH602" s="6">
        <f t="shared" si="218"/>
        <v>0</v>
      </c>
      <c r="GI602" s="6">
        <f t="shared" si="218"/>
        <v>0</v>
      </c>
      <c r="GJ602" s="6">
        <f t="shared" si="218"/>
        <v>0</v>
      </c>
      <c r="GK602" s="6">
        <f t="shared" si="218"/>
        <v>0</v>
      </c>
      <c r="GL602" s="6">
        <f t="shared" si="218"/>
        <v>0</v>
      </c>
      <c r="GM602" s="6">
        <f t="shared" si="218"/>
        <v>0</v>
      </c>
      <c r="GN602" s="6">
        <f t="shared" si="218"/>
        <v>0</v>
      </c>
      <c r="GO602" s="6">
        <f t="shared" si="218"/>
        <v>2657</v>
      </c>
      <c r="GP602" s="6">
        <f t="shared" si="218"/>
        <v>1406</v>
      </c>
      <c r="GQ602" s="6">
        <f t="shared" si="218"/>
        <v>2901</v>
      </c>
      <c r="GR602" s="6">
        <f t="shared" si="218"/>
        <v>1193</v>
      </c>
    </row>
    <row r="603" spans="1:200">
      <c r="A603" s="6"/>
      <c r="B603" s="16" t="s">
        <v>66</v>
      </c>
      <c r="C603" s="14">
        <f>SUM(C267:C277)</f>
        <v>12633</v>
      </c>
      <c r="D603" s="14">
        <f>SUM(D267:D277)</f>
        <v>8170</v>
      </c>
      <c r="E603" s="15">
        <f t="shared" si="28"/>
        <v>0.64671891078920285</v>
      </c>
      <c r="F603" s="66">
        <f t="shared" ref="F603:AB603" si="219">SUM(F267:F277)</f>
        <v>3835</v>
      </c>
      <c r="G603" s="6">
        <f t="shared" si="219"/>
        <v>24</v>
      </c>
      <c r="H603" s="6">
        <f t="shared" si="219"/>
        <v>352</v>
      </c>
      <c r="I603" s="6">
        <f t="shared" si="219"/>
        <v>110</v>
      </c>
      <c r="J603" s="59">
        <f t="shared" si="219"/>
        <v>3641</v>
      </c>
      <c r="K603" s="6">
        <f t="shared" si="219"/>
        <v>0</v>
      </c>
      <c r="L603" s="6">
        <f t="shared" si="219"/>
        <v>0</v>
      </c>
      <c r="M603" s="6">
        <f t="shared" si="219"/>
        <v>5</v>
      </c>
      <c r="N603" s="6">
        <f t="shared" si="219"/>
        <v>0</v>
      </c>
      <c r="O603" s="6">
        <f t="shared" si="219"/>
        <v>0</v>
      </c>
      <c r="P603" s="6">
        <f t="shared" si="219"/>
        <v>1</v>
      </c>
      <c r="Q603" s="6">
        <f t="shared" si="219"/>
        <v>0</v>
      </c>
      <c r="R603" s="6">
        <f t="shared" si="219"/>
        <v>0</v>
      </c>
      <c r="S603" s="6">
        <f t="shared" si="219"/>
        <v>0</v>
      </c>
      <c r="T603" s="6">
        <f t="shared" si="219"/>
        <v>0</v>
      </c>
      <c r="U603" s="6">
        <f t="shared" si="219"/>
        <v>0</v>
      </c>
      <c r="V603" s="6">
        <f t="shared" si="219"/>
        <v>4</v>
      </c>
      <c r="W603" s="6">
        <f t="shared" si="219"/>
        <v>47</v>
      </c>
      <c r="X603" s="6">
        <f t="shared" si="219"/>
        <v>0</v>
      </c>
      <c r="Y603" s="6">
        <f t="shared" si="219"/>
        <v>0</v>
      </c>
      <c r="Z603" s="6">
        <f t="shared" si="219"/>
        <v>0</v>
      </c>
      <c r="AA603" s="6">
        <f t="shared" si="219"/>
        <v>0</v>
      </c>
      <c r="AB603" s="6">
        <f t="shared" si="219"/>
        <v>0</v>
      </c>
      <c r="AC603" s="6">
        <f t="shared" ref="AC603:BZ603" si="220">SUM(AC267:AC277)</f>
        <v>129</v>
      </c>
      <c r="AD603" s="6">
        <f t="shared" si="220"/>
        <v>188</v>
      </c>
      <c r="AE603" s="6">
        <f t="shared" si="220"/>
        <v>4330</v>
      </c>
      <c r="AF603" s="6">
        <f t="shared" si="220"/>
        <v>129</v>
      </c>
      <c r="AG603" s="6">
        <f t="shared" si="220"/>
        <v>0</v>
      </c>
      <c r="AH603" s="6">
        <f t="shared" si="220"/>
        <v>3039</v>
      </c>
      <c r="AI603" s="6">
        <f t="shared" si="220"/>
        <v>0</v>
      </c>
      <c r="AJ603" s="6">
        <f t="shared" si="220"/>
        <v>0</v>
      </c>
      <c r="AK603" s="6">
        <f t="shared" si="220"/>
        <v>0</v>
      </c>
      <c r="AL603" s="6">
        <f t="shared" si="220"/>
        <v>0</v>
      </c>
      <c r="AM603" s="6">
        <f t="shared" si="220"/>
        <v>145</v>
      </c>
      <c r="AN603" s="6">
        <f t="shared" si="220"/>
        <v>3192</v>
      </c>
      <c r="AO603" s="6">
        <f t="shared" si="220"/>
        <v>4178</v>
      </c>
      <c r="AP603" s="6">
        <f t="shared" si="220"/>
        <v>0</v>
      </c>
      <c r="AQ603" s="6">
        <f t="shared" si="220"/>
        <v>0</v>
      </c>
      <c r="AR603" s="6">
        <f t="shared" si="220"/>
        <v>0</v>
      </c>
      <c r="AS603" s="6">
        <f t="shared" si="220"/>
        <v>0</v>
      </c>
      <c r="AT603" s="6">
        <f t="shared" si="220"/>
        <v>0</v>
      </c>
      <c r="AU603" s="6">
        <f t="shared" si="220"/>
        <v>0</v>
      </c>
      <c r="AV603" s="6">
        <f t="shared" si="220"/>
        <v>0</v>
      </c>
      <c r="AW603" s="6">
        <f t="shared" si="220"/>
        <v>0</v>
      </c>
      <c r="AX603" s="6">
        <f t="shared" si="220"/>
        <v>0</v>
      </c>
      <c r="AY603" s="6">
        <f t="shared" si="220"/>
        <v>4074</v>
      </c>
      <c r="AZ603" s="6">
        <f t="shared" si="220"/>
        <v>3440</v>
      </c>
      <c r="BA603" s="6">
        <f t="shared" si="220"/>
        <v>0</v>
      </c>
      <c r="BB603" s="6">
        <f t="shared" si="220"/>
        <v>0</v>
      </c>
      <c r="BC603" s="6">
        <f t="shared" si="220"/>
        <v>0</v>
      </c>
      <c r="BD603" s="6">
        <f t="shared" si="220"/>
        <v>0</v>
      </c>
      <c r="BE603" s="6">
        <f t="shared" si="220"/>
        <v>3224</v>
      </c>
      <c r="BF603" s="6">
        <f t="shared" si="220"/>
        <v>4200</v>
      </c>
      <c r="BG603" s="6">
        <f t="shared" si="220"/>
        <v>3965</v>
      </c>
      <c r="BH603" s="6">
        <f t="shared" si="220"/>
        <v>3558</v>
      </c>
      <c r="BI603" s="6">
        <f t="shared" si="220"/>
        <v>4375</v>
      </c>
      <c r="BJ603" s="6">
        <f t="shared" si="220"/>
        <v>3092</v>
      </c>
      <c r="BK603" s="6">
        <f t="shared" si="220"/>
        <v>3782</v>
      </c>
      <c r="BL603" s="6">
        <f t="shared" si="220"/>
        <v>3691</v>
      </c>
      <c r="BM603" s="6">
        <f t="shared" si="220"/>
        <v>2996</v>
      </c>
      <c r="BN603" s="6">
        <f t="shared" si="220"/>
        <v>4386</v>
      </c>
      <c r="BO603" s="6">
        <f t="shared" si="220"/>
        <v>3391</v>
      </c>
      <c r="BP603" s="6">
        <f t="shared" si="220"/>
        <v>3810</v>
      </c>
      <c r="BQ603" s="6">
        <f t="shared" si="220"/>
        <v>4097</v>
      </c>
      <c r="BR603" s="6">
        <f t="shared" si="220"/>
        <v>3142</v>
      </c>
      <c r="BS603" s="6">
        <f t="shared" si="220"/>
        <v>5030</v>
      </c>
      <c r="BT603" s="6">
        <f t="shared" si="220"/>
        <v>3003</v>
      </c>
      <c r="BU603" s="6">
        <f t="shared" si="220"/>
        <v>4246</v>
      </c>
      <c r="BV603" s="6">
        <f t="shared" si="220"/>
        <v>4929</v>
      </c>
      <c r="BW603" s="6">
        <f t="shared" si="220"/>
        <v>3140</v>
      </c>
      <c r="BX603" s="6">
        <f t="shared" si="220"/>
        <v>2729</v>
      </c>
      <c r="BY603" s="6">
        <f t="shared" si="220"/>
        <v>3650</v>
      </c>
      <c r="BZ603" s="6">
        <f t="shared" si="220"/>
        <v>2698</v>
      </c>
      <c r="CA603" s="6">
        <f t="shared" ref="CA603:CP603" si="221">SUM(CA267:CA277)</f>
        <v>4497</v>
      </c>
      <c r="CB603" s="6">
        <f t="shared" si="221"/>
        <v>2743</v>
      </c>
      <c r="CC603" s="6">
        <f t="shared" si="221"/>
        <v>2890</v>
      </c>
      <c r="CD603" s="6">
        <f t="shared" si="221"/>
        <v>4380</v>
      </c>
      <c r="CE603" s="6">
        <f t="shared" si="221"/>
        <v>2785</v>
      </c>
      <c r="CF603" s="6">
        <f t="shared" si="221"/>
        <v>2985</v>
      </c>
      <c r="CG603" s="6">
        <f t="shared" si="221"/>
        <v>3079</v>
      </c>
      <c r="CH603" s="6">
        <f t="shared" si="221"/>
        <v>2396</v>
      </c>
      <c r="CI603" s="6">
        <f t="shared" si="221"/>
        <v>1678</v>
      </c>
      <c r="CJ603" s="6">
        <f t="shared" si="221"/>
        <v>4033</v>
      </c>
      <c r="CK603" s="6">
        <f t="shared" si="221"/>
        <v>3095</v>
      </c>
      <c r="CL603" s="6">
        <f t="shared" si="221"/>
        <v>2490</v>
      </c>
      <c r="CM603" s="6">
        <f t="shared" si="221"/>
        <v>4286</v>
      </c>
      <c r="CN603" s="6">
        <f t="shared" si="221"/>
        <v>4368</v>
      </c>
      <c r="CO603" s="6">
        <f t="shared" si="221"/>
        <v>2224</v>
      </c>
      <c r="CP603" s="6">
        <f t="shared" si="221"/>
        <v>3408</v>
      </c>
      <c r="CQ603" s="6">
        <f t="shared" ref="CQ603:EM603" si="222">SUM(CQ267:CQ277)</f>
        <v>0</v>
      </c>
      <c r="CR603" s="6">
        <f t="shared" si="222"/>
        <v>0</v>
      </c>
      <c r="CS603" s="6">
        <f t="shared" si="222"/>
        <v>0</v>
      </c>
      <c r="CT603" s="6">
        <f t="shared" si="222"/>
        <v>0</v>
      </c>
      <c r="CU603" s="6">
        <f t="shared" si="222"/>
        <v>0</v>
      </c>
      <c r="CV603" s="6">
        <f t="shared" si="222"/>
        <v>0</v>
      </c>
      <c r="CW603" s="6">
        <f t="shared" si="222"/>
        <v>0</v>
      </c>
      <c r="CX603" s="6">
        <f t="shared" si="222"/>
        <v>0</v>
      </c>
      <c r="CY603" s="6">
        <f t="shared" si="222"/>
        <v>3628</v>
      </c>
      <c r="CZ603" s="6">
        <f t="shared" si="222"/>
        <v>3383</v>
      </c>
      <c r="DA603" s="6">
        <f t="shared" si="222"/>
        <v>4333</v>
      </c>
      <c r="DB603" s="6">
        <f t="shared" si="222"/>
        <v>3140</v>
      </c>
      <c r="DC603" s="6">
        <f t="shared" si="222"/>
        <v>0</v>
      </c>
      <c r="DD603" s="6">
        <f t="shared" si="222"/>
        <v>0</v>
      </c>
      <c r="DE603" s="6">
        <f t="shared" si="222"/>
        <v>0</v>
      </c>
      <c r="DF603" s="6">
        <f t="shared" si="222"/>
        <v>0</v>
      </c>
      <c r="DG603" s="6">
        <f t="shared" si="222"/>
        <v>0</v>
      </c>
      <c r="DH603" s="6">
        <f t="shared" si="222"/>
        <v>0</v>
      </c>
      <c r="DI603" s="6">
        <f t="shared" si="222"/>
        <v>0</v>
      </c>
      <c r="DJ603" s="6">
        <f t="shared" si="222"/>
        <v>0</v>
      </c>
      <c r="DK603" s="6">
        <f t="shared" si="222"/>
        <v>0</v>
      </c>
      <c r="DL603" s="6">
        <f t="shared" si="222"/>
        <v>0</v>
      </c>
      <c r="DM603" s="6">
        <f t="shared" si="222"/>
        <v>0</v>
      </c>
      <c r="DN603" s="6">
        <f t="shared" si="222"/>
        <v>0</v>
      </c>
      <c r="DO603" s="6">
        <f t="shared" si="222"/>
        <v>0</v>
      </c>
      <c r="DP603" s="6">
        <f t="shared" si="222"/>
        <v>0</v>
      </c>
      <c r="DQ603" s="6">
        <f t="shared" si="222"/>
        <v>0</v>
      </c>
      <c r="DR603" s="6">
        <f t="shared" si="222"/>
        <v>0</v>
      </c>
      <c r="DS603" s="6">
        <f t="shared" si="222"/>
        <v>0</v>
      </c>
      <c r="DT603" s="6">
        <f t="shared" si="222"/>
        <v>0</v>
      </c>
      <c r="DU603" s="6">
        <f t="shared" si="222"/>
        <v>0</v>
      </c>
      <c r="DV603" s="6">
        <f t="shared" si="222"/>
        <v>0</v>
      </c>
      <c r="DW603" s="6">
        <f t="shared" si="222"/>
        <v>0</v>
      </c>
      <c r="DX603" s="6">
        <f t="shared" si="222"/>
        <v>0</v>
      </c>
      <c r="DY603" s="6">
        <f t="shared" si="222"/>
        <v>0</v>
      </c>
      <c r="DZ603" s="6">
        <f t="shared" si="222"/>
        <v>0</v>
      </c>
      <c r="EA603" s="6">
        <f t="shared" si="222"/>
        <v>0</v>
      </c>
      <c r="EB603" s="6">
        <f t="shared" si="222"/>
        <v>0</v>
      </c>
      <c r="EC603" s="6">
        <f t="shared" si="222"/>
        <v>0</v>
      </c>
      <c r="ED603" s="6">
        <f t="shared" si="222"/>
        <v>0</v>
      </c>
      <c r="EE603" s="6">
        <f t="shared" si="222"/>
        <v>0</v>
      </c>
      <c r="EF603" s="6">
        <f t="shared" si="222"/>
        <v>0</v>
      </c>
      <c r="EG603" s="6">
        <f t="shared" si="222"/>
        <v>0</v>
      </c>
      <c r="EH603" s="6">
        <f t="shared" si="222"/>
        <v>0</v>
      </c>
      <c r="EI603" s="6">
        <f t="shared" si="222"/>
        <v>0</v>
      </c>
      <c r="EJ603" s="6">
        <f t="shared" si="222"/>
        <v>0</v>
      </c>
      <c r="EK603" s="6">
        <f t="shared" si="222"/>
        <v>0</v>
      </c>
      <c r="EL603" s="6">
        <f t="shared" si="222"/>
        <v>0</v>
      </c>
      <c r="EM603" s="6">
        <f t="shared" si="222"/>
        <v>0</v>
      </c>
      <c r="EN603" s="6">
        <f t="shared" ref="EN603:GR603" si="223">SUM(EN267:EN277)</f>
        <v>0</v>
      </c>
      <c r="EO603" s="6">
        <f t="shared" si="223"/>
        <v>0</v>
      </c>
      <c r="EP603" s="6">
        <f t="shared" si="223"/>
        <v>0</v>
      </c>
      <c r="EQ603" s="6">
        <f t="shared" si="223"/>
        <v>0</v>
      </c>
      <c r="ER603" s="6">
        <f t="shared" si="223"/>
        <v>0</v>
      </c>
      <c r="ES603" s="6">
        <f t="shared" si="223"/>
        <v>0</v>
      </c>
      <c r="ET603" s="6">
        <f t="shared" si="223"/>
        <v>0</v>
      </c>
      <c r="EU603" s="6">
        <f t="shared" si="223"/>
        <v>0</v>
      </c>
      <c r="EV603" s="6">
        <f t="shared" si="223"/>
        <v>0</v>
      </c>
      <c r="EW603" s="6">
        <f t="shared" si="223"/>
        <v>0</v>
      </c>
      <c r="EX603" s="6">
        <f t="shared" si="223"/>
        <v>0</v>
      </c>
      <c r="EY603" s="6">
        <f t="shared" si="223"/>
        <v>0</v>
      </c>
      <c r="EZ603" s="6">
        <f t="shared" si="223"/>
        <v>0</v>
      </c>
      <c r="FA603" s="6">
        <f t="shared" si="223"/>
        <v>0</v>
      </c>
      <c r="FB603" s="6">
        <f t="shared" si="223"/>
        <v>0</v>
      </c>
      <c r="FC603" s="6">
        <f t="shared" si="223"/>
        <v>0</v>
      </c>
      <c r="FD603" s="6">
        <f t="shared" si="223"/>
        <v>0</v>
      </c>
      <c r="FE603" s="6">
        <f t="shared" si="223"/>
        <v>0</v>
      </c>
      <c r="FF603" s="6">
        <f t="shared" si="223"/>
        <v>0</v>
      </c>
      <c r="FG603" s="6">
        <f t="shared" si="223"/>
        <v>0</v>
      </c>
      <c r="FH603" s="6">
        <f t="shared" si="223"/>
        <v>0</v>
      </c>
      <c r="FI603" s="6">
        <f t="shared" si="223"/>
        <v>0</v>
      </c>
      <c r="FJ603" s="6">
        <f t="shared" si="223"/>
        <v>0</v>
      </c>
      <c r="FK603" s="6">
        <f t="shared" si="223"/>
        <v>0</v>
      </c>
      <c r="FL603" s="6">
        <f t="shared" si="223"/>
        <v>0</v>
      </c>
      <c r="FM603" s="6">
        <f t="shared" si="223"/>
        <v>0</v>
      </c>
      <c r="FN603" s="6">
        <f t="shared" si="223"/>
        <v>0</v>
      </c>
      <c r="FO603" s="6">
        <f t="shared" si="223"/>
        <v>0</v>
      </c>
      <c r="FP603" s="6">
        <f t="shared" si="223"/>
        <v>0</v>
      </c>
      <c r="FQ603" s="6">
        <f t="shared" si="223"/>
        <v>0</v>
      </c>
      <c r="FR603" s="6">
        <f t="shared" si="223"/>
        <v>0</v>
      </c>
      <c r="FS603" s="6">
        <f t="shared" si="223"/>
        <v>0</v>
      </c>
      <c r="FT603" s="6">
        <f t="shared" si="223"/>
        <v>0</v>
      </c>
      <c r="FU603" s="6">
        <f t="shared" si="223"/>
        <v>0</v>
      </c>
      <c r="FV603" s="6">
        <f t="shared" si="223"/>
        <v>0</v>
      </c>
      <c r="FW603" s="6">
        <f t="shared" si="223"/>
        <v>0</v>
      </c>
      <c r="FX603" s="6">
        <f t="shared" si="223"/>
        <v>0</v>
      </c>
      <c r="FY603" s="6">
        <f t="shared" si="223"/>
        <v>0</v>
      </c>
      <c r="FZ603" s="6">
        <f t="shared" si="223"/>
        <v>0</v>
      </c>
      <c r="GA603" s="6">
        <f t="shared" si="223"/>
        <v>0</v>
      </c>
      <c r="GB603" s="6">
        <f t="shared" si="223"/>
        <v>0</v>
      </c>
      <c r="GC603" s="6">
        <f t="shared" si="223"/>
        <v>0</v>
      </c>
      <c r="GD603" s="6">
        <f t="shared" si="223"/>
        <v>0</v>
      </c>
      <c r="GE603" s="6">
        <f t="shared" si="223"/>
        <v>4432</v>
      </c>
      <c r="GF603" s="6">
        <f t="shared" si="223"/>
        <v>3125</v>
      </c>
      <c r="GG603" s="6">
        <f t="shared" si="223"/>
        <v>0</v>
      </c>
      <c r="GH603" s="6">
        <f t="shared" si="223"/>
        <v>0</v>
      </c>
      <c r="GI603" s="6">
        <f t="shared" si="223"/>
        <v>0</v>
      </c>
      <c r="GJ603" s="6">
        <f t="shared" si="223"/>
        <v>0</v>
      </c>
      <c r="GK603" s="6">
        <f t="shared" si="223"/>
        <v>0</v>
      </c>
      <c r="GL603" s="6">
        <f t="shared" si="223"/>
        <v>0</v>
      </c>
      <c r="GM603" s="6">
        <f t="shared" si="223"/>
        <v>0</v>
      </c>
      <c r="GN603" s="6">
        <f t="shared" si="223"/>
        <v>0</v>
      </c>
      <c r="GO603" s="6">
        <f t="shared" si="223"/>
        <v>5182</v>
      </c>
      <c r="GP603" s="6">
        <f t="shared" si="223"/>
        <v>2523</v>
      </c>
      <c r="GQ603" s="6">
        <f t="shared" si="223"/>
        <v>5175</v>
      </c>
      <c r="GR603" s="6">
        <f t="shared" si="223"/>
        <v>2471</v>
      </c>
    </row>
    <row r="604" spans="1:200">
      <c r="A604" s="6"/>
      <c r="B604" s="16" t="s">
        <v>67</v>
      </c>
      <c r="C604" s="14">
        <f>SUM(C278:C285)</f>
        <v>7299</v>
      </c>
      <c r="D604" s="14">
        <f>SUM(D278:D285)</f>
        <v>5127</v>
      </c>
      <c r="E604" s="15">
        <f t="shared" si="28"/>
        <v>0.70242498972461986</v>
      </c>
      <c r="F604" s="66">
        <f t="shared" ref="F604:AB604" si="224">SUM(F278:F285)</f>
        <v>1717</v>
      </c>
      <c r="G604" s="6">
        <f t="shared" si="224"/>
        <v>26</v>
      </c>
      <c r="H604" s="6">
        <f t="shared" si="224"/>
        <v>166</v>
      </c>
      <c r="I604" s="6">
        <f t="shared" si="224"/>
        <v>48</v>
      </c>
      <c r="J604" s="59">
        <f t="shared" si="224"/>
        <v>3071</v>
      </c>
      <c r="K604" s="6">
        <f t="shared" si="224"/>
        <v>0</v>
      </c>
      <c r="L604" s="6">
        <f t="shared" si="224"/>
        <v>0</v>
      </c>
      <c r="M604" s="6">
        <f t="shared" si="224"/>
        <v>4</v>
      </c>
      <c r="N604" s="6">
        <f t="shared" si="224"/>
        <v>0</v>
      </c>
      <c r="O604" s="6">
        <f t="shared" si="224"/>
        <v>0</v>
      </c>
      <c r="P604" s="6">
        <f t="shared" si="224"/>
        <v>1</v>
      </c>
      <c r="Q604" s="6">
        <f t="shared" si="224"/>
        <v>0</v>
      </c>
      <c r="R604" s="6">
        <f t="shared" si="224"/>
        <v>0</v>
      </c>
      <c r="S604" s="6">
        <f t="shared" si="224"/>
        <v>0</v>
      </c>
      <c r="T604" s="6">
        <f t="shared" si="224"/>
        <v>0</v>
      </c>
      <c r="U604" s="6">
        <f t="shared" si="224"/>
        <v>0</v>
      </c>
      <c r="V604" s="6">
        <f t="shared" si="224"/>
        <v>1</v>
      </c>
      <c r="W604" s="6">
        <f t="shared" si="224"/>
        <v>8</v>
      </c>
      <c r="X604" s="6">
        <f t="shared" si="224"/>
        <v>0</v>
      </c>
      <c r="Y604" s="6">
        <f t="shared" si="224"/>
        <v>0</v>
      </c>
      <c r="Z604" s="6">
        <f t="shared" si="224"/>
        <v>0</v>
      </c>
      <c r="AA604" s="6">
        <f t="shared" si="224"/>
        <v>0</v>
      </c>
      <c r="AB604" s="6">
        <f t="shared" si="224"/>
        <v>0</v>
      </c>
      <c r="AC604" s="6">
        <f t="shared" ref="AC604:BZ604" si="225">SUM(AC278:AC285)</f>
        <v>69</v>
      </c>
      <c r="AD604" s="6">
        <f t="shared" si="225"/>
        <v>91</v>
      </c>
      <c r="AE604" s="6">
        <f t="shared" si="225"/>
        <v>3388</v>
      </c>
      <c r="AF604" s="6">
        <f t="shared" si="225"/>
        <v>83</v>
      </c>
      <c r="AG604" s="6">
        <f t="shared" si="225"/>
        <v>0</v>
      </c>
      <c r="AH604" s="6">
        <f t="shared" si="225"/>
        <v>1304</v>
      </c>
      <c r="AI604" s="6">
        <f t="shared" si="225"/>
        <v>0</v>
      </c>
      <c r="AJ604" s="6">
        <f t="shared" si="225"/>
        <v>0</v>
      </c>
      <c r="AK604" s="6">
        <f t="shared" si="225"/>
        <v>0</v>
      </c>
      <c r="AL604" s="6">
        <f t="shared" si="225"/>
        <v>0</v>
      </c>
      <c r="AM604" s="6">
        <f t="shared" si="225"/>
        <v>61</v>
      </c>
      <c r="AN604" s="6">
        <f t="shared" si="225"/>
        <v>1445</v>
      </c>
      <c r="AO604" s="6">
        <f t="shared" si="225"/>
        <v>3257</v>
      </c>
      <c r="AP604" s="6">
        <f t="shared" si="225"/>
        <v>1775</v>
      </c>
      <c r="AQ604" s="6">
        <f t="shared" si="225"/>
        <v>2886</v>
      </c>
      <c r="AR604" s="6">
        <f t="shared" si="225"/>
        <v>0</v>
      </c>
      <c r="AS604" s="6">
        <f t="shared" si="225"/>
        <v>0</v>
      </c>
      <c r="AT604" s="6">
        <f t="shared" si="225"/>
        <v>3291</v>
      </c>
      <c r="AU604" s="6">
        <f t="shared" si="225"/>
        <v>1491</v>
      </c>
      <c r="AV604" s="6">
        <f t="shared" si="225"/>
        <v>0</v>
      </c>
      <c r="AW604" s="6">
        <f t="shared" si="225"/>
        <v>0</v>
      </c>
      <c r="AX604" s="6">
        <f t="shared" si="225"/>
        <v>0</v>
      </c>
      <c r="AY604" s="6">
        <f t="shared" si="225"/>
        <v>0</v>
      </c>
      <c r="AZ604" s="6">
        <f t="shared" si="225"/>
        <v>0</v>
      </c>
      <c r="BA604" s="6">
        <f t="shared" si="225"/>
        <v>0</v>
      </c>
      <c r="BB604" s="6">
        <f t="shared" si="225"/>
        <v>0</v>
      </c>
      <c r="BC604" s="6">
        <f t="shared" si="225"/>
        <v>0</v>
      </c>
      <c r="BD604" s="6">
        <f t="shared" si="225"/>
        <v>0</v>
      </c>
      <c r="BE604" s="6">
        <f t="shared" si="225"/>
        <v>2546</v>
      </c>
      <c r="BF604" s="6">
        <f t="shared" si="225"/>
        <v>2210</v>
      </c>
      <c r="BG604" s="6">
        <f t="shared" si="225"/>
        <v>3161</v>
      </c>
      <c r="BH604" s="6">
        <f t="shared" si="225"/>
        <v>1640</v>
      </c>
      <c r="BI604" s="6">
        <f t="shared" si="225"/>
        <v>3289</v>
      </c>
      <c r="BJ604" s="6">
        <f t="shared" si="225"/>
        <v>1463</v>
      </c>
      <c r="BK604" s="6">
        <f t="shared" si="225"/>
        <v>1827</v>
      </c>
      <c r="BL604" s="6">
        <f t="shared" si="225"/>
        <v>2921</v>
      </c>
      <c r="BM604" s="6">
        <f t="shared" si="225"/>
        <v>2390</v>
      </c>
      <c r="BN604" s="6">
        <f t="shared" si="225"/>
        <v>2316</v>
      </c>
      <c r="BO604" s="6">
        <f t="shared" si="225"/>
        <v>1597</v>
      </c>
      <c r="BP604" s="6">
        <f t="shared" si="225"/>
        <v>3045</v>
      </c>
      <c r="BQ604" s="6">
        <f t="shared" si="225"/>
        <v>3324</v>
      </c>
      <c r="BR604" s="6">
        <f t="shared" si="225"/>
        <v>1377</v>
      </c>
      <c r="BS604" s="6">
        <f t="shared" si="225"/>
        <v>3527</v>
      </c>
      <c r="BT604" s="6">
        <f t="shared" si="225"/>
        <v>2329</v>
      </c>
      <c r="BU604" s="6">
        <f t="shared" si="225"/>
        <v>2272</v>
      </c>
      <c r="BV604" s="6">
        <f t="shared" si="225"/>
        <v>3389</v>
      </c>
      <c r="BW604" s="6">
        <f t="shared" si="225"/>
        <v>2366</v>
      </c>
      <c r="BX604" s="6">
        <f t="shared" si="225"/>
        <v>1599</v>
      </c>
      <c r="BY604" s="6">
        <f t="shared" si="225"/>
        <v>3023</v>
      </c>
      <c r="BZ604" s="6">
        <f t="shared" si="225"/>
        <v>1270</v>
      </c>
      <c r="CA604" s="6">
        <f t="shared" ref="CA604:CP604" si="226">SUM(CA278:CA285)</f>
        <v>3147</v>
      </c>
      <c r="CB604" s="6">
        <f t="shared" si="226"/>
        <v>2326</v>
      </c>
      <c r="CC604" s="6">
        <f t="shared" si="226"/>
        <v>1526</v>
      </c>
      <c r="CD604" s="6">
        <f t="shared" si="226"/>
        <v>2879</v>
      </c>
      <c r="CE604" s="6">
        <f t="shared" si="226"/>
        <v>1458</v>
      </c>
      <c r="CF604" s="6">
        <f t="shared" si="226"/>
        <v>2530</v>
      </c>
      <c r="CG604" s="6">
        <f t="shared" si="226"/>
        <v>2506</v>
      </c>
      <c r="CH604" s="6">
        <f t="shared" si="226"/>
        <v>1234</v>
      </c>
      <c r="CI604" s="6">
        <f t="shared" si="226"/>
        <v>899</v>
      </c>
      <c r="CJ604" s="6">
        <f t="shared" si="226"/>
        <v>2967</v>
      </c>
      <c r="CK604" s="6">
        <f t="shared" si="226"/>
        <v>2388</v>
      </c>
      <c r="CL604" s="6">
        <f t="shared" si="226"/>
        <v>1460</v>
      </c>
      <c r="CM604" s="6">
        <f t="shared" si="226"/>
        <v>3052</v>
      </c>
      <c r="CN604" s="6">
        <f t="shared" si="226"/>
        <v>3096</v>
      </c>
      <c r="CO604" s="6">
        <f t="shared" si="226"/>
        <v>1384</v>
      </c>
      <c r="CP604" s="6">
        <f t="shared" si="226"/>
        <v>2515</v>
      </c>
      <c r="CQ604" s="6">
        <f t="shared" ref="CQ604:EM604" si="227">SUM(CQ278:CQ285)</f>
        <v>0</v>
      </c>
      <c r="CR604" s="6">
        <f t="shared" si="227"/>
        <v>0</v>
      </c>
      <c r="CS604" s="6">
        <f t="shared" si="227"/>
        <v>0</v>
      </c>
      <c r="CT604" s="6">
        <f t="shared" si="227"/>
        <v>0</v>
      </c>
      <c r="CU604" s="6">
        <f t="shared" si="227"/>
        <v>0</v>
      </c>
      <c r="CV604" s="6">
        <f t="shared" si="227"/>
        <v>0</v>
      </c>
      <c r="CW604" s="6">
        <f t="shared" si="227"/>
        <v>0</v>
      </c>
      <c r="CX604" s="6">
        <f t="shared" si="227"/>
        <v>0</v>
      </c>
      <c r="CY604" s="6">
        <f t="shared" si="227"/>
        <v>0</v>
      </c>
      <c r="CZ604" s="6">
        <f t="shared" si="227"/>
        <v>0</v>
      </c>
      <c r="DA604" s="6">
        <f t="shared" si="227"/>
        <v>0</v>
      </c>
      <c r="DB604" s="6">
        <f t="shared" si="227"/>
        <v>0</v>
      </c>
      <c r="DC604" s="6">
        <f t="shared" si="227"/>
        <v>0</v>
      </c>
      <c r="DD604" s="6">
        <f t="shared" si="227"/>
        <v>0</v>
      </c>
      <c r="DE604" s="6">
        <f t="shared" si="227"/>
        <v>0</v>
      </c>
      <c r="DF604" s="6">
        <f t="shared" si="227"/>
        <v>0</v>
      </c>
      <c r="DG604" s="6">
        <f t="shared" si="227"/>
        <v>0</v>
      </c>
      <c r="DH604" s="6">
        <f t="shared" si="227"/>
        <v>0</v>
      </c>
      <c r="DI604" s="6">
        <f t="shared" si="227"/>
        <v>0</v>
      </c>
      <c r="DJ604" s="6">
        <f t="shared" si="227"/>
        <v>0</v>
      </c>
      <c r="DK604" s="6">
        <f t="shared" si="227"/>
        <v>0</v>
      </c>
      <c r="DL604" s="6">
        <f t="shared" si="227"/>
        <v>0</v>
      </c>
      <c r="DM604" s="6">
        <f t="shared" si="227"/>
        <v>0</v>
      </c>
      <c r="DN604" s="6">
        <f t="shared" si="227"/>
        <v>0</v>
      </c>
      <c r="DO604" s="6">
        <f t="shared" si="227"/>
        <v>0</v>
      </c>
      <c r="DP604" s="6">
        <f t="shared" si="227"/>
        <v>0</v>
      </c>
      <c r="DQ604" s="6">
        <f t="shared" si="227"/>
        <v>0</v>
      </c>
      <c r="DR604" s="6">
        <f t="shared" si="227"/>
        <v>0</v>
      </c>
      <c r="DS604" s="6">
        <f t="shared" si="227"/>
        <v>0</v>
      </c>
      <c r="DT604" s="6">
        <f t="shared" si="227"/>
        <v>0</v>
      </c>
      <c r="DU604" s="6">
        <f t="shared" si="227"/>
        <v>0</v>
      </c>
      <c r="DV604" s="6">
        <f t="shared" si="227"/>
        <v>0</v>
      </c>
      <c r="DW604" s="6">
        <f t="shared" si="227"/>
        <v>0</v>
      </c>
      <c r="DX604" s="6">
        <f t="shared" si="227"/>
        <v>0</v>
      </c>
      <c r="DY604" s="6">
        <f t="shared" si="227"/>
        <v>0</v>
      </c>
      <c r="DZ604" s="6">
        <f t="shared" si="227"/>
        <v>0</v>
      </c>
      <c r="EA604" s="6">
        <f t="shared" si="227"/>
        <v>0</v>
      </c>
      <c r="EB604" s="6">
        <f t="shared" si="227"/>
        <v>0</v>
      </c>
      <c r="EC604" s="6">
        <f t="shared" si="227"/>
        <v>0</v>
      </c>
      <c r="ED604" s="6">
        <f t="shared" si="227"/>
        <v>0</v>
      </c>
      <c r="EE604" s="6">
        <f t="shared" si="227"/>
        <v>0</v>
      </c>
      <c r="EF604" s="6">
        <f t="shared" si="227"/>
        <v>0</v>
      </c>
      <c r="EG604" s="6">
        <f t="shared" si="227"/>
        <v>0</v>
      </c>
      <c r="EH604" s="6">
        <f t="shared" si="227"/>
        <v>0</v>
      </c>
      <c r="EI604" s="6">
        <f t="shared" si="227"/>
        <v>0</v>
      </c>
      <c r="EJ604" s="6">
        <f t="shared" si="227"/>
        <v>0</v>
      </c>
      <c r="EK604" s="6">
        <f t="shared" si="227"/>
        <v>0</v>
      </c>
      <c r="EL604" s="6">
        <f t="shared" si="227"/>
        <v>0</v>
      </c>
      <c r="EM604" s="6">
        <f t="shared" si="227"/>
        <v>0</v>
      </c>
      <c r="EN604" s="6">
        <f t="shared" ref="EN604:GR604" si="228">SUM(EN278:EN285)</f>
        <v>0</v>
      </c>
      <c r="EO604" s="6">
        <f t="shared" si="228"/>
        <v>0</v>
      </c>
      <c r="EP604" s="6">
        <f t="shared" si="228"/>
        <v>0</v>
      </c>
      <c r="EQ604" s="6">
        <f t="shared" si="228"/>
        <v>0</v>
      </c>
      <c r="ER604" s="6">
        <f t="shared" si="228"/>
        <v>0</v>
      </c>
      <c r="ES604" s="6">
        <f t="shared" si="228"/>
        <v>0</v>
      </c>
      <c r="ET604" s="6">
        <f t="shared" si="228"/>
        <v>0</v>
      </c>
      <c r="EU604" s="6">
        <f t="shared" si="228"/>
        <v>0</v>
      </c>
      <c r="EV604" s="6">
        <f t="shared" si="228"/>
        <v>0</v>
      </c>
      <c r="EW604" s="6">
        <f t="shared" si="228"/>
        <v>0</v>
      </c>
      <c r="EX604" s="6">
        <f t="shared" si="228"/>
        <v>0</v>
      </c>
      <c r="EY604" s="6">
        <f t="shared" si="228"/>
        <v>0</v>
      </c>
      <c r="EZ604" s="6">
        <f t="shared" si="228"/>
        <v>0</v>
      </c>
      <c r="FA604" s="6">
        <f t="shared" si="228"/>
        <v>0</v>
      </c>
      <c r="FB604" s="6">
        <f t="shared" si="228"/>
        <v>0</v>
      </c>
      <c r="FC604" s="6">
        <f t="shared" si="228"/>
        <v>0</v>
      </c>
      <c r="FD604" s="6">
        <f t="shared" si="228"/>
        <v>0</v>
      </c>
      <c r="FE604" s="6">
        <f t="shared" si="228"/>
        <v>0</v>
      </c>
      <c r="FF604" s="6">
        <f t="shared" si="228"/>
        <v>0</v>
      </c>
      <c r="FG604" s="6">
        <f t="shared" si="228"/>
        <v>0</v>
      </c>
      <c r="FH604" s="6">
        <f t="shared" si="228"/>
        <v>0</v>
      </c>
      <c r="FI604" s="6">
        <f t="shared" si="228"/>
        <v>0</v>
      </c>
      <c r="FJ604" s="6">
        <f t="shared" si="228"/>
        <v>0</v>
      </c>
      <c r="FK604" s="6">
        <f t="shared" si="228"/>
        <v>0</v>
      </c>
      <c r="FL604" s="6">
        <f t="shared" si="228"/>
        <v>0</v>
      </c>
      <c r="FM604" s="6">
        <f t="shared" si="228"/>
        <v>0</v>
      </c>
      <c r="FN604" s="6">
        <f t="shared" si="228"/>
        <v>0</v>
      </c>
      <c r="FO604" s="6">
        <f t="shared" si="228"/>
        <v>0</v>
      </c>
      <c r="FP604" s="6">
        <f t="shared" si="228"/>
        <v>0</v>
      </c>
      <c r="FQ604" s="6">
        <f t="shared" si="228"/>
        <v>0</v>
      </c>
      <c r="FR604" s="6">
        <f t="shared" si="228"/>
        <v>0</v>
      </c>
      <c r="FS604" s="6">
        <f t="shared" si="228"/>
        <v>0</v>
      </c>
      <c r="FT604" s="6">
        <f t="shared" si="228"/>
        <v>0</v>
      </c>
      <c r="FU604" s="6">
        <f t="shared" si="228"/>
        <v>0</v>
      </c>
      <c r="FV604" s="6">
        <f t="shared" si="228"/>
        <v>0</v>
      </c>
      <c r="FW604" s="6">
        <f t="shared" si="228"/>
        <v>0</v>
      </c>
      <c r="FX604" s="6">
        <f t="shared" si="228"/>
        <v>0</v>
      </c>
      <c r="FY604" s="6">
        <f t="shared" si="228"/>
        <v>0</v>
      </c>
      <c r="FZ604" s="6">
        <f t="shared" si="228"/>
        <v>0</v>
      </c>
      <c r="GA604" s="6">
        <f t="shared" si="228"/>
        <v>0</v>
      </c>
      <c r="GB604" s="6">
        <f t="shared" si="228"/>
        <v>0</v>
      </c>
      <c r="GC604" s="6">
        <f t="shared" si="228"/>
        <v>0</v>
      </c>
      <c r="GD604" s="6">
        <f t="shared" si="228"/>
        <v>0</v>
      </c>
      <c r="GE604" s="6">
        <f t="shared" si="228"/>
        <v>0</v>
      </c>
      <c r="GF604" s="6">
        <f t="shared" si="228"/>
        <v>0</v>
      </c>
      <c r="GG604" s="6">
        <f t="shared" si="228"/>
        <v>0</v>
      </c>
      <c r="GH604" s="6">
        <f t="shared" si="228"/>
        <v>0</v>
      </c>
      <c r="GI604" s="6">
        <f t="shared" si="228"/>
        <v>0</v>
      </c>
      <c r="GJ604" s="6">
        <f t="shared" si="228"/>
        <v>0</v>
      </c>
      <c r="GK604" s="6">
        <f t="shared" si="228"/>
        <v>0</v>
      </c>
      <c r="GL604" s="6">
        <f t="shared" si="228"/>
        <v>0</v>
      </c>
      <c r="GM604" s="6">
        <f t="shared" si="228"/>
        <v>0</v>
      </c>
      <c r="GN604" s="6">
        <f t="shared" si="228"/>
        <v>0</v>
      </c>
      <c r="GO604" s="6">
        <f t="shared" si="228"/>
        <v>3404</v>
      </c>
      <c r="GP604" s="6">
        <f t="shared" si="228"/>
        <v>1467</v>
      </c>
      <c r="GQ604" s="6">
        <f t="shared" si="228"/>
        <v>3355</v>
      </c>
      <c r="GR604" s="6">
        <f t="shared" si="228"/>
        <v>1489</v>
      </c>
    </row>
    <row r="605" spans="1:200">
      <c r="A605" s="6"/>
      <c r="B605" s="16" t="s">
        <v>68</v>
      </c>
      <c r="C605" s="14">
        <f>SUM(C286:C292)</f>
        <v>7743</v>
      </c>
      <c r="D605" s="14">
        <f>SUM(D286:D292)</f>
        <v>5812</v>
      </c>
      <c r="E605" s="15">
        <f t="shared" si="28"/>
        <v>0.7506134573162857</v>
      </c>
      <c r="F605" s="66">
        <f t="shared" ref="F605:AB605" si="229">SUM(F286:F292)</f>
        <v>2299</v>
      </c>
      <c r="G605" s="6">
        <f t="shared" si="229"/>
        <v>18</v>
      </c>
      <c r="H605" s="6">
        <f t="shared" si="229"/>
        <v>232</v>
      </c>
      <c r="I605" s="6">
        <f t="shared" si="229"/>
        <v>55</v>
      </c>
      <c r="J605" s="59">
        <f t="shared" si="229"/>
        <v>3088</v>
      </c>
      <c r="K605" s="6">
        <f t="shared" si="229"/>
        <v>0</v>
      </c>
      <c r="L605" s="6">
        <f t="shared" si="229"/>
        <v>0</v>
      </c>
      <c r="M605" s="6">
        <f t="shared" si="229"/>
        <v>5</v>
      </c>
      <c r="N605" s="6">
        <f t="shared" si="229"/>
        <v>0</v>
      </c>
      <c r="O605" s="6">
        <f t="shared" si="229"/>
        <v>0</v>
      </c>
      <c r="P605" s="6">
        <f t="shared" si="229"/>
        <v>0</v>
      </c>
      <c r="Q605" s="6">
        <f t="shared" si="229"/>
        <v>0</v>
      </c>
      <c r="R605" s="6">
        <f t="shared" si="229"/>
        <v>0</v>
      </c>
      <c r="S605" s="6">
        <f t="shared" si="229"/>
        <v>0</v>
      </c>
      <c r="T605" s="6">
        <f t="shared" si="229"/>
        <v>0</v>
      </c>
      <c r="U605" s="6">
        <f t="shared" si="229"/>
        <v>0</v>
      </c>
      <c r="V605" s="6">
        <f t="shared" si="229"/>
        <v>0</v>
      </c>
      <c r="W605" s="6">
        <f t="shared" si="229"/>
        <v>15</v>
      </c>
      <c r="X605" s="6">
        <f t="shared" si="229"/>
        <v>0</v>
      </c>
      <c r="Y605" s="6">
        <f t="shared" si="229"/>
        <v>0</v>
      </c>
      <c r="Z605" s="6">
        <f t="shared" si="229"/>
        <v>0</v>
      </c>
      <c r="AA605" s="6">
        <f t="shared" si="229"/>
        <v>0</v>
      </c>
      <c r="AB605" s="6">
        <f t="shared" si="229"/>
        <v>0</v>
      </c>
      <c r="AC605" s="6">
        <f t="shared" ref="AC605:BZ605" si="230">SUM(AC286:AC292)</f>
        <v>87</v>
      </c>
      <c r="AD605" s="6">
        <f t="shared" si="230"/>
        <v>79</v>
      </c>
      <c r="AE605" s="6">
        <f t="shared" si="230"/>
        <v>3656</v>
      </c>
      <c r="AF605" s="6">
        <f t="shared" si="230"/>
        <v>66</v>
      </c>
      <c r="AG605" s="6">
        <f t="shared" si="230"/>
        <v>0</v>
      </c>
      <c r="AH605" s="6">
        <f t="shared" si="230"/>
        <v>1738</v>
      </c>
      <c r="AI605" s="6">
        <f t="shared" si="230"/>
        <v>3510</v>
      </c>
      <c r="AJ605" s="6">
        <f t="shared" si="230"/>
        <v>4</v>
      </c>
      <c r="AK605" s="6">
        <f t="shared" si="230"/>
        <v>0</v>
      </c>
      <c r="AL605" s="6">
        <f t="shared" si="230"/>
        <v>2044</v>
      </c>
      <c r="AM605" s="6">
        <f t="shared" si="230"/>
        <v>0</v>
      </c>
      <c r="AN605" s="6">
        <f t="shared" si="230"/>
        <v>0</v>
      </c>
      <c r="AO605" s="6">
        <f t="shared" si="230"/>
        <v>0</v>
      </c>
      <c r="AP605" s="6">
        <f t="shared" si="230"/>
        <v>2057</v>
      </c>
      <c r="AQ605" s="6">
        <f t="shared" si="230"/>
        <v>3259</v>
      </c>
      <c r="AR605" s="6">
        <f t="shared" si="230"/>
        <v>0</v>
      </c>
      <c r="AS605" s="6">
        <f t="shared" si="230"/>
        <v>0</v>
      </c>
      <c r="AT605" s="6">
        <f t="shared" si="230"/>
        <v>3599</v>
      </c>
      <c r="AU605" s="6">
        <f t="shared" si="230"/>
        <v>1853</v>
      </c>
      <c r="AV605" s="6">
        <f t="shared" si="230"/>
        <v>0</v>
      </c>
      <c r="AW605" s="6">
        <f t="shared" si="230"/>
        <v>0</v>
      </c>
      <c r="AX605" s="6">
        <f t="shared" si="230"/>
        <v>0</v>
      </c>
      <c r="AY605" s="6">
        <f t="shared" si="230"/>
        <v>0</v>
      </c>
      <c r="AZ605" s="6">
        <f t="shared" si="230"/>
        <v>0</v>
      </c>
      <c r="BA605" s="6">
        <f t="shared" si="230"/>
        <v>0</v>
      </c>
      <c r="BB605" s="6">
        <f t="shared" si="230"/>
        <v>0</v>
      </c>
      <c r="BC605" s="6">
        <f t="shared" si="230"/>
        <v>0</v>
      </c>
      <c r="BD605" s="6">
        <f t="shared" si="230"/>
        <v>0</v>
      </c>
      <c r="BE605" s="6">
        <f t="shared" si="230"/>
        <v>2835</v>
      </c>
      <c r="BF605" s="6">
        <f t="shared" si="230"/>
        <v>2572</v>
      </c>
      <c r="BG605" s="6">
        <f t="shared" si="230"/>
        <v>3428</v>
      </c>
      <c r="BH605" s="6">
        <f t="shared" si="230"/>
        <v>2029</v>
      </c>
      <c r="BI605" s="6">
        <f t="shared" si="230"/>
        <v>3680</v>
      </c>
      <c r="BJ605" s="6">
        <f t="shared" si="230"/>
        <v>1720</v>
      </c>
      <c r="BK605" s="6">
        <f t="shared" si="230"/>
        <v>2268</v>
      </c>
      <c r="BL605" s="6">
        <f t="shared" si="230"/>
        <v>3128</v>
      </c>
      <c r="BM605" s="6">
        <f t="shared" si="230"/>
        <v>2738</v>
      </c>
      <c r="BN605" s="6">
        <f t="shared" si="230"/>
        <v>2607</v>
      </c>
      <c r="BO605" s="6">
        <f t="shared" si="230"/>
        <v>2054</v>
      </c>
      <c r="BP605" s="6">
        <f t="shared" si="230"/>
        <v>3235</v>
      </c>
      <c r="BQ605" s="6">
        <f t="shared" si="230"/>
        <v>3580</v>
      </c>
      <c r="BR605" s="6">
        <f t="shared" si="230"/>
        <v>1741</v>
      </c>
      <c r="BS605" s="6">
        <f t="shared" si="230"/>
        <v>3884</v>
      </c>
      <c r="BT605" s="6">
        <f t="shared" si="230"/>
        <v>2527</v>
      </c>
      <c r="BU605" s="6">
        <f t="shared" si="230"/>
        <v>2750</v>
      </c>
      <c r="BV605" s="6">
        <f t="shared" si="230"/>
        <v>3732</v>
      </c>
      <c r="BW605" s="6">
        <f t="shared" si="230"/>
        <v>2667</v>
      </c>
      <c r="BX605" s="6">
        <f t="shared" si="230"/>
        <v>1761</v>
      </c>
      <c r="BY605" s="6">
        <f t="shared" si="230"/>
        <v>3106</v>
      </c>
      <c r="BZ605" s="6">
        <f t="shared" si="230"/>
        <v>1702</v>
      </c>
      <c r="CA605" s="6">
        <f t="shared" ref="CA605:CP605" si="231">SUM(CA286:CA292)</f>
        <v>3432</v>
      </c>
      <c r="CB605" s="6">
        <f t="shared" si="231"/>
        <v>2450</v>
      </c>
      <c r="CC605" s="6">
        <f t="shared" si="231"/>
        <v>1826</v>
      </c>
      <c r="CD605" s="6">
        <f t="shared" si="231"/>
        <v>3246</v>
      </c>
      <c r="CE605" s="6">
        <f t="shared" si="231"/>
        <v>1848</v>
      </c>
      <c r="CF605" s="6">
        <f t="shared" si="231"/>
        <v>2603</v>
      </c>
      <c r="CG605" s="6">
        <f t="shared" si="231"/>
        <v>2623</v>
      </c>
      <c r="CH605" s="6">
        <f t="shared" si="231"/>
        <v>1542</v>
      </c>
      <c r="CI605" s="6">
        <f t="shared" si="231"/>
        <v>1106</v>
      </c>
      <c r="CJ605" s="6">
        <f t="shared" si="231"/>
        <v>3193</v>
      </c>
      <c r="CK605" s="6">
        <f t="shared" si="231"/>
        <v>2621</v>
      </c>
      <c r="CL605" s="6">
        <f t="shared" si="231"/>
        <v>1665</v>
      </c>
      <c r="CM605" s="6">
        <f t="shared" si="231"/>
        <v>3292</v>
      </c>
      <c r="CN605" s="6">
        <f t="shared" si="231"/>
        <v>3380</v>
      </c>
      <c r="CO605" s="6">
        <f t="shared" si="231"/>
        <v>1565</v>
      </c>
      <c r="CP605" s="6">
        <f t="shared" si="231"/>
        <v>2722</v>
      </c>
      <c r="CQ605" s="6">
        <f t="shared" ref="CQ605:EM605" si="232">SUM(CQ286:CQ292)</f>
        <v>0</v>
      </c>
      <c r="CR605" s="6">
        <f t="shared" si="232"/>
        <v>0</v>
      </c>
      <c r="CS605" s="6">
        <f t="shared" si="232"/>
        <v>0</v>
      </c>
      <c r="CT605" s="6">
        <f t="shared" si="232"/>
        <v>0</v>
      </c>
      <c r="CU605" s="6">
        <f t="shared" si="232"/>
        <v>0</v>
      </c>
      <c r="CV605" s="6">
        <f t="shared" si="232"/>
        <v>0</v>
      </c>
      <c r="CW605" s="6">
        <f t="shared" si="232"/>
        <v>0</v>
      </c>
      <c r="CX605" s="6">
        <f t="shared" si="232"/>
        <v>0</v>
      </c>
      <c r="CY605" s="6">
        <f t="shared" si="232"/>
        <v>0</v>
      </c>
      <c r="CZ605" s="6">
        <f t="shared" si="232"/>
        <v>0</v>
      </c>
      <c r="DA605" s="6">
        <f t="shared" si="232"/>
        <v>0</v>
      </c>
      <c r="DB605" s="6">
        <f t="shared" si="232"/>
        <v>0</v>
      </c>
      <c r="DC605" s="6">
        <f t="shared" si="232"/>
        <v>0</v>
      </c>
      <c r="DD605" s="6">
        <f t="shared" si="232"/>
        <v>0</v>
      </c>
      <c r="DE605" s="6">
        <f t="shared" si="232"/>
        <v>0</v>
      </c>
      <c r="DF605" s="6">
        <f t="shared" si="232"/>
        <v>0</v>
      </c>
      <c r="DG605" s="6">
        <f t="shared" si="232"/>
        <v>0</v>
      </c>
      <c r="DH605" s="6">
        <f t="shared" si="232"/>
        <v>0</v>
      </c>
      <c r="DI605" s="6">
        <f t="shared" si="232"/>
        <v>0</v>
      </c>
      <c r="DJ605" s="6">
        <f t="shared" si="232"/>
        <v>0</v>
      </c>
      <c r="DK605" s="6">
        <f t="shared" si="232"/>
        <v>0</v>
      </c>
      <c r="DL605" s="6">
        <f t="shared" si="232"/>
        <v>0</v>
      </c>
      <c r="DM605" s="6">
        <f t="shared" si="232"/>
        <v>0</v>
      </c>
      <c r="DN605" s="6">
        <f t="shared" si="232"/>
        <v>0</v>
      </c>
      <c r="DO605" s="6">
        <f t="shared" si="232"/>
        <v>0</v>
      </c>
      <c r="DP605" s="6">
        <f t="shared" si="232"/>
        <v>0</v>
      </c>
      <c r="DQ605" s="6">
        <f t="shared" si="232"/>
        <v>0</v>
      </c>
      <c r="DR605" s="6">
        <f t="shared" si="232"/>
        <v>0</v>
      </c>
      <c r="DS605" s="6">
        <f t="shared" si="232"/>
        <v>0</v>
      </c>
      <c r="DT605" s="6">
        <f t="shared" si="232"/>
        <v>0</v>
      </c>
      <c r="DU605" s="6">
        <f t="shared" si="232"/>
        <v>0</v>
      </c>
      <c r="DV605" s="6">
        <f t="shared" si="232"/>
        <v>0</v>
      </c>
      <c r="DW605" s="6">
        <f t="shared" si="232"/>
        <v>0</v>
      </c>
      <c r="DX605" s="6">
        <f t="shared" si="232"/>
        <v>0</v>
      </c>
      <c r="DY605" s="6">
        <f t="shared" si="232"/>
        <v>0</v>
      </c>
      <c r="DZ605" s="6">
        <f t="shared" si="232"/>
        <v>0</v>
      </c>
      <c r="EA605" s="6">
        <f t="shared" si="232"/>
        <v>0</v>
      </c>
      <c r="EB605" s="6">
        <f t="shared" si="232"/>
        <v>0</v>
      </c>
      <c r="EC605" s="6">
        <f t="shared" si="232"/>
        <v>0</v>
      </c>
      <c r="ED605" s="6">
        <f t="shared" si="232"/>
        <v>0</v>
      </c>
      <c r="EE605" s="6">
        <f t="shared" si="232"/>
        <v>0</v>
      </c>
      <c r="EF605" s="6">
        <f t="shared" si="232"/>
        <v>0</v>
      </c>
      <c r="EG605" s="6">
        <f t="shared" si="232"/>
        <v>0</v>
      </c>
      <c r="EH605" s="6">
        <f t="shared" si="232"/>
        <v>0</v>
      </c>
      <c r="EI605" s="6">
        <f t="shared" si="232"/>
        <v>0</v>
      </c>
      <c r="EJ605" s="6">
        <f t="shared" si="232"/>
        <v>0</v>
      </c>
      <c r="EK605" s="6">
        <f t="shared" si="232"/>
        <v>0</v>
      </c>
      <c r="EL605" s="6">
        <f t="shared" si="232"/>
        <v>0</v>
      </c>
      <c r="EM605" s="6">
        <f t="shared" si="232"/>
        <v>0</v>
      </c>
      <c r="EN605" s="6">
        <f t="shared" ref="EN605:GR605" si="233">SUM(EN286:EN292)</f>
        <v>0</v>
      </c>
      <c r="EO605" s="6">
        <f t="shared" si="233"/>
        <v>0</v>
      </c>
      <c r="EP605" s="6">
        <f t="shared" si="233"/>
        <v>0</v>
      </c>
      <c r="EQ605" s="6">
        <f t="shared" si="233"/>
        <v>0</v>
      </c>
      <c r="ER605" s="6">
        <f t="shared" si="233"/>
        <v>0</v>
      </c>
      <c r="ES605" s="6">
        <f t="shared" si="233"/>
        <v>0</v>
      </c>
      <c r="ET605" s="6">
        <f t="shared" si="233"/>
        <v>0</v>
      </c>
      <c r="EU605" s="6">
        <f t="shared" si="233"/>
        <v>0</v>
      </c>
      <c r="EV605" s="6">
        <f t="shared" si="233"/>
        <v>0</v>
      </c>
      <c r="EW605" s="6">
        <f t="shared" si="233"/>
        <v>0</v>
      </c>
      <c r="EX605" s="6">
        <f t="shared" si="233"/>
        <v>0</v>
      </c>
      <c r="EY605" s="6">
        <f t="shared" si="233"/>
        <v>0</v>
      </c>
      <c r="EZ605" s="6">
        <f t="shared" si="233"/>
        <v>0</v>
      </c>
      <c r="FA605" s="6">
        <f t="shared" si="233"/>
        <v>0</v>
      </c>
      <c r="FB605" s="6">
        <f t="shared" si="233"/>
        <v>0</v>
      </c>
      <c r="FC605" s="6">
        <f t="shared" si="233"/>
        <v>0</v>
      </c>
      <c r="FD605" s="6">
        <f t="shared" si="233"/>
        <v>0</v>
      </c>
      <c r="FE605" s="6">
        <f t="shared" si="233"/>
        <v>0</v>
      </c>
      <c r="FF605" s="6">
        <f t="shared" si="233"/>
        <v>0</v>
      </c>
      <c r="FG605" s="6">
        <f t="shared" si="233"/>
        <v>0</v>
      </c>
      <c r="FH605" s="6">
        <f t="shared" si="233"/>
        <v>0</v>
      </c>
      <c r="FI605" s="6">
        <f t="shared" si="233"/>
        <v>0</v>
      </c>
      <c r="FJ605" s="6">
        <f t="shared" si="233"/>
        <v>0</v>
      </c>
      <c r="FK605" s="6">
        <f t="shared" si="233"/>
        <v>0</v>
      </c>
      <c r="FL605" s="6">
        <f t="shared" si="233"/>
        <v>0</v>
      </c>
      <c r="FM605" s="6">
        <f t="shared" si="233"/>
        <v>0</v>
      </c>
      <c r="FN605" s="6">
        <f t="shared" si="233"/>
        <v>0</v>
      </c>
      <c r="FO605" s="6">
        <f t="shared" si="233"/>
        <v>0</v>
      </c>
      <c r="FP605" s="6">
        <f t="shared" si="233"/>
        <v>0</v>
      </c>
      <c r="FQ605" s="6">
        <f t="shared" si="233"/>
        <v>0</v>
      </c>
      <c r="FR605" s="6">
        <f t="shared" si="233"/>
        <v>0</v>
      </c>
      <c r="FS605" s="6">
        <f t="shared" si="233"/>
        <v>0</v>
      </c>
      <c r="FT605" s="6">
        <f t="shared" si="233"/>
        <v>0</v>
      </c>
      <c r="FU605" s="6">
        <f t="shared" si="233"/>
        <v>0</v>
      </c>
      <c r="FV605" s="6">
        <f t="shared" si="233"/>
        <v>0</v>
      </c>
      <c r="FW605" s="6">
        <f t="shared" si="233"/>
        <v>0</v>
      </c>
      <c r="FX605" s="6">
        <f t="shared" si="233"/>
        <v>0</v>
      </c>
      <c r="FY605" s="6">
        <f t="shared" si="233"/>
        <v>0</v>
      </c>
      <c r="FZ605" s="6">
        <f t="shared" si="233"/>
        <v>0</v>
      </c>
      <c r="GA605" s="6">
        <f t="shared" si="233"/>
        <v>0</v>
      </c>
      <c r="GB605" s="6">
        <f t="shared" si="233"/>
        <v>0</v>
      </c>
      <c r="GC605" s="6">
        <f t="shared" si="233"/>
        <v>0</v>
      </c>
      <c r="GD605" s="6">
        <f t="shared" si="233"/>
        <v>0</v>
      </c>
      <c r="GE605" s="6">
        <f t="shared" si="233"/>
        <v>0</v>
      </c>
      <c r="GF605" s="6">
        <f t="shared" si="233"/>
        <v>0</v>
      </c>
      <c r="GG605" s="6">
        <f t="shared" si="233"/>
        <v>0</v>
      </c>
      <c r="GH605" s="6">
        <f t="shared" si="233"/>
        <v>0</v>
      </c>
      <c r="GI605" s="6">
        <f t="shared" si="233"/>
        <v>0</v>
      </c>
      <c r="GJ605" s="6">
        <f t="shared" si="233"/>
        <v>0</v>
      </c>
      <c r="GK605" s="6">
        <f t="shared" si="233"/>
        <v>0</v>
      </c>
      <c r="GL605" s="6">
        <f t="shared" si="233"/>
        <v>0</v>
      </c>
      <c r="GM605" s="6">
        <f t="shared" si="233"/>
        <v>0</v>
      </c>
      <c r="GN605" s="6">
        <f t="shared" si="233"/>
        <v>0</v>
      </c>
      <c r="GO605" s="6">
        <f t="shared" si="233"/>
        <v>4147</v>
      </c>
      <c r="GP605" s="6">
        <f t="shared" si="233"/>
        <v>1409</v>
      </c>
      <c r="GQ605" s="6">
        <f t="shared" si="233"/>
        <v>3923</v>
      </c>
      <c r="GR605" s="6">
        <f t="shared" si="233"/>
        <v>1580</v>
      </c>
    </row>
    <row r="606" spans="1:200">
      <c r="A606" s="6"/>
      <c r="B606" s="16" t="s">
        <v>699</v>
      </c>
      <c r="C606" s="14">
        <f>SUM(C293:C300)</f>
        <v>6757</v>
      </c>
      <c r="D606" s="14">
        <f>SUM(D293:D300)</f>
        <v>5095</v>
      </c>
      <c r="E606" s="15">
        <f t="shared" si="28"/>
        <v>0.75403285481722659</v>
      </c>
      <c r="F606" s="66">
        <f>SUM(F293:F300)</f>
        <v>2898</v>
      </c>
      <c r="G606" s="6">
        <f>SUM(G293:G300)</f>
        <v>25</v>
      </c>
      <c r="H606" s="6">
        <f>SUM(H293:H300)</f>
        <v>131</v>
      </c>
      <c r="I606" s="6">
        <f>SUM(I293:I300)</f>
        <v>32</v>
      </c>
      <c r="J606" s="59">
        <f>SUM(J293:J300)</f>
        <v>1913</v>
      </c>
      <c r="K606" s="6">
        <f t="shared" ref="K606" si="234">SUM(K293:K300)</f>
        <v>0</v>
      </c>
      <c r="L606" s="6">
        <f t="shared" ref="L606:AB606" si="235">SUM(L293:L300)</f>
        <v>0</v>
      </c>
      <c r="M606" s="6">
        <f t="shared" si="235"/>
        <v>3</v>
      </c>
      <c r="N606" s="6">
        <f t="shared" si="235"/>
        <v>0</v>
      </c>
      <c r="O606" s="6">
        <f t="shared" si="235"/>
        <v>0</v>
      </c>
      <c r="P606" s="6">
        <f t="shared" si="235"/>
        <v>0</v>
      </c>
      <c r="Q606" s="6">
        <f t="shared" si="235"/>
        <v>0</v>
      </c>
      <c r="R606" s="6">
        <f t="shared" si="235"/>
        <v>0</v>
      </c>
      <c r="S606" s="6">
        <f t="shared" si="235"/>
        <v>0</v>
      </c>
      <c r="T606" s="6">
        <f t="shared" si="235"/>
        <v>0</v>
      </c>
      <c r="U606" s="6">
        <f t="shared" si="235"/>
        <v>0</v>
      </c>
      <c r="V606" s="6">
        <f t="shared" si="235"/>
        <v>0</v>
      </c>
      <c r="W606" s="6">
        <f t="shared" si="235"/>
        <v>8</v>
      </c>
      <c r="X606" s="6">
        <f t="shared" si="235"/>
        <v>0</v>
      </c>
      <c r="Y606" s="6">
        <f t="shared" si="235"/>
        <v>0</v>
      </c>
      <c r="Z606" s="6">
        <f t="shared" si="235"/>
        <v>0</v>
      </c>
      <c r="AA606" s="6">
        <f t="shared" si="235"/>
        <v>0</v>
      </c>
      <c r="AB606" s="6">
        <f t="shared" si="235"/>
        <v>0</v>
      </c>
      <c r="AC606" s="6">
        <f t="shared" ref="AC606:BZ606" si="236">SUM(AC293:AC300)</f>
        <v>60</v>
      </c>
      <c r="AD606" s="6">
        <f t="shared" si="236"/>
        <v>65</v>
      </c>
      <c r="AE606" s="6">
        <f t="shared" si="236"/>
        <v>2316</v>
      </c>
      <c r="AF606" s="6">
        <f t="shared" si="236"/>
        <v>61</v>
      </c>
      <c r="AG606" s="6">
        <f t="shared" si="236"/>
        <v>0</v>
      </c>
      <c r="AH606" s="6">
        <f t="shared" si="236"/>
        <v>2427</v>
      </c>
      <c r="AI606" s="6">
        <f t="shared" si="236"/>
        <v>2270</v>
      </c>
      <c r="AJ606" s="6">
        <f t="shared" si="236"/>
        <v>1</v>
      </c>
      <c r="AK606" s="6">
        <f t="shared" si="236"/>
        <v>0</v>
      </c>
      <c r="AL606" s="6">
        <f t="shared" si="236"/>
        <v>2625</v>
      </c>
      <c r="AM606" s="6">
        <f t="shared" si="236"/>
        <v>0</v>
      </c>
      <c r="AN606" s="6">
        <f t="shared" si="236"/>
        <v>0</v>
      </c>
      <c r="AO606" s="6">
        <f t="shared" si="236"/>
        <v>0</v>
      </c>
      <c r="AP606" s="6">
        <f t="shared" si="236"/>
        <v>2756</v>
      </c>
      <c r="AQ606" s="6">
        <f t="shared" si="236"/>
        <v>1940</v>
      </c>
      <c r="AR606" s="6">
        <f t="shared" si="236"/>
        <v>0</v>
      </c>
      <c r="AS606" s="6">
        <f t="shared" si="236"/>
        <v>0</v>
      </c>
      <c r="AT606" s="6">
        <f t="shared" si="236"/>
        <v>2208</v>
      </c>
      <c r="AU606" s="6">
        <f t="shared" si="236"/>
        <v>2575</v>
      </c>
      <c r="AV606" s="6">
        <f t="shared" si="236"/>
        <v>0</v>
      </c>
      <c r="AW606" s="6">
        <f t="shared" si="236"/>
        <v>0</v>
      </c>
      <c r="AX606" s="6">
        <f t="shared" si="236"/>
        <v>0</v>
      </c>
      <c r="AY606" s="6">
        <f t="shared" si="236"/>
        <v>0</v>
      </c>
      <c r="AZ606" s="6">
        <f t="shared" si="236"/>
        <v>0</v>
      </c>
      <c r="BA606" s="6">
        <f t="shared" si="236"/>
        <v>0</v>
      </c>
      <c r="BB606" s="6">
        <f t="shared" si="236"/>
        <v>0</v>
      </c>
      <c r="BC606" s="6">
        <f t="shared" si="236"/>
        <v>0</v>
      </c>
      <c r="BD606" s="6">
        <f t="shared" si="236"/>
        <v>0</v>
      </c>
      <c r="BE606" s="6">
        <f t="shared" si="236"/>
        <v>1683</v>
      </c>
      <c r="BF606" s="6">
        <f t="shared" si="236"/>
        <v>3107</v>
      </c>
      <c r="BG606" s="6">
        <f t="shared" si="236"/>
        <v>2131</v>
      </c>
      <c r="BH606" s="6">
        <f t="shared" si="236"/>
        <v>2674</v>
      </c>
      <c r="BI606" s="6">
        <f t="shared" si="236"/>
        <v>2310</v>
      </c>
      <c r="BJ606" s="6">
        <f t="shared" si="236"/>
        <v>2471</v>
      </c>
      <c r="BK606" s="6">
        <f t="shared" si="236"/>
        <v>2783</v>
      </c>
      <c r="BL606" s="6">
        <f t="shared" si="236"/>
        <v>1998</v>
      </c>
      <c r="BM606" s="6">
        <f t="shared" si="236"/>
        <v>1714</v>
      </c>
      <c r="BN606" s="6">
        <f t="shared" si="236"/>
        <v>3053</v>
      </c>
      <c r="BO606" s="6">
        <f t="shared" si="236"/>
        <v>2725</v>
      </c>
      <c r="BP606" s="6">
        <f t="shared" si="236"/>
        <v>2002</v>
      </c>
      <c r="BQ606" s="6">
        <f t="shared" si="236"/>
        <v>2266</v>
      </c>
      <c r="BR606" s="6">
        <f t="shared" si="236"/>
        <v>2475</v>
      </c>
      <c r="BS606" s="6">
        <f t="shared" si="236"/>
        <v>2860</v>
      </c>
      <c r="BT606" s="6">
        <f t="shared" si="236"/>
        <v>1643</v>
      </c>
      <c r="BU606" s="6">
        <f t="shared" si="236"/>
        <v>3060</v>
      </c>
      <c r="BV606" s="6">
        <f t="shared" si="236"/>
        <v>3036</v>
      </c>
      <c r="BW606" s="6">
        <f t="shared" si="236"/>
        <v>1928</v>
      </c>
      <c r="BX606" s="6">
        <f t="shared" si="236"/>
        <v>2048</v>
      </c>
      <c r="BY606" s="6">
        <f t="shared" si="236"/>
        <v>2214</v>
      </c>
      <c r="BZ606" s="6">
        <f t="shared" si="236"/>
        <v>2120</v>
      </c>
      <c r="CA606" s="6">
        <f t="shared" ref="CA606:CP606" si="237">SUM(CA293:CA300)</f>
        <v>2803</v>
      </c>
      <c r="CB606" s="6">
        <f t="shared" si="237"/>
        <v>1552</v>
      </c>
      <c r="CC606" s="6">
        <f t="shared" si="237"/>
        <v>2349</v>
      </c>
      <c r="CD606" s="6">
        <f t="shared" si="237"/>
        <v>2998</v>
      </c>
      <c r="CE606" s="6">
        <f t="shared" si="237"/>
        <v>2252</v>
      </c>
      <c r="CF606" s="6">
        <f t="shared" si="237"/>
        <v>1757</v>
      </c>
      <c r="CG606" s="6">
        <f t="shared" si="237"/>
        <v>1834</v>
      </c>
      <c r="CH606" s="6">
        <f t="shared" si="237"/>
        <v>1959</v>
      </c>
      <c r="CI606" s="6">
        <f t="shared" si="237"/>
        <v>1650</v>
      </c>
      <c r="CJ606" s="6">
        <f t="shared" si="237"/>
        <v>2274</v>
      </c>
      <c r="CK606" s="6">
        <f t="shared" si="237"/>
        <v>1913</v>
      </c>
      <c r="CL606" s="6">
        <f t="shared" si="237"/>
        <v>2009</v>
      </c>
      <c r="CM606" s="6">
        <f t="shared" si="237"/>
        <v>2669</v>
      </c>
      <c r="CN606" s="6">
        <f t="shared" si="237"/>
        <v>2732</v>
      </c>
      <c r="CO606" s="6">
        <f t="shared" si="237"/>
        <v>1991</v>
      </c>
      <c r="CP606" s="6">
        <f t="shared" si="237"/>
        <v>1942</v>
      </c>
      <c r="CQ606" s="6">
        <f t="shared" ref="CQ606:EM606" si="238">SUM(CQ293:CQ300)</f>
        <v>0</v>
      </c>
      <c r="CR606" s="6">
        <f t="shared" si="238"/>
        <v>0</v>
      </c>
      <c r="CS606" s="6">
        <f t="shared" si="238"/>
        <v>0</v>
      </c>
      <c r="CT606" s="6">
        <f t="shared" si="238"/>
        <v>0</v>
      </c>
      <c r="CU606" s="6">
        <f t="shared" si="238"/>
        <v>0</v>
      </c>
      <c r="CV606" s="6">
        <f t="shared" si="238"/>
        <v>0</v>
      </c>
      <c r="CW606" s="6">
        <f t="shared" si="238"/>
        <v>0</v>
      </c>
      <c r="CX606" s="6">
        <f t="shared" si="238"/>
        <v>0</v>
      </c>
      <c r="CY606" s="6">
        <f t="shared" si="238"/>
        <v>0</v>
      </c>
      <c r="CZ606" s="6">
        <f t="shared" si="238"/>
        <v>0</v>
      </c>
      <c r="DA606" s="6">
        <f t="shared" si="238"/>
        <v>0</v>
      </c>
      <c r="DB606" s="6">
        <f t="shared" si="238"/>
        <v>0</v>
      </c>
      <c r="DC606" s="6">
        <f t="shared" si="238"/>
        <v>2620</v>
      </c>
      <c r="DD606" s="6">
        <f t="shared" si="238"/>
        <v>1309</v>
      </c>
      <c r="DE606" s="6">
        <f t="shared" si="238"/>
        <v>0</v>
      </c>
      <c r="DF606" s="6">
        <f t="shared" si="238"/>
        <v>0</v>
      </c>
      <c r="DG606" s="6">
        <f t="shared" si="238"/>
        <v>0</v>
      </c>
      <c r="DH606" s="6">
        <f t="shared" si="238"/>
        <v>0</v>
      </c>
      <c r="DI606" s="6">
        <f t="shared" si="238"/>
        <v>0</v>
      </c>
      <c r="DJ606" s="6">
        <f t="shared" si="238"/>
        <v>0</v>
      </c>
      <c r="DK606" s="6">
        <f t="shared" si="238"/>
        <v>0</v>
      </c>
      <c r="DL606" s="6">
        <f t="shared" si="238"/>
        <v>0</v>
      </c>
      <c r="DM606" s="6">
        <f t="shared" si="238"/>
        <v>0</v>
      </c>
      <c r="DN606" s="6">
        <f t="shared" si="238"/>
        <v>0</v>
      </c>
      <c r="DO606" s="6">
        <f t="shared" si="238"/>
        <v>0</v>
      </c>
      <c r="DP606" s="6">
        <f t="shared" si="238"/>
        <v>0</v>
      </c>
      <c r="DQ606" s="6">
        <f t="shared" si="238"/>
        <v>0</v>
      </c>
      <c r="DR606" s="6">
        <f t="shared" si="238"/>
        <v>0</v>
      </c>
      <c r="DS606" s="6">
        <f t="shared" si="238"/>
        <v>0</v>
      </c>
      <c r="DT606" s="6">
        <f t="shared" si="238"/>
        <v>0</v>
      </c>
      <c r="DU606" s="6">
        <f t="shared" si="238"/>
        <v>0</v>
      </c>
      <c r="DV606" s="6">
        <f t="shared" si="238"/>
        <v>0</v>
      </c>
      <c r="DW606" s="6">
        <f t="shared" si="238"/>
        <v>0</v>
      </c>
      <c r="DX606" s="6">
        <f t="shared" si="238"/>
        <v>0</v>
      </c>
      <c r="DY606" s="6">
        <f t="shared" si="238"/>
        <v>0</v>
      </c>
      <c r="DZ606" s="6">
        <f t="shared" si="238"/>
        <v>0</v>
      </c>
      <c r="EA606" s="6">
        <f t="shared" si="238"/>
        <v>0</v>
      </c>
      <c r="EB606" s="6">
        <f t="shared" si="238"/>
        <v>0</v>
      </c>
      <c r="EC606" s="6">
        <f t="shared" si="238"/>
        <v>0</v>
      </c>
      <c r="ED606" s="6">
        <f t="shared" si="238"/>
        <v>0</v>
      </c>
      <c r="EE606" s="6">
        <f t="shared" si="238"/>
        <v>0</v>
      </c>
      <c r="EF606" s="6">
        <f t="shared" si="238"/>
        <v>0</v>
      </c>
      <c r="EG606" s="6">
        <f t="shared" si="238"/>
        <v>0</v>
      </c>
      <c r="EH606" s="6">
        <f t="shared" si="238"/>
        <v>0</v>
      </c>
      <c r="EI606" s="6">
        <f t="shared" si="238"/>
        <v>0</v>
      </c>
      <c r="EJ606" s="6">
        <f t="shared" si="238"/>
        <v>0</v>
      </c>
      <c r="EK606" s="6">
        <f t="shared" si="238"/>
        <v>0</v>
      </c>
      <c r="EL606" s="6">
        <f t="shared" si="238"/>
        <v>0</v>
      </c>
      <c r="EM606" s="6">
        <f t="shared" si="238"/>
        <v>0</v>
      </c>
      <c r="EN606" s="6">
        <f t="shared" ref="EN606:GR606" si="239">SUM(EN293:EN300)</f>
        <v>0</v>
      </c>
      <c r="EO606" s="6">
        <f t="shared" si="239"/>
        <v>0</v>
      </c>
      <c r="EP606" s="6">
        <f t="shared" si="239"/>
        <v>0</v>
      </c>
      <c r="EQ606" s="6">
        <f t="shared" si="239"/>
        <v>0</v>
      </c>
      <c r="ER606" s="6">
        <f t="shared" si="239"/>
        <v>0</v>
      </c>
      <c r="ES606" s="6">
        <f t="shared" si="239"/>
        <v>0</v>
      </c>
      <c r="ET606" s="6">
        <f t="shared" si="239"/>
        <v>0</v>
      </c>
      <c r="EU606" s="6">
        <f t="shared" si="239"/>
        <v>0</v>
      </c>
      <c r="EV606" s="6">
        <f t="shared" si="239"/>
        <v>0</v>
      </c>
      <c r="EW606" s="6">
        <f t="shared" si="239"/>
        <v>0</v>
      </c>
      <c r="EX606" s="6">
        <f t="shared" si="239"/>
        <v>0</v>
      </c>
      <c r="EY606" s="6">
        <f t="shared" si="239"/>
        <v>0</v>
      </c>
      <c r="EZ606" s="6">
        <f t="shared" si="239"/>
        <v>0</v>
      </c>
      <c r="FA606" s="6">
        <f t="shared" si="239"/>
        <v>0</v>
      </c>
      <c r="FB606" s="6">
        <f t="shared" si="239"/>
        <v>0</v>
      </c>
      <c r="FC606" s="6">
        <f t="shared" si="239"/>
        <v>0</v>
      </c>
      <c r="FD606" s="6">
        <f t="shared" si="239"/>
        <v>0</v>
      </c>
      <c r="FE606" s="6">
        <f t="shared" si="239"/>
        <v>0</v>
      </c>
      <c r="FF606" s="6">
        <f t="shared" si="239"/>
        <v>0</v>
      </c>
      <c r="FG606" s="6">
        <f t="shared" si="239"/>
        <v>0</v>
      </c>
      <c r="FH606" s="6">
        <f t="shared" si="239"/>
        <v>0</v>
      </c>
      <c r="FI606" s="6">
        <f t="shared" si="239"/>
        <v>0</v>
      </c>
      <c r="FJ606" s="6">
        <f t="shared" si="239"/>
        <v>0</v>
      </c>
      <c r="FK606" s="6">
        <f t="shared" si="239"/>
        <v>0</v>
      </c>
      <c r="FL606" s="6">
        <f t="shared" si="239"/>
        <v>0</v>
      </c>
      <c r="FM606" s="6">
        <f t="shared" si="239"/>
        <v>0</v>
      </c>
      <c r="FN606" s="6">
        <f t="shared" si="239"/>
        <v>0</v>
      </c>
      <c r="FO606" s="6">
        <f t="shared" si="239"/>
        <v>0</v>
      </c>
      <c r="FP606" s="6">
        <f t="shared" si="239"/>
        <v>0</v>
      </c>
      <c r="FQ606" s="6">
        <f t="shared" si="239"/>
        <v>0</v>
      </c>
      <c r="FR606" s="6">
        <f t="shared" si="239"/>
        <v>0</v>
      </c>
      <c r="FS606" s="6">
        <f t="shared" si="239"/>
        <v>0</v>
      </c>
      <c r="FT606" s="6">
        <f t="shared" si="239"/>
        <v>0</v>
      </c>
      <c r="FU606" s="6">
        <f t="shared" si="239"/>
        <v>0</v>
      </c>
      <c r="FV606" s="6">
        <f t="shared" si="239"/>
        <v>0</v>
      </c>
      <c r="FW606" s="6">
        <f t="shared" si="239"/>
        <v>0</v>
      </c>
      <c r="FX606" s="6">
        <f t="shared" si="239"/>
        <v>0</v>
      </c>
      <c r="FY606" s="6">
        <f t="shared" si="239"/>
        <v>0</v>
      </c>
      <c r="FZ606" s="6">
        <f t="shared" si="239"/>
        <v>0</v>
      </c>
      <c r="GA606" s="6">
        <f t="shared" si="239"/>
        <v>0</v>
      </c>
      <c r="GB606" s="6">
        <f t="shared" si="239"/>
        <v>0</v>
      </c>
      <c r="GC606" s="6">
        <f t="shared" si="239"/>
        <v>0</v>
      </c>
      <c r="GD606" s="6">
        <f t="shared" si="239"/>
        <v>0</v>
      </c>
      <c r="GE606" s="6">
        <f t="shared" si="239"/>
        <v>0</v>
      </c>
      <c r="GF606" s="6">
        <f t="shared" si="239"/>
        <v>0</v>
      </c>
      <c r="GG606" s="6">
        <f t="shared" si="239"/>
        <v>0</v>
      </c>
      <c r="GH606" s="6">
        <f t="shared" si="239"/>
        <v>0</v>
      </c>
      <c r="GI606" s="6">
        <f t="shared" si="239"/>
        <v>0</v>
      </c>
      <c r="GJ606" s="6">
        <f t="shared" si="239"/>
        <v>0</v>
      </c>
      <c r="GK606" s="6">
        <f t="shared" si="239"/>
        <v>0</v>
      </c>
      <c r="GL606" s="6">
        <f t="shared" si="239"/>
        <v>0</v>
      </c>
      <c r="GM606" s="6">
        <f t="shared" si="239"/>
        <v>0</v>
      </c>
      <c r="GN606" s="6">
        <f t="shared" si="239"/>
        <v>0</v>
      </c>
      <c r="GO606" s="6">
        <f t="shared" si="239"/>
        <v>3372</v>
      </c>
      <c r="GP606" s="6">
        <f t="shared" si="239"/>
        <v>1415</v>
      </c>
      <c r="GQ606" s="6">
        <f t="shared" si="239"/>
        <v>3460</v>
      </c>
      <c r="GR606" s="6">
        <f t="shared" si="239"/>
        <v>1306</v>
      </c>
    </row>
    <row r="607" spans="1:200">
      <c r="A607" s="6"/>
      <c r="B607" s="16" t="s">
        <v>69</v>
      </c>
      <c r="C607" s="14">
        <f>SUM(C301:C305)</f>
        <v>6677</v>
      </c>
      <c r="D607" s="14">
        <f>SUM(D301:D305)</f>
        <v>5538</v>
      </c>
      <c r="E607" s="15">
        <f t="shared" si="28"/>
        <v>0.82941440766811447</v>
      </c>
      <c r="F607" s="66">
        <f t="shared" ref="F607:AB607" si="240">SUM(F301:F305)</f>
        <v>3315</v>
      </c>
      <c r="G607" s="6">
        <f t="shared" si="240"/>
        <v>9</v>
      </c>
      <c r="H607" s="6">
        <f t="shared" si="240"/>
        <v>269</v>
      </c>
      <c r="I607" s="6">
        <f t="shared" si="240"/>
        <v>51</v>
      </c>
      <c r="J607" s="59">
        <f t="shared" si="240"/>
        <v>1773</v>
      </c>
      <c r="K607" s="6">
        <f t="shared" si="240"/>
        <v>0</v>
      </c>
      <c r="L607" s="6">
        <f t="shared" si="240"/>
        <v>0</v>
      </c>
      <c r="M607" s="6">
        <f t="shared" si="240"/>
        <v>1</v>
      </c>
      <c r="N607" s="6">
        <f t="shared" si="240"/>
        <v>0</v>
      </c>
      <c r="O607" s="6">
        <f t="shared" si="240"/>
        <v>0</v>
      </c>
      <c r="P607" s="6">
        <f t="shared" si="240"/>
        <v>0</v>
      </c>
      <c r="Q607" s="6">
        <f t="shared" si="240"/>
        <v>0</v>
      </c>
      <c r="R607" s="6">
        <f t="shared" si="240"/>
        <v>0</v>
      </c>
      <c r="S607" s="6">
        <f t="shared" si="240"/>
        <v>0</v>
      </c>
      <c r="T607" s="6">
        <f t="shared" si="240"/>
        <v>0</v>
      </c>
      <c r="U607" s="6">
        <f t="shared" si="240"/>
        <v>0</v>
      </c>
      <c r="V607" s="6">
        <f t="shared" si="240"/>
        <v>1</v>
      </c>
      <c r="W607" s="6">
        <f t="shared" si="240"/>
        <v>15</v>
      </c>
      <c r="X607" s="6">
        <f t="shared" si="240"/>
        <v>0</v>
      </c>
      <c r="Y607" s="6">
        <f t="shared" si="240"/>
        <v>0</v>
      </c>
      <c r="Z607" s="6">
        <f t="shared" si="240"/>
        <v>0</v>
      </c>
      <c r="AA607" s="6">
        <f t="shared" si="240"/>
        <v>0</v>
      </c>
      <c r="AB607" s="6">
        <f t="shared" si="240"/>
        <v>0</v>
      </c>
      <c r="AC607" s="6">
        <f t="shared" ref="AC607:BZ607" si="241">SUM(AC301:AC305)</f>
        <v>39</v>
      </c>
      <c r="AD607" s="6">
        <f t="shared" si="241"/>
        <v>72</v>
      </c>
      <c r="AE607" s="6">
        <f t="shared" si="241"/>
        <v>2810</v>
      </c>
      <c r="AF607" s="6">
        <f t="shared" si="241"/>
        <v>28</v>
      </c>
      <c r="AG607" s="6">
        <f t="shared" si="241"/>
        <v>1</v>
      </c>
      <c r="AH607" s="6">
        <f t="shared" si="241"/>
        <v>2463</v>
      </c>
      <c r="AI607" s="6">
        <f t="shared" si="241"/>
        <v>0</v>
      </c>
      <c r="AJ607" s="6">
        <f t="shared" si="241"/>
        <v>0</v>
      </c>
      <c r="AK607" s="6">
        <f t="shared" si="241"/>
        <v>0</v>
      </c>
      <c r="AL607" s="6">
        <f t="shared" si="241"/>
        <v>0</v>
      </c>
      <c r="AM607" s="6">
        <f t="shared" si="241"/>
        <v>423</v>
      </c>
      <c r="AN607" s="6">
        <f t="shared" si="241"/>
        <v>2185</v>
      </c>
      <c r="AO607" s="6">
        <f t="shared" si="241"/>
        <v>2621</v>
      </c>
      <c r="AP607" s="6">
        <f t="shared" si="241"/>
        <v>0</v>
      </c>
      <c r="AQ607" s="6">
        <f t="shared" si="241"/>
        <v>0</v>
      </c>
      <c r="AR607" s="6">
        <f t="shared" si="241"/>
        <v>0</v>
      </c>
      <c r="AS607" s="6">
        <f t="shared" si="241"/>
        <v>0</v>
      </c>
      <c r="AT607" s="6">
        <f t="shared" si="241"/>
        <v>0</v>
      </c>
      <c r="AU607" s="6">
        <f t="shared" si="241"/>
        <v>0</v>
      </c>
      <c r="AV607" s="6">
        <f t="shared" si="241"/>
        <v>0</v>
      </c>
      <c r="AW607" s="6">
        <f t="shared" si="241"/>
        <v>0</v>
      </c>
      <c r="AX607" s="6">
        <f t="shared" si="241"/>
        <v>0</v>
      </c>
      <c r="AY607" s="6">
        <f t="shared" si="241"/>
        <v>0</v>
      </c>
      <c r="AZ607" s="6">
        <f t="shared" si="241"/>
        <v>0</v>
      </c>
      <c r="BA607" s="6">
        <f t="shared" si="241"/>
        <v>0</v>
      </c>
      <c r="BB607" s="6">
        <f t="shared" si="241"/>
        <v>0</v>
      </c>
      <c r="BC607" s="6">
        <f t="shared" si="241"/>
        <v>2397</v>
      </c>
      <c r="BD607" s="6">
        <f t="shared" si="241"/>
        <v>2866</v>
      </c>
      <c r="BE607" s="6">
        <f t="shared" si="241"/>
        <v>2094</v>
      </c>
      <c r="BF607" s="6">
        <f t="shared" si="241"/>
        <v>3162</v>
      </c>
      <c r="BG607" s="6">
        <f t="shared" si="241"/>
        <v>2348</v>
      </c>
      <c r="BH607" s="6">
        <f t="shared" si="241"/>
        <v>2917</v>
      </c>
      <c r="BI607" s="6">
        <f t="shared" si="241"/>
        <v>2797</v>
      </c>
      <c r="BJ607" s="6">
        <f t="shared" si="241"/>
        <v>2423</v>
      </c>
      <c r="BK607" s="6">
        <f t="shared" si="241"/>
        <v>2989</v>
      </c>
      <c r="BL607" s="6">
        <f t="shared" si="241"/>
        <v>2216</v>
      </c>
      <c r="BM607" s="6">
        <f t="shared" si="241"/>
        <v>2000</v>
      </c>
      <c r="BN607" s="6">
        <f t="shared" si="241"/>
        <v>3127</v>
      </c>
      <c r="BO607" s="6">
        <f t="shared" si="241"/>
        <v>2792</v>
      </c>
      <c r="BP607" s="6">
        <f t="shared" si="241"/>
        <v>2294</v>
      </c>
      <c r="BQ607" s="6">
        <f t="shared" si="241"/>
        <v>2728</v>
      </c>
      <c r="BR607" s="6">
        <f t="shared" si="241"/>
        <v>2350</v>
      </c>
      <c r="BS607" s="6">
        <f t="shared" si="241"/>
        <v>3187</v>
      </c>
      <c r="BT607" s="6">
        <f t="shared" si="241"/>
        <v>1779</v>
      </c>
      <c r="BU607" s="6">
        <f t="shared" si="241"/>
        <v>3306</v>
      </c>
      <c r="BV607" s="6">
        <f t="shared" si="241"/>
        <v>3239</v>
      </c>
      <c r="BW607" s="6">
        <f t="shared" si="241"/>
        <v>2107</v>
      </c>
      <c r="BX607" s="6">
        <f t="shared" si="241"/>
        <v>2059</v>
      </c>
      <c r="BY607" s="6">
        <f t="shared" si="241"/>
        <v>2191</v>
      </c>
      <c r="BZ607" s="6">
        <f t="shared" si="241"/>
        <v>2371</v>
      </c>
      <c r="CA607" s="6">
        <f t="shared" ref="CA607:CP607" si="242">SUM(CA301:CA305)</f>
        <v>2888</v>
      </c>
      <c r="CB607" s="6">
        <f t="shared" si="242"/>
        <v>1725</v>
      </c>
      <c r="CC607" s="6">
        <f t="shared" si="242"/>
        <v>2438</v>
      </c>
      <c r="CD607" s="6">
        <f t="shared" si="242"/>
        <v>3082</v>
      </c>
      <c r="CE607" s="6">
        <f t="shared" si="242"/>
        <v>2352</v>
      </c>
      <c r="CF607" s="6">
        <f t="shared" si="242"/>
        <v>1896</v>
      </c>
      <c r="CG607" s="6">
        <f t="shared" si="242"/>
        <v>1846</v>
      </c>
      <c r="CH607" s="6">
        <f t="shared" si="242"/>
        <v>2196</v>
      </c>
      <c r="CI607" s="6">
        <f t="shared" si="242"/>
        <v>1641</v>
      </c>
      <c r="CJ607" s="6">
        <f t="shared" si="242"/>
        <v>2484</v>
      </c>
      <c r="CK607" s="6">
        <f t="shared" si="242"/>
        <v>2059</v>
      </c>
      <c r="CL607" s="6">
        <f t="shared" si="242"/>
        <v>1993</v>
      </c>
      <c r="CM607" s="6">
        <f t="shared" si="242"/>
        <v>2676</v>
      </c>
      <c r="CN607" s="6">
        <f t="shared" si="242"/>
        <v>2766</v>
      </c>
      <c r="CO607" s="6">
        <f t="shared" si="242"/>
        <v>1940</v>
      </c>
      <c r="CP607" s="6">
        <f t="shared" si="242"/>
        <v>2223</v>
      </c>
      <c r="CQ607" s="6">
        <f t="shared" ref="CQ607:EM607" si="243">SUM(CQ301:CQ305)</f>
        <v>0</v>
      </c>
      <c r="CR607" s="6">
        <f t="shared" si="243"/>
        <v>0</v>
      </c>
      <c r="CS607" s="6">
        <f t="shared" si="243"/>
        <v>0</v>
      </c>
      <c r="CT607" s="6">
        <f t="shared" si="243"/>
        <v>0</v>
      </c>
      <c r="CU607" s="6">
        <f t="shared" si="243"/>
        <v>0</v>
      </c>
      <c r="CV607" s="6">
        <f t="shared" si="243"/>
        <v>0</v>
      </c>
      <c r="CW607" s="6">
        <f t="shared" si="243"/>
        <v>0</v>
      </c>
      <c r="CX607" s="6">
        <f t="shared" si="243"/>
        <v>0</v>
      </c>
      <c r="CY607" s="6">
        <f t="shared" si="243"/>
        <v>0</v>
      </c>
      <c r="CZ607" s="6">
        <f t="shared" si="243"/>
        <v>0</v>
      </c>
      <c r="DA607" s="6">
        <f t="shared" si="243"/>
        <v>0</v>
      </c>
      <c r="DB607" s="6">
        <f t="shared" si="243"/>
        <v>0</v>
      </c>
      <c r="DC607" s="6">
        <f t="shared" si="243"/>
        <v>0</v>
      </c>
      <c r="DD607" s="6">
        <f t="shared" si="243"/>
        <v>0</v>
      </c>
      <c r="DE607" s="6">
        <f t="shared" si="243"/>
        <v>3240</v>
      </c>
      <c r="DF607" s="6">
        <f t="shared" si="243"/>
        <v>1096</v>
      </c>
      <c r="DG607" s="6">
        <f t="shared" si="243"/>
        <v>0</v>
      </c>
      <c r="DH607" s="6">
        <f t="shared" si="243"/>
        <v>0</v>
      </c>
      <c r="DI607" s="6">
        <f t="shared" si="243"/>
        <v>0</v>
      </c>
      <c r="DJ607" s="6">
        <f t="shared" si="243"/>
        <v>0</v>
      </c>
      <c r="DK607" s="6">
        <f t="shared" si="243"/>
        <v>0</v>
      </c>
      <c r="DL607" s="6">
        <f t="shared" si="243"/>
        <v>0</v>
      </c>
      <c r="DM607" s="6">
        <f t="shared" si="243"/>
        <v>0</v>
      </c>
      <c r="DN607" s="6">
        <f t="shared" si="243"/>
        <v>0</v>
      </c>
      <c r="DO607" s="6">
        <f t="shared" si="243"/>
        <v>0</v>
      </c>
      <c r="DP607" s="6">
        <f t="shared" si="243"/>
        <v>0</v>
      </c>
      <c r="DQ607" s="6">
        <f t="shared" si="243"/>
        <v>0</v>
      </c>
      <c r="DR607" s="6">
        <f t="shared" si="243"/>
        <v>0</v>
      </c>
      <c r="DS607" s="6">
        <f t="shared" si="243"/>
        <v>0</v>
      </c>
      <c r="DT607" s="6">
        <f t="shared" si="243"/>
        <v>0</v>
      </c>
      <c r="DU607" s="6">
        <f t="shared" si="243"/>
        <v>0</v>
      </c>
      <c r="DV607" s="6">
        <f t="shared" si="243"/>
        <v>0</v>
      </c>
      <c r="DW607" s="6">
        <f t="shared" si="243"/>
        <v>0</v>
      </c>
      <c r="DX607" s="6">
        <f t="shared" si="243"/>
        <v>0</v>
      </c>
      <c r="DY607" s="6">
        <f t="shared" si="243"/>
        <v>0</v>
      </c>
      <c r="DZ607" s="6">
        <f t="shared" si="243"/>
        <v>0</v>
      </c>
      <c r="EA607" s="6">
        <f t="shared" si="243"/>
        <v>0</v>
      </c>
      <c r="EB607" s="6">
        <f t="shared" si="243"/>
        <v>0</v>
      </c>
      <c r="EC607" s="6">
        <f t="shared" si="243"/>
        <v>0</v>
      </c>
      <c r="ED607" s="6">
        <f t="shared" si="243"/>
        <v>0</v>
      </c>
      <c r="EE607" s="6">
        <f t="shared" si="243"/>
        <v>0</v>
      </c>
      <c r="EF607" s="6">
        <f t="shared" si="243"/>
        <v>0</v>
      </c>
      <c r="EG607" s="6">
        <f t="shared" si="243"/>
        <v>0</v>
      </c>
      <c r="EH607" s="6">
        <f t="shared" si="243"/>
        <v>0</v>
      </c>
      <c r="EI607" s="6">
        <f t="shared" si="243"/>
        <v>0</v>
      </c>
      <c r="EJ607" s="6">
        <f t="shared" si="243"/>
        <v>0</v>
      </c>
      <c r="EK607" s="6">
        <f t="shared" si="243"/>
        <v>0</v>
      </c>
      <c r="EL607" s="6">
        <f t="shared" si="243"/>
        <v>0</v>
      </c>
      <c r="EM607" s="6">
        <f t="shared" si="243"/>
        <v>0</v>
      </c>
      <c r="EN607" s="6">
        <f t="shared" ref="EN607:GR607" si="244">SUM(EN301:EN305)</f>
        <v>0</v>
      </c>
      <c r="EO607" s="6">
        <f t="shared" si="244"/>
        <v>0</v>
      </c>
      <c r="EP607" s="6">
        <f t="shared" si="244"/>
        <v>0</v>
      </c>
      <c r="EQ607" s="6">
        <f t="shared" si="244"/>
        <v>0</v>
      </c>
      <c r="ER607" s="6">
        <f t="shared" si="244"/>
        <v>0</v>
      </c>
      <c r="ES607" s="6">
        <f t="shared" si="244"/>
        <v>0</v>
      </c>
      <c r="ET607" s="6">
        <f t="shared" si="244"/>
        <v>0</v>
      </c>
      <c r="EU607" s="6">
        <f t="shared" si="244"/>
        <v>0</v>
      </c>
      <c r="EV607" s="6">
        <f t="shared" si="244"/>
        <v>0</v>
      </c>
      <c r="EW607" s="6">
        <f t="shared" si="244"/>
        <v>0</v>
      </c>
      <c r="EX607" s="6">
        <f t="shared" si="244"/>
        <v>0</v>
      </c>
      <c r="EY607" s="6">
        <f t="shared" si="244"/>
        <v>0</v>
      </c>
      <c r="EZ607" s="6">
        <f t="shared" si="244"/>
        <v>0</v>
      </c>
      <c r="FA607" s="6">
        <f t="shared" si="244"/>
        <v>0</v>
      </c>
      <c r="FB607" s="6">
        <f t="shared" si="244"/>
        <v>0</v>
      </c>
      <c r="FC607" s="6">
        <f t="shared" si="244"/>
        <v>0</v>
      </c>
      <c r="FD607" s="6">
        <f t="shared" si="244"/>
        <v>0</v>
      </c>
      <c r="FE607" s="6">
        <f t="shared" si="244"/>
        <v>0</v>
      </c>
      <c r="FF607" s="6">
        <f t="shared" si="244"/>
        <v>0</v>
      </c>
      <c r="FG607" s="6">
        <f t="shared" si="244"/>
        <v>0</v>
      </c>
      <c r="FH607" s="6">
        <f t="shared" si="244"/>
        <v>0</v>
      </c>
      <c r="FI607" s="6">
        <f t="shared" si="244"/>
        <v>0</v>
      </c>
      <c r="FJ607" s="6">
        <f t="shared" si="244"/>
        <v>0</v>
      </c>
      <c r="FK607" s="6">
        <f t="shared" si="244"/>
        <v>0</v>
      </c>
      <c r="FL607" s="6">
        <f t="shared" si="244"/>
        <v>0</v>
      </c>
      <c r="FM607" s="6">
        <f t="shared" si="244"/>
        <v>0</v>
      </c>
      <c r="FN607" s="6">
        <f t="shared" si="244"/>
        <v>0</v>
      </c>
      <c r="FO607" s="6">
        <f t="shared" si="244"/>
        <v>0</v>
      </c>
      <c r="FP607" s="6">
        <f t="shared" si="244"/>
        <v>0</v>
      </c>
      <c r="FQ607" s="6">
        <f t="shared" si="244"/>
        <v>0</v>
      </c>
      <c r="FR607" s="6">
        <f t="shared" si="244"/>
        <v>0</v>
      </c>
      <c r="FS607" s="6">
        <f t="shared" si="244"/>
        <v>0</v>
      </c>
      <c r="FT607" s="6">
        <f t="shared" si="244"/>
        <v>0</v>
      </c>
      <c r="FU607" s="6">
        <f t="shared" si="244"/>
        <v>0</v>
      </c>
      <c r="FV607" s="6">
        <f t="shared" si="244"/>
        <v>0</v>
      </c>
      <c r="FW607" s="6">
        <f t="shared" si="244"/>
        <v>0</v>
      </c>
      <c r="FX607" s="6">
        <f t="shared" si="244"/>
        <v>0</v>
      </c>
      <c r="FY607" s="6">
        <f t="shared" si="244"/>
        <v>0</v>
      </c>
      <c r="FZ607" s="6">
        <f t="shared" si="244"/>
        <v>0</v>
      </c>
      <c r="GA607" s="6">
        <f t="shared" si="244"/>
        <v>0</v>
      </c>
      <c r="GB607" s="6">
        <f t="shared" si="244"/>
        <v>0</v>
      </c>
      <c r="GC607" s="6">
        <f t="shared" si="244"/>
        <v>0</v>
      </c>
      <c r="GD607" s="6">
        <f t="shared" si="244"/>
        <v>0</v>
      </c>
      <c r="GE607" s="6">
        <f t="shared" si="244"/>
        <v>0</v>
      </c>
      <c r="GF607" s="6">
        <f t="shared" si="244"/>
        <v>0</v>
      </c>
      <c r="GG607" s="6">
        <f t="shared" si="244"/>
        <v>0</v>
      </c>
      <c r="GH607" s="6">
        <f t="shared" si="244"/>
        <v>0</v>
      </c>
      <c r="GI607" s="6">
        <f t="shared" si="244"/>
        <v>0</v>
      </c>
      <c r="GJ607" s="6">
        <f t="shared" si="244"/>
        <v>0</v>
      </c>
      <c r="GK607" s="6">
        <f t="shared" si="244"/>
        <v>31</v>
      </c>
      <c r="GL607" s="6">
        <f t="shared" si="244"/>
        <v>51</v>
      </c>
      <c r="GM607" s="6">
        <f t="shared" si="244"/>
        <v>0</v>
      </c>
      <c r="GN607" s="6">
        <f t="shared" si="244"/>
        <v>0</v>
      </c>
      <c r="GO607" s="6">
        <f t="shared" si="244"/>
        <v>4329</v>
      </c>
      <c r="GP607" s="6">
        <f t="shared" si="244"/>
        <v>990</v>
      </c>
      <c r="GQ607" s="6">
        <f t="shared" si="244"/>
        <v>4242</v>
      </c>
      <c r="GR607" s="6">
        <f t="shared" si="244"/>
        <v>1049</v>
      </c>
    </row>
    <row r="608" spans="1:200">
      <c r="A608" s="6"/>
      <c r="B608" s="16" t="s">
        <v>70</v>
      </c>
      <c r="C608" s="14">
        <f>SUM(C310:C341)</f>
        <v>32809</v>
      </c>
      <c r="D608" s="14">
        <f>SUM(D310:D341)</f>
        <v>27024</v>
      </c>
      <c r="E608" s="15">
        <f t="shared" si="28"/>
        <v>0.82367643024779791</v>
      </c>
      <c r="F608" s="66">
        <f t="shared" ref="F608:AB608" si="245">SUM(F310:F341)</f>
        <v>9971</v>
      </c>
      <c r="G608" s="6">
        <f t="shared" si="245"/>
        <v>60</v>
      </c>
      <c r="H608" s="6">
        <f t="shared" si="245"/>
        <v>1162</v>
      </c>
      <c r="I608" s="6">
        <f t="shared" si="245"/>
        <v>196</v>
      </c>
      <c r="J608" s="59">
        <f t="shared" si="245"/>
        <v>14752</v>
      </c>
      <c r="K608" s="6">
        <f t="shared" si="245"/>
        <v>0</v>
      </c>
      <c r="L608" s="6">
        <f t="shared" si="245"/>
        <v>0</v>
      </c>
      <c r="M608" s="6">
        <f t="shared" si="245"/>
        <v>7</v>
      </c>
      <c r="N608" s="6">
        <f t="shared" si="245"/>
        <v>0</v>
      </c>
      <c r="O608" s="6">
        <f t="shared" si="245"/>
        <v>1</v>
      </c>
      <c r="P608" s="6">
        <f t="shared" si="245"/>
        <v>0</v>
      </c>
      <c r="Q608" s="6">
        <f t="shared" si="245"/>
        <v>0</v>
      </c>
      <c r="R608" s="6">
        <f t="shared" si="245"/>
        <v>0</v>
      </c>
      <c r="S608" s="6">
        <f t="shared" si="245"/>
        <v>0</v>
      </c>
      <c r="T608" s="6">
        <f t="shared" si="245"/>
        <v>2</v>
      </c>
      <c r="U608" s="6">
        <f t="shared" si="245"/>
        <v>0</v>
      </c>
      <c r="V608" s="6">
        <f t="shared" si="245"/>
        <v>7</v>
      </c>
      <c r="W608" s="6">
        <f t="shared" si="245"/>
        <v>144</v>
      </c>
      <c r="X608" s="6">
        <f t="shared" si="245"/>
        <v>0</v>
      </c>
      <c r="Y608" s="6">
        <f t="shared" si="245"/>
        <v>1</v>
      </c>
      <c r="Z608" s="6">
        <f t="shared" si="245"/>
        <v>0</v>
      </c>
      <c r="AA608" s="6">
        <f t="shared" si="245"/>
        <v>0</v>
      </c>
      <c r="AB608" s="6">
        <f t="shared" si="245"/>
        <v>0</v>
      </c>
      <c r="AC608" s="6">
        <f t="shared" ref="AC608:BZ608" si="246">SUM(AC310:AC341)</f>
        <v>201</v>
      </c>
      <c r="AD608" s="6">
        <f t="shared" si="246"/>
        <v>322</v>
      </c>
      <c r="AE608" s="6">
        <f t="shared" si="246"/>
        <v>18840</v>
      </c>
      <c r="AF608" s="6">
        <f t="shared" si="246"/>
        <v>218</v>
      </c>
      <c r="AG608" s="6">
        <f t="shared" si="246"/>
        <v>0</v>
      </c>
      <c r="AH608" s="6">
        <f t="shared" si="246"/>
        <v>6628</v>
      </c>
      <c r="AI608" s="6">
        <f t="shared" si="246"/>
        <v>0</v>
      </c>
      <c r="AJ608" s="6">
        <f t="shared" si="246"/>
        <v>0</v>
      </c>
      <c r="AK608" s="6">
        <f t="shared" si="246"/>
        <v>0</v>
      </c>
      <c r="AL608" s="6">
        <f t="shared" si="246"/>
        <v>0</v>
      </c>
      <c r="AM608" s="6">
        <f t="shared" si="246"/>
        <v>722</v>
      </c>
      <c r="AN608" s="6">
        <f t="shared" si="246"/>
        <v>6139</v>
      </c>
      <c r="AO608" s="6">
        <f t="shared" si="246"/>
        <v>18742</v>
      </c>
      <c r="AP608" s="6">
        <f t="shared" si="246"/>
        <v>0</v>
      </c>
      <c r="AQ608" s="6">
        <f t="shared" si="246"/>
        <v>0</v>
      </c>
      <c r="AR608" s="6">
        <f t="shared" si="246"/>
        <v>17413</v>
      </c>
      <c r="AS608" s="6">
        <f t="shared" si="246"/>
        <v>7701</v>
      </c>
      <c r="AT608" s="6">
        <f t="shared" si="246"/>
        <v>0</v>
      </c>
      <c r="AU608" s="6">
        <f t="shared" si="246"/>
        <v>0</v>
      </c>
      <c r="AV608" s="6">
        <f t="shared" si="246"/>
        <v>0</v>
      </c>
      <c r="AW608" s="6">
        <f t="shared" si="246"/>
        <v>0</v>
      </c>
      <c r="AX608" s="6">
        <f t="shared" si="246"/>
        <v>0</v>
      </c>
      <c r="AY608" s="6">
        <f t="shared" si="246"/>
        <v>0</v>
      </c>
      <c r="AZ608" s="6">
        <f t="shared" si="246"/>
        <v>0</v>
      </c>
      <c r="BA608" s="6">
        <f t="shared" si="246"/>
        <v>0</v>
      </c>
      <c r="BB608" s="6">
        <f t="shared" si="246"/>
        <v>0</v>
      </c>
      <c r="BC608" s="6">
        <f t="shared" si="246"/>
        <v>0</v>
      </c>
      <c r="BD608" s="6">
        <f t="shared" si="246"/>
        <v>0</v>
      </c>
      <c r="BE608" s="6">
        <f t="shared" si="246"/>
        <v>16009</v>
      </c>
      <c r="BF608" s="6">
        <f t="shared" si="246"/>
        <v>9509</v>
      </c>
      <c r="BG608" s="6">
        <f t="shared" si="246"/>
        <v>16831</v>
      </c>
      <c r="BH608" s="6">
        <f t="shared" si="246"/>
        <v>8457</v>
      </c>
      <c r="BI608" s="6">
        <f t="shared" si="246"/>
        <v>17825</v>
      </c>
      <c r="BJ608" s="6">
        <f t="shared" si="246"/>
        <v>7338</v>
      </c>
      <c r="BK608" s="6">
        <f t="shared" si="246"/>
        <v>9703</v>
      </c>
      <c r="BL608" s="6">
        <f t="shared" si="246"/>
        <v>15261</v>
      </c>
      <c r="BM608" s="6">
        <f t="shared" si="246"/>
        <v>13236</v>
      </c>
      <c r="BN608" s="6">
        <f t="shared" si="246"/>
        <v>11608</v>
      </c>
      <c r="BO608" s="6">
        <f t="shared" si="246"/>
        <v>7861</v>
      </c>
      <c r="BP608" s="6">
        <f t="shared" si="246"/>
        <v>16394</v>
      </c>
      <c r="BQ608" s="6">
        <f t="shared" si="246"/>
        <v>17972</v>
      </c>
      <c r="BR608" s="6">
        <f t="shared" si="246"/>
        <v>6500</v>
      </c>
      <c r="BS608" s="6">
        <f t="shared" si="246"/>
        <v>18430</v>
      </c>
      <c r="BT608" s="6">
        <f t="shared" si="246"/>
        <v>12613</v>
      </c>
      <c r="BU608" s="6">
        <f t="shared" si="246"/>
        <v>11665</v>
      </c>
      <c r="BV608" s="6">
        <f t="shared" si="246"/>
        <v>17785</v>
      </c>
      <c r="BW608" s="6">
        <f t="shared" si="246"/>
        <v>13250</v>
      </c>
      <c r="BX608" s="6">
        <f t="shared" si="246"/>
        <v>7027</v>
      </c>
      <c r="BY608" s="6">
        <f t="shared" si="246"/>
        <v>14914</v>
      </c>
      <c r="BZ608" s="6">
        <f t="shared" si="246"/>
        <v>7102</v>
      </c>
      <c r="CA608" s="6">
        <f t="shared" ref="CA608:CP608" si="247">SUM(CA310:CA341)</f>
        <v>16062</v>
      </c>
      <c r="CB608" s="6">
        <f t="shared" si="247"/>
        <v>14316</v>
      </c>
      <c r="CC608" s="6">
        <f t="shared" si="247"/>
        <v>6636</v>
      </c>
      <c r="CD608" s="6">
        <f t="shared" si="247"/>
        <v>14418</v>
      </c>
      <c r="CE608" s="6">
        <f t="shared" si="247"/>
        <v>7635</v>
      </c>
      <c r="CF608" s="6">
        <f t="shared" si="247"/>
        <v>12879</v>
      </c>
      <c r="CG608" s="6">
        <f t="shared" si="247"/>
        <v>13914</v>
      </c>
      <c r="CH608" s="6">
        <f t="shared" si="247"/>
        <v>5860</v>
      </c>
      <c r="CI608" s="6">
        <f t="shared" si="247"/>
        <v>4281</v>
      </c>
      <c r="CJ608" s="6">
        <f t="shared" si="247"/>
        <v>15865</v>
      </c>
      <c r="CK608" s="6">
        <f t="shared" si="247"/>
        <v>12921</v>
      </c>
      <c r="CL608" s="6">
        <f t="shared" si="247"/>
        <v>6664</v>
      </c>
      <c r="CM608" s="6">
        <f t="shared" si="247"/>
        <v>15352</v>
      </c>
      <c r="CN608" s="6">
        <f t="shared" si="247"/>
        <v>15451</v>
      </c>
      <c r="CO608" s="6">
        <f t="shared" si="247"/>
        <v>5736</v>
      </c>
      <c r="CP608" s="6">
        <f t="shared" si="247"/>
        <v>13923</v>
      </c>
      <c r="CQ608" s="6">
        <f t="shared" ref="CQ608:EM608" si="248">SUM(CQ310:CQ341)</f>
        <v>0</v>
      </c>
      <c r="CR608" s="6">
        <f t="shared" si="248"/>
        <v>0</v>
      </c>
      <c r="CS608" s="6">
        <f t="shared" si="248"/>
        <v>0</v>
      </c>
      <c r="CT608" s="6">
        <f t="shared" si="248"/>
        <v>0</v>
      </c>
      <c r="CU608" s="6">
        <f t="shared" si="248"/>
        <v>0</v>
      </c>
      <c r="CV608" s="6">
        <f t="shared" si="248"/>
        <v>0</v>
      </c>
      <c r="CW608" s="6">
        <f t="shared" si="248"/>
        <v>0</v>
      </c>
      <c r="CX608" s="6">
        <f t="shared" si="248"/>
        <v>0</v>
      </c>
      <c r="CY608" s="6">
        <f t="shared" si="248"/>
        <v>0</v>
      </c>
      <c r="CZ608" s="6">
        <f t="shared" si="248"/>
        <v>0</v>
      </c>
      <c r="DA608" s="6">
        <f t="shared" si="248"/>
        <v>0</v>
      </c>
      <c r="DB608" s="6">
        <f t="shared" si="248"/>
        <v>0</v>
      </c>
      <c r="DC608" s="6">
        <f t="shared" si="248"/>
        <v>0</v>
      </c>
      <c r="DD608" s="6">
        <f t="shared" si="248"/>
        <v>0</v>
      </c>
      <c r="DE608" s="6">
        <f t="shared" si="248"/>
        <v>0</v>
      </c>
      <c r="DF608" s="6">
        <f t="shared" si="248"/>
        <v>0</v>
      </c>
      <c r="DG608" s="6">
        <f t="shared" si="248"/>
        <v>0</v>
      </c>
      <c r="DH608" s="6">
        <f t="shared" si="248"/>
        <v>0</v>
      </c>
      <c r="DI608" s="6">
        <f t="shared" si="248"/>
        <v>0</v>
      </c>
      <c r="DJ608" s="6">
        <f t="shared" si="248"/>
        <v>0</v>
      </c>
      <c r="DK608" s="6">
        <f t="shared" si="248"/>
        <v>0</v>
      </c>
      <c r="DL608" s="6">
        <f t="shared" si="248"/>
        <v>0</v>
      </c>
      <c r="DM608" s="6">
        <f t="shared" si="248"/>
        <v>0</v>
      </c>
      <c r="DN608" s="6">
        <f t="shared" si="248"/>
        <v>0</v>
      </c>
      <c r="DO608" s="6">
        <f t="shared" si="248"/>
        <v>0</v>
      </c>
      <c r="DP608" s="6">
        <f t="shared" si="248"/>
        <v>0</v>
      </c>
      <c r="DQ608" s="6">
        <f t="shared" si="248"/>
        <v>0</v>
      </c>
      <c r="DR608" s="6">
        <f t="shared" si="248"/>
        <v>0</v>
      </c>
      <c r="DS608" s="6">
        <f t="shared" si="248"/>
        <v>0</v>
      </c>
      <c r="DT608" s="6">
        <f t="shared" si="248"/>
        <v>0</v>
      </c>
      <c r="DU608" s="6">
        <f t="shared" si="248"/>
        <v>0</v>
      </c>
      <c r="DV608" s="6">
        <f t="shared" si="248"/>
        <v>0</v>
      </c>
      <c r="DW608" s="6">
        <f t="shared" si="248"/>
        <v>0</v>
      </c>
      <c r="DX608" s="6">
        <f t="shared" si="248"/>
        <v>0</v>
      </c>
      <c r="DY608" s="6">
        <f t="shared" si="248"/>
        <v>0</v>
      </c>
      <c r="DZ608" s="6">
        <f t="shared" si="248"/>
        <v>0</v>
      </c>
      <c r="EA608" s="6">
        <f t="shared" si="248"/>
        <v>0</v>
      </c>
      <c r="EB608" s="6">
        <f t="shared" si="248"/>
        <v>0</v>
      </c>
      <c r="EC608" s="6">
        <f t="shared" si="248"/>
        <v>0</v>
      </c>
      <c r="ED608" s="6">
        <f t="shared" si="248"/>
        <v>0</v>
      </c>
      <c r="EE608" s="6">
        <f t="shared" si="248"/>
        <v>0</v>
      </c>
      <c r="EF608" s="6">
        <f t="shared" si="248"/>
        <v>0</v>
      </c>
      <c r="EG608" s="6">
        <f t="shared" si="248"/>
        <v>0</v>
      </c>
      <c r="EH608" s="6">
        <f t="shared" si="248"/>
        <v>0</v>
      </c>
      <c r="EI608" s="6">
        <f t="shared" si="248"/>
        <v>0</v>
      </c>
      <c r="EJ608" s="6">
        <f t="shared" si="248"/>
        <v>0</v>
      </c>
      <c r="EK608" s="6">
        <f t="shared" si="248"/>
        <v>0</v>
      </c>
      <c r="EL608" s="6">
        <f t="shared" si="248"/>
        <v>0</v>
      </c>
      <c r="EM608" s="6">
        <f t="shared" si="248"/>
        <v>0</v>
      </c>
      <c r="EN608" s="6">
        <f t="shared" ref="EN608:GR608" si="249">SUM(EN310:EN341)</f>
        <v>0</v>
      </c>
      <c r="EO608" s="6">
        <f t="shared" si="249"/>
        <v>0</v>
      </c>
      <c r="EP608" s="6">
        <f t="shared" si="249"/>
        <v>0</v>
      </c>
      <c r="EQ608" s="6">
        <f t="shared" si="249"/>
        <v>0</v>
      </c>
      <c r="ER608" s="6">
        <f t="shared" si="249"/>
        <v>0</v>
      </c>
      <c r="ES608" s="6">
        <f t="shared" si="249"/>
        <v>0</v>
      </c>
      <c r="ET608" s="6">
        <f t="shared" si="249"/>
        <v>0</v>
      </c>
      <c r="EU608" s="6">
        <f t="shared" si="249"/>
        <v>0</v>
      </c>
      <c r="EV608" s="6">
        <f t="shared" si="249"/>
        <v>0</v>
      </c>
      <c r="EW608" s="6">
        <f t="shared" si="249"/>
        <v>17117</v>
      </c>
      <c r="EX608" s="6">
        <f t="shared" si="249"/>
        <v>8669</v>
      </c>
      <c r="EY608" s="6">
        <f t="shared" si="249"/>
        <v>14343</v>
      </c>
      <c r="EZ608" s="6">
        <f t="shared" si="249"/>
        <v>9081</v>
      </c>
      <c r="FA608" s="6">
        <f t="shared" si="249"/>
        <v>0</v>
      </c>
      <c r="FB608" s="6">
        <f t="shared" si="249"/>
        <v>0</v>
      </c>
      <c r="FC608" s="6">
        <f t="shared" si="249"/>
        <v>0</v>
      </c>
      <c r="FD608" s="6">
        <f t="shared" si="249"/>
        <v>0</v>
      </c>
      <c r="FE608" s="6">
        <f t="shared" si="249"/>
        <v>0</v>
      </c>
      <c r="FF608" s="6">
        <f t="shared" si="249"/>
        <v>0</v>
      </c>
      <c r="FG608" s="6">
        <f t="shared" si="249"/>
        <v>0</v>
      </c>
      <c r="FH608" s="6">
        <f t="shared" si="249"/>
        <v>0</v>
      </c>
      <c r="FI608" s="6">
        <f t="shared" si="249"/>
        <v>0</v>
      </c>
      <c r="FJ608" s="6">
        <f t="shared" si="249"/>
        <v>0</v>
      </c>
      <c r="FK608" s="6">
        <f t="shared" si="249"/>
        <v>0</v>
      </c>
      <c r="FL608" s="6">
        <f t="shared" si="249"/>
        <v>0</v>
      </c>
      <c r="FM608" s="6">
        <f t="shared" si="249"/>
        <v>0</v>
      </c>
      <c r="FN608" s="6">
        <f t="shared" si="249"/>
        <v>0</v>
      </c>
      <c r="FO608" s="6">
        <f t="shared" si="249"/>
        <v>0</v>
      </c>
      <c r="FP608" s="6">
        <f t="shared" si="249"/>
        <v>0</v>
      </c>
      <c r="FQ608" s="6">
        <f t="shared" si="249"/>
        <v>0</v>
      </c>
      <c r="FR608" s="6">
        <f t="shared" si="249"/>
        <v>0</v>
      </c>
      <c r="FS608" s="6">
        <f t="shared" si="249"/>
        <v>0</v>
      </c>
      <c r="FT608" s="6">
        <f t="shared" si="249"/>
        <v>0</v>
      </c>
      <c r="FU608" s="6">
        <f t="shared" si="249"/>
        <v>0</v>
      </c>
      <c r="FV608" s="6">
        <f t="shared" si="249"/>
        <v>0</v>
      </c>
      <c r="FW608" s="6">
        <f t="shared" si="249"/>
        <v>0</v>
      </c>
      <c r="FX608" s="6">
        <f t="shared" si="249"/>
        <v>0</v>
      </c>
      <c r="FY608" s="6">
        <f t="shared" si="249"/>
        <v>0</v>
      </c>
      <c r="FZ608" s="6">
        <f t="shared" si="249"/>
        <v>0</v>
      </c>
      <c r="GA608" s="6">
        <f t="shared" si="249"/>
        <v>0</v>
      </c>
      <c r="GB608" s="6">
        <f t="shared" si="249"/>
        <v>0</v>
      </c>
      <c r="GC608" s="6">
        <f t="shared" si="249"/>
        <v>0</v>
      </c>
      <c r="GD608" s="6">
        <f t="shared" si="249"/>
        <v>0</v>
      </c>
      <c r="GE608" s="6">
        <f t="shared" si="249"/>
        <v>0</v>
      </c>
      <c r="GF608" s="6">
        <f t="shared" si="249"/>
        <v>0</v>
      </c>
      <c r="GG608" s="6">
        <f t="shared" si="249"/>
        <v>0</v>
      </c>
      <c r="GH608" s="6">
        <f t="shared" si="249"/>
        <v>0</v>
      </c>
      <c r="GI608" s="6">
        <f t="shared" si="249"/>
        <v>0</v>
      </c>
      <c r="GJ608" s="6">
        <f t="shared" si="249"/>
        <v>0</v>
      </c>
      <c r="GK608" s="6">
        <f t="shared" si="249"/>
        <v>0</v>
      </c>
      <c r="GL608" s="6">
        <f t="shared" si="249"/>
        <v>0</v>
      </c>
      <c r="GM608" s="6">
        <f t="shared" si="249"/>
        <v>15849</v>
      </c>
      <c r="GN608" s="6">
        <f t="shared" si="249"/>
        <v>10159</v>
      </c>
      <c r="GO608" s="6">
        <f t="shared" si="249"/>
        <v>17054</v>
      </c>
      <c r="GP608" s="6">
        <f t="shared" si="249"/>
        <v>8830</v>
      </c>
      <c r="GQ608" s="6">
        <f t="shared" si="249"/>
        <v>18550</v>
      </c>
      <c r="GR608" s="6">
        <f t="shared" si="249"/>
        <v>7532</v>
      </c>
    </row>
    <row r="609" spans="1:200">
      <c r="A609" s="6"/>
      <c r="B609" s="16" t="s">
        <v>71</v>
      </c>
      <c r="C609" s="14">
        <f>SUM(C343:C380)</f>
        <v>40110</v>
      </c>
      <c r="D609" s="14">
        <f>SUM(D343:D380)</f>
        <v>30356</v>
      </c>
      <c r="E609" s="15">
        <f t="shared" si="28"/>
        <v>0.75681874844178509</v>
      </c>
      <c r="F609" s="66">
        <f t="shared" ref="F609:AB609" si="250">SUM(F343:F380)</f>
        <v>11246</v>
      </c>
      <c r="G609" s="6">
        <f t="shared" si="250"/>
        <v>108</v>
      </c>
      <c r="H609" s="6">
        <f t="shared" si="250"/>
        <v>865</v>
      </c>
      <c r="I609" s="6">
        <f t="shared" si="250"/>
        <v>230</v>
      </c>
      <c r="J609" s="59">
        <f t="shared" si="250"/>
        <v>17295</v>
      </c>
      <c r="K609" s="6">
        <f t="shared" si="250"/>
        <v>0</v>
      </c>
      <c r="L609" s="6">
        <f t="shared" si="250"/>
        <v>0</v>
      </c>
      <c r="M609" s="6">
        <f t="shared" si="250"/>
        <v>7</v>
      </c>
      <c r="N609" s="6">
        <f t="shared" si="250"/>
        <v>0</v>
      </c>
      <c r="O609" s="6">
        <f t="shared" si="250"/>
        <v>1</v>
      </c>
      <c r="P609" s="6">
        <f t="shared" si="250"/>
        <v>0</v>
      </c>
      <c r="Q609" s="6">
        <f t="shared" si="250"/>
        <v>0</v>
      </c>
      <c r="R609" s="6">
        <f t="shared" si="250"/>
        <v>0</v>
      </c>
      <c r="S609" s="6">
        <f t="shared" si="250"/>
        <v>0</v>
      </c>
      <c r="T609" s="6">
        <f t="shared" si="250"/>
        <v>1</v>
      </c>
      <c r="U609" s="6">
        <f t="shared" si="250"/>
        <v>0</v>
      </c>
      <c r="V609" s="6">
        <f t="shared" si="250"/>
        <v>3</v>
      </c>
      <c r="W609" s="6">
        <f t="shared" si="250"/>
        <v>85</v>
      </c>
      <c r="X609" s="6">
        <f t="shared" si="250"/>
        <v>0</v>
      </c>
      <c r="Y609" s="6">
        <f t="shared" si="250"/>
        <v>2</v>
      </c>
      <c r="Z609" s="6">
        <f t="shared" si="250"/>
        <v>0</v>
      </c>
      <c r="AA609" s="6">
        <f t="shared" si="250"/>
        <v>0</v>
      </c>
      <c r="AB609" s="6">
        <f t="shared" si="250"/>
        <v>0</v>
      </c>
      <c r="AC609" s="6">
        <f t="shared" ref="AC609:BZ609" si="251">SUM(AC343:AC380)</f>
        <v>404</v>
      </c>
      <c r="AD609" s="6">
        <f t="shared" si="251"/>
        <v>425</v>
      </c>
      <c r="AE609" s="6">
        <f t="shared" si="251"/>
        <v>19048</v>
      </c>
      <c r="AF609" s="6">
        <f t="shared" si="251"/>
        <v>390</v>
      </c>
      <c r="AG609" s="6">
        <f t="shared" si="251"/>
        <v>0</v>
      </c>
      <c r="AH609" s="6">
        <f t="shared" si="251"/>
        <v>9059</v>
      </c>
      <c r="AI609" s="6">
        <f t="shared" si="251"/>
        <v>19178</v>
      </c>
      <c r="AJ609" s="6">
        <f t="shared" si="251"/>
        <v>7</v>
      </c>
      <c r="AK609" s="6">
        <f t="shared" si="251"/>
        <v>1</v>
      </c>
      <c r="AL609" s="6">
        <f t="shared" si="251"/>
        <v>10149</v>
      </c>
      <c r="AM609" s="6">
        <f t="shared" si="251"/>
        <v>0</v>
      </c>
      <c r="AN609" s="6">
        <f t="shared" si="251"/>
        <v>0</v>
      </c>
      <c r="AO609" s="6">
        <f t="shared" si="251"/>
        <v>0</v>
      </c>
      <c r="AP609" s="6">
        <f t="shared" si="251"/>
        <v>10755</v>
      </c>
      <c r="AQ609" s="6">
        <f t="shared" si="251"/>
        <v>16811</v>
      </c>
      <c r="AR609" s="6">
        <f t="shared" si="251"/>
        <v>0</v>
      </c>
      <c r="AS609" s="6">
        <f t="shared" si="251"/>
        <v>0</v>
      </c>
      <c r="AT609" s="6">
        <f t="shared" si="251"/>
        <v>0</v>
      </c>
      <c r="AU609" s="6">
        <f t="shared" si="251"/>
        <v>0</v>
      </c>
      <c r="AV609" s="6">
        <f t="shared" si="251"/>
        <v>19628</v>
      </c>
      <c r="AW609" s="6">
        <f t="shared" si="251"/>
        <v>0</v>
      </c>
      <c r="AX609" s="6">
        <f t="shared" si="251"/>
        <v>0</v>
      </c>
      <c r="AY609" s="6">
        <f t="shared" si="251"/>
        <v>0</v>
      </c>
      <c r="AZ609" s="6">
        <f t="shared" si="251"/>
        <v>0</v>
      </c>
      <c r="BA609" s="6">
        <f t="shared" si="251"/>
        <v>0</v>
      </c>
      <c r="BB609" s="6">
        <f t="shared" si="251"/>
        <v>0</v>
      </c>
      <c r="BC609" s="6">
        <f t="shared" si="251"/>
        <v>0</v>
      </c>
      <c r="BD609" s="6">
        <f t="shared" si="251"/>
        <v>0</v>
      </c>
      <c r="BE609" s="6">
        <f t="shared" si="251"/>
        <v>14331</v>
      </c>
      <c r="BF609" s="6">
        <f t="shared" si="251"/>
        <v>13795</v>
      </c>
      <c r="BG609" s="6">
        <f t="shared" si="251"/>
        <v>17758</v>
      </c>
      <c r="BH609" s="6">
        <f t="shared" si="251"/>
        <v>10786</v>
      </c>
      <c r="BI609" s="6">
        <f t="shared" si="251"/>
        <v>18370</v>
      </c>
      <c r="BJ609" s="6">
        <f t="shared" si="251"/>
        <v>9867</v>
      </c>
      <c r="BK609" s="6">
        <f t="shared" si="251"/>
        <v>11243</v>
      </c>
      <c r="BL609" s="6">
        <f t="shared" si="251"/>
        <v>17144</v>
      </c>
      <c r="BM609" s="6">
        <f t="shared" si="251"/>
        <v>13112</v>
      </c>
      <c r="BN609" s="6">
        <f t="shared" si="251"/>
        <v>15345</v>
      </c>
      <c r="BO609" s="6">
        <f t="shared" si="251"/>
        <v>10198</v>
      </c>
      <c r="BP609" s="6">
        <f t="shared" si="251"/>
        <v>17404</v>
      </c>
      <c r="BQ609" s="6">
        <f t="shared" si="251"/>
        <v>18537</v>
      </c>
      <c r="BR609" s="6">
        <f t="shared" si="251"/>
        <v>9349</v>
      </c>
      <c r="BS609" s="6">
        <f t="shared" si="251"/>
        <v>19785</v>
      </c>
      <c r="BT609" s="6">
        <f t="shared" si="251"/>
        <v>13013</v>
      </c>
      <c r="BU609" s="6">
        <f t="shared" si="251"/>
        <v>14418</v>
      </c>
      <c r="BV609" s="6">
        <f t="shared" si="251"/>
        <v>19067</v>
      </c>
      <c r="BW609" s="6">
        <f t="shared" si="251"/>
        <v>13706</v>
      </c>
      <c r="BX609" s="6">
        <f t="shared" si="251"/>
        <v>9313</v>
      </c>
      <c r="BY609" s="6">
        <f t="shared" si="251"/>
        <v>17057</v>
      </c>
      <c r="BZ609" s="6">
        <f t="shared" si="251"/>
        <v>8045</v>
      </c>
      <c r="CA609" s="6">
        <f t="shared" ref="CA609:CP609" si="252">SUM(CA343:CA380)</f>
        <v>17548</v>
      </c>
      <c r="CB609" s="6">
        <f t="shared" si="252"/>
        <v>12964</v>
      </c>
      <c r="CC609" s="6">
        <f t="shared" si="252"/>
        <v>9444</v>
      </c>
      <c r="CD609" s="6">
        <f t="shared" si="252"/>
        <v>16860</v>
      </c>
      <c r="CE609" s="6">
        <f t="shared" si="252"/>
        <v>8852</v>
      </c>
      <c r="CF609" s="6">
        <f t="shared" si="252"/>
        <v>14420</v>
      </c>
      <c r="CG609" s="6">
        <f t="shared" si="252"/>
        <v>13324</v>
      </c>
      <c r="CH609" s="6">
        <f t="shared" si="252"/>
        <v>8168</v>
      </c>
      <c r="CI609" s="6">
        <f t="shared" si="252"/>
        <v>5768</v>
      </c>
      <c r="CJ609" s="6">
        <f t="shared" si="252"/>
        <v>16800</v>
      </c>
      <c r="CK609" s="6">
        <f t="shared" si="252"/>
        <v>13830</v>
      </c>
      <c r="CL609" s="6">
        <f t="shared" si="252"/>
        <v>8695</v>
      </c>
      <c r="CM609" s="6">
        <f t="shared" si="252"/>
        <v>16984</v>
      </c>
      <c r="CN609" s="6">
        <f t="shared" si="252"/>
        <v>17158</v>
      </c>
      <c r="CO609" s="6">
        <f t="shared" si="252"/>
        <v>7681</v>
      </c>
      <c r="CP609" s="6">
        <f t="shared" si="252"/>
        <v>15144</v>
      </c>
      <c r="CQ609" s="6">
        <f t="shared" ref="CQ609:EM609" si="253">SUM(CQ343:CQ380)</f>
        <v>0</v>
      </c>
      <c r="CR609" s="6">
        <f t="shared" si="253"/>
        <v>0</v>
      </c>
      <c r="CS609" s="6">
        <f t="shared" si="253"/>
        <v>0</v>
      </c>
      <c r="CT609" s="6">
        <f t="shared" si="253"/>
        <v>0</v>
      </c>
      <c r="CU609" s="6">
        <f t="shared" si="253"/>
        <v>0</v>
      </c>
      <c r="CV609" s="6">
        <f t="shared" si="253"/>
        <v>0</v>
      </c>
      <c r="CW609" s="6">
        <f t="shared" si="253"/>
        <v>0</v>
      </c>
      <c r="CX609" s="6">
        <f t="shared" si="253"/>
        <v>0</v>
      </c>
      <c r="CY609" s="6">
        <f t="shared" si="253"/>
        <v>0</v>
      </c>
      <c r="CZ609" s="6">
        <f t="shared" si="253"/>
        <v>0</v>
      </c>
      <c r="DA609" s="6">
        <f t="shared" si="253"/>
        <v>0</v>
      </c>
      <c r="DB609" s="6">
        <f t="shared" si="253"/>
        <v>0</v>
      </c>
      <c r="DC609" s="6">
        <f t="shared" si="253"/>
        <v>0</v>
      </c>
      <c r="DD609" s="6">
        <f t="shared" si="253"/>
        <v>0</v>
      </c>
      <c r="DE609" s="6">
        <f t="shared" si="253"/>
        <v>0</v>
      </c>
      <c r="DF609" s="6">
        <f t="shared" si="253"/>
        <v>0</v>
      </c>
      <c r="DG609" s="6">
        <f t="shared" si="253"/>
        <v>0</v>
      </c>
      <c r="DH609" s="6">
        <f t="shared" si="253"/>
        <v>0</v>
      </c>
      <c r="DI609" s="6">
        <f t="shared" si="253"/>
        <v>0</v>
      </c>
      <c r="DJ609" s="6">
        <f t="shared" si="253"/>
        <v>0</v>
      </c>
      <c r="DK609" s="6">
        <f t="shared" si="253"/>
        <v>0</v>
      </c>
      <c r="DL609" s="6">
        <f t="shared" si="253"/>
        <v>0</v>
      </c>
      <c r="DM609" s="6">
        <f t="shared" si="253"/>
        <v>0</v>
      </c>
      <c r="DN609" s="6">
        <f t="shared" si="253"/>
        <v>0</v>
      </c>
      <c r="DO609" s="6">
        <f t="shared" si="253"/>
        <v>0</v>
      </c>
      <c r="DP609" s="6">
        <f t="shared" si="253"/>
        <v>0</v>
      </c>
      <c r="DQ609" s="6">
        <f t="shared" si="253"/>
        <v>0</v>
      </c>
      <c r="DR609" s="6">
        <f t="shared" si="253"/>
        <v>0</v>
      </c>
      <c r="DS609" s="6">
        <f t="shared" si="253"/>
        <v>0</v>
      </c>
      <c r="DT609" s="6">
        <f t="shared" si="253"/>
        <v>0</v>
      </c>
      <c r="DU609" s="6">
        <f t="shared" si="253"/>
        <v>0</v>
      </c>
      <c r="DV609" s="6">
        <f t="shared" si="253"/>
        <v>0</v>
      </c>
      <c r="DW609" s="6">
        <f t="shared" si="253"/>
        <v>0</v>
      </c>
      <c r="DX609" s="6">
        <f t="shared" si="253"/>
        <v>0</v>
      </c>
      <c r="DY609" s="6">
        <f t="shared" si="253"/>
        <v>0</v>
      </c>
      <c r="DZ609" s="6">
        <f t="shared" si="253"/>
        <v>0</v>
      </c>
      <c r="EA609" s="6">
        <f t="shared" si="253"/>
        <v>0</v>
      </c>
      <c r="EB609" s="6">
        <f t="shared" si="253"/>
        <v>0</v>
      </c>
      <c r="EC609" s="6">
        <f t="shared" si="253"/>
        <v>0</v>
      </c>
      <c r="ED609" s="6">
        <f t="shared" si="253"/>
        <v>0</v>
      </c>
      <c r="EE609" s="6">
        <f t="shared" si="253"/>
        <v>0</v>
      </c>
      <c r="EF609" s="6">
        <f t="shared" si="253"/>
        <v>0</v>
      </c>
      <c r="EG609" s="6">
        <f t="shared" si="253"/>
        <v>0</v>
      </c>
      <c r="EH609" s="6">
        <f t="shared" si="253"/>
        <v>0</v>
      </c>
      <c r="EI609" s="6">
        <f t="shared" si="253"/>
        <v>0</v>
      </c>
      <c r="EJ609" s="6">
        <f t="shared" si="253"/>
        <v>0</v>
      </c>
      <c r="EK609" s="6">
        <f t="shared" si="253"/>
        <v>0</v>
      </c>
      <c r="EL609" s="6">
        <f t="shared" si="253"/>
        <v>0</v>
      </c>
      <c r="EM609" s="6">
        <f t="shared" si="253"/>
        <v>0</v>
      </c>
      <c r="EN609" s="6">
        <f t="shared" ref="EN609:GR609" si="254">SUM(EN343:EN380)</f>
        <v>0</v>
      </c>
      <c r="EO609" s="6">
        <f t="shared" si="254"/>
        <v>0</v>
      </c>
      <c r="EP609" s="6">
        <f t="shared" si="254"/>
        <v>0</v>
      </c>
      <c r="EQ609" s="6">
        <f t="shared" si="254"/>
        <v>0</v>
      </c>
      <c r="ER609" s="6">
        <f t="shared" si="254"/>
        <v>0</v>
      </c>
      <c r="ES609" s="6">
        <f t="shared" si="254"/>
        <v>0</v>
      </c>
      <c r="ET609" s="6">
        <f t="shared" si="254"/>
        <v>0</v>
      </c>
      <c r="EU609" s="6">
        <f t="shared" si="254"/>
        <v>0</v>
      </c>
      <c r="EV609" s="6">
        <f t="shared" si="254"/>
        <v>0</v>
      </c>
      <c r="EW609" s="6">
        <f t="shared" si="254"/>
        <v>0</v>
      </c>
      <c r="EX609" s="6">
        <f t="shared" si="254"/>
        <v>0</v>
      </c>
      <c r="EY609" s="6">
        <f t="shared" si="254"/>
        <v>0</v>
      </c>
      <c r="EZ609" s="6">
        <f t="shared" si="254"/>
        <v>0</v>
      </c>
      <c r="FA609" s="6">
        <f t="shared" si="254"/>
        <v>0</v>
      </c>
      <c r="FB609" s="6">
        <f t="shared" si="254"/>
        <v>0</v>
      </c>
      <c r="FC609" s="6">
        <f t="shared" si="254"/>
        <v>0</v>
      </c>
      <c r="FD609" s="6">
        <f t="shared" si="254"/>
        <v>0</v>
      </c>
      <c r="FE609" s="6">
        <f t="shared" si="254"/>
        <v>0</v>
      </c>
      <c r="FF609" s="6">
        <f t="shared" si="254"/>
        <v>0</v>
      </c>
      <c r="FG609" s="6">
        <f t="shared" si="254"/>
        <v>0</v>
      </c>
      <c r="FH609" s="6">
        <f t="shared" si="254"/>
        <v>0</v>
      </c>
      <c r="FI609" s="6">
        <f t="shared" si="254"/>
        <v>0</v>
      </c>
      <c r="FJ609" s="6">
        <f t="shared" si="254"/>
        <v>0</v>
      </c>
      <c r="FK609" s="6">
        <f t="shared" si="254"/>
        <v>0</v>
      </c>
      <c r="FL609" s="6">
        <f t="shared" si="254"/>
        <v>0</v>
      </c>
      <c r="FM609" s="6">
        <f t="shared" si="254"/>
        <v>0</v>
      </c>
      <c r="FN609" s="6">
        <f t="shared" si="254"/>
        <v>0</v>
      </c>
      <c r="FO609" s="6">
        <f t="shared" si="254"/>
        <v>0</v>
      </c>
      <c r="FP609" s="6">
        <f t="shared" si="254"/>
        <v>0</v>
      </c>
      <c r="FQ609" s="6">
        <f t="shared" si="254"/>
        <v>0</v>
      </c>
      <c r="FR609" s="6">
        <f t="shared" si="254"/>
        <v>0</v>
      </c>
      <c r="FS609" s="6">
        <f t="shared" si="254"/>
        <v>0</v>
      </c>
      <c r="FT609" s="6">
        <f t="shared" si="254"/>
        <v>0</v>
      </c>
      <c r="FU609" s="6">
        <f t="shared" si="254"/>
        <v>0</v>
      </c>
      <c r="FV609" s="6">
        <f t="shared" si="254"/>
        <v>0</v>
      </c>
      <c r="FW609" s="6">
        <f t="shared" si="254"/>
        <v>0</v>
      </c>
      <c r="FX609" s="6">
        <f t="shared" si="254"/>
        <v>0</v>
      </c>
      <c r="FY609" s="6">
        <f t="shared" si="254"/>
        <v>0</v>
      </c>
      <c r="FZ609" s="6">
        <f t="shared" si="254"/>
        <v>0</v>
      </c>
      <c r="GA609" s="6">
        <f t="shared" si="254"/>
        <v>0</v>
      </c>
      <c r="GB609" s="6">
        <f t="shared" si="254"/>
        <v>0</v>
      </c>
      <c r="GC609" s="6">
        <f t="shared" si="254"/>
        <v>0</v>
      </c>
      <c r="GD609" s="6">
        <f t="shared" si="254"/>
        <v>0</v>
      </c>
      <c r="GE609" s="6">
        <f t="shared" si="254"/>
        <v>0</v>
      </c>
      <c r="GF609" s="6">
        <f t="shared" si="254"/>
        <v>0</v>
      </c>
      <c r="GG609" s="6">
        <f t="shared" si="254"/>
        <v>0</v>
      </c>
      <c r="GH609" s="6">
        <f t="shared" si="254"/>
        <v>0</v>
      </c>
      <c r="GI609" s="6">
        <f t="shared" si="254"/>
        <v>0</v>
      </c>
      <c r="GJ609" s="6">
        <f t="shared" si="254"/>
        <v>0</v>
      </c>
      <c r="GK609" s="6">
        <f t="shared" si="254"/>
        <v>0</v>
      </c>
      <c r="GL609" s="6">
        <f t="shared" si="254"/>
        <v>0</v>
      </c>
      <c r="GM609" s="6">
        <f t="shared" si="254"/>
        <v>0</v>
      </c>
      <c r="GN609" s="6">
        <f t="shared" si="254"/>
        <v>0</v>
      </c>
      <c r="GO609" s="6">
        <f t="shared" si="254"/>
        <v>18544</v>
      </c>
      <c r="GP609" s="6">
        <f t="shared" si="254"/>
        <v>10440</v>
      </c>
      <c r="GQ609" s="6">
        <f t="shared" si="254"/>
        <v>18514</v>
      </c>
      <c r="GR609" s="6">
        <f t="shared" si="254"/>
        <v>10413</v>
      </c>
    </row>
    <row r="610" spans="1:200">
      <c r="A610" s="6"/>
      <c r="B610" s="16" t="s">
        <v>72</v>
      </c>
      <c r="C610" s="14">
        <f>SUM(C381:C388)+SUM(C392)</f>
        <v>3335</v>
      </c>
      <c r="D610" s="14">
        <f>SUM(D381:D388)+SUM(D392)</f>
        <v>2512</v>
      </c>
      <c r="E610" s="15">
        <f t="shared" si="28"/>
        <v>0.75322338830584712</v>
      </c>
      <c r="F610" s="66">
        <f t="shared" ref="F610:AB610" si="255">SUM(F381:F388)+SUM(F392)</f>
        <v>1552</v>
      </c>
      <c r="G610" s="6">
        <f t="shared" si="255"/>
        <v>6</v>
      </c>
      <c r="H610" s="6">
        <f t="shared" si="255"/>
        <v>90</v>
      </c>
      <c r="I610" s="6">
        <f t="shared" si="255"/>
        <v>25</v>
      </c>
      <c r="J610" s="59">
        <f t="shared" si="255"/>
        <v>751</v>
      </c>
      <c r="K610" s="6">
        <f t="shared" si="255"/>
        <v>0</v>
      </c>
      <c r="L610" s="6">
        <f t="shared" si="255"/>
        <v>0</v>
      </c>
      <c r="M610" s="6">
        <f t="shared" si="255"/>
        <v>1</v>
      </c>
      <c r="N610" s="6">
        <f t="shared" si="255"/>
        <v>0</v>
      </c>
      <c r="O610" s="6">
        <f t="shared" si="255"/>
        <v>0</v>
      </c>
      <c r="P610" s="6">
        <f t="shared" si="255"/>
        <v>2</v>
      </c>
      <c r="Q610" s="6">
        <f t="shared" si="255"/>
        <v>0</v>
      </c>
      <c r="R610" s="6">
        <f t="shared" si="255"/>
        <v>0</v>
      </c>
      <c r="S610" s="6">
        <f t="shared" si="255"/>
        <v>0</v>
      </c>
      <c r="T610" s="6">
        <f t="shared" si="255"/>
        <v>0</v>
      </c>
      <c r="U610" s="6">
        <f t="shared" si="255"/>
        <v>0</v>
      </c>
      <c r="V610" s="6">
        <f t="shared" si="255"/>
        <v>0</v>
      </c>
      <c r="W610" s="6">
        <f t="shared" si="255"/>
        <v>8</v>
      </c>
      <c r="X610" s="6">
        <f t="shared" si="255"/>
        <v>0</v>
      </c>
      <c r="Y610" s="6">
        <f t="shared" si="255"/>
        <v>0</v>
      </c>
      <c r="Z610" s="6">
        <f t="shared" si="255"/>
        <v>0</v>
      </c>
      <c r="AA610" s="6">
        <f t="shared" si="255"/>
        <v>0</v>
      </c>
      <c r="AB610" s="6">
        <f t="shared" si="255"/>
        <v>0</v>
      </c>
      <c r="AC610" s="6">
        <f t="shared" ref="AC610:BZ610" si="256">SUM(AC381:AC388)+SUM(AC392)</f>
        <v>31</v>
      </c>
      <c r="AD610" s="6">
        <f t="shared" si="256"/>
        <v>53</v>
      </c>
      <c r="AE610" s="6">
        <f t="shared" si="256"/>
        <v>1149</v>
      </c>
      <c r="AF610" s="6">
        <f t="shared" si="256"/>
        <v>29</v>
      </c>
      <c r="AG610" s="6">
        <f t="shared" si="256"/>
        <v>0</v>
      </c>
      <c r="AH610" s="6">
        <f t="shared" si="256"/>
        <v>1177</v>
      </c>
      <c r="AI610" s="6">
        <f t="shared" si="256"/>
        <v>0</v>
      </c>
      <c r="AJ610" s="6">
        <f t="shared" si="256"/>
        <v>0</v>
      </c>
      <c r="AK610" s="6">
        <f t="shared" si="256"/>
        <v>0</v>
      </c>
      <c r="AL610" s="6">
        <f t="shared" si="256"/>
        <v>0</v>
      </c>
      <c r="AM610" s="6">
        <f t="shared" si="256"/>
        <v>110</v>
      </c>
      <c r="AN610" s="6">
        <f t="shared" si="256"/>
        <v>1147</v>
      </c>
      <c r="AO610" s="6">
        <f t="shared" si="256"/>
        <v>1087</v>
      </c>
      <c r="AP610" s="6">
        <f t="shared" si="256"/>
        <v>0</v>
      </c>
      <c r="AQ610" s="6">
        <f t="shared" si="256"/>
        <v>0</v>
      </c>
      <c r="AR610" s="6">
        <f t="shared" si="256"/>
        <v>309</v>
      </c>
      <c r="AS610" s="6">
        <f t="shared" si="256"/>
        <v>233</v>
      </c>
      <c r="AT610" s="6">
        <f t="shared" si="256"/>
        <v>0</v>
      </c>
      <c r="AU610" s="6">
        <f t="shared" si="256"/>
        <v>0</v>
      </c>
      <c r="AV610" s="6">
        <f t="shared" si="256"/>
        <v>0</v>
      </c>
      <c r="AW610" s="6">
        <f t="shared" si="256"/>
        <v>0</v>
      </c>
      <c r="AX610" s="6">
        <f t="shared" si="256"/>
        <v>0</v>
      </c>
      <c r="AY610" s="6">
        <f t="shared" si="256"/>
        <v>1163</v>
      </c>
      <c r="AZ610" s="6">
        <f t="shared" si="256"/>
        <v>632</v>
      </c>
      <c r="BA610" s="6">
        <f t="shared" si="256"/>
        <v>0</v>
      </c>
      <c r="BB610" s="6">
        <f t="shared" si="256"/>
        <v>0</v>
      </c>
      <c r="BC610" s="6">
        <f t="shared" si="256"/>
        <v>0</v>
      </c>
      <c r="BD610" s="6">
        <f t="shared" si="256"/>
        <v>0</v>
      </c>
      <c r="BE610" s="6">
        <f t="shared" si="256"/>
        <v>831</v>
      </c>
      <c r="BF610" s="6">
        <f t="shared" si="256"/>
        <v>1516</v>
      </c>
      <c r="BG610" s="6">
        <f t="shared" si="256"/>
        <v>984</v>
      </c>
      <c r="BH610" s="6">
        <f t="shared" si="256"/>
        <v>1367</v>
      </c>
      <c r="BI610" s="6">
        <f t="shared" si="256"/>
        <v>1108</v>
      </c>
      <c r="BJ610" s="6">
        <f t="shared" si="256"/>
        <v>1227</v>
      </c>
      <c r="BK610" s="6">
        <f t="shared" si="256"/>
        <v>1414</v>
      </c>
      <c r="BL610" s="6">
        <f t="shared" si="256"/>
        <v>907</v>
      </c>
      <c r="BM610" s="6">
        <f t="shared" si="256"/>
        <v>752</v>
      </c>
      <c r="BN610" s="6">
        <f t="shared" si="256"/>
        <v>1557</v>
      </c>
      <c r="BO610" s="6">
        <f t="shared" si="256"/>
        <v>1310</v>
      </c>
      <c r="BP610" s="6">
        <f t="shared" si="256"/>
        <v>965</v>
      </c>
      <c r="BQ610" s="6">
        <f t="shared" si="256"/>
        <v>1088</v>
      </c>
      <c r="BR610" s="6">
        <f t="shared" si="256"/>
        <v>1197</v>
      </c>
      <c r="BS610" s="6">
        <f t="shared" si="256"/>
        <v>1381</v>
      </c>
      <c r="BT610" s="6">
        <f t="shared" si="256"/>
        <v>700</v>
      </c>
      <c r="BU610" s="6">
        <f t="shared" si="256"/>
        <v>1587</v>
      </c>
      <c r="BV610" s="6">
        <f t="shared" si="256"/>
        <v>1474</v>
      </c>
      <c r="BW610" s="6">
        <f t="shared" si="256"/>
        <v>914</v>
      </c>
      <c r="BX610" s="6">
        <f t="shared" si="256"/>
        <v>949</v>
      </c>
      <c r="BY610" s="6">
        <f t="shared" si="256"/>
        <v>940</v>
      </c>
      <c r="BZ610" s="6">
        <f t="shared" si="256"/>
        <v>1076</v>
      </c>
      <c r="CA610" s="6">
        <f t="shared" ref="CA610:CP610" si="257">SUM(CA381:CA388)+SUM(CA392)</f>
        <v>1293</v>
      </c>
      <c r="CB610" s="6">
        <f t="shared" si="257"/>
        <v>777</v>
      </c>
      <c r="CC610" s="6">
        <f t="shared" si="257"/>
        <v>1069</v>
      </c>
      <c r="CD610" s="6">
        <f t="shared" si="257"/>
        <v>1422</v>
      </c>
      <c r="CE610" s="6">
        <f t="shared" si="257"/>
        <v>1091</v>
      </c>
      <c r="CF610" s="6">
        <f t="shared" si="257"/>
        <v>768</v>
      </c>
      <c r="CG610" s="6">
        <f t="shared" si="257"/>
        <v>897</v>
      </c>
      <c r="CH610" s="6">
        <f t="shared" si="257"/>
        <v>888</v>
      </c>
      <c r="CI610" s="6">
        <f t="shared" si="257"/>
        <v>735</v>
      </c>
      <c r="CJ610" s="6">
        <f t="shared" si="257"/>
        <v>1108</v>
      </c>
      <c r="CK610" s="6">
        <f t="shared" si="257"/>
        <v>882</v>
      </c>
      <c r="CL610" s="6">
        <f t="shared" si="257"/>
        <v>920</v>
      </c>
      <c r="CM610" s="6">
        <f t="shared" si="257"/>
        <v>1213</v>
      </c>
      <c r="CN610" s="6">
        <f t="shared" si="257"/>
        <v>1264</v>
      </c>
      <c r="CO610" s="6">
        <f t="shared" si="257"/>
        <v>865</v>
      </c>
      <c r="CP610" s="6">
        <f t="shared" si="257"/>
        <v>962</v>
      </c>
      <c r="CQ610" s="6">
        <f t="shared" ref="CQ610:EM610" si="258">SUM(CQ381:CQ388)+SUM(CQ392)</f>
        <v>0</v>
      </c>
      <c r="CR610" s="6">
        <f t="shared" si="258"/>
        <v>0</v>
      </c>
      <c r="CS610" s="6">
        <f t="shared" si="258"/>
        <v>0</v>
      </c>
      <c r="CT610" s="6">
        <f t="shared" si="258"/>
        <v>0</v>
      </c>
      <c r="CU610" s="6">
        <f t="shared" si="258"/>
        <v>0</v>
      </c>
      <c r="CV610" s="6">
        <f t="shared" si="258"/>
        <v>0</v>
      </c>
      <c r="CW610" s="6">
        <f t="shared" si="258"/>
        <v>0</v>
      </c>
      <c r="CX610" s="6">
        <f t="shared" si="258"/>
        <v>0</v>
      </c>
      <c r="CY610" s="6">
        <f t="shared" si="258"/>
        <v>0</v>
      </c>
      <c r="CZ610" s="6">
        <f t="shared" si="258"/>
        <v>0</v>
      </c>
      <c r="DA610" s="6">
        <f t="shared" si="258"/>
        <v>0</v>
      </c>
      <c r="DB610" s="6">
        <f t="shared" si="258"/>
        <v>0</v>
      </c>
      <c r="DC610" s="6">
        <f t="shared" si="258"/>
        <v>0</v>
      </c>
      <c r="DD610" s="6">
        <f t="shared" si="258"/>
        <v>0</v>
      </c>
      <c r="DE610" s="6">
        <f t="shared" si="258"/>
        <v>0</v>
      </c>
      <c r="DF610" s="6">
        <f t="shared" si="258"/>
        <v>0</v>
      </c>
      <c r="DG610" s="6">
        <f t="shared" si="258"/>
        <v>0</v>
      </c>
      <c r="DH610" s="6">
        <f t="shared" si="258"/>
        <v>0</v>
      </c>
      <c r="DI610" s="6">
        <f t="shared" si="258"/>
        <v>0</v>
      </c>
      <c r="DJ610" s="6">
        <f t="shared" si="258"/>
        <v>0</v>
      </c>
      <c r="DK610" s="6">
        <f t="shared" si="258"/>
        <v>0</v>
      </c>
      <c r="DL610" s="6">
        <f t="shared" si="258"/>
        <v>0</v>
      </c>
      <c r="DM610" s="6">
        <f t="shared" si="258"/>
        <v>0</v>
      </c>
      <c r="DN610" s="6">
        <f t="shared" si="258"/>
        <v>0</v>
      </c>
      <c r="DO610" s="6">
        <f t="shared" si="258"/>
        <v>0</v>
      </c>
      <c r="DP610" s="6">
        <f t="shared" si="258"/>
        <v>0</v>
      </c>
      <c r="DQ610" s="6">
        <f t="shared" si="258"/>
        <v>0</v>
      </c>
      <c r="DR610" s="6">
        <f t="shared" si="258"/>
        <v>0</v>
      </c>
      <c r="DS610" s="6">
        <f t="shared" si="258"/>
        <v>0</v>
      </c>
      <c r="DT610" s="6">
        <f t="shared" si="258"/>
        <v>0</v>
      </c>
      <c r="DU610" s="6">
        <f t="shared" si="258"/>
        <v>0</v>
      </c>
      <c r="DV610" s="6">
        <f t="shared" si="258"/>
        <v>0</v>
      </c>
      <c r="DW610" s="6">
        <f t="shared" si="258"/>
        <v>0</v>
      </c>
      <c r="DX610" s="6">
        <f t="shared" si="258"/>
        <v>0</v>
      </c>
      <c r="DY610" s="6">
        <f t="shared" si="258"/>
        <v>0</v>
      </c>
      <c r="DZ610" s="6">
        <f t="shared" si="258"/>
        <v>0</v>
      </c>
      <c r="EA610" s="6">
        <f t="shared" si="258"/>
        <v>0</v>
      </c>
      <c r="EB610" s="6">
        <f t="shared" si="258"/>
        <v>0</v>
      </c>
      <c r="EC610" s="6">
        <f t="shared" si="258"/>
        <v>0</v>
      </c>
      <c r="ED610" s="6">
        <f t="shared" si="258"/>
        <v>0</v>
      </c>
      <c r="EE610" s="6">
        <f t="shared" si="258"/>
        <v>0</v>
      </c>
      <c r="EF610" s="6">
        <f t="shared" si="258"/>
        <v>0</v>
      </c>
      <c r="EG610" s="6">
        <f t="shared" si="258"/>
        <v>0</v>
      </c>
      <c r="EH610" s="6">
        <f t="shared" si="258"/>
        <v>0</v>
      </c>
      <c r="EI610" s="6">
        <f t="shared" si="258"/>
        <v>0</v>
      </c>
      <c r="EJ610" s="6">
        <f t="shared" si="258"/>
        <v>0</v>
      </c>
      <c r="EK610" s="6">
        <f t="shared" si="258"/>
        <v>0</v>
      </c>
      <c r="EL610" s="6">
        <f t="shared" si="258"/>
        <v>0</v>
      </c>
      <c r="EM610" s="6">
        <f t="shared" si="258"/>
        <v>0</v>
      </c>
      <c r="EN610" s="6">
        <f t="shared" ref="EN610:GR610" si="259">SUM(EN381:EN388)+SUM(EN392)</f>
        <v>0</v>
      </c>
      <c r="EO610" s="6">
        <f t="shared" si="259"/>
        <v>0</v>
      </c>
      <c r="EP610" s="6">
        <f t="shared" si="259"/>
        <v>0</v>
      </c>
      <c r="EQ610" s="6">
        <f t="shared" si="259"/>
        <v>0</v>
      </c>
      <c r="ER610" s="6">
        <f t="shared" si="259"/>
        <v>0</v>
      </c>
      <c r="ES610" s="6">
        <f t="shared" si="259"/>
        <v>0</v>
      </c>
      <c r="ET610" s="6">
        <f t="shared" si="259"/>
        <v>0</v>
      </c>
      <c r="EU610" s="6">
        <f t="shared" si="259"/>
        <v>0</v>
      </c>
      <c r="EV610" s="6">
        <f t="shared" si="259"/>
        <v>0</v>
      </c>
      <c r="EW610" s="6">
        <f t="shared" si="259"/>
        <v>0</v>
      </c>
      <c r="EX610" s="6">
        <f t="shared" si="259"/>
        <v>0</v>
      </c>
      <c r="EY610" s="6">
        <f t="shared" si="259"/>
        <v>0</v>
      </c>
      <c r="EZ610" s="6">
        <f t="shared" si="259"/>
        <v>0</v>
      </c>
      <c r="FA610" s="6">
        <f t="shared" si="259"/>
        <v>527</v>
      </c>
      <c r="FB610" s="6">
        <f t="shared" si="259"/>
        <v>157</v>
      </c>
      <c r="FC610" s="6">
        <f t="shared" si="259"/>
        <v>0</v>
      </c>
      <c r="FD610" s="6">
        <f t="shared" si="259"/>
        <v>0</v>
      </c>
      <c r="FE610" s="6">
        <f t="shared" si="259"/>
        <v>0</v>
      </c>
      <c r="FF610" s="6">
        <f t="shared" si="259"/>
        <v>0</v>
      </c>
      <c r="FG610" s="6">
        <f t="shared" si="259"/>
        <v>0</v>
      </c>
      <c r="FH610" s="6">
        <f t="shared" si="259"/>
        <v>0</v>
      </c>
      <c r="FI610" s="6">
        <f t="shared" si="259"/>
        <v>0</v>
      </c>
      <c r="FJ610" s="6">
        <f t="shared" si="259"/>
        <v>0</v>
      </c>
      <c r="FK610" s="6">
        <f t="shared" si="259"/>
        <v>0</v>
      </c>
      <c r="FL610" s="6">
        <f t="shared" si="259"/>
        <v>0</v>
      </c>
      <c r="FM610" s="6">
        <f t="shared" si="259"/>
        <v>0</v>
      </c>
      <c r="FN610" s="6">
        <f t="shared" si="259"/>
        <v>0</v>
      </c>
      <c r="FO610" s="6">
        <f t="shared" si="259"/>
        <v>0</v>
      </c>
      <c r="FP610" s="6">
        <f t="shared" si="259"/>
        <v>0</v>
      </c>
      <c r="FQ610" s="6">
        <f t="shared" si="259"/>
        <v>0</v>
      </c>
      <c r="FR610" s="6">
        <f t="shared" si="259"/>
        <v>0</v>
      </c>
      <c r="FS610" s="6">
        <f t="shared" si="259"/>
        <v>0</v>
      </c>
      <c r="FT610" s="6">
        <f t="shared" si="259"/>
        <v>0</v>
      </c>
      <c r="FU610" s="6">
        <f t="shared" si="259"/>
        <v>0</v>
      </c>
      <c r="FV610" s="6">
        <f t="shared" si="259"/>
        <v>0</v>
      </c>
      <c r="FW610" s="6">
        <f t="shared" si="259"/>
        <v>0</v>
      </c>
      <c r="FX610" s="6">
        <f t="shared" si="259"/>
        <v>0</v>
      </c>
      <c r="FY610" s="6">
        <f t="shared" si="259"/>
        <v>1031</v>
      </c>
      <c r="FZ610" s="6">
        <f t="shared" si="259"/>
        <v>783</v>
      </c>
      <c r="GA610" s="6">
        <f t="shared" si="259"/>
        <v>0</v>
      </c>
      <c r="GB610" s="6">
        <f t="shared" si="259"/>
        <v>0</v>
      </c>
      <c r="GC610" s="6">
        <f t="shared" si="259"/>
        <v>0</v>
      </c>
      <c r="GD610" s="6">
        <f t="shared" si="259"/>
        <v>0</v>
      </c>
      <c r="GE610" s="6">
        <f t="shared" si="259"/>
        <v>0</v>
      </c>
      <c r="GF610" s="6">
        <f t="shared" si="259"/>
        <v>0</v>
      </c>
      <c r="GG610" s="6">
        <f t="shared" si="259"/>
        <v>0</v>
      </c>
      <c r="GH610" s="6">
        <f t="shared" si="259"/>
        <v>0</v>
      </c>
      <c r="GI610" s="6">
        <f t="shared" si="259"/>
        <v>0</v>
      </c>
      <c r="GJ610" s="6">
        <f t="shared" si="259"/>
        <v>0</v>
      </c>
      <c r="GK610" s="6">
        <f t="shared" si="259"/>
        <v>0</v>
      </c>
      <c r="GL610" s="6">
        <f t="shared" si="259"/>
        <v>0</v>
      </c>
      <c r="GM610" s="6">
        <f t="shared" si="259"/>
        <v>0</v>
      </c>
      <c r="GN610" s="6">
        <f t="shared" si="259"/>
        <v>0</v>
      </c>
      <c r="GO610" s="6">
        <f t="shared" si="259"/>
        <v>1779</v>
      </c>
      <c r="GP610" s="6">
        <f t="shared" si="259"/>
        <v>613</v>
      </c>
      <c r="GQ610" s="6">
        <f t="shared" si="259"/>
        <v>1807</v>
      </c>
      <c r="GR610" s="6">
        <f t="shared" si="259"/>
        <v>583</v>
      </c>
    </row>
    <row r="611" spans="1:200">
      <c r="A611" s="6"/>
      <c r="B611" s="16" t="s">
        <v>700</v>
      </c>
      <c r="C611" s="17">
        <f>SUM(C225)+SUM(C393:C394)</f>
        <v>2600</v>
      </c>
      <c r="D611" s="17">
        <f>SUM(D225)+SUM(D393:D394)</f>
        <v>2164</v>
      </c>
      <c r="E611" s="15">
        <f t="shared" si="28"/>
        <v>0.8323076923076923</v>
      </c>
      <c r="F611" s="66">
        <f t="shared" ref="F611:AB611" si="260">SUM(F225)+SUM(F393:F394)</f>
        <v>391</v>
      </c>
      <c r="G611" s="6">
        <f t="shared" si="260"/>
        <v>6</v>
      </c>
      <c r="H611" s="6">
        <f t="shared" si="260"/>
        <v>83</v>
      </c>
      <c r="I611" s="6">
        <f t="shared" si="260"/>
        <v>9</v>
      </c>
      <c r="J611" s="59">
        <f t="shared" si="260"/>
        <v>1646</v>
      </c>
      <c r="K611" s="6">
        <f t="shared" si="260"/>
        <v>0</v>
      </c>
      <c r="L611" s="6">
        <f t="shared" si="260"/>
        <v>0</v>
      </c>
      <c r="M611" s="6">
        <f t="shared" si="260"/>
        <v>0</v>
      </c>
      <c r="N611" s="6">
        <f t="shared" si="260"/>
        <v>0</v>
      </c>
      <c r="O611" s="6">
        <f t="shared" si="260"/>
        <v>0</v>
      </c>
      <c r="P611" s="6">
        <f t="shared" si="260"/>
        <v>0</v>
      </c>
      <c r="Q611" s="6">
        <f t="shared" si="260"/>
        <v>0</v>
      </c>
      <c r="R611" s="6">
        <f t="shared" si="260"/>
        <v>0</v>
      </c>
      <c r="S611" s="6">
        <f t="shared" si="260"/>
        <v>0</v>
      </c>
      <c r="T611" s="6">
        <f t="shared" si="260"/>
        <v>0</v>
      </c>
      <c r="U611" s="6">
        <f t="shared" si="260"/>
        <v>0</v>
      </c>
      <c r="V611" s="6">
        <f t="shared" si="260"/>
        <v>0</v>
      </c>
      <c r="W611" s="6">
        <f t="shared" si="260"/>
        <v>4</v>
      </c>
      <c r="X611" s="6">
        <f t="shared" si="260"/>
        <v>0</v>
      </c>
      <c r="Y611" s="6">
        <f t="shared" si="260"/>
        <v>0</v>
      </c>
      <c r="Z611" s="6">
        <f t="shared" si="260"/>
        <v>0</v>
      </c>
      <c r="AA611" s="6">
        <f t="shared" si="260"/>
        <v>0</v>
      </c>
      <c r="AB611" s="6">
        <f t="shared" si="260"/>
        <v>0</v>
      </c>
      <c r="AC611" s="6">
        <f t="shared" ref="AC611:BZ611" si="261">SUM(AC225)+SUM(AC393:AC394)</f>
        <v>41</v>
      </c>
      <c r="AD611" s="6">
        <f t="shared" si="261"/>
        <v>24</v>
      </c>
      <c r="AE611" s="6">
        <f t="shared" si="261"/>
        <v>1709</v>
      </c>
      <c r="AF611" s="6">
        <f t="shared" si="261"/>
        <v>26</v>
      </c>
      <c r="AG611" s="6">
        <f t="shared" si="261"/>
        <v>1</v>
      </c>
      <c r="AH611" s="6">
        <f t="shared" si="261"/>
        <v>279</v>
      </c>
      <c r="AI611" s="6">
        <f t="shared" si="261"/>
        <v>1724</v>
      </c>
      <c r="AJ611" s="6">
        <f t="shared" si="261"/>
        <v>0</v>
      </c>
      <c r="AK611" s="6">
        <f t="shared" si="261"/>
        <v>0</v>
      </c>
      <c r="AL611" s="6">
        <f t="shared" si="261"/>
        <v>347</v>
      </c>
      <c r="AM611" s="6">
        <f t="shared" si="261"/>
        <v>0</v>
      </c>
      <c r="AN611" s="6">
        <f t="shared" si="261"/>
        <v>0</v>
      </c>
      <c r="AO611" s="6">
        <f t="shared" si="261"/>
        <v>0</v>
      </c>
      <c r="AP611" s="6">
        <f t="shared" si="261"/>
        <v>376</v>
      </c>
      <c r="AQ611" s="6">
        <f t="shared" si="261"/>
        <v>1569</v>
      </c>
      <c r="AR611" s="6">
        <f t="shared" si="261"/>
        <v>0</v>
      </c>
      <c r="AS611" s="6">
        <f t="shared" si="261"/>
        <v>0</v>
      </c>
      <c r="AT611" s="6">
        <f t="shared" si="261"/>
        <v>0</v>
      </c>
      <c r="AU611" s="6">
        <f t="shared" si="261"/>
        <v>0</v>
      </c>
      <c r="AV611" s="6">
        <f t="shared" si="261"/>
        <v>1538</v>
      </c>
      <c r="AW611" s="6">
        <f t="shared" si="261"/>
        <v>0</v>
      </c>
      <c r="AX611" s="6">
        <f t="shared" si="261"/>
        <v>0</v>
      </c>
      <c r="AY611" s="6">
        <f t="shared" si="261"/>
        <v>0</v>
      </c>
      <c r="AZ611" s="6">
        <f t="shared" si="261"/>
        <v>0</v>
      </c>
      <c r="BA611" s="6">
        <f t="shared" si="261"/>
        <v>0</v>
      </c>
      <c r="BB611" s="6">
        <f t="shared" si="261"/>
        <v>0</v>
      </c>
      <c r="BC611" s="6">
        <f t="shared" si="261"/>
        <v>0</v>
      </c>
      <c r="BD611" s="6">
        <f t="shared" si="261"/>
        <v>0</v>
      </c>
      <c r="BE611" s="6">
        <f t="shared" si="261"/>
        <v>1382</v>
      </c>
      <c r="BF611" s="6">
        <f t="shared" si="261"/>
        <v>596</v>
      </c>
      <c r="BG611" s="6">
        <f t="shared" si="261"/>
        <v>1619</v>
      </c>
      <c r="BH611" s="6">
        <f t="shared" si="261"/>
        <v>405</v>
      </c>
      <c r="BI611" s="6">
        <f t="shared" si="261"/>
        <v>1603</v>
      </c>
      <c r="BJ611" s="6">
        <f t="shared" si="261"/>
        <v>386</v>
      </c>
      <c r="BK611" s="6">
        <f t="shared" si="261"/>
        <v>476</v>
      </c>
      <c r="BL611" s="6">
        <f t="shared" si="261"/>
        <v>1504</v>
      </c>
      <c r="BM611" s="6">
        <f t="shared" si="261"/>
        <v>1063</v>
      </c>
      <c r="BN611" s="6">
        <f t="shared" si="261"/>
        <v>944</v>
      </c>
      <c r="BO611" s="6">
        <f t="shared" si="261"/>
        <v>383</v>
      </c>
      <c r="BP611" s="6">
        <f t="shared" si="261"/>
        <v>1535</v>
      </c>
      <c r="BQ611" s="6">
        <f t="shared" si="261"/>
        <v>1658</v>
      </c>
      <c r="BR611" s="6">
        <f t="shared" si="261"/>
        <v>295</v>
      </c>
      <c r="BS611" s="6">
        <f t="shared" si="261"/>
        <v>1571</v>
      </c>
      <c r="BT611" s="6">
        <f t="shared" si="261"/>
        <v>1187</v>
      </c>
      <c r="BU611" s="6">
        <f t="shared" si="261"/>
        <v>709</v>
      </c>
      <c r="BV611" s="6">
        <f t="shared" si="261"/>
        <v>1374</v>
      </c>
      <c r="BW611" s="6">
        <f t="shared" si="261"/>
        <v>963</v>
      </c>
      <c r="BX611" s="6">
        <f t="shared" si="261"/>
        <v>582</v>
      </c>
      <c r="BY611" s="6">
        <f t="shared" si="261"/>
        <v>1345</v>
      </c>
      <c r="BZ611" s="6">
        <f t="shared" si="261"/>
        <v>367</v>
      </c>
      <c r="CA611" s="6">
        <f t="shared" ref="CA611:CP611" si="262">SUM(CA225)+SUM(CA393:CA394)</f>
        <v>1243</v>
      </c>
      <c r="CB611" s="6">
        <f t="shared" si="262"/>
        <v>1068</v>
      </c>
      <c r="CC611" s="6">
        <f t="shared" si="262"/>
        <v>404</v>
      </c>
      <c r="CD611" s="6">
        <f t="shared" si="262"/>
        <v>1144</v>
      </c>
      <c r="CE611" s="6">
        <f t="shared" si="262"/>
        <v>374</v>
      </c>
      <c r="CF611" s="6">
        <f t="shared" si="262"/>
        <v>1225</v>
      </c>
      <c r="CG611" s="6">
        <f t="shared" si="262"/>
        <v>969</v>
      </c>
      <c r="CH611" s="6">
        <f t="shared" si="262"/>
        <v>474</v>
      </c>
      <c r="CI611" s="6">
        <f t="shared" si="262"/>
        <v>255</v>
      </c>
      <c r="CJ611" s="6">
        <f t="shared" si="262"/>
        <v>1303</v>
      </c>
      <c r="CK611" s="6">
        <f t="shared" si="262"/>
        <v>975</v>
      </c>
      <c r="CL611" s="6">
        <f t="shared" si="262"/>
        <v>523</v>
      </c>
      <c r="CM611" s="6">
        <f t="shared" si="262"/>
        <v>1202</v>
      </c>
      <c r="CN611" s="6">
        <f t="shared" si="262"/>
        <v>1196</v>
      </c>
      <c r="CO611" s="6">
        <f t="shared" si="262"/>
        <v>435</v>
      </c>
      <c r="CP611" s="6">
        <f t="shared" si="262"/>
        <v>1074</v>
      </c>
      <c r="CQ611" s="6">
        <f t="shared" ref="CQ611:EM611" si="263">SUM(CQ225)+SUM(CQ393:CQ394)</f>
        <v>0</v>
      </c>
      <c r="CR611" s="6">
        <f t="shared" si="263"/>
        <v>0</v>
      </c>
      <c r="CS611" s="6">
        <f t="shared" si="263"/>
        <v>0</v>
      </c>
      <c r="CT611" s="6">
        <f t="shared" si="263"/>
        <v>0</v>
      </c>
      <c r="CU611" s="6">
        <f t="shared" si="263"/>
        <v>0</v>
      </c>
      <c r="CV611" s="6">
        <f t="shared" si="263"/>
        <v>0</v>
      </c>
      <c r="CW611" s="6">
        <f t="shared" si="263"/>
        <v>0</v>
      </c>
      <c r="CX611" s="6">
        <f t="shared" si="263"/>
        <v>0</v>
      </c>
      <c r="CY611" s="6">
        <f t="shared" si="263"/>
        <v>0</v>
      </c>
      <c r="CZ611" s="6">
        <f t="shared" si="263"/>
        <v>0</v>
      </c>
      <c r="DA611" s="6">
        <f t="shared" si="263"/>
        <v>0</v>
      </c>
      <c r="DB611" s="6">
        <f t="shared" si="263"/>
        <v>0</v>
      </c>
      <c r="DC611" s="6">
        <f t="shared" si="263"/>
        <v>0</v>
      </c>
      <c r="DD611" s="6">
        <f t="shared" si="263"/>
        <v>0</v>
      </c>
      <c r="DE611" s="6">
        <f t="shared" si="263"/>
        <v>0</v>
      </c>
      <c r="DF611" s="6">
        <f t="shared" si="263"/>
        <v>0</v>
      </c>
      <c r="DG611" s="6">
        <f t="shared" si="263"/>
        <v>0</v>
      </c>
      <c r="DH611" s="6">
        <f t="shared" si="263"/>
        <v>0</v>
      </c>
      <c r="DI611" s="6">
        <f t="shared" si="263"/>
        <v>0</v>
      </c>
      <c r="DJ611" s="6">
        <f t="shared" si="263"/>
        <v>0</v>
      </c>
      <c r="DK611" s="6">
        <f t="shared" si="263"/>
        <v>0</v>
      </c>
      <c r="DL611" s="6">
        <f t="shared" si="263"/>
        <v>0</v>
      </c>
      <c r="DM611" s="6">
        <f t="shared" si="263"/>
        <v>0</v>
      </c>
      <c r="DN611" s="6">
        <f t="shared" si="263"/>
        <v>0</v>
      </c>
      <c r="DO611" s="6">
        <f t="shared" si="263"/>
        <v>0</v>
      </c>
      <c r="DP611" s="6">
        <f t="shared" si="263"/>
        <v>0</v>
      </c>
      <c r="DQ611" s="6">
        <f t="shared" si="263"/>
        <v>0</v>
      </c>
      <c r="DR611" s="6">
        <f t="shared" si="263"/>
        <v>0</v>
      </c>
      <c r="DS611" s="6">
        <f t="shared" si="263"/>
        <v>0</v>
      </c>
      <c r="DT611" s="6">
        <f t="shared" si="263"/>
        <v>0</v>
      </c>
      <c r="DU611" s="6">
        <f t="shared" si="263"/>
        <v>0</v>
      </c>
      <c r="DV611" s="6">
        <f t="shared" si="263"/>
        <v>0</v>
      </c>
      <c r="DW611" s="6">
        <f t="shared" si="263"/>
        <v>0</v>
      </c>
      <c r="DX611" s="6">
        <f t="shared" si="263"/>
        <v>0</v>
      </c>
      <c r="DY611" s="6">
        <f t="shared" si="263"/>
        <v>0</v>
      </c>
      <c r="DZ611" s="6">
        <f t="shared" si="263"/>
        <v>0</v>
      </c>
      <c r="EA611" s="6">
        <f t="shared" si="263"/>
        <v>0</v>
      </c>
      <c r="EB611" s="6">
        <f t="shared" si="263"/>
        <v>0</v>
      </c>
      <c r="EC611" s="6">
        <f t="shared" si="263"/>
        <v>0</v>
      </c>
      <c r="ED611" s="6">
        <f t="shared" si="263"/>
        <v>0</v>
      </c>
      <c r="EE611" s="6">
        <f t="shared" si="263"/>
        <v>0</v>
      </c>
      <c r="EF611" s="6">
        <f t="shared" si="263"/>
        <v>0</v>
      </c>
      <c r="EG611" s="6">
        <f t="shared" si="263"/>
        <v>0</v>
      </c>
      <c r="EH611" s="6">
        <f t="shared" si="263"/>
        <v>0</v>
      </c>
      <c r="EI611" s="6">
        <f t="shared" si="263"/>
        <v>0</v>
      </c>
      <c r="EJ611" s="6">
        <f t="shared" si="263"/>
        <v>0</v>
      </c>
      <c r="EK611" s="6">
        <f t="shared" si="263"/>
        <v>0</v>
      </c>
      <c r="EL611" s="6">
        <f t="shared" si="263"/>
        <v>0</v>
      </c>
      <c r="EM611" s="6">
        <f t="shared" si="263"/>
        <v>0</v>
      </c>
      <c r="EN611" s="6">
        <f t="shared" ref="EN611:GR611" si="264">SUM(EN225)+SUM(EN393:EN394)</f>
        <v>0</v>
      </c>
      <c r="EO611" s="6">
        <f t="shared" si="264"/>
        <v>0</v>
      </c>
      <c r="EP611" s="6">
        <f t="shared" si="264"/>
        <v>0</v>
      </c>
      <c r="EQ611" s="6">
        <f t="shared" si="264"/>
        <v>0</v>
      </c>
      <c r="ER611" s="6">
        <f t="shared" si="264"/>
        <v>0</v>
      </c>
      <c r="ES611" s="6">
        <f t="shared" si="264"/>
        <v>0</v>
      </c>
      <c r="ET611" s="6">
        <f t="shared" si="264"/>
        <v>0</v>
      </c>
      <c r="EU611" s="6">
        <f t="shared" si="264"/>
        <v>0</v>
      </c>
      <c r="EV611" s="6">
        <f t="shared" si="264"/>
        <v>0</v>
      </c>
      <c r="EW611" s="6">
        <f t="shared" si="264"/>
        <v>0</v>
      </c>
      <c r="EX611" s="6">
        <f t="shared" si="264"/>
        <v>0</v>
      </c>
      <c r="EY611" s="6">
        <f t="shared" si="264"/>
        <v>0</v>
      </c>
      <c r="EZ611" s="6">
        <f t="shared" si="264"/>
        <v>0</v>
      </c>
      <c r="FA611" s="6">
        <f t="shared" si="264"/>
        <v>0</v>
      </c>
      <c r="FB611" s="6">
        <f t="shared" si="264"/>
        <v>0</v>
      </c>
      <c r="FC611" s="6">
        <f t="shared" si="264"/>
        <v>0</v>
      </c>
      <c r="FD611" s="6">
        <f t="shared" si="264"/>
        <v>0</v>
      </c>
      <c r="FE611" s="6">
        <f t="shared" si="264"/>
        <v>0</v>
      </c>
      <c r="FF611" s="6">
        <f t="shared" si="264"/>
        <v>0</v>
      </c>
      <c r="FG611" s="6">
        <f t="shared" si="264"/>
        <v>0</v>
      </c>
      <c r="FH611" s="6">
        <f t="shared" si="264"/>
        <v>0</v>
      </c>
      <c r="FI611" s="6">
        <f t="shared" si="264"/>
        <v>0</v>
      </c>
      <c r="FJ611" s="6">
        <f t="shared" si="264"/>
        <v>0</v>
      </c>
      <c r="FK611" s="6">
        <f t="shared" si="264"/>
        <v>0</v>
      </c>
      <c r="FL611" s="6">
        <f t="shared" si="264"/>
        <v>0</v>
      </c>
      <c r="FM611" s="6">
        <f t="shared" si="264"/>
        <v>0</v>
      </c>
      <c r="FN611" s="6">
        <f t="shared" si="264"/>
        <v>0</v>
      </c>
      <c r="FO611" s="6">
        <f t="shared" si="264"/>
        <v>0</v>
      </c>
      <c r="FP611" s="6">
        <f t="shared" si="264"/>
        <v>0</v>
      </c>
      <c r="FQ611" s="6">
        <f t="shared" si="264"/>
        <v>0</v>
      </c>
      <c r="FR611" s="6">
        <f t="shared" si="264"/>
        <v>0</v>
      </c>
      <c r="FS611" s="6">
        <f t="shared" si="264"/>
        <v>0</v>
      </c>
      <c r="FT611" s="6">
        <f t="shared" si="264"/>
        <v>0</v>
      </c>
      <c r="FU611" s="6">
        <f t="shared" si="264"/>
        <v>0</v>
      </c>
      <c r="FV611" s="6">
        <f t="shared" si="264"/>
        <v>0</v>
      </c>
      <c r="FW611" s="6">
        <f t="shared" si="264"/>
        <v>0</v>
      </c>
      <c r="FX611" s="6">
        <f t="shared" si="264"/>
        <v>0</v>
      </c>
      <c r="FY611" s="6">
        <f t="shared" si="264"/>
        <v>0</v>
      </c>
      <c r="FZ611" s="6">
        <f t="shared" si="264"/>
        <v>0</v>
      </c>
      <c r="GA611" s="6">
        <f t="shared" si="264"/>
        <v>0</v>
      </c>
      <c r="GB611" s="6">
        <f t="shared" si="264"/>
        <v>0</v>
      </c>
      <c r="GC611" s="6">
        <f t="shared" si="264"/>
        <v>0</v>
      </c>
      <c r="GD611" s="6">
        <f t="shared" si="264"/>
        <v>0</v>
      </c>
      <c r="GE611" s="6">
        <f t="shared" si="264"/>
        <v>0</v>
      </c>
      <c r="GF611" s="6">
        <f t="shared" si="264"/>
        <v>0</v>
      </c>
      <c r="GG611" s="6">
        <f t="shared" si="264"/>
        <v>0</v>
      </c>
      <c r="GH611" s="6">
        <f t="shared" si="264"/>
        <v>0</v>
      </c>
      <c r="GI611" s="6">
        <f t="shared" si="264"/>
        <v>0</v>
      </c>
      <c r="GJ611" s="6">
        <f t="shared" si="264"/>
        <v>0</v>
      </c>
      <c r="GK611" s="6">
        <f t="shared" si="264"/>
        <v>0</v>
      </c>
      <c r="GL611" s="6">
        <f t="shared" si="264"/>
        <v>0</v>
      </c>
      <c r="GM611" s="6">
        <f t="shared" si="264"/>
        <v>0</v>
      </c>
      <c r="GN611" s="6">
        <f t="shared" si="264"/>
        <v>0</v>
      </c>
      <c r="GO611" s="6">
        <f t="shared" si="264"/>
        <v>1320</v>
      </c>
      <c r="GP611" s="6">
        <f t="shared" si="264"/>
        <v>779</v>
      </c>
      <c r="GQ611" s="6">
        <f t="shared" si="264"/>
        <v>1129</v>
      </c>
      <c r="GR611" s="6">
        <f t="shared" si="264"/>
        <v>924</v>
      </c>
    </row>
    <row r="612" spans="1:200">
      <c r="A612" s="6"/>
      <c r="B612" s="16" t="s">
        <v>73</v>
      </c>
      <c r="C612" s="14">
        <f>SUM(C395:C413)</f>
        <v>19604</v>
      </c>
      <c r="D612" s="14">
        <f>SUM(D395:D413)</f>
        <v>15602</v>
      </c>
      <c r="E612" s="15">
        <f t="shared" si="28"/>
        <v>0.79585798816568043</v>
      </c>
      <c r="F612" s="66">
        <f t="shared" ref="F612:AB612" si="265">SUM(F395:F413)</f>
        <v>3911</v>
      </c>
      <c r="G612" s="6">
        <f t="shared" si="265"/>
        <v>60</v>
      </c>
      <c r="H612" s="6">
        <f t="shared" si="265"/>
        <v>530</v>
      </c>
      <c r="I612" s="6">
        <f t="shared" si="265"/>
        <v>120</v>
      </c>
      <c r="J612" s="59">
        <f t="shared" si="265"/>
        <v>10607</v>
      </c>
      <c r="K612" s="6">
        <f t="shared" si="265"/>
        <v>0</v>
      </c>
      <c r="L612" s="6">
        <f t="shared" si="265"/>
        <v>0</v>
      </c>
      <c r="M612" s="6">
        <f t="shared" si="265"/>
        <v>0</v>
      </c>
      <c r="N612" s="6">
        <f t="shared" si="265"/>
        <v>0</v>
      </c>
      <c r="O612" s="6">
        <f t="shared" si="265"/>
        <v>1</v>
      </c>
      <c r="P612" s="6">
        <f t="shared" si="265"/>
        <v>0</v>
      </c>
      <c r="Q612" s="6">
        <f t="shared" si="265"/>
        <v>0</v>
      </c>
      <c r="R612" s="6">
        <f t="shared" si="265"/>
        <v>1</v>
      </c>
      <c r="S612" s="6">
        <f t="shared" si="265"/>
        <v>0</v>
      </c>
      <c r="T612" s="6">
        <f t="shared" si="265"/>
        <v>0</v>
      </c>
      <c r="U612" s="6">
        <f t="shared" si="265"/>
        <v>0</v>
      </c>
      <c r="V612" s="6">
        <f t="shared" si="265"/>
        <v>3</v>
      </c>
      <c r="W612" s="6">
        <f t="shared" si="265"/>
        <v>33</v>
      </c>
      <c r="X612" s="6">
        <f t="shared" si="265"/>
        <v>0</v>
      </c>
      <c r="Y612" s="6">
        <f t="shared" si="265"/>
        <v>1</v>
      </c>
      <c r="Z612" s="6">
        <f t="shared" si="265"/>
        <v>1</v>
      </c>
      <c r="AA612" s="6">
        <f t="shared" si="265"/>
        <v>0</v>
      </c>
      <c r="AB612" s="6">
        <f t="shared" si="265"/>
        <v>0</v>
      </c>
      <c r="AC612" s="6">
        <f t="shared" ref="AC612:BZ612" si="266">SUM(AC395:AC413)</f>
        <v>181</v>
      </c>
      <c r="AD612" s="6">
        <f t="shared" si="266"/>
        <v>221</v>
      </c>
      <c r="AE612" s="6">
        <f t="shared" si="266"/>
        <v>11689</v>
      </c>
      <c r="AF612" s="6">
        <f t="shared" si="266"/>
        <v>183</v>
      </c>
      <c r="AG612" s="6">
        <f t="shared" si="266"/>
        <v>0</v>
      </c>
      <c r="AH612" s="6">
        <f t="shared" si="266"/>
        <v>2791</v>
      </c>
      <c r="AI612" s="6">
        <f t="shared" si="266"/>
        <v>11769</v>
      </c>
      <c r="AJ612" s="6">
        <f t="shared" si="266"/>
        <v>2</v>
      </c>
      <c r="AK612" s="6">
        <f t="shared" si="266"/>
        <v>0</v>
      </c>
      <c r="AL612" s="6">
        <f t="shared" si="266"/>
        <v>3340</v>
      </c>
      <c r="AM612" s="6">
        <f t="shared" si="266"/>
        <v>0</v>
      </c>
      <c r="AN612" s="6">
        <f t="shared" si="266"/>
        <v>0</v>
      </c>
      <c r="AO612" s="6">
        <f t="shared" si="266"/>
        <v>0</v>
      </c>
      <c r="AP612" s="6">
        <f t="shared" si="266"/>
        <v>3732</v>
      </c>
      <c r="AQ612" s="6">
        <f t="shared" si="266"/>
        <v>10588</v>
      </c>
      <c r="AR612" s="6">
        <f t="shared" si="266"/>
        <v>0</v>
      </c>
      <c r="AS612" s="6">
        <f t="shared" si="266"/>
        <v>0</v>
      </c>
      <c r="AT612" s="6">
        <f t="shared" si="266"/>
        <v>0</v>
      </c>
      <c r="AU612" s="6">
        <f t="shared" si="266"/>
        <v>0</v>
      </c>
      <c r="AV612" s="6">
        <f t="shared" si="266"/>
        <v>0</v>
      </c>
      <c r="AW612" s="6">
        <f t="shared" si="266"/>
        <v>3303</v>
      </c>
      <c r="AX612" s="6">
        <f t="shared" si="266"/>
        <v>10972</v>
      </c>
      <c r="AY612" s="6">
        <f t="shared" si="266"/>
        <v>0</v>
      </c>
      <c r="AZ612" s="6">
        <f t="shared" si="266"/>
        <v>0</v>
      </c>
      <c r="BA612" s="6">
        <f t="shared" si="266"/>
        <v>0</v>
      </c>
      <c r="BB612" s="6">
        <f t="shared" si="266"/>
        <v>0</v>
      </c>
      <c r="BC612" s="6">
        <f t="shared" si="266"/>
        <v>0</v>
      </c>
      <c r="BD612" s="6">
        <f t="shared" si="266"/>
        <v>0</v>
      </c>
      <c r="BE612" s="6">
        <f t="shared" si="266"/>
        <v>8692</v>
      </c>
      <c r="BF612" s="6">
        <f t="shared" si="266"/>
        <v>5774</v>
      </c>
      <c r="BG612" s="6">
        <f t="shared" si="266"/>
        <v>10667</v>
      </c>
      <c r="BH612" s="6">
        <f t="shared" si="266"/>
        <v>4074</v>
      </c>
      <c r="BI612" s="6">
        <f t="shared" si="266"/>
        <v>11232</v>
      </c>
      <c r="BJ612" s="6">
        <f t="shared" si="266"/>
        <v>3196</v>
      </c>
      <c r="BK612" s="6">
        <f t="shared" si="266"/>
        <v>4210</v>
      </c>
      <c r="BL612" s="6">
        <f t="shared" si="266"/>
        <v>10342</v>
      </c>
      <c r="BM612" s="6">
        <f t="shared" si="266"/>
        <v>7387</v>
      </c>
      <c r="BN612" s="6">
        <f t="shared" si="266"/>
        <v>7152</v>
      </c>
      <c r="BO612" s="6">
        <f t="shared" si="266"/>
        <v>3471</v>
      </c>
      <c r="BP612" s="6">
        <f t="shared" si="266"/>
        <v>10659</v>
      </c>
      <c r="BQ612" s="6">
        <f t="shared" si="266"/>
        <v>11333</v>
      </c>
      <c r="BR612" s="6">
        <f t="shared" si="266"/>
        <v>2902</v>
      </c>
      <c r="BS612" s="6">
        <f t="shared" si="266"/>
        <v>11226</v>
      </c>
      <c r="BT612" s="6">
        <f t="shared" si="266"/>
        <v>7267</v>
      </c>
      <c r="BU612" s="6">
        <f t="shared" si="266"/>
        <v>6695</v>
      </c>
      <c r="BV612" s="6">
        <f t="shared" si="266"/>
        <v>10273</v>
      </c>
      <c r="BW612" s="6">
        <f t="shared" si="266"/>
        <v>7783</v>
      </c>
      <c r="BX612" s="6">
        <f t="shared" si="266"/>
        <v>4046</v>
      </c>
      <c r="BY612" s="6">
        <f t="shared" si="266"/>
        <v>9931</v>
      </c>
      <c r="BZ612" s="6">
        <f t="shared" si="266"/>
        <v>2986</v>
      </c>
      <c r="CA612" s="6">
        <f t="shared" ref="CA612:CP612" si="267">SUM(CA395:CA413)</f>
        <v>9498</v>
      </c>
      <c r="CB612" s="6">
        <f t="shared" si="267"/>
        <v>8115</v>
      </c>
      <c r="CC612" s="6">
        <f t="shared" si="267"/>
        <v>3323</v>
      </c>
      <c r="CD612" s="6">
        <f t="shared" si="267"/>
        <v>8769</v>
      </c>
      <c r="CE612" s="6">
        <f t="shared" si="267"/>
        <v>3113</v>
      </c>
      <c r="CF612" s="6">
        <f t="shared" si="267"/>
        <v>9352</v>
      </c>
      <c r="CG612" s="6">
        <f t="shared" si="267"/>
        <v>8138</v>
      </c>
      <c r="CH612" s="6">
        <f t="shared" si="267"/>
        <v>3078</v>
      </c>
      <c r="CI612" s="6">
        <f t="shared" si="267"/>
        <v>1982</v>
      </c>
      <c r="CJ612" s="6">
        <f t="shared" si="267"/>
        <v>9706</v>
      </c>
      <c r="CK612" s="6">
        <f t="shared" si="267"/>
        <v>8171</v>
      </c>
      <c r="CL612" s="6">
        <f t="shared" si="267"/>
        <v>3489</v>
      </c>
      <c r="CM612" s="6">
        <f t="shared" si="267"/>
        <v>9459</v>
      </c>
      <c r="CN612" s="6">
        <f t="shared" si="267"/>
        <v>9049</v>
      </c>
      <c r="CO612" s="6">
        <f t="shared" si="267"/>
        <v>2839</v>
      </c>
      <c r="CP612" s="6">
        <f t="shared" si="267"/>
        <v>8719</v>
      </c>
      <c r="CQ612" s="6">
        <f t="shared" ref="CQ612:EM612" si="268">SUM(CQ395:CQ413)</f>
        <v>0</v>
      </c>
      <c r="CR612" s="6">
        <f t="shared" si="268"/>
        <v>0</v>
      </c>
      <c r="CS612" s="6">
        <f t="shared" si="268"/>
        <v>0</v>
      </c>
      <c r="CT612" s="6">
        <f t="shared" si="268"/>
        <v>0</v>
      </c>
      <c r="CU612" s="6">
        <f t="shared" si="268"/>
        <v>0</v>
      </c>
      <c r="CV612" s="6">
        <f t="shared" si="268"/>
        <v>0</v>
      </c>
      <c r="CW612" s="6">
        <f t="shared" si="268"/>
        <v>0</v>
      </c>
      <c r="CX612" s="6">
        <f t="shared" si="268"/>
        <v>0</v>
      </c>
      <c r="CY612" s="6">
        <f t="shared" si="268"/>
        <v>0</v>
      </c>
      <c r="CZ612" s="6">
        <f t="shared" si="268"/>
        <v>0</v>
      </c>
      <c r="DA612" s="6">
        <f t="shared" si="268"/>
        <v>0</v>
      </c>
      <c r="DB612" s="6">
        <f t="shared" si="268"/>
        <v>0</v>
      </c>
      <c r="DC612" s="6">
        <f t="shared" si="268"/>
        <v>0</v>
      </c>
      <c r="DD612" s="6">
        <f t="shared" si="268"/>
        <v>0</v>
      </c>
      <c r="DE612" s="6">
        <f t="shared" si="268"/>
        <v>0</v>
      </c>
      <c r="DF612" s="6">
        <f t="shared" si="268"/>
        <v>0</v>
      </c>
      <c r="DG612" s="6">
        <f t="shared" si="268"/>
        <v>0</v>
      </c>
      <c r="DH612" s="6">
        <f t="shared" si="268"/>
        <v>0</v>
      </c>
      <c r="DI612" s="6">
        <f t="shared" si="268"/>
        <v>0</v>
      </c>
      <c r="DJ612" s="6">
        <f t="shared" si="268"/>
        <v>0</v>
      </c>
      <c r="DK612" s="6">
        <f t="shared" si="268"/>
        <v>0</v>
      </c>
      <c r="DL612" s="6">
        <f t="shared" si="268"/>
        <v>0</v>
      </c>
      <c r="DM612" s="6">
        <f t="shared" si="268"/>
        <v>0</v>
      </c>
      <c r="DN612" s="6">
        <f t="shared" si="268"/>
        <v>0</v>
      </c>
      <c r="DO612" s="6">
        <f t="shared" si="268"/>
        <v>0</v>
      </c>
      <c r="DP612" s="6">
        <f t="shared" si="268"/>
        <v>0</v>
      </c>
      <c r="DQ612" s="6">
        <f t="shared" si="268"/>
        <v>0</v>
      </c>
      <c r="DR612" s="6">
        <f t="shared" si="268"/>
        <v>0</v>
      </c>
      <c r="DS612" s="6">
        <f t="shared" si="268"/>
        <v>0</v>
      </c>
      <c r="DT612" s="6">
        <f t="shared" si="268"/>
        <v>0</v>
      </c>
      <c r="DU612" s="6">
        <f t="shared" si="268"/>
        <v>0</v>
      </c>
      <c r="DV612" s="6">
        <f t="shared" si="268"/>
        <v>0</v>
      </c>
      <c r="DW612" s="6">
        <f t="shared" si="268"/>
        <v>0</v>
      </c>
      <c r="DX612" s="6">
        <f t="shared" si="268"/>
        <v>0</v>
      </c>
      <c r="DY612" s="6">
        <f t="shared" si="268"/>
        <v>0</v>
      </c>
      <c r="DZ612" s="6">
        <f t="shared" si="268"/>
        <v>0</v>
      </c>
      <c r="EA612" s="6">
        <f t="shared" si="268"/>
        <v>0</v>
      </c>
      <c r="EB612" s="6">
        <f t="shared" si="268"/>
        <v>0</v>
      </c>
      <c r="EC612" s="6">
        <f t="shared" si="268"/>
        <v>0</v>
      </c>
      <c r="ED612" s="6">
        <f t="shared" si="268"/>
        <v>0</v>
      </c>
      <c r="EE612" s="6">
        <f t="shared" si="268"/>
        <v>0</v>
      </c>
      <c r="EF612" s="6">
        <f t="shared" si="268"/>
        <v>0</v>
      </c>
      <c r="EG612" s="6">
        <f t="shared" si="268"/>
        <v>0</v>
      </c>
      <c r="EH612" s="6">
        <f t="shared" si="268"/>
        <v>0</v>
      </c>
      <c r="EI612" s="6">
        <f t="shared" si="268"/>
        <v>0</v>
      </c>
      <c r="EJ612" s="6">
        <f t="shared" si="268"/>
        <v>0</v>
      </c>
      <c r="EK612" s="6">
        <f t="shared" si="268"/>
        <v>0</v>
      </c>
      <c r="EL612" s="6">
        <f t="shared" si="268"/>
        <v>0</v>
      </c>
      <c r="EM612" s="6">
        <f t="shared" si="268"/>
        <v>0</v>
      </c>
      <c r="EN612" s="6">
        <f t="shared" ref="EN612:GR612" si="269">SUM(EN395:EN413)</f>
        <v>0</v>
      </c>
      <c r="EO612" s="6">
        <f t="shared" si="269"/>
        <v>0</v>
      </c>
      <c r="EP612" s="6">
        <f t="shared" si="269"/>
        <v>0</v>
      </c>
      <c r="EQ612" s="6">
        <f t="shared" si="269"/>
        <v>0</v>
      </c>
      <c r="ER612" s="6">
        <f t="shared" si="269"/>
        <v>0</v>
      </c>
      <c r="ES612" s="6">
        <f t="shared" si="269"/>
        <v>0</v>
      </c>
      <c r="ET612" s="6">
        <f t="shared" si="269"/>
        <v>0</v>
      </c>
      <c r="EU612" s="6">
        <f t="shared" si="269"/>
        <v>0</v>
      </c>
      <c r="EV612" s="6">
        <f t="shared" si="269"/>
        <v>0</v>
      </c>
      <c r="EW612" s="6">
        <f t="shared" si="269"/>
        <v>0</v>
      </c>
      <c r="EX612" s="6">
        <f t="shared" si="269"/>
        <v>0</v>
      </c>
      <c r="EY612" s="6">
        <f t="shared" si="269"/>
        <v>0</v>
      </c>
      <c r="EZ612" s="6">
        <f t="shared" si="269"/>
        <v>0</v>
      </c>
      <c r="FA612" s="6">
        <f t="shared" si="269"/>
        <v>0</v>
      </c>
      <c r="FB612" s="6">
        <f t="shared" si="269"/>
        <v>0</v>
      </c>
      <c r="FC612" s="6">
        <f t="shared" si="269"/>
        <v>8405</v>
      </c>
      <c r="FD612" s="6">
        <f t="shared" si="269"/>
        <v>6456</v>
      </c>
      <c r="FE612" s="6">
        <f t="shared" si="269"/>
        <v>0</v>
      </c>
      <c r="FF612" s="6">
        <f t="shared" si="269"/>
        <v>0</v>
      </c>
      <c r="FG612" s="6">
        <f t="shared" si="269"/>
        <v>0</v>
      </c>
      <c r="FH612" s="6">
        <f t="shared" si="269"/>
        <v>0</v>
      </c>
      <c r="FI612" s="6">
        <f t="shared" si="269"/>
        <v>0</v>
      </c>
      <c r="FJ612" s="6">
        <f t="shared" si="269"/>
        <v>0</v>
      </c>
      <c r="FK612" s="6">
        <f t="shared" si="269"/>
        <v>0</v>
      </c>
      <c r="FL612" s="6">
        <f t="shared" si="269"/>
        <v>0</v>
      </c>
      <c r="FM612" s="6">
        <f t="shared" si="269"/>
        <v>0</v>
      </c>
      <c r="FN612" s="6">
        <f t="shared" si="269"/>
        <v>0</v>
      </c>
      <c r="FO612" s="6">
        <f t="shared" si="269"/>
        <v>0</v>
      </c>
      <c r="FP612" s="6">
        <f t="shared" si="269"/>
        <v>0</v>
      </c>
      <c r="FQ612" s="6">
        <f t="shared" si="269"/>
        <v>0</v>
      </c>
      <c r="FR612" s="6">
        <f t="shared" si="269"/>
        <v>0</v>
      </c>
      <c r="FS612" s="6">
        <f t="shared" si="269"/>
        <v>0</v>
      </c>
      <c r="FT612" s="6">
        <f t="shared" si="269"/>
        <v>0</v>
      </c>
      <c r="FU612" s="6">
        <f t="shared" si="269"/>
        <v>0</v>
      </c>
      <c r="FV612" s="6">
        <f t="shared" si="269"/>
        <v>0</v>
      </c>
      <c r="FW612" s="6">
        <f t="shared" si="269"/>
        <v>0</v>
      </c>
      <c r="FX612" s="6">
        <f t="shared" si="269"/>
        <v>0</v>
      </c>
      <c r="FY612" s="6">
        <f t="shared" si="269"/>
        <v>57</v>
      </c>
      <c r="FZ612" s="6">
        <f t="shared" si="269"/>
        <v>117</v>
      </c>
      <c r="GA612" s="6">
        <f t="shared" si="269"/>
        <v>0</v>
      </c>
      <c r="GB612" s="6">
        <f t="shared" si="269"/>
        <v>0</v>
      </c>
      <c r="GC612" s="6">
        <f t="shared" si="269"/>
        <v>0</v>
      </c>
      <c r="GD612" s="6">
        <f t="shared" si="269"/>
        <v>0</v>
      </c>
      <c r="GE612" s="6">
        <f t="shared" si="269"/>
        <v>0</v>
      </c>
      <c r="GF612" s="6">
        <f t="shared" si="269"/>
        <v>0</v>
      </c>
      <c r="GG612" s="6">
        <f t="shared" si="269"/>
        <v>0</v>
      </c>
      <c r="GH612" s="6">
        <f t="shared" si="269"/>
        <v>0</v>
      </c>
      <c r="GI612" s="6">
        <f t="shared" si="269"/>
        <v>0</v>
      </c>
      <c r="GJ612" s="6">
        <f t="shared" si="269"/>
        <v>0</v>
      </c>
      <c r="GK612" s="6">
        <f t="shared" si="269"/>
        <v>0</v>
      </c>
      <c r="GL612" s="6">
        <f t="shared" si="269"/>
        <v>0</v>
      </c>
      <c r="GM612" s="6">
        <f t="shared" si="269"/>
        <v>0</v>
      </c>
      <c r="GN612" s="6">
        <f t="shared" si="269"/>
        <v>0</v>
      </c>
      <c r="GO612" s="6">
        <f t="shared" si="269"/>
        <v>8964</v>
      </c>
      <c r="GP612" s="6">
        <f t="shared" si="269"/>
        <v>5959</v>
      </c>
      <c r="GQ612" s="6">
        <f t="shared" si="269"/>
        <v>9437</v>
      </c>
      <c r="GR612" s="6">
        <f t="shared" si="269"/>
        <v>5404</v>
      </c>
    </row>
    <row r="613" spans="1:200">
      <c r="A613" s="6"/>
      <c r="B613" s="16" t="s">
        <v>74</v>
      </c>
      <c r="C613" s="14">
        <f>SUM(C423:C465)</f>
        <v>43005</v>
      </c>
      <c r="D613" s="14">
        <f>SUM(D423:D465)</f>
        <v>35339</v>
      </c>
      <c r="E613" s="15">
        <f t="shared" si="28"/>
        <v>0.82174165794675036</v>
      </c>
      <c r="F613" s="66">
        <f t="shared" ref="F613:AB613" si="270">SUM(F423:F465)</f>
        <v>8892</v>
      </c>
      <c r="G613" s="6">
        <f t="shared" si="270"/>
        <v>108</v>
      </c>
      <c r="H613" s="6">
        <f t="shared" si="270"/>
        <v>1228</v>
      </c>
      <c r="I613" s="6">
        <f t="shared" si="270"/>
        <v>231</v>
      </c>
      <c r="J613" s="59">
        <f t="shared" si="270"/>
        <v>24044</v>
      </c>
      <c r="K613" s="6">
        <f t="shared" si="270"/>
        <v>0</v>
      </c>
      <c r="L613" s="6">
        <f t="shared" si="270"/>
        <v>0</v>
      </c>
      <c r="M613" s="6">
        <f t="shared" si="270"/>
        <v>5</v>
      </c>
      <c r="N613" s="6">
        <f t="shared" si="270"/>
        <v>0</v>
      </c>
      <c r="O613" s="6">
        <f t="shared" si="270"/>
        <v>0</v>
      </c>
      <c r="P613" s="6">
        <f t="shared" si="270"/>
        <v>1</v>
      </c>
      <c r="Q613" s="6">
        <f t="shared" si="270"/>
        <v>0</v>
      </c>
      <c r="R613" s="6">
        <f t="shared" si="270"/>
        <v>0</v>
      </c>
      <c r="S613" s="6">
        <f t="shared" si="270"/>
        <v>0</v>
      </c>
      <c r="T613" s="6">
        <f t="shared" si="270"/>
        <v>0</v>
      </c>
      <c r="U613" s="6">
        <f t="shared" si="270"/>
        <v>0</v>
      </c>
      <c r="V613" s="6">
        <f t="shared" si="270"/>
        <v>5</v>
      </c>
      <c r="W613" s="6">
        <f t="shared" si="270"/>
        <v>104</v>
      </c>
      <c r="X613" s="6">
        <f t="shared" si="270"/>
        <v>0</v>
      </c>
      <c r="Y613" s="6">
        <f t="shared" si="270"/>
        <v>0</v>
      </c>
      <c r="Z613" s="6">
        <f t="shared" si="270"/>
        <v>0</v>
      </c>
      <c r="AA613" s="6">
        <f t="shared" si="270"/>
        <v>1</v>
      </c>
      <c r="AB613" s="6">
        <f t="shared" si="270"/>
        <v>1</v>
      </c>
      <c r="AC613" s="6">
        <f t="shared" ref="AC613:BZ613" si="271">SUM(AC423:AC465)</f>
        <v>344</v>
      </c>
      <c r="AD613" s="6">
        <f t="shared" si="271"/>
        <v>431</v>
      </c>
      <c r="AE613" s="6">
        <f t="shared" si="271"/>
        <v>26735</v>
      </c>
      <c r="AF613" s="6">
        <f t="shared" si="271"/>
        <v>385</v>
      </c>
      <c r="AG613" s="6">
        <f t="shared" si="271"/>
        <v>0</v>
      </c>
      <c r="AH613" s="6">
        <f t="shared" si="271"/>
        <v>6211</v>
      </c>
      <c r="AI613" s="6">
        <f t="shared" si="271"/>
        <v>26957</v>
      </c>
      <c r="AJ613" s="6">
        <f t="shared" si="271"/>
        <v>4</v>
      </c>
      <c r="AK613" s="6">
        <f t="shared" si="271"/>
        <v>1</v>
      </c>
      <c r="AL613" s="6">
        <f t="shared" si="271"/>
        <v>7371</v>
      </c>
      <c r="AM613" s="6">
        <f t="shared" si="271"/>
        <v>0</v>
      </c>
      <c r="AN613" s="6">
        <f t="shared" si="271"/>
        <v>0</v>
      </c>
      <c r="AO613" s="6">
        <f t="shared" si="271"/>
        <v>0</v>
      </c>
      <c r="AP613" s="6">
        <f t="shared" si="271"/>
        <v>7966</v>
      </c>
      <c r="AQ613" s="6">
        <f t="shared" si="271"/>
        <v>24663</v>
      </c>
      <c r="AR613" s="6">
        <f t="shared" si="271"/>
        <v>0</v>
      </c>
      <c r="AS613" s="6">
        <f t="shared" si="271"/>
        <v>0</v>
      </c>
      <c r="AT613" s="6">
        <f t="shared" si="271"/>
        <v>0</v>
      </c>
      <c r="AU613" s="6">
        <f t="shared" si="271"/>
        <v>0</v>
      </c>
      <c r="AV613" s="6">
        <f t="shared" si="271"/>
        <v>0</v>
      </c>
      <c r="AW613" s="6">
        <f t="shared" si="271"/>
        <v>7210</v>
      </c>
      <c r="AX613" s="6">
        <f t="shared" si="271"/>
        <v>25346</v>
      </c>
      <c r="AY613" s="6">
        <f t="shared" si="271"/>
        <v>0</v>
      </c>
      <c r="AZ613" s="6">
        <f t="shared" si="271"/>
        <v>0</v>
      </c>
      <c r="BA613" s="6">
        <f t="shared" si="271"/>
        <v>0</v>
      </c>
      <c r="BB613" s="6">
        <f t="shared" si="271"/>
        <v>0</v>
      </c>
      <c r="BC613" s="6">
        <f t="shared" si="271"/>
        <v>0</v>
      </c>
      <c r="BD613" s="6">
        <f t="shared" si="271"/>
        <v>0</v>
      </c>
      <c r="BE613" s="6">
        <f t="shared" si="271"/>
        <v>19811</v>
      </c>
      <c r="BF613" s="6">
        <f t="shared" si="271"/>
        <v>13083</v>
      </c>
      <c r="BG613" s="6">
        <f t="shared" si="271"/>
        <v>24644</v>
      </c>
      <c r="BH613" s="6">
        <f t="shared" si="271"/>
        <v>8821</v>
      </c>
      <c r="BI613" s="6">
        <f t="shared" si="271"/>
        <v>25505</v>
      </c>
      <c r="BJ613" s="6">
        <f t="shared" si="271"/>
        <v>7273</v>
      </c>
      <c r="BK613" s="6">
        <f t="shared" si="271"/>
        <v>9582</v>
      </c>
      <c r="BL613" s="6">
        <f t="shared" si="271"/>
        <v>23591</v>
      </c>
      <c r="BM613" s="6">
        <f t="shared" si="271"/>
        <v>17513</v>
      </c>
      <c r="BN613" s="6">
        <f t="shared" si="271"/>
        <v>15545</v>
      </c>
      <c r="BO613" s="6">
        <f t="shared" si="271"/>
        <v>7760</v>
      </c>
      <c r="BP613" s="6">
        <f t="shared" si="271"/>
        <v>24397</v>
      </c>
      <c r="BQ613" s="6">
        <f t="shared" si="271"/>
        <v>26095</v>
      </c>
      <c r="BR613" s="6">
        <f t="shared" si="271"/>
        <v>6341</v>
      </c>
      <c r="BS613" s="6">
        <f t="shared" si="271"/>
        <v>25801</v>
      </c>
      <c r="BT613" s="6">
        <f t="shared" si="271"/>
        <v>17155</v>
      </c>
      <c r="BU613" s="6">
        <f t="shared" si="271"/>
        <v>14591</v>
      </c>
      <c r="BV613" s="6">
        <f t="shared" si="271"/>
        <v>23457</v>
      </c>
      <c r="BW613" s="6">
        <f t="shared" si="271"/>
        <v>18297</v>
      </c>
      <c r="BX613" s="6">
        <f t="shared" si="271"/>
        <v>8502</v>
      </c>
      <c r="BY613" s="6">
        <f t="shared" si="271"/>
        <v>22515</v>
      </c>
      <c r="BZ613" s="6">
        <f t="shared" si="271"/>
        <v>6673</v>
      </c>
      <c r="CA613" s="6">
        <f t="shared" ref="CA613:CP613" si="272">SUM(CA423:CA465)</f>
        <v>21465</v>
      </c>
      <c r="CB613" s="6">
        <f t="shared" si="272"/>
        <v>18994</v>
      </c>
      <c r="CC613" s="6">
        <f t="shared" si="272"/>
        <v>7138</v>
      </c>
      <c r="CD613" s="6">
        <f t="shared" si="272"/>
        <v>19115</v>
      </c>
      <c r="CE613" s="6">
        <f t="shared" si="272"/>
        <v>6808</v>
      </c>
      <c r="CF613" s="6">
        <f t="shared" si="272"/>
        <v>21025</v>
      </c>
      <c r="CG613" s="6">
        <f t="shared" si="272"/>
        <v>18400</v>
      </c>
      <c r="CH613" s="6">
        <f t="shared" si="272"/>
        <v>6803</v>
      </c>
      <c r="CI613" s="6">
        <f t="shared" si="272"/>
        <v>4204</v>
      </c>
      <c r="CJ613" s="6">
        <f t="shared" si="272"/>
        <v>22096</v>
      </c>
      <c r="CK613" s="6">
        <f t="shared" si="272"/>
        <v>18015</v>
      </c>
      <c r="CL613" s="6">
        <f t="shared" si="272"/>
        <v>7959</v>
      </c>
      <c r="CM613" s="6">
        <f t="shared" si="272"/>
        <v>21137</v>
      </c>
      <c r="CN613" s="6">
        <f t="shared" si="272"/>
        <v>20507</v>
      </c>
      <c r="CO613" s="6">
        <f t="shared" si="272"/>
        <v>6191</v>
      </c>
      <c r="CP613" s="6">
        <f t="shared" si="272"/>
        <v>19987</v>
      </c>
      <c r="CQ613" s="6">
        <f t="shared" ref="CQ613:EM613" si="273">SUM(CQ423:CQ465)</f>
        <v>0</v>
      </c>
      <c r="CR613" s="6">
        <f t="shared" si="273"/>
        <v>0</v>
      </c>
      <c r="CS613" s="6">
        <f t="shared" si="273"/>
        <v>0</v>
      </c>
      <c r="CT613" s="6">
        <f t="shared" si="273"/>
        <v>0</v>
      </c>
      <c r="CU613" s="6">
        <f t="shared" si="273"/>
        <v>0</v>
      </c>
      <c r="CV613" s="6">
        <f t="shared" si="273"/>
        <v>0</v>
      </c>
      <c r="CW613" s="6">
        <f t="shared" si="273"/>
        <v>0</v>
      </c>
      <c r="CX613" s="6">
        <f t="shared" si="273"/>
        <v>0</v>
      </c>
      <c r="CY613" s="6">
        <f t="shared" si="273"/>
        <v>0</v>
      </c>
      <c r="CZ613" s="6">
        <f t="shared" si="273"/>
        <v>0</v>
      </c>
      <c r="DA613" s="6">
        <f t="shared" si="273"/>
        <v>0</v>
      </c>
      <c r="DB613" s="6">
        <f t="shared" si="273"/>
        <v>0</v>
      </c>
      <c r="DC613" s="6">
        <f t="shared" si="273"/>
        <v>0</v>
      </c>
      <c r="DD613" s="6">
        <f t="shared" si="273"/>
        <v>0</v>
      </c>
      <c r="DE613" s="6">
        <f t="shared" si="273"/>
        <v>0</v>
      </c>
      <c r="DF613" s="6">
        <f t="shared" si="273"/>
        <v>0</v>
      </c>
      <c r="DG613" s="6">
        <f t="shared" si="273"/>
        <v>0</v>
      </c>
      <c r="DH613" s="6">
        <f t="shared" si="273"/>
        <v>0</v>
      </c>
      <c r="DI613" s="6">
        <f t="shared" si="273"/>
        <v>0</v>
      </c>
      <c r="DJ613" s="6">
        <f t="shared" si="273"/>
        <v>0</v>
      </c>
      <c r="DK613" s="6">
        <f t="shared" si="273"/>
        <v>0</v>
      </c>
      <c r="DL613" s="6">
        <f t="shared" si="273"/>
        <v>0</v>
      </c>
      <c r="DM613" s="6">
        <f t="shared" si="273"/>
        <v>0</v>
      </c>
      <c r="DN613" s="6">
        <f t="shared" si="273"/>
        <v>0</v>
      </c>
      <c r="DO613" s="6">
        <f t="shared" si="273"/>
        <v>0</v>
      </c>
      <c r="DP613" s="6">
        <f t="shared" si="273"/>
        <v>0</v>
      </c>
      <c r="DQ613" s="6">
        <f t="shared" si="273"/>
        <v>0</v>
      </c>
      <c r="DR613" s="6">
        <f t="shared" si="273"/>
        <v>0</v>
      </c>
      <c r="DS613" s="6">
        <f t="shared" si="273"/>
        <v>0</v>
      </c>
      <c r="DT613" s="6">
        <f t="shared" si="273"/>
        <v>0</v>
      </c>
      <c r="DU613" s="6">
        <f t="shared" si="273"/>
        <v>0</v>
      </c>
      <c r="DV613" s="6">
        <f t="shared" si="273"/>
        <v>0</v>
      </c>
      <c r="DW613" s="6">
        <f t="shared" si="273"/>
        <v>0</v>
      </c>
      <c r="DX613" s="6">
        <f t="shared" si="273"/>
        <v>0</v>
      </c>
      <c r="DY613" s="6">
        <f t="shared" si="273"/>
        <v>0</v>
      </c>
      <c r="DZ613" s="6">
        <f t="shared" si="273"/>
        <v>0</v>
      </c>
      <c r="EA613" s="6">
        <f t="shared" si="273"/>
        <v>0</v>
      </c>
      <c r="EB613" s="6">
        <f t="shared" si="273"/>
        <v>0</v>
      </c>
      <c r="EC613" s="6">
        <f t="shared" si="273"/>
        <v>0</v>
      </c>
      <c r="ED613" s="6">
        <f t="shared" si="273"/>
        <v>0</v>
      </c>
      <c r="EE613" s="6">
        <f t="shared" si="273"/>
        <v>0</v>
      </c>
      <c r="EF613" s="6">
        <f t="shared" si="273"/>
        <v>0</v>
      </c>
      <c r="EG613" s="6">
        <f t="shared" si="273"/>
        <v>0</v>
      </c>
      <c r="EH613" s="6">
        <f t="shared" si="273"/>
        <v>0</v>
      </c>
      <c r="EI613" s="6">
        <f t="shared" si="273"/>
        <v>0</v>
      </c>
      <c r="EJ613" s="6">
        <f t="shared" si="273"/>
        <v>0</v>
      </c>
      <c r="EK613" s="6">
        <f t="shared" si="273"/>
        <v>0</v>
      </c>
      <c r="EL613" s="6">
        <f t="shared" si="273"/>
        <v>0</v>
      </c>
      <c r="EM613" s="6">
        <f t="shared" si="273"/>
        <v>0</v>
      </c>
      <c r="EN613" s="6">
        <f t="shared" ref="EN613:GR613" si="274">SUM(EN423:EN465)</f>
        <v>0</v>
      </c>
      <c r="EO613" s="6">
        <f t="shared" si="274"/>
        <v>0</v>
      </c>
      <c r="EP613" s="6">
        <f t="shared" si="274"/>
        <v>0</v>
      </c>
      <c r="EQ613" s="6">
        <f t="shared" si="274"/>
        <v>0</v>
      </c>
      <c r="ER613" s="6">
        <f t="shared" si="274"/>
        <v>0</v>
      </c>
      <c r="ES613" s="6">
        <f t="shared" si="274"/>
        <v>0</v>
      </c>
      <c r="ET613" s="6">
        <f t="shared" si="274"/>
        <v>0</v>
      </c>
      <c r="EU613" s="6">
        <f t="shared" si="274"/>
        <v>0</v>
      </c>
      <c r="EV613" s="6">
        <f t="shared" si="274"/>
        <v>0</v>
      </c>
      <c r="EW613" s="6">
        <f t="shared" si="274"/>
        <v>0</v>
      </c>
      <c r="EX613" s="6">
        <f t="shared" si="274"/>
        <v>0</v>
      </c>
      <c r="EY613" s="6">
        <f t="shared" si="274"/>
        <v>0</v>
      </c>
      <c r="EZ613" s="6">
        <f t="shared" si="274"/>
        <v>0</v>
      </c>
      <c r="FA613" s="6">
        <f t="shared" si="274"/>
        <v>0</v>
      </c>
      <c r="FB613" s="6">
        <f t="shared" si="274"/>
        <v>0</v>
      </c>
      <c r="FC613" s="6">
        <f t="shared" si="274"/>
        <v>0</v>
      </c>
      <c r="FD613" s="6">
        <f t="shared" si="274"/>
        <v>0</v>
      </c>
      <c r="FE613" s="6">
        <f t="shared" si="274"/>
        <v>25360</v>
      </c>
      <c r="FF613" s="6">
        <f t="shared" si="274"/>
        <v>8281</v>
      </c>
      <c r="FG613" s="6">
        <f t="shared" si="274"/>
        <v>27770</v>
      </c>
      <c r="FH613" s="6">
        <f t="shared" si="274"/>
        <v>6063</v>
      </c>
      <c r="FI613" s="6">
        <f t="shared" si="274"/>
        <v>0</v>
      </c>
      <c r="FJ613" s="6">
        <f t="shared" si="274"/>
        <v>0</v>
      </c>
      <c r="FK613" s="6">
        <f t="shared" si="274"/>
        <v>0</v>
      </c>
      <c r="FL613" s="6">
        <f t="shared" si="274"/>
        <v>0</v>
      </c>
      <c r="FM613" s="6">
        <f t="shared" si="274"/>
        <v>0</v>
      </c>
      <c r="FN613" s="6">
        <f t="shared" si="274"/>
        <v>0</v>
      </c>
      <c r="FO613" s="6">
        <f t="shared" si="274"/>
        <v>0</v>
      </c>
      <c r="FP613" s="6">
        <f t="shared" si="274"/>
        <v>0</v>
      </c>
      <c r="FQ613" s="6">
        <f t="shared" si="274"/>
        <v>0</v>
      </c>
      <c r="FR613" s="6">
        <f t="shared" si="274"/>
        <v>0</v>
      </c>
      <c r="FS613" s="6">
        <f t="shared" si="274"/>
        <v>0</v>
      </c>
      <c r="FT613" s="6">
        <f t="shared" si="274"/>
        <v>0</v>
      </c>
      <c r="FU613" s="6">
        <f t="shared" si="274"/>
        <v>0</v>
      </c>
      <c r="FV613" s="6">
        <f t="shared" si="274"/>
        <v>0</v>
      </c>
      <c r="FW613" s="6">
        <f t="shared" si="274"/>
        <v>0</v>
      </c>
      <c r="FX613" s="6">
        <f t="shared" si="274"/>
        <v>0</v>
      </c>
      <c r="FY613" s="6">
        <f t="shared" si="274"/>
        <v>1221</v>
      </c>
      <c r="FZ613" s="6">
        <f t="shared" si="274"/>
        <v>2798</v>
      </c>
      <c r="GA613" s="6">
        <f t="shared" si="274"/>
        <v>0</v>
      </c>
      <c r="GB613" s="6">
        <f t="shared" si="274"/>
        <v>0</v>
      </c>
      <c r="GC613" s="6">
        <f t="shared" si="274"/>
        <v>0</v>
      </c>
      <c r="GD613" s="6">
        <f t="shared" si="274"/>
        <v>0</v>
      </c>
      <c r="GE613" s="6">
        <f t="shared" si="274"/>
        <v>0</v>
      </c>
      <c r="GF613" s="6">
        <f t="shared" si="274"/>
        <v>0</v>
      </c>
      <c r="GG613" s="6">
        <f t="shared" si="274"/>
        <v>0</v>
      </c>
      <c r="GH613" s="6">
        <f t="shared" si="274"/>
        <v>0</v>
      </c>
      <c r="GI613" s="6">
        <f t="shared" si="274"/>
        <v>0</v>
      </c>
      <c r="GJ613" s="6">
        <f t="shared" si="274"/>
        <v>0</v>
      </c>
      <c r="GK613" s="6">
        <f t="shared" si="274"/>
        <v>0</v>
      </c>
      <c r="GL613" s="6">
        <f t="shared" si="274"/>
        <v>0</v>
      </c>
      <c r="GM613" s="6">
        <f t="shared" si="274"/>
        <v>0</v>
      </c>
      <c r="GN613" s="6">
        <f t="shared" si="274"/>
        <v>0</v>
      </c>
      <c r="GO613" s="6">
        <f t="shared" si="274"/>
        <v>22163</v>
      </c>
      <c r="GP613" s="6">
        <f t="shared" si="274"/>
        <v>11486</v>
      </c>
      <c r="GQ613" s="6">
        <f t="shared" si="274"/>
        <v>22357</v>
      </c>
      <c r="GR613" s="6">
        <f t="shared" si="274"/>
        <v>11203</v>
      </c>
    </row>
    <row r="614" spans="1:200">
      <c r="A614" s="6"/>
      <c r="B614" s="16" t="s">
        <v>75</v>
      </c>
      <c r="C614" s="17">
        <f>SUM(C220:C224)+SUM(C469:C471)</f>
        <v>9484</v>
      </c>
      <c r="D614" s="17">
        <f>SUM(D220:D224)+SUM(D469:D471)</f>
        <v>7097</v>
      </c>
      <c r="E614" s="15">
        <f t="shared" si="28"/>
        <v>0.74831294812315474</v>
      </c>
      <c r="F614" s="66">
        <f>SUM(F220:F224)+SUM(F469:F471)</f>
        <v>1314</v>
      </c>
      <c r="G614" s="6">
        <f>SUM(G220:G224)+SUM(G469:G471)</f>
        <v>19</v>
      </c>
      <c r="H614" s="6">
        <f>SUM(H220:H224)+SUM(H469:H471)</f>
        <v>216</v>
      </c>
      <c r="I614" s="6">
        <f>SUM(I220:I224)+SUM(I469:I471)</f>
        <v>46</v>
      </c>
      <c r="J614" s="59">
        <f>SUM(J220:J224)+SUM(J469:J471)</f>
        <v>5360</v>
      </c>
      <c r="K614" s="6">
        <f t="shared" ref="K614" si="275">SUM(K220:K224)+SUM(K469:K471)</f>
        <v>0</v>
      </c>
      <c r="L614" s="6">
        <f t="shared" ref="L614:AB614" si="276">SUM(L220:L224)+SUM(L469:L471)</f>
        <v>0</v>
      </c>
      <c r="M614" s="6">
        <f t="shared" si="276"/>
        <v>0</v>
      </c>
      <c r="N614" s="6">
        <f t="shared" si="276"/>
        <v>0</v>
      </c>
      <c r="O614" s="6">
        <f t="shared" si="276"/>
        <v>0</v>
      </c>
      <c r="P614" s="6">
        <f t="shared" si="276"/>
        <v>2</v>
      </c>
      <c r="Q614" s="6">
        <f t="shared" si="276"/>
        <v>0</v>
      </c>
      <c r="R614" s="6">
        <f t="shared" si="276"/>
        <v>0</v>
      </c>
      <c r="S614" s="6">
        <f t="shared" si="276"/>
        <v>0</v>
      </c>
      <c r="T614" s="6">
        <f t="shared" si="276"/>
        <v>0</v>
      </c>
      <c r="U614" s="6">
        <f t="shared" si="276"/>
        <v>0</v>
      </c>
      <c r="V614" s="6">
        <f t="shared" si="276"/>
        <v>1</v>
      </c>
      <c r="W614" s="6">
        <f t="shared" si="276"/>
        <v>11</v>
      </c>
      <c r="X614" s="6">
        <f t="shared" si="276"/>
        <v>0</v>
      </c>
      <c r="Y614" s="6">
        <f t="shared" si="276"/>
        <v>0</v>
      </c>
      <c r="Z614" s="6">
        <f t="shared" si="276"/>
        <v>0</v>
      </c>
      <c r="AA614" s="6">
        <f t="shared" si="276"/>
        <v>0</v>
      </c>
      <c r="AB614" s="6">
        <f t="shared" si="276"/>
        <v>0</v>
      </c>
      <c r="AC614" s="6">
        <f t="shared" ref="AC614:BZ614" si="277">SUM(AC220:AC224)+SUM(AC469:AC471)</f>
        <v>130</v>
      </c>
      <c r="AD614" s="6">
        <f t="shared" si="277"/>
        <v>90</v>
      </c>
      <c r="AE614" s="6">
        <f t="shared" si="277"/>
        <v>5501</v>
      </c>
      <c r="AF614" s="6">
        <f t="shared" si="277"/>
        <v>95</v>
      </c>
      <c r="AG614" s="6">
        <f t="shared" si="277"/>
        <v>0</v>
      </c>
      <c r="AH614" s="6">
        <f t="shared" si="277"/>
        <v>999</v>
      </c>
      <c r="AI614" s="6">
        <f t="shared" si="277"/>
        <v>5564</v>
      </c>
      <c r="AJ614" s="6">
        <f t="shared" si="277"/>
        <v>0</v>
      </c>
      <c r="AK614" s="6">
        <f t="shared" si="277"/>
        <v>0</v>
      </c>
      <c r="AL614" s="6">
        <f t="shared" si="277"/>
        <v>1263</v>
      </c>
      <c r="AM614" s="6">
        <f t="shared" si="277"/>
        <v>0</v>
      </c>
      <c r="AN614" s="6">
        <f t="shared" si="277"/>
        <v>0</v>
      </c>
      <c r="AO614" s="6">
        <f t="shared" si="277"/>
        <v>0</v>
      </c>
      <c r="AP614" s="6">
        <f t="shared" si="277"/>
        <v>1391</v>
      </c>
      <c r="AQ614" s="6">
        <f t="shared" si="277"/>
        <v>5038</v>
      </c>
      <c r="AR614" s="6">
        <f t="shared" si="277"/>
        <v>0</v>
      </c>
      <c r="AS614" s="6">
        <f t="shared" si="277"/>
        <v>0</v>
      </c>
      <c r="AT614" s="6">
        <f t="shared" si="277"/>
        <v>0</v>
      </c>
      <c r="AU614" s="6">
        <f t="shared" si="277"/>
        <v>0</v>
      </c>
      <c r="AV614" s="6">
        <f t="shared" si="277"/>
        <v>5066</v>
      </c>
      <c r="AW614" s="6">
        <f t="shared" si="277"/>
        <v>0</v>
      </c>
      <c r="AX614" s="6">
        <f t="shared" si="277"/>
        <v>0</v>
      </c>
      <c r="AY614" s="6">
        <f t="shared" si="277"/>
        <v>0</v>
      </c>
      <c r="AZ614" s="6">
        <f t="shared" si="277"/>
        <v>0</v>
      </c>
      <c r="BA614" s="6">
        <f t="shared" si="277"/>
        <v>0</v>
      </c>
      <c r="BB614" s="6">
        <f t="shared" si="277"/>
        <v>0</v>
      </c>
      <c r="BC614" s="6">
        <f t="shared" si="277"/>
        <v>0</v>
      </c>
      <c r="BD614" s="6">
        <f t="shared" si="277"/>
        <v>0</v>
      </c>
      <c r="BE614" s="6">
        <f t="shared" si="277"/>
        <v>4374</v>
      </c>
      <c r="BF614" s="6">
        <f t="shared" si="277"/>
        <v>2203</v>
      </c>
      <c r="BG614" s="6">
        <f t="shared" si="277"/>
        <v>5243</v>
      </c>
      <c r="BH614" s="6">
        <f t="shared" si="277"/>
        <v>1420</v>
      </c>
      <c r="BI614" s="6">
        <f t="shared" si="277"/>
        <v>5285</v>
      </c>
      <c r="BJ614" s="6">
        <f t="shared" si="277"/>
        <v>1311</v>
      </c>
      <c r="BK614" s="6">
        <f t="shared" si="277"/>
        <v>1644</v>
      </c>
      <c r="BL614" s="6">
        <f t="shared" si="277"/>
        <v>4955</v>
      </c>
      <c r="BM614" s="6">
        <f t="shared" si="277"/>
        <v>3682</v>
      </c>
      <c r="BN614" s="6">
        <f t="shared" si="277"/>
        <v>2955</v>
      </c>
      <c r="BO614" s="6">
        <f t="shared" si="277"/>
        <v>1318</v>
      </c>
      <c r="BP614" s="6">
        <f t="shared" si="277"/>
        <v>5068</v>
      </c>
      <c r="BQ614" s="6">
        <f t="shared" si="277"/>
        <v>5496</v>
      </c>
      <c r="BR614" s="6">
        <f t="shared" si="277"/>
        <v>1017</v>
      </c>
      <c r="BS614" s="6">
        <f t="shared" si="277"/>
        <v>5165</v>
      </c>
      <c r="BT614" s="6">
        <f t="shared" si="277"/>
        <v>3990</v>
      </c>
      <c r="BU614" s="6">
        <f t="shared" si="277"/>
        <v>2295</v>
      </c>
      <c r="BV614" s="6">
        <f t="shared" si="277"/>
        <v>4609</v>
      </c>
      <c r="BW614" s="6">
        <f t="shared" si="277"/>
        <v>3308</v>
      </c>
      <c r="BX614" s="6">
        <f t="shared" si="277"/>
        <v>1900</v>
      </c>
      <c r="BY614" s="6">
        <f t="shared" si="277"/>
        <v>4443</v>
      </c>
      <c r="BZ614" s="6">
        <f t="shared" si="277"/>
        <v>1273</v>
      </c>
      <c r="CA614" s="6">
        <f t="shared" ref="CA614:CP614" si="278">SUM(CA220:CA224)+SUM(CA469:CA471)</f>
        <v>4197</v>
      </c>
      <c r="CB614" s="6">
        <f t="shared" si="278"/>
        <v>3446</v>
      </c>
      <c r="CC614" s="6">
        <f t="shared" si="278"/>
        <v>1530</v>
      </c>
      <c r="CD614" s="6">
        <f t="shared" si="278"/>
        <v>3848</v>
      </c>
      <c r="CE614" s="6">
        <f t="shared" si="278"/>
        <v>1375</v>
      </c>
      <c r="CF614" s="6">
        <f t="shared" si="278"/>
        <v>3985</v>
      </c>
      <c r="CG614" s="6">
        <f t="shared" si="278"/>
        <v>3211</v>
      </c>
      <c r="CH614" s="6">
        <f t="shared" si="278"/>
        <v>1685</v>
      </c>
      <c r="CI614" s="6">
        <f t="shared" si="278"/>
        <v>923</v>
      </c>
      <c r="CJ614" s="6">
        <f t="shared" si="278"/>
        <v>4250</v>
      </c>
      <c r="CK614" s="6">
        <f t="shared" si="278"/>
        <v>3393</v>
      </c>
      <c r="CL614" s="6">
        <f t="shared" si="278"/>
        <v>1723</v>
      </c>
      <c r="CM614" s="6">
        <f t="shared" si="278"/>
        <v>4084</v>
      </c>
      <c r="CN614" s="6">
        <f t="shared" si="278"/>
        <v>4017</v>
      </c>
      <c r="CO614" s="6">
        <f t="shared" si="278"/>
        <v>1556</v>
      </c>
      <c r="CP614" s="6">
        <f t="shared" si="278"/>
        <v>3578</v>
      </c>
      <c r="CQ614" s="6">
        <f t="shared" ref="CQ614:EM614" si="279">SUM(CQ220:CQ224)+SUM(CQ469:CQ471)</f>
        <v>0</v>
      </c>
      <c r="CR614" s="6">
        <f t="shared" si="279"/>
        <v>0</v>
      </c>
      <c r="CS614" s="6">
        <f t="shared" si="279"/>
        <v>0</v>
      </c>
      <c r="CT614" s="6">
        <f t="shared" si="279"/>
        <v>0</v>
      </c>
      <c r="CU614" s="6">
        <f t="shared" si="279"/>
        <v>0</v>
      </c>
      <c r="CV614" s="6">
        <f t="shared" si="279"/>
        <v>0</v>
      </c>
      <c r="CW614" s="6">
        <f t="shared" si="279"/>
        <v>0</v>
      </c>
      <c r="CX614" s="6">
        <f t="shared" si="279"/>
        <v>0</v>
      </c>
      <c r="CY614" s="6">
        <f t="shared" si="279"/>
        <v>0</v>
      </c>
      <c r="CZ614" s="6">
        <f t="shared" si="279"/>
        <v>0</v>
      </c>
      <c r="DA614" s="6">
        <f t="shared" si="279"/>
        <v>0</v>
      </c>
      <c r="DB614" s="6">
        <f t="shared" si="279"/>
        <v>0</v>
      </c>
      <c r="DC614" s="6">
        <f t="shared" si="279"/>
        <v>0</v>
      </c>
      <c r="DD614" s="6">
        <f t="shared" si="279"/>
        <v>0</v>
      </c>
      <c r="DE614" s="6">
        <f t="shared" si="279"/>
        <v>0</v>
      </c>
      <c r="DF614" s="6">
        <f t="shared" si="279"/>
        <v>0</v>
      </c>
      <c r="DG614" s="6">
        <f t="shared" si="279"/>
        <v>0</v>
      </c>
      <c r="DH614" s="6">
        <f t="shared" si="279"/>
        <v>0</v>
      </c>
      <c r="DI614" s="6">
        <f t="shared" si="279"/>
        <v>0</v>
      </c>
      <c r="DJ614" s="6">
        <f t="shared" si="279"/>
        <v>0</v>
      </c>
      <c r="DK614" s="6">
        <f t="shared" si="279"/>
        <v>0</v>
      </c>
      <c r="DL614" s="6">
        <f t="shared" si="279"/>
        <v>0</v>
      </c>
      <c r="DM614" s="6">
        <f t="shared" si="279"/>
        <v>0</v>
      </c>
      <c r="DN614" s="6">
        <f t="shared" si="279"/>
        <v>0</v>
      </c>
      <c r="DO614" s="6">
        <f t="shared" si="279"/>
        <v>0</v>
      </c>
      <c r="DP614" s="6">
        <f t="shared" si="279"/>
        <v>0</v>
      </c>
      <c r="DQ614" s="6">
        <f t="shared" si="279"/>
        <v>0</v>
      </c>
      <c r="DR614" s="6">
        <f t="shared" si="279"/>
        <v>0</v>
      </c>
      <c r="DS614" s="6">
        <f t="shared" si="279"/>
        <v>0</v>
      </c>
      <c r="DT614" s="6">
        <f t="shared" si="279"/>
        <v>0</v>
      </c>
      <c r="DU614" s="6">
        <f t="shared" si="279"/>
        <v>0</v>
      </c>
      <c r="DV614" s="6">
        <f t="shared" si="279"/>
        <v>0</v>
      </c>
      <c r="DW614" s="6">
        <f t="shared" si="279"/>
        <v>0</v>
      </c>
      <c r="DX614" s="6">
        <f t="shared" si="279"/>
        <v>0</v>
      </c>
      <c r="DY614" s="6">
        <f t="shared" si="279"/>
        <v>0</v>
      </c>
      <c r="DZ614" s="6">
        <f t="shared" si="279"/>
        <v>0</v>
      </c>
      <c r="EA614" s="6">
        <f t="shared" si="279"/>
        <v>0</v>
      </c>
      <c r="EB614" s="6">
        <f t="shared" si="279"/>
        <v>0</v>
      </c>
      <c r="EC614" s="6">
        <f t="shared" si="279"/>
        <v>0</v>
      </c>
      <c r="ED614" s="6">
        <f t="shared" si="279"/>
        <v>0</v>
      </c>
      <c r="EE614" s="6">
        <f t="shared" si="279"/>
        <v>0</v>
      </c>
      <c r="EF614" s="6">
        <f t="shared" si="279"/>
        <v>0</v>
      </c>
      <c r="EG614" s="6">
        <f t="shared" si="279"/>
        <v>0</v>
      </c>
      <c r="EH614" s="6">
        <f t="shared" si="279"/>
        <v>0</v>
      </c>
      <c r="EI614" s="6">
        <f t="shared" si="279"/>
        <v>0</v>
      </c>
      <c r="EJ614" s="6">
        <f t="shared" si="279"/>
        <v>0</v>
      </c>
      <c r="EK614" s="6">
        <f t="shared" si="279"/>
        <v>0</v>
      </c>
      <c r="EL614" s="6">
        <f t="shared" si="279"/>
        <v>0</v>
      </c>
      <c r="EM614" s="6">
        <f t="shared" si="279"/>
        <v>0</v>
      </c>
      <c r="EN614" s="6">
        <f t="shared" ref="EN614:GR614" si="280">SUM(EN220:EN224)+SUM(EN469:EN471)</f>
        <v>0</v>
      </c>
      <c r="EO614" s="6">
        <f t="shared" si="280"/>
        <v>0</v>
      </c>
      <c r="EP614" s="6">
        <f t="shared" si="280"/>
        <v>0</v>
      </c>
      <c r="EQ614" s="6">
        <f t="shared" si="280"/>
        <v>0</v>
      </c>
      <c r="ER614" s="6">
        <f t="shared" si="280"/>
        <v>0</v>
      </c>
      <c r="ES614" s="6">
        <f t="shared" si="280"/>
        <v>0</v>
      </c>
      <c r="ET614" s="6">
        <f t="shared" si="280"/>
        <v>0</v>
      </c>
      <c r="EU614" s="6">
        <f t="shared" si="280"/>
        <v>0</v>
      </c>
      <c r="EV614" s="6">
        <f t="shared" si="280"/>
        <v>0</v>
      </c>
      <c r="EW614" s="6">
        <f t="shared" si="280"/>
        <v>0</v>
      </c>
      <c r="EX614" s="6">
        <f t="shared" si="280"/>
        <v>0</v>
      </c>
      <c r="EY614" s="6">
        <f t="shared" si="280"/>
        <v>0</v>
      </c>
      <c r="EZ614" s="6">
        <f t="shared" si="280"/>
        <v>0</v>
      </c>
      <c r="FA614" s="6">
        <f t="shared" si="280"/>
        <v>0</v>
      </c>
      <c r="FB614" s="6">
        <f t="shared" si="280"/>
        <v>0</v>
      </c>
      <c r="FC614" s="6">
        <f t="shared" si="280"/>
        <v>0</v>
      </c>
      <c r="FD614" s="6">
        <f t="shared" si="280"/>
        <v>0</v>
      </c>
      <c r="FE614" s="6">
        <f t="shared" si="280"/>
        <v>0</v>
      </c>
      <c r="FF614" s="6">
        <f t="shared" si="280"/>
        <v>0</v>
      </c>
      <c r="FG614" s="6">
        <f t="shared" si="280"/>
        <v>0</v>
      </c>
      <c r="FH614" s="6">
        <f t="shared" si="280"/>
        <v>0</v>
      </c>
      <c r="FI614" s="6">
        <f t="shared" si="280"/>
        <v>0</v>
      </c>
      <c r="FJ614" s="6">
        <f t="shared" si="280"/>
        <v>0</v>
      </c>
      <c r="FK614" s="6">
        <f t="shared" si="280"/>
        <v>0</v>
      </c>
      <c r="FL614" s="6">
        <f t="shared" si="280"/>
        <v>0</v>
      </c>
      <c r="FM614" s="6">
        <f t="shared" si="280"/>
        <v>0</v>
      </c>
      <c r="FN614" s="6">
        <f t="shared" si="280"/>
        <v>0</v>
      </c>
      <c r="FO614" s="6">
        <f t="shared" si="280"/>
        <v>0</v>
      </c>
      <c r="FP614" s="6">
        <f t="shared" si="280"/>
        <v>0</v>
      </c>
      <c r="FQ614" s="6">
        <f t="shared" si="280"/>
        <v>0</v>
      </c>
      <c r="FR614" s="6">
        <f t="shared" si="280"/>
        <v>0</v>
      </c>
      <c r="FS614" s="6">
        <f t="shared" si="280"/>
        <v>0</v>
      </c>
      <c r="FT614" s="6">
        <f t="shared" si="280"/>
        <v>0</v>
      </c>
      <c r="FU614" s="6">
        <f t="shared" si="280"/>
        <v>0</v>
      </c>
      <c r="FV614" s="6">
        <f t="shared" si="280"/>
        <v>0</v>
      </c>
      <c r="FW614" s="6">
        <f t="shared" si="280"/>
        <v>0</v>
      </c>
      <c r="FX614" s="6">
        <f t="shared" si="280"/>
        <v>0</v>
      </c>
      <c r="FY614" s="6">
        <f t="shared" si="280"/>
        <v>0</v>
      </c>
      <c r="FZ614" s="6">
        <f t="shared" si="280"/>
        <v>0</v>
      </c>
      <c r="GA614" s="6">
        <f t="shared" si="280"/>
        <v>0</v>
      </c>
      <c r="GB614" s="6">
        <f t="shared" si="280"/>
        <v>0</v>
      </c>
      <c r="GC614" s="6">
        <f t="shared" si="280"/>
        <v>0</v>
      </c>
      <c r="GD614" s="6">
        <f t="shared" si="280"/>
        <v>0</v>
      </c>
      <c r="GE614" s="6">
        <f t="shared" si="280"/>
        <v>0</v>
      </c>
      <c r="GF614" s="6">
        <f t="shared" si="280"/>
        <v>0</v>
      </c>
      <c r="GG614" s="6">
        <f t="shared" si="280"/>
        <v>0</v>
      </c>
      <c r="GH614" s="6">
        <f t="shared" si="280"/>
        <v>0</v>
      </c>
      <c r="GI614" s="6">
        <f t="shared" si="280"/>
        <v>0</v>
      </c>
      <c r="GJ614" s="6">
        <f t="shared" si="280"/>
        <v>0</v>
      </c>
      <c r="GK614" s="6">
        <f t="shared" si="280"/>
        <v>0</v>
      </c>
      <c r="GL614" s="6">
        <f t="shared" si="280"/>
        <v>0</v>
      </c>
      <c r="GM614" s="6">
        <f t="shared" si="280"/>
        <v>0</v>
      </c>
      <c r="GN614" s="6">
        <f t="shared" si="280"/>
        <v>0</v>
      </c>
      <c r="GO614" s="6">
        <f t="shared" si="280"/>
        <v>4175</v>
      </c>
      <c r="GP614" s="6">
        <f t="shared" si="280"/>
        <v>2642</v>
      </c>
      <c r="GQ614" s="6">
        <f t="shared" si="280"/>
        <v>3780</v>
      </c>
      <c r="GR614" s="6">
        <f t="shared" si="280"/>
        <v>2982</v>
      </c>
    </row>
    <row r="615" spans="1:200">
      <c r="A615" s="6"/>
      <c r="B615" s="16" t="s">
        <v>76</v>
      </c>
      <c r="C615" s="14">
        <f>SUM(C478:C489)</f>
        <v>11461</v>
      </c>
      <c r="D615" s="14">
        <f>SUM(D478:D489)</f>
        <v>9110</v>
      </c>
      <c r="E615" s="15">
        <f t="shared" si="28"/>
        <v>0.79486955763022427</v>
      </c>
      <c r="F615" s="66">
        <f t="shared" ref="F615:AB615" si="281">SUM(F478:F489)</f>
        <v>1711</v>
      </c>
      <c r="G615" s="6">
        <f t="shared" si="281"/>
        <v>34</v>
      </c>
      <c r="H615" s="6">
        <f t="shared" si="281"/>
        <v>283</v>
      </c>
      <c r="I615" s="6">
        <f t="shared" si="281"/>
        <v>41</v>
      </c>
      <c r="J615" s="59">
        <f t="shared" si="281"/>
        <v>6848</v>
      </c>
      <c r="K615" s="6">
        <f t="shared" si="281"/>
        <v>0</v>
      </c>
      <c r="L615" s="6">
        <f t="shared" si="281"/>
        <v>0</v>
      </c>
      <c r="M615" s="6">
        <f t="shared" si="281"/>
        <v>3</v>
      </c>
      <c r="N615" s="6">
        <f t="shared" si="281"/>
        <v>0</v>
      </c>
      <c r="O615" s="6">
        <f t="shared" si="281"/>
        <v>0</v>
      </c>
      <c r="P615" s="6">
        <f t="shared" si="281"/>
        <v>1</v>
      </c>
      <c r="Q615" s="6">
        <f t="shared" si="281"/>
        <v>0</v>
      </c>
      <c r="R615" s="6">
        <f t="shared" si="281"/>
        <v>0</v>
      </c>
      <c r="S615" s="6">
        <f t="shared" si="281"/>
        <v>0</v>
      </c>
      <c r="T615" s="6">
        <f t="shared" si="281"/>
        <v>0</v>
      </c>
      <c r="U615" s="6">
        <f t="shared" si="281"/>
        <v>0</v>
      </c>
      <c r="V615" s="6">
        <f t="shared" si="281"/>
        <v>0</v>
      </c>
      <c r="W615" s="6">
        <f t="shared" si="281"/>
        <v>18</v>
      </c>
      <c r="X615" s="6">
        <f t="shared" si="281"/>
        <v>0</v>
      </c>
      <c r="Y615" s="6">
        <f t="shared" si="281"/>
        <v>0</v>
      </c>
      <c r="Z615" s="6">
        <f t="shared" si="281"/>
        <v>0</v>
      </c>
      <c r="AA615" s="6">
        <f t="shared" si="281"/>
        <v>0</v>
      </c>
      <c r="AB615" s="6">
        <f t="shared" si="281"/>
        <v>0</v>
      </c>
      <c r="AC615" s="6">
        <f t="shared" ref="AC615:BZ615" si="282">SUM(AC478:AC489)</f>
        <v>116</v>
      </c>
      <c r="AD615" s="6">
        <f t="shared" si="282"/>
        <v>104</v>
      </c>
      <c r="AE615" s="6">
        <f t="shared" si="282"/>
        <v>7259</v>
      </c>
      <c r="AF615" s="6">
        <f t="shared" si="282"/>
        <v>105</v>
      </c>
      <c r="AG615" s="6">
        <f t="shared" si="282"/>
        <v>0</v>
      </c>
      <c r="AH615" s="6">
        <f t="shared" si="282"/>
        <v>1196</v>
      </c>
      <c r="AI615" s="6">
        <f t="shared" si="282"/>
        <v>7356</v>
      </c>
      <c r="AJ615" s="6">
        <f t="shared" si="282"/>
        <v>2</v>
      </c>
      <c r="AK615" s="6">
        <f t="shared" si="282"/>
        <v>0</v>
      </c>
      <c r="AL615" s="6">
        <f t="shared" si="282"/>
        <v>1455</v>
      </c>
      <c r="AM615" s="6">
        <f t="shared" si="282"/>
        <v>0</v>
      </c>
      <c r="AN615" s="6">
        <f t="shared" si="282"/>
        <v>0</v>
      </c>
      <c r="AO615" s="6">
        <f t="shared" si="282"/>
        <v>0</v>
      </c>
      <c r="AP615" s="6">
        <f t="shared" si="282"/>
        <v>1572</v>
      </c>
      <c r="AQ615" s="6">
        <f t="shared" si="282"/>
        <v>6769</v>
      </c>
      <c r="AR615" s="6">
        <f t="shared" si="282"/>
        <v>0</v>
      </c>
      <c r="AS615" s="6">
        <f t="shared" si="282"/>
        <v>0</v>
      </c>
      <c r="AT615" s="6">
        <f t="shared" si="282"/>
        <v>0</v>
      </c>
      <c r="AU615" s="6">
        <f t="shared" si="282"/>
        <v>0</v>
      </c>
      <c r="AV615" s="6">
        <f t="shared" si="282"/>
        <v>6428</v>
      </c>
      <c r="AW615" s="6">
        <f t="shared" si="282"/>
        <v>0</v>
      </c>
      <c r="AX615" s="6">
        <f t="shared" si="282"/>
        <v>0</v>
      </c>
      <c r="AY615" s="6">
        <f t="shared" si="282"/>
        <v>0</v>
      </c>
      <c r="AZ615" s="6">
        <f t="shared" si="282"/>
        <v>0</v>
      </c>
      <c r="BA615" s="6">
        <f t="shared" si="282"/>
        <v>0</v>
      </c>
      <c r="BB615" s="6">
        <f t="shared" si="282"/>
        <v>0</v>
      </c>
      <c r="BC615" s="6">
        <f t="shared" si="282"/>
        <v>0</v>
      </c>
      <c r="BD615" s="6">
        <f t="shared" si="282"/>
        <v>0</v>
      </c>
      <c r="BE615" s="6">
        <f t="shared" si="282"/>
        <v>5604</v>
      </c>
      <c r="BF615" s="6">
        <f t="shared" si="282"/>
        <v>2805</v>
      </c>
      <c r="BG615" s="6">
        <f t="shared" si="282"/>
        <v>6726</v>
      </c>
      <c r="BH615" s="6">
        <f t="shared" si="282"/>
        <v>1836</v>
      </c>
      <c r="BI615" s="6">
        <f t="shared" si="282"/>
        <v>6918</v>
      </c>
      <c r="BJ615" s="6">
        <f t="shared" si="282"/>
        <v>1534</v>
      </c>
      <c r="BK615" s="6">
        <f t="shared" si="282"/>
        <v>1960</v>
      </c>
      <c r="BL615" s="6">
        <f t="shared" si="282"/>
        <v>6536</v>
      </c>
      <c r="BM615" s="6">
        <f t="shared" si="282"/>
        <v>4512</v>
      </c>
      <c r="BN615" s="6">
        <f t="shared" si="282"/>
        <v>4005</v>
      </c>
      <c r="BO615" s="6">
        <f t="shared" si="282"/>
        <v>1540</v>
      </c>
      <c r="BP615" s="6">
        <f t="shared" si="282"/>
        <v>6660</v>
      </c>
      <c r="BQ615" s="6">
        <f t="shared" si="282"/>
        <v>7155</v>
      </c>
      <c r="BR615" s="6">
        <f t="shared" si="282"/>
        <v>1183</v>
      </c>
      <c r="BS615" s="6">
        <f t="shared" si="282"/>
        <v>6602</v>
      </c>
      <c r="BT615" s="6">
        <f t="shared" si="282"/>
        <v>4913</v>
      </c>
      <c r="BU615" s="6">
        <f t="shared" si="282"/>
        <v>3176</v>
      </c>
      <c r="BV615" s="6">
        <f t="shared" si="282"/>
        <v>5800</v>
      </c>
      <c r="BW615" s="6">
        <f t="shared" si="282"/>
        <v>4513</v>
      </c>
      <c r="BX615" s="6">
        <f t="shared" si="282"/>
        <v>2107</v>
      </c>
      <c r="BY615" s="6">
        <f t="shared" si="282"/>
        <v>5894</v>
      </c>
      <c r="BZ615" s="6">
        <f t="shared" si="282"/>
        <v>1439</v>
      </c>
      <c r="CA615" s="6">
        <f t="shared" ref="CA615:CP615" si="283">SUM(CA478:CA489)</f>
        <v>5293</v>
      </c>
      <c r="CB615" s="6">
        <f t="shared" si="283"/>
        <v>5028</v>
      </c>
      <c r="CC615" s="6">
        <f t="shared" si="283"/>
        <v>1428</v>
      </c>
      <c r="CD615" s="6">
        <f t="shared" si="283"/>
        <v>4774</v>
      </c>
      <c r="CE615" s="6">
        <f t="shared" si="283"/>
        <v>1356</v>
      </c>
      <c r="CF615" s="6">
        <f t="shared" si="283"/>
        <v>6150</v>
      </c>
      <c r="CG615" s="6">
        <f t="shared" si="283"/>
        <v>4848</v>
      </c>
      <c r="CH615" s="6">
        <f t="shared" si="283"/>
        <v>1436</v>
      </c>
      <c r="CI615" s="6">
        <f t="shared" si="283"/>
        <v>1007</v>
      </c>
      <c r="CJ615" s="6">
        <f t="shared" si="283"/>
        <v>5579</v>
      </c>
      <c r="CK615" s="6">
        <f t="shared" si="283"/>
        <v>4913</v>
      </c>
      <c r="CL615" s="6">
        <f t="shared" si="283"/>
        <v>1738</v>
      </c>
      <c r="CM615" s="6">
        <f t="shared" si="283"/>
        <v>5192</v>
      </c>
      <c r="CN615" s="6">
        <f t="shared" si="283"/>
        <v>5020</v>
      </c>
      <c r="CO615" s="6">
        <f t="shared" si="283"/>
        <v>1483</v>
      </c>
      <c r="CP615" s="6">
        <f t="shared" si="283"/>
        <v>4974</v>
      </c>
      <c r="CQ615" s="6">
        <f t="shared" ref="CQ615:EM615" si="284">SUM(CQ478:CQ489)</f>
        <v>0</v>
      </c>
      <c r="CR615" s="6">
        <f t="shared" si="284"/>
        <v>0</v>
      </c>
      <c r="CS615" s="6">
        <f t="shared" si="284"/>
        <v>0</v>
      </c>
      <c r="CT615" s="6">
        <f t="shared" si="284"/>
        <v>0</v>
      </c>
      <c r="CU615" s="6">
        <f t="shared" si="284"/>
        <v>0</v>
      </c>
      <c r="CV615" s="6">
        <f t="shared" si="284"/>
        <v>0</v>
      </c>
      <c r="CW615" s="6">
        <f t="shared" si="284"/>
        <v>0</v>
      </c>
      <c r="CX615" s="6">
        <f t="shared" si="284"/>
        <v>0</v>
      </c>
      <c r="CY615" s="6">
        <f t="shared" si="284"/>
        <v>0</v>
      </c>
      <c r="CZ615" s="6">
        <f t="shared" si="284"/>
        <v>0</v>
      </c>
      <c r="DA615" s="6">
        <f t="shared" si="284"/>
        <v>0</v>
      </c>
      <c r="DB615" s="6">
        <f t="shared" si="284"/>
        <v>0</v>
      </c>
      <c r="DC615" s="6">
        <f t="shared" si="284"/>
        <v>0</v>
      </c>
      <c r="DD615" s="6">
        <f t="shared" si="284"/>
        <v>0</v>
      </c>
      <c r="DE615" s="6">
        <f t="shared" si="284"/>
        <v>0</v>
      </c>
      <c r="DF615" s="6">
        <f t="shared" si="284"/>
        <v>0</v>
      </c>
      <c r="DG615" s="6">
        <f t="shared" si="284"/>
        <v>191</v>
      </c>
      <c r="DH615" s="6">
        <f t="shared" si="284"/>
        <v>107</v>
      </c>
      <c r="DI615" s="6">
        <f t="shared" si="284"/>
        <v>186</v>
      </c>
      <c r="DJ615" s="6">
        <f t="shared" si="284"/>
        <v>110</v>
      </c>
      <c r="DK615" s="6">
        <f t="shared" si="284"/>
        <v>968</v>
      </c>
      <c r="DL615" s="6">
        <f t="shared" si="284"/>
        <v>485</v>
      </c>
      <c r="DM615" s="6">
        <f t="shared" si="284"/>
        <v>0</v>
      </c>
      <c r="DN615" s="6">
        <f t="shared" si="284"/>
        <v>0</v>
      </c>
      <c r="DO615" s="6">
        <f t="shared" si="284"/>
        <v>0</v>
      </c>
      <c r="DP615" s="6">
        <f t="shared" si="284"/>
        <v>0</v>
      </c>
      <c r="DQ615" s="6">
        <f t="shared" si="284"/>
        <v>0</v>
      </c>
      <c r="DR615" s="6">
        <f t="shared" si="284"/>
        <v>0</v>
      </c>
      <c r="DS615" s="6">
        <f t="shared" si="284"/>
        <v>0</v>
      </c>
      <c r="DT615" s="6">
        <f t="shared" si="284"/>
        <v>0</v>
      </c>
      <c r="DU615" s="6">
        <f t="shared" si="284"/>
        <v>0</v>
      </c>
      <c r="DV615" s="6">
        <f t="shared" si="284"/>
        <v>0</v>
      </c>
      <c r="DW615" s="6">
        <f t="shared" si="284"/>
        <v>0</v>
      </c>
      <c r="DX615" s="6">
        <f t="shared" si="284"/>
        <v>0</v>
      </c>
      <c r="DY615" s="6">
        <f t="shared" si="284"/>
        <v>0</v>
      </c>
      <c r="DZ615" s="6">
        <f t="shared" si="284"/>
        <v>0</v>
      </c>
      <c r="EA615" s="6">
        <f t="shared" si="284"/>
        <v>0</v>
      </c>
      <c r="EB615" s="6">
        <f t="shared" si="284"/>
        <v>0</v>
      </c>
      <c r="EC615" s="6">
        <f t="shared" si="284"/>
        <v>0</v>
      </c>
      <c r="ED615" s="6">
        <f t="shared" si="284"/>
        <v>0</v>
      </c>
      <c r="EE615" s="6">
        <f t="shared" si="284"/>
        <v>0</v>
      </c>
      <c r="EF615" s="6">
        <f t="shared" si="284"/>
        <v>0</v>
      </c>
      <c r="EG615" s="6">
        <f t="shared" si="284"/>
        <v>0</v>
      </c>
      <c r="EH615" s="6">
        <f t="shared" si="284"/>
        <v>0</v>
      </c>
      <c r="EI615" s="6">
        <f t="shared" si="284"/>
        <v>0</v>
      </c>
      <c r="EJ615" s="6">
        <f t="shared" si="284"/>
        <v>0</v>
      </c>
      <c r="EK615" s="6">
        <f t="shared" si="284"/>
        <v>0</v>
      </c>
      <c r="EL615" s="6">
        <f t="shared" si="284"/>
        <v>0</v>
      </c>
      <c r="EM615" s="6">
        <f t="shared" si="284"/>
        <v>0</v>
      </c>
      <c r="EN615" s="6">
        <f t="shared" ref="EN615:GR615" si="285">SUM(EN478:EN489)</f>
        <v>0</v>
      </c>
      <c r="EO615" s="6">
        <f t="shared" si="285"/>
        <v>0</v>
      </c>
      <c r="EP615" s="6">
        <f t="shared" si="285"/>
        <v>0</v>
      </c>
      <c r="EQ615" s="6">
        <f t="shared" si="285"/>
        <v>439</v>
      </c>
      <c r="ER615" s="6">
        <f t="shared" si="285"/>
        <v>161</v>
      </c>
      <c r="ES615" s="6">
        <f t="shared" si="285"/>
        <v>0</v>
      </c>
      <c r="ET615" s="6">
        <f t="shared" si="285"/>
        <v>0</v>
      </c>
      <c r="EU615" s="6">
        <f t="shared" si="285"/>
        <v>0</v>
      </c>
      <c r="EV615" s="6">
        <f t="shared" si="285"/>
        <v>0</v>
      </c>
      <c r="EW615" s="6">
        <f t="shared" si="285"/>
        <v>0</v>
      </c>
      <c r="EX615" s="6">
        <f t="shared" si="285"/>
        <v>0</v>
      </c>
      <c r="EY615" s="6">
        <f t="shared" si="285"/>
        <v>0</v>
      </c>
      <c r="EZ615" s="6">
        <f t="shared" si="285"/>
        <v>0</v>
      </c>
      <c r="FA615" s="6">
        <f t="shared" si="285"/>
        <v>0</v>
      </c>
      <c r="FB615" s="6">
        <f t="shared" si="285"/>
        <v>0</v>
      </c>
      <c r="FC615" s="6">
        <f t="shared" si="285"/>
        <v>0</v>
      </c>
      <c r="FD615" s="6">
        <f t="shared" si="285"/>
        <v>0</v>
      </c>
      <c r="FE615" s="6">
        <f t="shared" si="285"/>
        <v>0</v>
      </c>
      <c r="FF615" s="6">
        <f t="shared" si="285"/>
        <v>0</v>
      </c>
      <c r="FG615" s="6">
        <f t="shared" si="285"/>
        <v>0</v>
      </c>
      <c r="FH615" s="6">
        <f t="shared" si="285"/>
        <v>0</v>
      </c>
      <c r="FI615" s="6">
        <f t="shared" si="285"/>
        <v>5682</v>
      </c>
      <c r="FJ615" s="6">
        <f t="shared" si="285"/>
        <v>2867</v>
      </c>
      <c r="FK615" s="6">
        <f t="shared" si="285"/>
        <v>0</v>
      </c>
      <c r="FL615" s="6">
        <f t="shared" si="285"/>
        <v>0</v>
      </c>
      <c r="FM615" s="6">
        <f t="shared" si="285"/>
        <v>0</v>
      </c>
      <c r="FN615" s="6">
        <f t="shared" si="285"/>
        <v>0</v>
      </c>
      <c r="FO615" s="6">
        <f t="shared" si="285"/>
        <v>0</v>
      </c>
      <c r="FP615" s="6">
        <f t="shared" si="285"/>
        <v>0</v>
      </c>
      <c r="FQ615" s="6">
        <f t="shared" si="285"/>
        <v>0</v>
      </c>
      <c r="FR615" s="6">
        <f t="shared" si="285"/>
        <v>0</v>
      </c>
      <c r="FS615" s="6">
        <f t="shared" si="285"/>
        <v>0</v>
      </c>
      <c r="FT615" s="6">
        <f t="shared" si="285"/>
        <v>0</v>
      </c>
      <c r="FU615" s="6">
        <f t="shared" si="285"/>
        <v>0</v>
      </c>
      <c r="FV615" s="6">
        <f t="shared" si="285"/>
        <v>0</v>
      </c>
      <c r="FW615" s="6">
        <f t="shared" si="285"/>
        <v>0</v>
      </c>
      <c r="FX615" s="6">
        <f t="shared" si="285"/>
        <v>0</v>
      </c>
      <c r="FY615" s="6">
        <f t="shared" si="285"/>
        <v>0</v>
      </c>
      <c r="FZ615" s="6">
        <f t="shared" si="285"/>
        <v>0</v>
      </c>
      <c r="GA615" s="6">
        <f t="shared" si="285"/>
        <v>0</v>
      </c>
      <c r="GB615" s="6">
        <f t="shared" si="285"/>
        <v>0</v>
      </c>
      <c r="GC615" s="6">
        <f t="shared" si="285"/>
        <v>0</v>
      </c>
      <c r="GD615" s="6">
        <f t="shared" si="285"/>
        <v>0</v>
      </c>
      <c r="GE615" s="6">
        <f t="shared" si="285"/>
        <v>0</v>
      </c>
      <c r="GF615" s="6">
        <f t="shared" si="285"/>
        <v>0</v>
      </c>
      <c r="GG615" s="6">
        <f t="shared" si="285"/>
        <v>0</v>
      </c>
      <c r="GH615" s="6">
        <f t="shared" si="285"/>
        <v>0</v>
      </c>
      <c r="GI615" s="6">
        <f t="shared" si="285"/>
        <v>0</v>
      </c>
      <c r="GJ615" s="6">
        <f t="shared" si="285"/>
        <v>0</v>
      </c>
      <c r="GK615" s="6">
        <f t="shared" si="285"/>
        <v>0</v>
      </c>
      <c r="GL615" s="6">
        <f t="shared" si="285"/>
        <v>0</v>
      </c>
      <c r="GM615" s="6">
        <f t="shared" si="285"/>
        <v>0</v>
      </c>
      <c r="GN615" s="6">
        <f t="shared" si="285"/>
        <v>0</v>
      </c>
      <c r="GO615" s="6">
        <f t="shared" si="285"/>
        <v>5896</v>
      </c>
      <c r="GP615" s="6">
        <f t="shared" si="285"/>
        <v>2819</v>
      </c>
      <c r="GQ615" s="6">
        <f t="shared" si="285"/>
        <v>5538</v>
      </c>
      <c r="GR615" s="6">
        <f t="shared" si="285"/>
        <v>3090</v>
      </c>
    </row>
    <row r="616" spans="1:200">
      <c r="A616" s="6"/>
      <c r="B616" s="16" t="s">
        <v>77</v>
      </c>
      <c r="C616" s="14">
        <f>SUM(C499:C526)</f>
        <v>26169</v>
      </c>
      <c r="D616" s="14">
        <f>SUM(D499:D526)</f>
        <v>19936</v>
      </c>
      <c r="E616" s="15">
        <f t="shared" si="28"/>
        <v>0.76181741755512244</v>
      </c>
      <c r="F616" s="66">
        <f t="shared" ref="F616:AB616" si="286">SUM(F499:F526)</f>
        <v>11685</v>
      </c>
      <c r="G616" s="6">
        <f t="shared" si="286"/>
        <v>64</v>
      </c>
      <c r="H616" s="6">
        <f t="shared" si="286"/>
        <v>512</v>
      </c>
      <c r="I616" s="6">
        <f t="shared" si="286"/>
        <v>156</v>
      </c>
      <c r="J616" s="59">
        <f t="shared" si="286"/>
        <v>7107</v>
      </c>
      <c r="K616" s="6">
        <f t="shared" si="286"/>
        <v>0</v>
      </c>
      <c r="L616" s="6">
        <f t="shared" si="286"/>
        <v>0</v>
      </c>
      <c r="M616" s="6">
        <f t="shared" si="286"/>
        <v>2</v>
      </c>
      <c r="N616" s="6">
        <f t="shared" si="286"/>
        <v>0</v>
      </c>
      <c r="O616" s="6">
        <f t="shared" si="286"/>
        <v>1</v>
      </c>
      <c r="P616" s="6">
        <f t="shared" si="286"/>
        <v>2</v>
      </c>
      <c r="Q616" s="6">
        <f t="shared" si="286"/>
        <v>0</v>
      </c>
      <c r="R616" s="6">
        <f t="shared" si="286"/>
        <v>0</v>
      </c>
      <c r="S616" s="6">
        <f t="shared" si="286"/>
        <v>0</v>
      </c>
      <c r="T616" s="6">
        <f t="shared" si="286"/>
        <v>0</v>
      </c>
      <c r="U616" s="6">
        <f t="shared" si="286"/>
        <v>0</v>
      </c>
      <c r="V616" s="6">
        <f t="shared" si="286"/>
        <v>2</v>
      </c>
      <c r="W616" s="6">
        <f t="shared" si="286"/>
        <v>58</v>
      </c>
      <c r="X616" s="6">
        <f t="shared" si="286"/>
        <v>0</v>
      </c>
      <c r="Y616" s="6">
        <f t="shared" si="286"/>
        <v>0</v>
      </c>
      <c r="Z616" s="6">
        <f t="shared" si="286"/>
        <v>0</v>
      </c>
      <c r="AA616" s="6">
        <f t="shared" si="286"/>
        <v>0</v>
      </c>
      <c r="AB616" s="6">
        <f t="shared" si="286"/>
        <v>0</v>
      </c>
      <c r="AC616" s="6">
        <f t="shared" ref="AC616:BZ616" si="287">SUM(AC499:AC526)</f>
        <v>243</v>
      </c>
      <c r="AD616" s="6">
        <f t="shared" si="287"/>
        <v>284</v>
      </c>
      <c r="AE616" s="6">
        <f t="shared" si="287"/>
        <v>8921</v>
      </c>
      <c r="AF616" s="6">
        <f t="shared" si="287"/>
        <v>203</v>
      </c>
      <c r="AG616" s="6">
        <f t="shared" si="287"/>
        <v>1</v>
      </c>
      <c r="AH616" s="6">
        <f t="shared" si="287"/>
        <v>9642</v>
      </c>
      <c r="AI616" s="6">
        <f t="shared" si="287"/>
        <v>1122</v>
      </c>
      <c r="AJ616" s="6">
        <f t="shared" si="287"/>
        <v>0</v>
      </c>
      <c r="AK616" s="6">
        <f t="shared" si="287"/>
        <v>0</v>
      </c>
      <c r="AL616" s="6">
        <f t="shared" si="287"/>
        <v>1539</v>
      </c>
      <c r="AM616" s="6">
        <f t="shared" si="287"/>
        <v>444</v>
      </c>
      <c r="AN616" s="6">
        <f t="shared" si="287"/>
        <v>8371</v>
      </c>
      <c r="AO616" s="6">
        <f t="shared" si="287"/>
        <v>7340</v>
      </c>
      <c r="AP616" s="6">
        <f t="shared" si="287"/>
        <v>1432</v>
      </c>
      <c r="AQ616" s="6">
        <f t="shared" si="287"/>
        <v>927</v>
      </c>
      <c r="AR616" s="6">
        <f t="shared" si="287"/>
        <v>0</v>
      </c>
      <c r="AS616" s="6">
        <f t="shared" si="287"/>
        <v>0</v>
      </c>
      <c r="AT616" s="6">
        <f t="shared" si="287"/>
        <v>1009</v>
      </c>
      <c r="AU616" s="6">
        <f t="shared" si="287"/>
        <v>1373</v>
      </c>
      <c r="AV616" s="6">
        <f t="shared" si="287"/>
        <v>0</v>
      </c>
      <c r="AW616" s="6">
        <f t="shared" si="287"/>
        <v>0</v>
      </c>
      <c r="AX616" s="6">
        <f t="shared" si="287"/>
        <v>0</v>
      </c>
      <c r="AY616" s="6">
        <f t="shared" si="287"/>
        <v>0</v>
      </c>
      <c r="AZ616" s="6">
        <f t="shared" si="287"/>
        <v>0</v>
      </c>
      <c r="BA616" s="6">
        <f t="shared" si="287"/>
        <v>428</v>
      </c>
      <c r="BB616" s="6">
        <f t="shared" si="287"/>
        <v>106</v>
      </c>
      <c r="BC616" s="6">
        <f t="shared" si="287"/>
        <v>6807</v>
      </c>
      <c r="BD616" s="6">
        <f t="shared" si="287"/>
        <v>9262</v>
      </c>
      <c r="BE616" s="6">
        <f t="shared" si="287"/>
        <v>6586</v>
      </c>
      <c r="BF616" s="6">
        <f t="shared" si="287"/>
        <v>12250</v>
      </c>
      <c r="BG616" s="6">
        <f t="shared" si="287"/>
        <v>8094</v>
      </c>
      <c r="BH616" s="6">
        <f t="shared" si="287"/>
        <v>10831</v>
      </c>
      <c r="BI616" s="6">
        <f t="shared" si="287"/>
        <v>8873</v>
      </c>
      <c r="BJ616" s="6">
        <f t="shared" si="287"/>
        <v>9944</v>
      </c>
      <c r="BK616" s="6">
        <f t="shared" si="287"/>
        <v>11036</v>
      </c>
      <c r="BL616" s="6">
        <f t="shared" si="287"/>
        <v>7812</v>
      </c>
      <c r="BM616" s="6">
        <f t="shared" si="287"/>
        <v>6101</v>
      </c>
      <c r="BN616" s="6">
        <f t="shared" si="287"/>
        <v>12597</v>
      </c>
      <c r="BO616" s="6">
        <f t="shared" si="287"/>
        <v>10751</v>
      </c>
      <c r="BP616" s="6">
        <f t="shared" si="287"/>
        <v>7779</v>
      </c>
      <c r="BQ616" s="6">
        <f t="shared" si="287"/>
        <v>8702</v>
      </c>
      <c r="BR616" s="6">
        <f t="shared" si="287"/>
        <v>9875</v>
      </c>
      <c r="BS616" s="6">
        <f t="shared" si="287"/>
        <v>10909</v>
      </c>
      <c r="BT616" s="6">
        <f t="shared" si="287"/>
        <v>5838</v>
      </c>
      <c r="BU616" s="6">
        <f t="shared" si="287"/>
        <v>12688</v>
      </c>
      <c r="BV616" s="6">
        <f t="shared" si="287"/>
        <v>11612</v>
      </c>
      <c r="BW616" s="6">
        <f t="shared" si="287"/>
        <v>7511</v>
      </c>
      <c r="BX616" s="6">
        <f t="shared" si="287"/>
        <v>8084</v>
      </c>
      <c r="BY616" s="6">
        <f t="shared" si="287"/>
        <v>8543</v>
      </c>
      <c r="BZ616" s="6">
        <f t="shared" si="287"/>
        <v>8304</v>
      </c>
      <c r="CA616" s="6">
        <f t="shared" ref="CA616:CP616" si="288">SUM(CA499:CA526)</f>
        <v>10402</v>
      </c>
      <c r="CB616" s="6">
        <f t="shared" si="288"/>
        <v>6420</v>
      </c>
      <c r="CC616" s="6">
        <f t="shared" si="288"/>
        <v>8997</v>
      </c>
      <c r="CD616" s="6">
        <f t="shared" si="288"/>
        <v>11463</v>
      </c>
      <c r="CE616" s="6">
        <f t="shared" si="288"/>
        <v>8679</v>
      </c>
      <c r="CF616" s="6">
        <f t="shared" si="288"/>
        <v>7118</v>
      </c>
      <c r="CG616" s="6">
        <f t="shared" si="288"/>
        <v>7088</v>
      </c>
      <c r="CH616" s="6">
        <f t="shared" si="288"/>
        <v>7751</v>
      </c>
      <c r="CI616" s="6">
        <f t="shared" si="288"/>
        <v>6544</v>
      </c>
      <c r="CJ616" s="6">
        <f t="shared" si="288"/>
        <v>8881</v>
      </c>
      <c r="CK616" s="6">
        <f t="shared" si="288"/>
        <v>7695</v>
      </c>
      <c r="CL616" s="6">
        <f t="shared" si="288"/>
        <v>7721</v>
      </c>
      <c r="CM616" s="6">
        <f t="shared" si="288"/>
        <v>10098</v>
      </c>
      <c r="CN616" s="6">
        <f t="shared" si="288"/>
        <v>10461</v>
      </c>
      <c r="CO616" s="6">
        <f t="shared" si="288"/>
        <v>7530</v>
      </c>
      <c r="CP616" s="6">
        <f t="shared" si="288"/>
        <v>8029</v>
      </c>
      <c r="CQ616" s="6">
        <f t="shared" ref="CQ616:EM616" si="289">SUM(CQ499:CQ526)</f>
        <v>0</v>
      </c>
      <c r="CR616" s="6">
        <f t="shared" si="289"/>
        <v>0</v>
      </c>
      <c r="CS616" s="6">
        <f t="shared" si="289"/>
        <v>0</v>
      </c>
      <c r="CT616" s="6">
        <f t="shared" si="289"/>
        <v>0</v>
      </c>
      <c r="CU616" s="6">
        <f t="shared" si="289"/>
        <v>0</v>
      </c>
      <c r="CV616" s="6">
        <f t="shared" si="289"/>
        <v>0</v>
      </c>
      <c r="CW616" s="6">
        <f t="shared" si="289"/>
        <v>0</v>
      </c>
      <c r="CX616" s="6">
        <f t="shared" si="289"/>
        <v>0</v>
      </c>
      <c r="CY616" s="6">
        <f t="shared" si="289"/>
        <v>0</v>
      </c>
      <c r="CZ616" s="6">
        <f t="shared" si="289"/>
        <v>0</v>
      </c>
      <c r="DA616" s="6">
        <f t="shared" si="289"/>
        <v>0</v>
      </c>
      <c r="DB616" s="6">
        <f t="shared" si="289"/>
        <v>0</v>
      </c>
      <c r="DC616" s="6">
        <f t="shared" si="289"/>
        <v>0</v>
      </c>
      <c r="DD616" s="6">
        <f t="shared" si="289"/>
        <v>0</v>
      </c>
      <c r="DE616" s="6">
        <f t="shared" si="289"/>
        <v>0</v>
      </c>
      <c r="DF616" s="6">
        <f t="shared" si="289"/>
        <v>0</v>
      </c>
      <c r="DG616" s="6">
        <f t="shared" si="289"/>
        <v>0</v>
      </c>
      <c r="DH616" s="6">
        <f t="shared" si="289"/>
        <v>0</v>
      </c>
      <c r="DI616" s="6">
        <f t="shared" si="289"/>
        <v>0</v>
      </c>
      <c r="DJ616" s="6">
        <f t="shared" si="289"/>
        <v>0</v>
      </c>
      <c r="DK616" s="6">
        <f t="shared" si="289"/>
        <v>0</v>
      </c>
      <c r="DL616" s="6">
        <f t="shared" si="289"/>
        <v>0</v>
      </c>
      <c r="DM616" s="6">
        <f t="shared" si="289"/>
        <v>0</v>
      </c>
      <c r="DN616" s="6">
        <f t="shared" si="289"/>
        <v>0</v>
      </c>
      <c r="DO616" s="6">
        <f t="shared" si="289"/>
        <v>0</v>
      </c>
      <c r="DP616" s="6">
        <f t="shared" si="289"/>
        <v>0</v>
      </c>
      <c r="DQ616" s="6">
        <f t="shared" si="289"/>
        <v>0</v>
      </c>
      <c r="DR616" s="6">
        <f t="shared" si="289"/>
        <v>0</v>
      </c>
      <c r="DS616" s="6">
        <f t="shared" si="289"/>
        <v>0</v>
      </c>
      <c r="DT616" s="6">
        <f t="shared" si="289"/>
        <v>0</v>
      </c>
      <c r="DU616" s="6">
        <f t="shared" si="289"/>
        <v>0</v>
      </c>
      <c r="DV616" s="6">
        <f t="shared" si="289"/>
        <v>0</v>
      </c>
      <c r="DW616" s="6">
        <f t="shared" si="289"/>
        <v>0</v>
      </c>
      <c r="DX616" s="6">
        <f t="shared" si="289"/>
        <v>0</v>
      </c>
      <c r="DY616" s="6">
        <f t="shared" si="289"/>
        <v>0</v>
      </c>
      <c r="DZ616" s="6">
        <f t="shared" si="289"/>
        <v>0</v>
      </c>
      <c r="EA616" s="6">
        <f t="shared" si="289"/>
        <v>0</v>
      </c>
      <c r="EB616" s="6">
        <f t="shared" si="289"/>
        <v>0</v>
      </c>
      <c r="EC616" s="6">
        <f t="shared" si="289"/>
        <v>0</v>
      </c>
      <c r="ED616" s="6">
        <f t="shared" si="289"/>
        <v>0</v>
      </c>
      <c r="EE616" s="6">
        <f t="shared" si="289"/>
        <v>0</v>
      </c>
      <c r="EF616" s="6">
        <f t="shared" si="289"/>
        <v>0</v>
      </c>
      <c r="EG616" s="6">
        <f t="shared" si="289"/>
        <v>0</v>
      </c>
      <c r="EH616" s="6">
        <f t="shared" si="289"/>
        <v>0</v>
      </c>
      <c r="EI616" s="6">
        <f t="shared" si="289"/>
        <v>0</v>
      </c>
      <c r="EJ616" s="6">
        <f t="shared" si="289"/>
        <v>0</v>
      </c>
      <c r="EK616" s="6">
        <f t="shared" si="289"/>
        <v>0</v>
      </c>
      <c r="EL616" s="6">
        <f t="shared" si="289"/>
        <v>0</v>
      </c>
      <c r="EM616" s="6">
        <f t="shared" si="289"/>
        <v>0</v>
      </c>
      <c r="EN616" s="6">
        <f t="shared" ref="EN616:GR616" si="290">SUM(EN499:EN526)</f>
        <v>0</v>
      </c>
      <c r="EO616" s="6">
        <f t="shared" si="290"/>
        <v>0</v>
      </c>
      <c r="EP616" s="6">
        <f t="shared" si="290"/>
        <v>0</v>
      </c>
      <c r="EQ616" s="6">
        <f t="shared" si="290"/>
        <v>0</v>
      </c>
      <c r="ER616" s="6">
        <f t="shared" si="290"/>
        <v>0</v>
      </c>
      <c r="ES616" s="6">
        <f t="shared" si="290"/>
        <v>0</v>
      </c>
      <c r="ET616" s="6">
        <f t="shared" si="290"/>
        <v>0</v>
      </c>
      <c r="EU616" s="6">
        <f t="shared" si="290"/>
        <v>0</v>
      </c>
      <c r="EV616" s="6">
        <f t="shared" si="290"/>
        <v>0</v>
      </c>
      <c r="EW616" s="6">
        <f t="shared" si="290"/>
        <v>0</v>
      </c>
      <c r="EX616" s="6">
        <f t="shared" si="290"/>
        <v>0</v>
      </c>
      <c r="EY616" s="6">
        <f t="shared" si="290"/>
        <v>0</v>
      </c>
      <c r="EZ616" s="6">
        <f t="shared" si="290"/>
        <v>0</v>
      </c>
      <c r="FA616" s="6">
        <f t="shared" si="290"/>
        <v>0</v>
      </c>
      <c r="FB616" s="6">
        <f t="shared" si="290"/>
        <v>0</v>
      </c>
      <c r="FC616" s="6">
        <f t="shared" si="290"/>
        <v>0</v>
      </c>
      <c r="FD616" s="6">
        <f t="shared" si="290"/>
        <v>0</v>
      </c>
      <c r="FE616" s="6">
        <f t="shared" si="290"/>
        <v>0</v>
      </c>
      <c r="FF616" s="6">
        <f t="shared" si="290"/>
        <v>0</v>
      </c>
      <c r="FG616" s="6">
        <f t="shared" si="290"/>
        <v>0</v>
      </c>
      <c r="FH616" s="6">
        <f t="shared" si="290"/>
        <v>0</v>
      </c>
      <c r="FI616" s="6">
        <f t="shared" si="290"/>
        <v>0</v>
      </c>
      <c r="FJ616" s="6">
        <f t="shared" si="290"/>
        <v>0</v>
      </c>
      <c r="FK616" s="6">
        <f t="shared" si="290"/>
        <v>604</v>
      </c>
      <c r="FL616" s="6">
        <f t="shared" si="290"/>
        <v>266</v>
      </c>
      <c r="FM616" s="6">
        <f t="shared" si="290"/>
        <v>53</v>
      </c>
      <c r="FN616" s="6">
        <f t="shared" si="290"/>
        <v>144</v>
      </c>
      <c r="FO616" s="6">
        <f t="shared" si="290"/>
        <v>63</v>
      </c>
      <c r="FP616" s="6">
        <f t="shared" si="290"/>
        <v>132</v>
      </c>
      <c r="FQ616" s="6">
        <f t="shared" si="290"/>
        <v>53</v>
      </c>
      <c r="FR616" s="6">
        <f t="shared" si="290"/>
        <v>143</v>
      </c>
      <c r="FS616" s="6">
        <f t="shared" si="290"/>
        <v>62</v>
      </c>
      <c r="FT616" s="6">
        <f t="shared" si="290"/>
        <v>137</v>
      </c>
      <c r="FU616" s="6">
        <f t="shared" si="290"/>
        <v>64</v>
      </c>
      <c r="FV616" s="6">
        <f t="shared" si="290"/>
        <v>133</v>
      </c>
      <c r="FW616" s="6">
        <f t="shared" si="290"/>
        <v>76</v>
      </c>
      <c r="FX616" s="6">
        <f t="shared" si="290"/>
        <v>123</v>
      </c>
      <c r="FY616" s="6">
        <f t="shared" si="290"/>
        <v>476</v>
      </c>
      <c r="FZ616" s="6">
        <f t="shared" si="290"/>
        <v>436</v>
      </c>
      <c r="GA616" s="6">
        <f t="shared" si="290"/>
        <v>0</v>
      </c>
      <c r="GB616" s="6">
        <f t="shared" si="290"/>
        <v>0</v>
      </c>
      <c r="GC616" s="6">
        <f t="shared" si="290"/>
        <v>0</v>
      </c>
      <c r="GD616" s="6">
        <f t="shared" si="290"/>
        <v>0</v>
      </c>
      <c r="GE616" s="6">
        <f t="shared" si="290"/>
        <v>0</v>
      </c>
      <c r="GF616" s="6">
        <f t="shared" si="290"/>
        <v>0</v>
      </c>
      <c r="GG616" s="6">
        <f t="shared" si="290"/>
        <v>0</v>
      </c>
      <c r="GH616" s="6">
        <f t="shared" si="290"/>
        <v>0</v>
      </c>
      <c r="GI616" s="6">
        <f t="shared" si="290"/>
        <v>0</v>
      </c>
      <c r="GJ616" s="6">
        <f t="shared" si="290"/>
        <v>0</v>
      </c>
      <c r="GK616" s="6">
        <f t="shared" si="290"/>
        <v>1120</v>
      </c>
      <c r="GL616" s="6">
        <f t="shared" si="290"/>
        <v>2167</v>
      </c>
      <c r="GM616" s="6">
        <f t="shared" si="290"/>
        <v>0</v>
      </c>
      <c r="GN616" s="6">
        <f t="shared" si="290"/>
        <v>0</v>
      </c>
      <c r="GO616" s="6">
        <f t="shared" si="290"/>
        <v>13145</v>
      </c>
      <c r="GP616" s="6">
        <f t="shared" si="290"/>
        <v>5816</v>
      </c>
      <c r="GQ616" s="6">
        <f t="shared" si="290"/>
        <v>13428</v>
      </c>
      <c r="GR616" s="6">
        <f t="shared" si="290"/>
        <v>5488</v>
      </c>
    </row>
    <row r="617" spans="1:200">
      <c r="A617" s="6"/>
      <c r="B617" s="16" t="s">
        <v>78</v>
      </c>
      <c r="C617" s="14">
        <f>SUM(C527:C540)</f>
        <v>14123</v>
      </c>
      <c r="D617" s="14">
        <f>SUM(D527:D540)</f>
        <v>11061</v>
      </c>
      <c r="E617" s="15">
        <f t="shared" si="28"/>
        <v>0.78319054025348722</v>
      </c>
      <c r="F617" s="66">
        <f t="shared" ref="F617:AB617" si="291">SUM(F527:F540)</f>
        <v>4522</v>
      </c>
      <c r="G617" s="6">
        <f t="shared" si="291"/>
        <v>35</v>
      </c>
      <c r="H617" s="6">
        <f t="shared" si="291"/>
        <v>400</v>
      </c>
      <c r="I617" s="6">
        <f t="shared" si="291"/>
        <v>75</v>
      </c>
      <c r="J617" s="59">
        <f t="shared" si="291"/>
        <v>5697</v>
      </c>
      <c r="K617" s="6">
        <f t="shared" si="291"/>
        <v>0</v>
      </c>
      <c r="L617" s="6">
        <f t="shared" si="291"/>
        <v>0</v>
      </c>
      <c r="M617" s="6">
        <f t="shared" si="291"/>
        <v>6</v>
      </c>
      <c r="N617" s="6">
        <f t="shared" si="291"/>
        <v>0</v>
      </c>
      <c r="O617" s="6">
        <f t="shared" si="291"/>
        <v>1</v>
      </c>
      <c r="P617" s="6">
        <f t="shared" si="291"/>
        <v>0</v>
      </c>
      <c r="Q617" s="6">
        <f t="shared" si="291"/>
        <v>0</v>
      </c>
      <c r="R617" s="6">
        <f t="shared" si="291"/>
        <v>0</v>
      </c>
      <c r="S617" s="6">
        <f t="shared" si="291"/>
        <v>0</v>
      </c>
      <c r="T617" s="6">
        <f t="shared" si="291"/>
        <v>0</v>
      </c>
      <c r="U617" s="6">
        <f t="shared" si="291"/>
        <v>0</v>
      </c>
      <c r="V617" s="6">
        <f t="shared" si="291"/>
        <v>3</v>
      </c>
      <c r="W617" s="6">
        <f t="shared" si="291"/>
        <v>52</v>
      </c>
      <c r="X617" s="6">
        <f t="shared" si="291"/>
        <v>0</v>
      </c>
      <c r="Y617" s="6">
        <f t="shared" si="291"/>
        <v>0</v>
      </c>
      <c r="Z617" s="6">
        <f t="shared" si="291"/>
        <v>0</v>
      </c>
      <c r="AA617" s="6">
        <f t="shared" si="291"/>
        <v>0</v>
      </c>
      <c r="AB617" s="6">
        <f t="shared" si="291"/>
        <v>0</v>
      </c>
      <c r="AC617" s="6">
        <f t="shared" ref="AC617:BZ617" si="292">SUM(AC527:AC540)</f>
        <v>134</v>
      </c>
      <c r="AD617" s="6">
        <f t="shared" si="292"/>
        <v>161</v>
      </c>
      <c r="AE617" s="6">
        <f t="shared" si="292"/>
        <v>7129</v>
      </c>
      <c r="AF617" s="6">
        <f t="shared" si="292"/>
        <v>112</v>
      </c>
      <c r="AG617" s="6">
        <f t="shared" si="292"/>
        <v>0</v>
      </c>
      <c r="AH617" s="6">
        <f t="shared" si="292"/>
        <v>3158</v>
      </c>
      <c r="AI617" s="6">
        <f t="shared" si="292"/>
        <v>1984</v>
      </c>
      <c r="AJ617" s="6">
        <f t="shared" si="292"/>
        <v>1</v>
      </c>
      <c r="AK617" s="6">
        <f t="shared" si="292"/>
        <v>0</v>
      </c>
      <c r="AL617" s="6">
        <f t="shared" si="292"/>
        <v>1062</v>
      </c>
      <c r="AM617" s="6">
        <f t="shared" si="292"/>
        <v>166</v>
      </c>
      <c r="AN617" s="6">
        <f t="shared" si="292"/>
        <v>2355</v>
      </c>
      <c r="AO617" s="6">
        <f t="shared" si="292"/>
        <v>4879</v>
      </c>
      <c r="AP617" s="6">
        <f t="shared" si="292"/>
        <v>3745</v>
      </c>
      <c r="AQ617" s="6">
        <f t="shared" si="292"/>
        <v>6250</v>
      </c>
      <c r="AR617" s="6">
        <f t="shared" si="292"/>
        <v>0</v>
      </c>
      <c r="AS617" s="6">
        <f t="shared" si="292"/>
        <v>0</v>
      </c>
      <c r="AT617" s="6">
        <f t="shared" si="292"/>
        <v>6821</v>
      </c>
      <c r="AU617" s="6">
        <f t="shared" si="292"/>
        <v>3401</v>
      </c>
      <c r="AV617" s="6">
        <f t="shared" si="292"/>
        <v>0</v>
      </c>
      <c r="AW617" s="6">
        <f t="shared" si="292"/>
        <v>0</v>
      </c>
      <c r="AX617" s="6">
        <f t="shared" si="292"/>
        <v>0</v>
      </c>
      <c r="AY617" s="6">
        <f t="shared" si="292"/>
        <v>0</v>
      </c>
      <c r="AZ617" s="6">
        <f t="shared" si="292"/>
        <v>0</v>
      </c>
      <c r="BA617" s="6">
        <f t="shared" si="292"/>
        <v>0</v>
      </c>
      <c r="BB617" s="6">
        <f t="shared" si="292"/>
        <v>0</v>
      </c>
      <c r="BC617" s="6">
        <f t="shared" si="292"/>
        <v>8</v>
      </c>
      <c r="BD617" s="6">
        <f t="shared" si="292"/>
        <v>87</v>
      </c>
      <c r="BE617" s="6">
        <f t="shared" si="292"/>
        <v>5451</v>
      </c>
      <c r="BF617" s="6">
        <f t="shared" si="292"/>
        <v>4769</v>
      </c>
      <c r="BG617" s="6">
        <f t="shared" si="292"/>
        <v>6482</v>
      </c>
      <c r="BH617" s="6">
        <f t="shared" si="292"/>
        <v>3875</v>
      </c>
      <c r="BI617" s="6">
        <f t="shared" si="292"/>
        <v>6938</v>
      </c>
      <c r="BJ617" s="6">
        <f t="shared" si="292"/>
        <v>3279</v>
      </c>
      <c r="BK617" s="6">
        <f t="shared" si="292"/>
        <v>4245</v>
      </c>
      <c r="BL617" s="6">
        <f t="shared" si="292"/>
        <v>6006</v>
      </c>
      <c r="BM617" s="6">
        <f t="shared" si="292"/>
        <v>5195</v>
      </c>
      <c r="BN617" s="6">
        <f t="shared" si="292"/>
        <v>4957</v>
      </c>
      <c r="BO617" s="6">
        <f t="shared" si="292"/>
        <v>3708</v>
      </c>
      <c r="BP617" s="6">
        <f t="shared" si="292"/>
        <v>6342</v>
      </c>
      <c r="BQ617" s="6">
        <f t="shared" si="292"/>
        <v>6952</v>
      </c>
      <c r="BR617" s="6">
        <f t="shared" si="292"/>
        <v>3190</v>
      </c>
      <c r="BS617" s="6">
        <f t="shared" si="292"/>
        <v>7536</v>
      </c>
      <c r="BT617" s="6">
        <f t="shared" si="292"/>
        <v>4655</v>
      </c>
      <c r="BU617" s="6">
        <f t="shared" si="292"/>
        <v>5316</v>
      </c>
      <c r="BV617" s="6">
        <f t="shared" si="292"/>
        <v>7311</v>
      </c>
      <c r="BW617" s="6">
        <f t="shared" si="292"/>
        <v>5087</v>
      </c>
      <c r="BX617" s="6">
        <f t="shared" si="292"/>
        <v>3289</v>
      </c>
      <c r="BY617" s="6">
        <f t="shared" si="292"/>
        <v>5950</v>
      </c>
      <c r="BZ617" s="6">
        <f t="shared" si="292"/>
        <v>3111</v>
      </c>
      <c r="CA617" s="6">
        <f t="shared" ref="CA617:CP617" si="293">SUM(CA527:CA540)</f>
        <v>6669</v>
      </c>
      <c r="CB617" s="6">
        <f t="shared" si="293"/>
        <v>4778</v>
      </c>
      <c r="CC617" s="6">
        <f t="shared" si="293"/>
        <v>3316</v>
      </c>
      <c r="CD617" s="6">
        <f t="shared" si="293"/>
        <v>6351</v>
      </c>
      <c r="CE617" s="6">
        <f t="shared" si="293"/>
        <v>3345</v>
      </c>
      <c r="CF617" s="6">
        <f t="shared" si="293"/>
        <v>5095</v>
      </c>
      <c r="CG617" s="6">
        <f t="shared" si="293"/>
        <v>5282</v>
      </c>
      <c r="CH617" s="6">
        <f t="shared" si="293"/>
        <v>2679</v>
      </c>
      <c r="CI617" s="6">
        <f t="shared" si="293"/>
        <v>1993</v>
      </c>
      <c r="CJ617" s="6">
        <f t="shared" si="293"/>
        <v>6185</v>
      </c>
      <c r="CK617" s="6">
        <f t="shared" si="293"/>
        <v>5038</v>
      </c>
      <c r="CL617" s="6">
        <f t="shared" si="293"/>
        <v>3031</v>
      </c>
      <c r="CM617" s="6">
        <f t="shared" si="293"/>
        <v>6353</v>
      </c>
      <c r="CN617" s="6">
        <f t="shared" si="293"/>
        <v>6403</v>
      </c>
      <c r="CO617" s="6">
        <f t="shared" si="293"/>
        <v>2624</v>
      </c>
      <c r="CP617" s="6">
        <f t="shared" si="293"/>
        <v>5475</v>
      </c>
      <c r="CQ617" s="6">
        <f t="shared" ref="CQ617:EM617" si="294">SUM(CQ527:CQ540)</f>
        <v>0</v>
      </c>
      <c r="CR617" s="6">
        <f t="shared" si="294"/>
        <v>0</v>
      </c>
      <c r="CS617" s="6">
        <f t="shared" si="294"/>
        <v>0</v>
      </c>
      <c r="CT617" s="6">
        <f t="shared" si="294"/>
        <v>0</v>
      </c>
      <c r="CU617" s="6">
        <f t="shared" si="294"/>
        <v>0</v>
      </c>
      <c r="CV617" s="6">
        <f t="shared" si="294"/>
        <v>0</v>
      </c>
      <c r="CW617" s="6">
        <f t="shared" si="294"/>
        <v>0</v>
      </c>
      <c r="CX617" s="6">
        <f t="shared" si="294"/>
        <v>0</v>
      </c>
      <c r="CY617" s="6">
        <f t="shared" si="294"/>
        <v>0</v>
      </c>
      <c r="CZ617" s="6">
        <f t="shared" si="294"/>
        <v>0</v>
      </c>
      <c r="DA617" s="6">
        <f t="shared" si="294"/>
        <v>0</v>
      </c>
      <c r="DB617" s="6">
        <f t="shared" si="294"/>
        <v>0</v>
      </c>
      <c r="DC617" s="6">
        <f t="shared" si="294"/>
        <v>0</v>
      </c>
      <c r="DD617" s="6">
        <f t="shared" si="294"/>
        <v>0</v>
      </c>
      <c r="DE617" s="6">
        <f t="shared" si="294"/>
        <v>0</v>
      </c>
      <c r="DF617" s="6">
        <f t="shared" si="294"/>
        <v>0</v>
      </c>
      <c r="DG617" s="6">
        <f t="shared" si="294"/>
        <v>0</v>
      </c>
      <c r="DH617" s="6">
        <f t="shared" si="294"/>
        <v>0</v>
      </c>
      <c r="DI617" s="6">
        <f t="shared" si="294"/>
        <v>0</v>
      </c>
      <c r="DJ617" s="6">
        <f t="shared" si="294"/>
        <v>0</v>
      </c>
      <c r="DK617" s="6">
        <f t="shared" si="294"/>
        <v>0</v>
      </c>
      <c r="DL617" s="6">
        <f t="shared" si="294"/>
        <v>0</v>
      </c>
      <c r="DM617" s="6">
        <f t="shared" si="294"/>
        <v>0</v>
      </c>
      <c r="DN617" s="6">
        <f t="shared" si="294"/>
        <v>0</v>
      </c>
      <c r="DO617" s="6">
        <f t="shared" si="294"/>
        <v>0</v>
      </c>
      <c r="DP617" s="6">
        <f t="shared" si="294"/>
        <v>0</v>
      </c>
      <c r="DQ617" s="6">
        <f t="shared" si="294"/>
        <v>0</v>
      </c>
      <c r="DR617" s="6">
        <f t="shared" si="294"/>
        <v>0</v>
      </c>
      <c r="DS617" s="6">
        <f t="shared" si="294"/>
        <v>0</v>
      </c>
      <c r="DT617" s="6">
        <f t="shared" si="294"/>
        <v>0</v>
      </c>
      <c r="DU617" s="6">
        <f t="shared" si="294"/>
        <v>0</v>
      </c>
      <c r="DV617" s="6">
        <f t="shared" si="294"/>
        <v>0</v>
      </c>
      <c r="DW617" s="6">
        <f t="shared" si="294"/>
        <v>0</v>
      </c>
      <c r="DX617" s="6">
        <f t="shared" si="294"/>
        <v>0</v>
      </c>
      <c r="DY617" s="6">
        <f t="shared" si="294"/>
        <v>0</v>
      </c>
      <c r="DZ617" s="6">
        <f t="shared" si="294"/>
        <v>0</v>
      </c>
      <c r="EA617" s="6">
        <f t="shared" si="294"/>
        <v>0</v>
      </c>
      <c r="EB617" s="6">
        <f t="shared" si="294"/>
        <v>0</v>
      </c>
      <c r="EC617" s="6">
        <f t="shared" si="294"/>
        <v>0</v>
      </c>
      <c r="ED617" s="6">
        <f t="shared" si="294"/>
        <v>0</v>
      </c>
      <c r="EE617" s="6">
        <f t="shared" si="294"/>
        <v>0</v>
      </c>
      <c r="EF617" s="6">
        <f t="shared" si="294"/>
        <v>0</v>
      </c>
      <c r="EG617" s="6">
        <f t="shared" si="294"/>
        <v>0</v>
      </c>
      <c r="EH617" s="6">
        <f t="shared" si="294"/>
        <v>0</v>
      </c>
      <c r="EI617" s="6">
        <f t="shared" si="294"/>
        <v>0</v>
      </c>
      <c r="EJ617" s="6">
        <f t="shared" si="294"/>
        <v>0</v>
      </c>
      <c r="EK617" s="6">
        <f t="shared" si="294"/>
        <v>0</v>
      </c>
      <c r="EL617" s="6">
        <f t="shared" si="294"/>
        <v>0</v>
      </c>
      <c r="EM617" s="6">
        <f t="shared" si="294"/>
        <v>0</v>
      </c>
      <c r="EN617" s="6">
        <f t="shared" ref="EN617:GR617" si="295">SUM(EN527:EN540)</f>
        <v>0</v>
      </c>
      <c r="EO617" s="6">
        <f t="shared" si="295"/>
        <v>0</v>
      </c>
      <c r="EP617" s="6">
        <f t="shared" si="295"/>
        <v>0</v>
      </c>
      <c r="EQ617" s="6">
        <f t="shared" si="295"/>
        <v>0</v>
      </c>
      <c r="ER617" s="6">
        <f t="shared" si="295"/>
        <v>0</v>
      </c>
      <c r="ES617" s="6">
        <f t="shared" si="295"/>
        <v>0</v>
      </c>
      <c r="ET617" s="6">
        <f t="shared" si="295"/>
        <v>0</v>
      </c>
      <c r="EU617" s="6">
        <f t="shared" si="295"/>
        <v>0</v>
      </c>
      <c r="EV617" s="6">
        <f t="shared" si="295"/>
        <v>0</v>
      </c>
      <c r="EW617" s="6">
        <f t="shared" si="295"/>
        <v>0</v>
      </c>
      <c r="EX617" s="6">
        <f t="shared" si="295"/>
        <v>0</v>
      </c>
      <c r="EY617" s="6">
        <f t="shared" si="295"/>
        <v>0</v>
      </c>
      <c r="EZ617" s="6">
        <f t="shared" si="295"/>
        <v>0</v>
      </c>
      <c r="FA617" s="6">
        <f t="shared" si="295"/>
        <v>0</v>
      </c>
      <c r="FB617" s="6">
        <f t="shared" si="295"/>
        <v>0</v>
      </c>
      <c r="FC617" s="6">
        <f t="shared" si="295"/>
        <v>0</v>
      </c>
      <c r="FD617" s="6">
        <f t="shared" si="295"/>
        <v>0</v>
      </c>
      <c r="FE617" s="6">
        <f t="shared" si="295"/>
        <v>0</v>
      </c>
      <c r="FF617" s="6">
        <f t="shared" si="295"/>
        <v>0</v>
      </c>
      <c r="FG617" s="6">
        <f t="shared" si="295"/>
        <v>0</v>
      </c>
      <c r="FH617" s="6">
        <f t="shared" si="295"/>
        <v>0</v>
      </c>
      <c r="FI617" s="6">
        <f t="shared" si="295"/>
        <v>0</v>
      </c>
      <c r="FJ617" s="6">
        <f t="shared" si="295"/>
        <v>0</v>
      </c>
      <c r="FK617" s="6">
        <f t="shared" si="295"/>
        <v>0</v>
      </c>
      <c r="FL617" s="6">
        <f t="shared" si="295"/>
        <v>0</v>
      </c>
      <c r="FM617" s="6">
        <f t="shared" si="295"/>
        <v>0</v>
      </c>
      <c r="FN617" s="6">
        <f t="shared" si="295"/>
        <v>0</v>
      </c>
      <c r="FO617" s="6">
        <f t="shared" si="295"/>
        <v>0</v>
      </c>
      <c r="FP617" s="6">
        <f t="shared" si="295"/>
        <v>0</v>
      </c>
      <c r="FQ617" s="6">
        <f t="shared" si="295"/>
        <v>0</v>
      </c>
      <c r="FR617" s="6">
        <f t="shared" si="295"/>
        <v>0</v>
      </c>
      <c r="FS617" s="6">
        <f t="shared" si="295"/>
        <v>0</v>
      </c>
      <c r="FT617" s="6">
        <f t="shared" si="295"/>
        <v>0</v>
      </c>
      <c r="FU617" s="6">
        <f t="shared" si="295"/>
        <v>0</v>
      </c>
      <c r="FV617" s="6">
        <f t="shared" si="295"/>
        <v>0</v>
      </c>
      <c r="FW617" s="6">
        <f t="shared" si="295"/>
        <v>0</v>
      </c>
      <c r="FX617" s="6">
        <f t="shared" si="295"/>
        <v>0</v>
      </c>
      <c r="FY617" s="6">
        <f t="shared" si="295"/>
        <v>188</v>
      </c>
      <c r="FZ617" s="6">
        <f t="shared" si="295"/>
        <v>175</v>
      </c>
      <c r="GA617" s="6">
        <f t="shared" si="295"/>
        <v>1923</v>
      </c>
      <c r="GB617" s="6">
        <f t="shared" si="295"/>
        <v>1172</v>
      </c>
      <c r="GC617" s="6">
        <f t="shared" si="295"/>
        <v>0</v>
      </c>
      <c r="GD617" s="6">
        <f t="shared" si="295"/>
        <v>0</v>
      </c>
      <c r="GE617" s="6">
        <f t="shared" si="295"/>
        <v>0</v>
      </c>
      <c r="GF617" s="6">
        <f t="shared" si="295"/>
        <v>0</v>
      </c>
      <c r="GG617" s="6">
        <f t="shared" si="295"/>
        <v>0</v>
      </c>
      <c r="GH617" s="6">
        <f t="shared" si="295"/>
        <v>0</v>
      </c>
      <c r="GI617" s="6">
        <f t="shared" si="295"/>
        <v>676</v>
      </c>
      <c r="GJ617" s="6">
        <f t="shared" si="295"/>
        <v>384</v>
      </c>
      <c r="GK617" s="6">
        <f t="shared" si="295"/>
        <v>0</v>
      </c>
      <c r="GL617" s="6">
        <f t="shared" si="295"/>
        <v>0</v>
      </c>
      <c r="GM617" s="6">
        <f t="shared" si="295"/>
        <v>0</v>
      </c>
      <c r="GN617" s="6">
        <f t="shared" si="295"/>
        <v>0</v>
      </c>
      <c r="GO617" s="6">
        <f t="shared" si="295"/>
        <v>7534</v>
      </c>
      <c r="GP617" s="6">
        <f t="shared" si="295"/>
        <v>2935</v>
      </c>
      <c r="GQ617" s="6">
        <f t="shared" si="295"/>
        <v>7570</v>
      </c>
      <c r="GR617" s="6">
        <f t="shared" si="295"/>
        <v>2831</v>
      </c>
    </row>
    <row r="618" spans="1:200">
      <c r="A618" s="6"/>
      <c r="B618" s="16" t="s">
        <v>79</v>
      </c>
      <c r="C618" s="14">
        <f>SUM(C541:C552)</f>
        <v>10916</v>
      </c>
      <c r="D618" s="14">
        <f>SUM(D541:D552)</f>
        <v>8542</v>
      </c>
      <c r="E618" s="15">
        <f t="shared" si="28"/>
        <v>0.78252106998900695</v>
      </c>
      <c r="F618" s="66">
        <f t="shared" ref="F618:AB618" si="296">SUM(F541:F552)</f>
        <v>3537</v>
      </c>
      <c r="G618" s="6">
        <f t="shared" si="296"/>
        <v>19</v>
      </c>
      <c r="H618" s="6">
        <f t="shared" si="296"/>
        <v>318</v>
      </c>
      <c r="I618" s="6">
        <f t="shared" si="296"/>
        <v>61</v>
      </c>
      <c r="J618" s="59">
        <f t="shared" si="296"/>
        <v>4343</v>
      </c>
      <c r="K618" s="6">
        <f t="shared" si="296"/>
        <v>0</v>
      </c>
      <c r="L618" s="6">
        <f t="shared" si="296"/>
        <v>0</v>
      </c>
      <c r="M618" s="6">
        <f t="shared" si="296"/>
        <v>0</v>
      </c>
      <c r="N618" s="6">
        <f t="shared" si="296"/>
        <v>0</v>
      </c>
      <c r="O618" s="6">
        <f t="shared" si="296"/>
        <v>0</v>
      </c>
      <c r="P618" s="6">
        <f t="shared" si="296"/>
        <v>0</v>
      </c>
      <c r="Q618" s="6">
        <f t="shared" si="296"/>
        <v>0</v>
      </c>
      <c r="R618" s="6">
        <f t="shared" si="296"/>
        <v>0</v>
      </c>
      <c r="S618" s="6">
        <f t="shared" si="296"/>
        <v>0</v>
      </c>
      <c r="T618" s="6">
        <f t="shared" si="296"/>
        <v>0</v>
      </c>
      <c r="U618" s="6">
        <f t="shared" si="296"/>
        <v>0</v>
      </c>
      <c r="V618" s="6">
        <f t="shared" si="296"/>
        <v>2</v>
      </c>
      <c r="W618" s="6">
        <f t="shared" si="296"/>
        <v>45</v>
      </c>
      <c r="X618" s="6">
        <f t="shared" si="296"/>
        <v>0</v>
      </c>
      <c r="Y618" s="6">
        <f t="shared" si="296"/>
        <v>0</v>
      </c>
      <c r="Z618" s="6">
        <f t="shared" si="296"/>
        <v>0</v>
      </c>
      <c r="AA618" s="6">
        <f t="shared" si="296"/>
        <v>0</v>
      </c>
      <c r="AB618" s="6">
        <f t="shared" si="296"/>
        <v>0</v>
      </c>
      <c r="AC618" s="6">
        <f t="shared" ref="AC618:BZ618" si="297">SUM(AC541:AC552)</f>
        <v>79</v>
      </c>
      <c r="AD618" s="6">
        <f t="shared" si="297"/>
        <v>92</v>
      </c>
      <c r="AE618" s="6">
        <f t="shared" si="297"/>
        <v>5646</v>
      </c>
      <c r="AF618" s="6">
        <f t="shared" si="297"/>
        <v>69</v>
      </c>
      <c r="AG618" s="6">
        <f t="shared" si="297"/>
        <v>0</v>
      </c>
      <c r="AH618" s="6">
        <f t="shared" si="297"/>
        <v>2415</v>
      </c>
      <c r="AI618" s="6">
        <f t="shared" si="297"/>
        <v>5270</v>
      </c>
      <c r="AJ618" s="6">
        <f t="shared" si="297"/>
        <v>0</v>
      </c>
      <c r="AK618" s="6">
        <f t="shared" si="297"/>
        <v>0</v>
      </c>
      <c r="AL618" s="6">
        <f t="shared" si="297"/>
        <v>2943</v>
      </c>
      <c r="AM618" s="6">
        <f t="shared" si="297"/>
        <v>0</v>
      </c>
      <c r="AN618" s="6">
        <f t="shared" si="297"/>
        <v>0</v>
      </c>
      <c r="AO618" s="6">
        <f t="shared" si="297"/>
        <v>0</v>
      </c>
      <c r="AP618" s="6">
        <f t="shared" si="297"/>
        <v>0</v>
      </c>
      <c r="AQ618" s="6">
        <f t="shared" si="297"/>
        <v>0</v>
      </c>
      <c r="AR618" s="6">
        <f t="shared" si="297"/>
        <v>5224</v>
      </c>
      <c r="AS618" s="6">
        <f t="shared" si="297"/>
        <v>2728</v>
      </c>
      <c r="AT618" s="6">
        <f t="shared" si="297"/>
        <v>0</v>
      </c>
      <c r="AU618" s="6">
        <f t="shared" si="297"/>
        <v>0</v>
      </c>
      <c r="AV618" s="6">
        <f t="shared" si="297"/>
        <v>0</v>
      </c>
      <c r="AW618" s="6">
        <f t="shared" si="297"/>
        <v>0</v>
      </c>
      <c r="AX618" s="6">
        <f t="shared" si="297"/>
        <v>0</v>
      </c>
      <c r="AY618" s="6">
        <f t="shared" si="297"/>
        <v>0</v>
      </c>
      <c r="AZ618" s="6">
        <f t="shared" si="297"/>
        <v>0</v>
      </c>
      <c r="BA618" s="6">
        <f t="shared" si="297"/>
        <v>0</v>
      </c>
      <c r="BB618" s="6">
        <f t="shared" si="297"/>
        <v>0</v>
      </c>
      <c r="BC618" s="6">
        <f t="shared" si="297"/>
        <v>0</v>
      </c>
      <c r="BD618" s="6">
        <f t="shared" si="297"/>
        <v>0</v>
      </c>
      <c r="BE618" s="6">
        <f t="shared" si="297"/>
        <v>4463</v>
      </c>
      <c r="BF618" s="6">
        <f t="shared" si="297"/>
        <v>3495</v>
      </c>
      <c r="BG618" s="6">
        <f t="shared" si="297"/>
        <v>5041</v>
      </c>
      <c r="BH618" s="6">
        <f t="shared" si="297"/>
        <v>2954</v>
      </c>
      <c r="BI618" s="6">
        <f t="shared" si="297"/>
        <v>5462</v>
      </c>
      <c r="BJ618" s="6">
        <f t="shared" si="297"/>
        <v>2510</v>
      </c>
      <c r="BK618" s="6">
        <f t="shared" si="297"/>
        <v>3288</v>
      </c>
      <c r="BL618" s="6">
        <f t="shared" si="297"/>
        <v>4628</v>
      </c>
      <c r="BM618" s="6">
        <f t="shared" si="297"/>
        <v>4303</v>
      </c>
      <c r="BN618" s="6">
        <f t="shared" si="297"/>
        <v>3556</v>
      </c>
      <c r="BO618" s="6">
        <f t="shared" si="297"/>
        <v>2746</v>
      </c>
      <c r="BP618" s="6">
        <f t="shared" si="297"/>
        <v>4995</v>
      </c>
      <c r="BQ618" s="6">
        <f t="shared" si="297"/>
        <v>5412</v>
      </c>
      <c r="BR618" s="6">
        <f t="shared" si="297"/>
        <v>2392</v>
      </c>
      <c r="BS618" s="6">
        <f t="shared" si="297"/>
        <v>5856</v>
      </c>
      <c r="BT618" s="6">
        <f t="shared" si="297"/>
        <v>3957</v>
      </c>
      <c r="BU618" s="6">
        <f t="shared" si="297"/>
        <v>3795</v>
      </c>
      <c r="BV618" s="6">
        <f t="shared" si="297"/>
        <v>5693</v>
      </c>
      <c r="BW618" s="6">
        <f t="shared" si="297"/>
        <v>4078</v>
      </c>
      <c r="BX618" s="6">
        <f t="shared" si="297"/>
        <v>2387</v>
      </c>
      <c r="BY618" s="6">
        <f t="shared" si="297"/>
        <v>4442</v>
      </c>
      <c r="BZ618" s="6">
        <f t="shared" si="297"/>
        <v>2517</v>
      </c>
      <c r="CA618" s="6">
        <f t="shared" ref="CA618:CP618" si="298">SUM(CA541:CA552)</f>
        <v>5222</v>
      </c>
      <c r="CB618" s="6">
        <f t="shared" si="298"/>
        <v>3830</v>
      </c>
      <c r="CC618" s="6">
        <f t="shared" si="298"/>
        <v>2496</v>
      </c>
      <c r="CD618" s="6">
        <f t="shared" si="298"/>
        <v>4724</v>
      </c>
      <c r="CE618" s="6">
        <f t="shared" si="298"/>
        <v>2571</v>
      </c>
      <c r="CF618" s="6">
        <f t="shared" si="298"/>
        <v>3854</v>
      </c>
      <c r="CG618" s="6">
        <f t="shared" si="298"/>
        <v>3973</v>
      </c>
      <c r="CH618" s="6">
        <f t="shared" si="298"/>
        <v>2114</v>
      </c>
      <c r="CI618" s="6">
        <f t="shared" si="298"/>
        <v>1536</v>
      </c>
      <c r="CJ618" s="6">
        <f t="shared" si="298"/>
        <v>4731</v>
      </c>
      <c r="CK618" s="6">
        <f t="shared" si="298"/>
        <v>3939</v>
      </c>
      <c r="CL618" s="6">
        <f t="shared" si="298"/>
        <v>2241</v>
      </c>
      <c r="CM618" s="6">
        <f t="shared" si="298"/>
        <v>4963</v>
      </c>
      <c r="CN618" s="6">
        <f t="shared" si="298"/>
        <v>4989</v>
      </c>
      <c r="CO618" s="6">
        <f t="shared" si="298"/>
        <v>1972</v>
      </c>
      <c r="CP618" s="6">
        <f t="shared" si="298"/>
        <v>4283</v>
      </c>
      <c r="CQ618" s="6">
        <f t="shared" ref="CQ618:EM618" si="299">SUM(CQ541:CQ552)</f>
        <v>0</v>
      </c>
      <c r="CR618" s="6">
        <f t="shared" si="299"/>
        <v>0</v>
      </c>
      <c r="CS618" s="6">
        <f t="shared" si="299"/>
        <v>0</v>
      </c>
      <c r="CT618" s="6">
        <f t="shared" si="299"/>
        <v>0</v>
      </c>
      <c r="CU618" s="6">
        <f t="shared" si="299"/>
        <v>0</v>
      </c>
      <c r="CV618" s="6">
        <f t="shared" si="299"/>
        <v>0</v>
      </c>
      <c r="CW618" s="6">
        <f t="shared" si="299"/>
        <v>0</v>
      </c>
      <c r="CX618" s="6">
        <f t="shared" si="299"/>
        <v>0</v>
      </c>
      <c r="CY618" s="6">
        <f t="shared" si="299"/>
        <v>0</v>
      </c>
      <c r="CZ618" s="6">
        <f t="shared" si="299"/>
        <v>0</v>
      </c>
      <c r="DA618" s="6">
        <f t="shared" si="299"/>
        <v>0</v>
      </c>
      <c r="DB618" s="6">
        <f t="shared" si="299"/>
        <v>0</v>
      </c>
      <c r="DC618" s="6">
        <f t="shared" si="299"/>
        <v>0</v>
      </c>
      <c r="DD618" s="6">
        <f t="shared" si="299"/>
        <v>0</v>
      </c>
      <c r="DE618" s="6">
        <f t="shared" si="299"/>
        <v>0</v>
      </c>
      <c r="DF618" s="6">
        <f t="shared" si="299"/>
        <v>0</v>
      </c>
      <c r="DG618" s="6">
        <f t="shared" si="299"/>
        <v>0</v>
      </c>
      <c r="DH618" s="6">
        <f t="shared" si="299"/>
        <v>0</v>
      </c>
      <c r="DI618" s="6">
        <f t="shared" si="299"/>
        <v>0</v>
      </c>
      <c r="DJ618" s="6">
        <f t="shared" si="299"/>
        <v>0</v>
      </c>
      <c r="DK618" s="6">
        <f t="shared" si="299"/>
        <v>0</v>
      </c>
      <c r="DL618" s="6">
        <f t="shared" si="299"/>
        <v>0</v>
      </c>
      <c r="DM618" s="6">
        <f t="shared" si="299"/>
        <v>0</v>
      </c>
      <c r="DN618" s="6">
        <f t="shared" si="299"/>
        <v>0</v>
      </c>
      <c r="DO618" s="6">
        <f t="shared" si="299"/>
        <v>0</v>
      </c>
      <c r="DP618" s="6">
        <f t="shared" si="299"/>
        <v>0</v>
      </c>
      <c r="DQ618" s="6">
        <f t="shared" si="299"/>
        <v>0</v>
      </c>
      <c r="DR618" s="6">
        <f t="shared" si="299"/>
        <v>0</v>
      </c>
      <c r="DS618" s="6">
        <f t="shared" si="299"/>
        <v>0</v>
      </c>
      <c r="DT618" s="6">
        <f t="shared" si="299"/>
        <v>0</v>
      </c>
      <c r="DU618" s="6">
        <f t="shared" si="299"/>
        <v>0</v>
      </c>
      <c r="DV618" s="6">
        <f t="shared" si="299"/>
        <v>0</v>
      </c>
      <c r="DW618" s="6">
        <f t="shared" si="299"/>
        <v>0</v>
      </c>
      <c r="DX618" s="6">
        <f t="shared" si="299"/>
        <v>0</v>
      </c>
      <c r="DY618" s="6">
        <f t="shared" si="299"/>
        <v>0</v>
      </c>
      <c r="DZ618" s="6">
        <f t="shared" si="299"/>
        <v>0</v>
      </c>
      <c r="EA618" s="6">
        <f t="shared" si="299"/>
        <v>0</v>
      </c>
      <c r="EB618" s="6">
        <f t="shared" si="299"/>
        <v>0</v>
      </c>
      <c r="EC618" s="6">
        <f t="shared" si="299"/>
        <v>0</v>
      </c>
      <c r="ED618" s="6">
        <f t="shared" si="299"/>
        <v>0</v>
      </c>
      <c r="EE618" s="6">
        <f t="shared" si="299"/>
        <v>0</v>
      </c>
      <c r="EF618" s="6">
        <f t="shared" si="299"/>
        <v>0</v>
      </c>
      <c r="EG618" s="6">
        <f t="shared" si="299"/>
        <v>0</v>
      </c>
      <c r="EH618" s="6">
        <f t="shared" si="299"/>
        <v>0</v>
      </c>
      <c r="EI618" s="6">
        <f t="shared" si="299"/>
        <v>0</v>
      </c>
      <c r="EJ618" s="6">
        <f t="shared" si="299"/>
        <v>0</v>
      </c>
      <c r="EK618" s="6">
        <f t="shared" si="299"/>
        <v>0</v>
      </c>
      <c r="EL618" s="6">
        <f t="shared" si="299"/>
        <v>0</v>
      </c>
      <c r="EM618" s="6">
        <f t="shared" si="299"/>
        <v>0</v>
      </c>
      <c r="EN618" s="6">
        <f t="shared" ref="EN618:GR618" si="300">SUM(EN541:EN552)</f>
        <v>0</v>
      </c>
      <c r="EO618" s="6">
        <f t="shared" si="300"/>
        <v>0</v>
      </c>
      <c r="EP618" s="6">
        <f t="shared" si="300"/>
        <v>0</v>
      </c>
      <c r="EQ618" s="6">
        <f t="shared" si="300"/>
        <v>0</v>
      </c>
      <c r="ER618" s="6">
        <f t="shared" si="300"/>
        <v>0</v>
      </c>
      <c r="ES618" s="6">
        <f t="shared" si="300"/>
        <v>0</v>
      </c>
      <c r="ET618" s="6">
        <f t="shared" si="300"/>
        <v>0</v>
      </c>
      <c r="EU618" s="6">
        <f t="shared" si="300"/>
        <v>0</v>
      </c>
      <c r="EV618" s="6">
        <f t="shared" si="300"/>
        <v>0</v>
      </c>
      <c r="EW618" s="6">
        <f t="shared" si="300"/>
        <v>0</v>
      </c>
      <c r="EX618" s="6">
        <f t="shared" si="300"/>
        <v>0</v>
      </c>
      <c r="EY618" s="6">
        <f t="shared" si="300"/>
        <v>0</v>
      </c>
      <c r="EZ618" s="6">
        <f t="shared" si="300"/>
        <v>0</v>
      </c>
      <c r="FA618" s="6">
        <f t="shared" si="300"/>
        <v>0</v>
      </c>
      <c r="FB618" s="6">
        <f t="shared" si="300"/>
        <v>0</v>
      </c>
      <c r="FC618" s="6">
        <f t="shared" si="300"/>
        <v>0</v>
      </c>
      <c r="FD618" s="6">
        <f t="shared" si="300"/>
        <v>0</v>
      </c>
      <c r="FE618" s="6">
        <f t="shared" si="300"/>
        <v>0</v>
      </c>
      <c r="FF618" s="6">
        <f t="shared" si="300"/>
        <v>0</v>
      </c>
      <c r="FG618" s="6">
        <f t="shared" si="300"/>
        <v>0</v>
      </c>
      <c r="FH618" s="6">
        <f t="shared" si="300"/>
        <v>0</v>
      </c>
      <c r="FI618" s="6">
        <f t="shared" si="300"/>
        <v>0</v>
      </c>
      <c r="FJ618" s="6">
        <f t="shared" si="300"/>
        <v>0</v>
      </c>
      <c r="FK618" s="6">
        <f t="shared" si="300"/>
        <v>0</v>
      </c>
      <c r="FL618" s="6">
        <f t="shared" si="300"/>
        <v>0</v>
      </c>
      <c r="FM618" s="6">
        <f t="shared" si="300"/>
        <v>0</v>
      </c>
      <c r="FN618" s="6">
        <f t="shared" si="300"/>
        <v>0</v>
      </c>
      <c r="FO618" s="6">
        <f t="shared" si="300"/>
        <v>0</v>
      </c>
      <c r="FP618" s="6">
        <f t="shared" si="300"/>
        <v>0</v>
      </c>
      <c r="FQ618" s="6">
        <f t="shared" si="300"/>
        <v>0</v>
      </c>
      <c r="FR618" s="6">
        <f t="shared" si="300"/>
        <v>0</v>
      </c>
      <c r="FS618" s="6">
        <f t="shared" si="300"/>
        <v>0</v>
      </c>
      <c r="FT618" s="6">
        <f t="shared" si="300"/>
        <v>0</v>
      </c>
      <c r="FU618" s="6">
        <f t="shared" si="300"/>
        <v>0</v>
      </c>
      <c r="FV618" s="6">
        <f t="shared" si="300"/>
        <v>0</v>
      </c>
      <c r="FW618" s="6">
        <f t="shared" si="300"/>
        <v>0</v>
      </c>
      <c r="FX618" s="6">
        <f t="shared" si="300"/>
        <v>0</v>
      </c>
      <c r="FY618" s="6">
        <f t="shared" si="300"/>
        <v>0</v>
      </c>
      <c r="FZ618" s="6">
        <f t="shared" si="300"/>
        <v>0</v>
      </c>
      <c r="GA618" s="6">
        <f t="shared" si="300"/>
        <v>0</v>
      </c>
      <c r="GB618" s="6">
        <f t="shared" si="300"/>
        <v>0</v>
      </c>
      <c r="GC618" s="6">
        <f t="shared" si="300"/>
        <v>0</v>
      </c>
      <c r="GD618" s="6">
        <f t="shared" si="300"/>
        <v>0</v>
      </c>
      <c r="GE618" s="6">
        <f t="shared" si="300"/>
        <v>0</v>
      </c>
      <c r="GF618" s="6">
        <f t="shared" si="300"/>
        <v>0</v>
      </c>
      <c r="GG618" s="6">
        <f t="shared" si="300"/>
        <v>0</v>
      </c>
      <c r="GH618" s="6">
        <f t="shared" si="300"/>
        <v>0</v>
      </c>
      <c r="GI618" s="6">
        <f t="shared" si="300"/>
        <v>2594</v>
      </c>
      <c r="GJ618" s="6">
        <f t="shared" si="300"/>
        <v>1475</v>
      </c>
      <c r="GK618" s="6">
        <f t="shared" si="300"/>
        <v>0</v>
      </c>
      <c r="GL618" s="6">
        <f t="shared" si="300"/>
        <v>0</v>
      </c>
      <c r="GM618" s="6">
        <f t="shared" si="300"/>
        <v>0</v>
      </c>
      <c r="GN618" s="6">
        <f t="shared" si="300"/>
        <v>0</v>
      </c>
      <c r="GO618" s="6">
        <f t="shared" si="300"/>
        <v>5843</v>
      </c>
      <c r="GP618" s="6">
        <f t="shared" si="300"/>
        <v>2321</v>
      </c>
      <c r="GQ618" s="6">
        <f t="shared" si="300"/>
        <v>5866</v>
      </c>
      <c r="GR618" s="6">
        <f t="shared" si="300"/>
        <v>2257</v>
      </c>
    </row>
    <row r="619" spans="1:200">
      <c r="A619" s="6"/>
      <c r="B619" s="16" t="s">
        <v>80</v>
      </c>
      <c r="C619" s="14">
        <f>SUM(C555:C557)</f>
        <v>3354</v>
      </c>
      <c r="D619" s="14">
        <f>SUM(D555:D557)</f>
        <v>2373</v>
      </c>
      <c r="E619" s="15">
        <f t="shared" si="28"/>
        <v>0.70751341681574242</v>
      </c>
      <c r="F619" s="66">
        <f t="shared" ref="F619:AB619" si="301">SUM(F555:F557)</f>
        <v>441</v>
      </c>
      <c r="G619" s="6">
        <f t="shared" si="301"/>
        <v>9</v>
      </c>
      <c r="H619" s="6">
        <f t="shared" si="301"/>
        <v>65</v>
      </c>
      <c r="I619" s="6">
        <f t="shared" si="301"/>
        <v>20</v>
      </c>
      <c r="J619" s="59">
        <f t="shared" si="301"/>
        <v>1799</v>
      </c>
      <c r="K619" s="6">
        <f t="shared" si="301"/>
        <v>0</v>
      </c>
      <c r="L619" s="6">
        <f t="shared" si="301"/>
        <v>0</v>
      </c>
      <c r="M619" s="6">
        <f t="shared" si="301"/>
        <v>0</v>
      </c>
      <c r="N619" s="6">
        <f t="shared" si="301"/>
        <v>0</v>
      </c>
      <c r="O619" s="6">
        <f t="shared" si="301"/>
        <v>0</v>
      </c>
      <c r="P619" s="6">
        <f t="shared" si="301"/>
        <v>0</v>
      </c>
      <c r="Q619" s="6">
        <f t="shared" si="301"/>
        <v>0</v>
      </c>
      <c r="R619" s="6">
        <f t="shared" si="301"/>
        <v>0</v>
      </c>
      <c r="S619" s="6">
        <f t="shared" si="301"/>
        <v>0</v>
      </c>
      <c r="T619" s="6">
        <f t="shared" si="301"/>
        <v>0</v>
      </c>
      <c r="U619" s="6">
        <f t="shared" si="301"/>
        <v>0</v>
      </c>
      <c r="V619" s="6">
        <f t="shared" si="301"/>
        <v>0</v>
      </c>
      <c r="W619" s="6">
        <f t="shared" si="301"/>
        <v>9</v>
      </c>
      <c r="X619" s="6">
        <f t="shared" si="301"/>
        <v>0</v>
      </c>
      <c r="Y619" s="6">
        <f t="shared" si="301"/>
        <v>0</v>
      </c>
      <c r="Z619" s="6">
        <f t="shared" si="301"/>
        <v>0</v>
      </c>
      <c r="AA619" s="6">
        <f t="shared" si="301"/>
        <v>0</v>
      </c>
      <c r="AB619" s="6">
        <f t="shared" si="301"/>
        <v>0</v>
      </c>
      <c r="AC619" s="6">
        <f t="shared" ref="AC619:BZ619" si="302">SUM(AC555:AC557)</f>
        <v>32</v>
      </c>
      <c r="AD619" s="6">
        <f t="shared" si="302"/>
        <v>37</v>
      </c>
      <c r="AE619" s="6">
        <f t="shared" si="302"/>
        <v>1840</v>
      </c>
      <c r="AF619" s="6">
        <f t="shared" si="302"/>
        <v>32</v>
      </c>
      <c r="AG619" s="6">
        <f t="shared" si="302"/>
        <v>0</v>
      </c>
      <c r="AH619" s="6">
        <f t="shared" si="302"/>
        <v>342</v>
      </c>
      <c r="AI619" s="6">
        <f t="shared" si="302"/>
        <v>1830</v>
      </c>
      <c r="AJ619" s="6">
        <f t="shared" si="302"/>
        <v>0</v>
      </c>
      <c r="AK619" s="6">
        <f t="shared" si="302"/>
        <v>0</v>
      </c>
      <c r="AL619" s="6">
        <f t="shared" si="302"/>
        <v>454</v>
      </c>
      <c r="AM619" s="6">
        <f t="shared" si="302"/>
        <v>0</v>
      </c>
      <c r="AN619" s="6">
        <f t="shared" si="302"/>
        <v>0</v>
      </c>
      <c r="AO619" s="6">
        <f t="shared" si="302"/>
        <v>0</v>
      </c>
      <c r="AP619" s="6">
        <f t="shared" si="302"/>
        <v>490</v>
      </c>
      <c r="AQ619" s="6">
        <f t="shared" si="302"/>
        <v>1658</v>
      </c>
      <c r="AR619" s="6">
        <f t="shared" si="302"/>
        <v>0</v>
      </c>
      <c r="AS619" s="6">
        <f t="shared" si="302"/>
        <v>0</v>
      </c>
      <c r="AT619" s="6">
        <f t="shared" si="302"/>
        <v>0</v>
      </c>
      <c r="AU619" s="6">
        <f t="shared" si="302"/>
        <v>0</v>
      </c>
      <c r="AV619" s="6">
        <f t="shared" si="302"/>
        <v>1715</v>
      </c>
      <c r="AW619" s="6">
        <f t="shared" si="302"/>
        <v>0</v>
      </c>
      <c r="AX619" s="6">
        <f t="shared" si="302"/>
        <v>0</v>
      </c>
      <c r="AY619" s="6">
        <f t="shared" si="302"/>
        <v>0</v>
      </c>
      <c r="AZ619" s="6">
        <f t="shared" si="302"/>
        <v>0</v>
      </c>
      <c r="BA619" s="6">
        <f t="shared" si="302"/>
        <v>0</v>
      </c>
      <c r="BB619" s="6">
        <f t="shared" si="302"/>
        <v>0</v>
      </c>
      <c r="BC619" s="6">
        <f t="shared" si="302"/>
        <v>0</v>
      </c>
      <c r="BD619" s="6">
        <f t="shared" si="302"/>
        <v>0</v>
      </c>
      <c r="BE619" s="6">
        <f t="shared" si="302"/>
        <v>1420</v>
      </c>
      <c r="BF619" s="6">
        <f t="shared" si="302"/>
        <v>753</v>
      </c>
      <c r="BG619" s="6">
        <f t="shared" si="302"/>
        <v>1737</v>
      </c>
      <c r="BH619" s="6">
        <f t="shared" si="302"/>
        <v>476</v>
      </c>
      <c r="BI619" s="6">
        <f t="shared" si="302"/>
        <v>1763</v>
      </c>
      <c r="BJ619" s="6">
        <f t="shared" si="302"/>
        <v>448</v>
      </c>
      <c r="BK619" s="6">
        <f t="shared" si="302"/>
        <v>575</v>
      </c>
      <c r="BL619" s="6">
        <f t="shared" si="302"/>
        <v>1622</v>
      </c>
      <c r="BM619" s="6">
        <f t="shared" si="302"/>
        <v>1201</v>
      </c>
      <c r="BN619" s="6">
        <f t="shared" si="302"/>
        <v>1027</v>
      </c>
      <c r="BO619" s="6">
        <f t="shared" si="302"/>
        <v>451</v>
      </c>
      <c r="BP619" s="6">
        <f t="shared" si="302"/>
        <v>1696</v>
      </c>
      <c r="BQ619" s="6">
        <f t="shared" si="302"/>
        <v>1829</v>
      </c>
      <c r="BR619" s="6">
        <f t="shared" si="302"/>
        <v>360</v>
      </c>
      <c r="BS619" s="6">
        <f t="shared" si="302"/>
        <v>1781</v>
      </c>
      <c r="BT619" s="6">
        <f t="shared" si="302"/>
        <v>1382</v>
      </c>
      <c r="BU619" s="6">
        <f t="shared" si="302"/>
        <v>732</v>
      </c>
      <c r="BV619" s="6">
        <f t="shared" si="302"/>
        <v>1564</v>
      </c>
      <c r="BW619" s="6">
        <f t="shared" si="302"/>
        <v>1085</v>
      </c>
      <c r="BX619" s="6">
        <f t="shared" si="302"/>
        <v>663</v>
      </c>
      <c r="BY619" s="6">
        <f t="shared" si="302"/>
        <v>1505</v>
      </c>
      <c r="BZ619" s="6">
        <f t="shared" si="302"/>
        <v>411</v>
      </c>
      <c r="CA619" s="6">
        <f t="shared" ref="CA619:CP619" si="303">SUM(CA555:CA557)</f>
        <v>1440</v>
      </c>
      <c r="CB619" s="6">
        <f t="shared" si="303"/>
        <v>1134</v>
      </c>
      <c r="CC619" s="6">
        <f t="shared" si="303"/>
        <v>539</v>
      </c>
      <c r="CD619" s="6">
        <f t="shared" si="303"/>
        <v>1292</v>
      </c>
      <c r="CE619" s="6">
        <f t="shared" si="303"/>
        <v>496</v>
      </c>
      <c r="CF619" s="6">
        <f t="shared" si="303"/>
        <v>1283</v>
      </c>
      <c r="CG619" s="6">
        <f t="shared" si="303"/>
        <v>1135</v>
      </c>
      <c r="CH619" s="6">
        <f t="shared" si="303"/>
        <v>501</v>
      </c>
      <c r="CI619" s="6">
        <f t="shared" si="303"/>
        <v>322</v>
      </c>
      <c r="CJ619" s="6">
        <f t="shared" si="303"/>
        <v>1380</v>
      </c>
      <c r="CK619" s="6">
        <f t="shared" si="303"/>
        <v>1108</v>
      </c>
      <c r="CL619" s="6">
        <f t="shared" si="303"/>
        <v>602</v>
      </c>
      <c r="CM619" s="6">
        <f t="shared" si="303"/>
        <v>1419</v>
      </c>
      <c r="CN619" s="6">
        <f t="shared" si="303"/>
        <v>1400</v>
      </c>
      <c r="CO619" s="6">
        <f t="shared" si="303"/>
        <v>511</v>
      </c>
      <c r="CP619" s="6">
        <f t="shared" si="303"/>
        <v>1197</v>
      </c>
      <c r="CQ619" s="6">
        <f t="shared" ref="CQ619:EM619" si="304">SUM(CQ555:CQ557)</f>
        <v>0</v>
      </c>
      <c r="CR619" s="6">
        <f t="shared" si="304"/>
        <v>0</v>
      </c>
      <c r="CS619" s="6">
        <f t="shared" si="304"/>
        <v>0</v>
      </c>
      <c r="CT619" s="6">
        <f t="shared" si="304"/>
        <v>0</v>
      </c>
      <c r="CU619" s="6">
        <f t="shared" si="304"/>
        <v>0</v>
      </c>
      <c r="CV619" s="6">
        <f t="shared" si="304"/>
        <v>0</v>
      </c>
      <c r="CW619" s="6">
        <f t="shared" si="304"/>
        <v>0</v>
      </c>
      <c r="CX619" s="6">
        <f t="shared" si="304"/>
        <v>0</v>
      </c>
      <c r="CY619" s="6">
        <f t="shared" si="304"/>
        <v>0</v>
      </c>
      <c r="CZ619" s="6">
        <f t="shared" si="304"/>
        <v>0</v>
      </c>
      <c r="DA619" s="6">
        <f t="shared" si="304"/>
        <v>0</v>
      </c>
      <c r="DB619" s="6">
        <f t="shared" si="304"/>
        <v>0</v>
      </c>
      <c r="DC619" s="6">
        <f t="shared" si="304"/>
        <v>0</v>
      </c>
      <c r="DD619" s="6">
        <f t="shared" si="304"/>
        <v>0</v>
      </c>
      <c r="DE619" s="6">
        <f t="shared" si="304"/>
        <v>0</v>
      </c>
      <c r="DF619" s="6">
        <f t="shared" si="304"/>
        <v>0</v>
      </c>
      <c r="DG619" s="6">
        <f t="shared" si="304"/>
        <v>0</v>
      </c>
      <c r="DH619" s="6">
        <f t="shared" si="304"/>
        <v>0</v>
      </c>
      <c r="DI619" s="6">
        <f t="shared" si="304"/>
        <v>0</v>
      </c>
      <c r="DJ619" s="6">
        <f t="shared" si="304"/>
        <v>0</v>
      </c>
      <c r="DK619" s="6">
        <f t="shared" si="304"/>
        <v>0</v>
      </c>
      <c r="DL619" s="6">
        <f t="shared" si="304"/>
        <v>0</v>
      </c>
      <c r="DM619" s="6">
        <f t="shared" si="304"/>
        <v>0</v>
      </c>
      <c r="DN619" s="6">
        <f t="shared" si="304"/>
        <v>0</v>
      </c>
      <c r="DO619" s="6">
        <f t="shared" si="304"/>
        <v>0</v>
      </c>
      <c r="DP619" s="6">
        <f t="shared" si="304"/>
        <v>0</v>
      </c>
      <c r="DQ619" s="6">
        <f t="shared" si="304"/>
        <v>0</v>
      </c>
      <c r="DR619" s="6">
        <f t="shared" si="304"/>
        <v>0</v>
      </c>
      <c r="DS619" s="6">
        <f t="shared" si="304"/>
        <v>0</v>
      </c>
      <c r="DT619" s="6">
        <f t="shared" si="304"/>
        <v>0</v>
      </c>
      <c r="DU619" s="6">
        <f t="shared" si="304"/>
        <v>0</v>
      </c>
      <c r="DV619" s="6">
        <f t="shared" si="304"/>
        <v>0</v>
      </c>
      <c r="DW619" s="6">
        <f t="shared" si="304"/>
        <v>0</v>
      </c>
      <c r="DX619" s="6">
        <f t="shared" si="304"/>
        <v>0</v>
      </c>
      <c r="DY619" s="6">
        <f t="shared" si="304"/>
        <v>0</v>
      </c>
      <c r="DZ619" s="6">
        <f t="shared" si="304"/>
        <v>0</v>
      </c>
      <c r="EA619" s="6">
        <f t="shared" si="304"/>
        <v>0</v>
      </c>
      <c r="EB619" s="6">
        <f t="shared" si="304"/>
        <v>0</v>
      </c>
      <c r="EC619" s="6">
        <f t="shared" si="304"/>
        <v>0</v>
      </c>
      <c r="ED619" s="6">
        <f t="shared" si="304"/>
        <v>0</v>
      </c>
      <c r="EE619" s="6">
        <f t="shared" si="304"/>
        <v>0</v>
      </c>
      <c r="EF619" s="6">
        <f t="shared" si="304"/>
        <v>0</v>
      </c>
      <c r="EG619" s="6">
        <f t="shared" si="304"/>
        <v>0</v>
      </c>
      <c r="EH619" s="6">
        <f t="shared" si="304"/>
        <v>0</v>
      </c>
      <c r="EI619" s="6">
        <f t="shared" si="304"/>
        <v>0</v>
      </c>
      <c r="EJ619" s="6">
        <f t="shared" si="304"/>
        <v>0</v>
      </c>
      <c r="EK619" s="6">
        <f t="shared" si="304"/>
        <v>0</v>
      </c>
      <c r="EL619" s="6">
        <f t="shared" si="304"/>
        <v>0</v>
      </c>
      <c r="EM619" s="6">
        <f t="shared" si="304"/>
        <v>0</v>
      </c>
      <c r="EN619" s="6">
        <f t="shared" ref="EN619:GR619" si="305">SUM(EN555:EN557)</f>
        <v>0</v>
      </c>
      <c r="EO619" s="6">
        <f t="shared" si="305"/>
        <v>0</v>
      </c>
      <c r="EP619" s="6">
        <f t="shared" si="305"/>
        <v>0</v>
      </c>
      <c r="EQ619" s="6">
        <f t="shared" si="305"/>
        <v>0</v>
      </c>
      <c r="ER619" s="6">
        <f t="shared" si="305"/>
        <v>0</v>
      </c>
      <c r="ES619" s="6">
        <f t="shared" si="305"/>
        <v>0</v>
      </c>
      <c r="ET619" s="6">
        <f t="shared" si="305"/>
        <v>0</v>
      </c>
      <c r="EU619" s="6">
        <f t="shared" si="305"/>
        <v>0</v>
      </c>
      <c r="EV619" s="6">
        <f t="shared" si="305"/>
        <v>0</v>
      </c>
      <c r="EW619" s="6">
        <f t="shared" si="305"/>
        <v>0</v>
      </c>
      <c r="EX619" s="6">
        <f t="shared" si="305"/>
        <v>0</v>
      </c>
      <c r="EY619" s="6">
        <f t="shared" si="305"/>
        <v>0</v>
      </c>
      <c r="EZ619" s="6">
        <f t="shared" si="305"/>
        <v>0</v>
      </c>
      <c r="FA619" s="6">
        <f t="shared" si="305"/>
        <v>0</v>
      </c>
      <c r="FB619" s="6">
        <f t="shared" si="305"/>
        <v>0</v>
      </c>
      <c r="FC619" s="6">
        <f t="shared" si="305"/>
        <v>0</v>
      </c>
      <c r="FD619" s="6">
        <f t="shared" si="305"/>
        <v>0</v>
      </c>
      <c r="FE619" s="6">
        <f t="shared" si="305"/>
        <v>0</v>
      </c>
      <c r="FF619" s="6">
        <f t="shared" si="305"/>
        <v>0</v>
      </c>
      <c r="FG619" s="6">
        <f t="shared" si="305"/>
        <v>0</v>
      </c>
      <c r="FH619" s="6">
        <f t="shared" si="305"/>
        <v>0</v>
      </c>
      <c r="FI619" s="6">
        <f t="shared" si="305"/>
        <v>0</v>
      </c>
      <c r="FJ619" s="6">
        <f t="shared" si="305"/>
        <v>0</v>
      </c>
      <c r="FK619" s="6">
        <f t="shared" si="305"/>
        <v>0</v>
      </c>
      <c r="FL619" s="6">
        <f t="shared" si="305"/>
        <v>0</v>
      </c>
      <c r="FM619" s="6">
        <f t="shared" si="305"/>
        <v>0</v>
      </c>
      <c r="FN619" s="6">
        <f t="shared" si="305"/>
        <v>0</v>
      </c>
      <c r="FO619" s="6">
        <f t="shared" si="305"/>
        <v>0</v>
      </c>
      <c r="FP619" s="6">
        <f t="shared" si="305"/>
        <v>0</v>
      </c>
      <c r="FQ619" s="6">
        <f t="shared" si="305"/>
        <v>0</v>
      </c>
      <c r="FR619" s="6">
        <f t="shared" si="305"/>
        <v>0</v>
      </c>
      <c r="FS619" s="6">
        <f t="shared" si="305"/>
        <v>0</v>
      </c>
      <c r="FT619" s="6">
        <f t="shared" si="305"/>
        <v>0</v>
      </c>
      <c r="FU619" s="6">
        <f t="shared" si="305"/>
        <v>0</v>
      </c>
      <c r="FV619" s="6">
        <f t="shared" si="305"/>
        <v>0</v>
      </c>
      <c r="FW619" s="6">
        <f t="shared" si="305"/>
        <v>0</v>
      </c>
      <c r="FX619" s="6">
        <f t="shared" si="305"/>
        <v>0</v>
      </c>
      <c r="FY619" s="6">
        <f t="shared" si="305"/>
        <v>0</v>
      </c>
      <c r="FZ619" s="6">
        <f t="shared" si="305"/>
        <v>0</v>
      </c>
      <c r="GA619" s="6">
        <f t="shared" si="305"/>
        <v>0</v>
      </c>
      <c r="GB619" s="6">
        <f t="shared" si="305"/>
        <v>0</v>
      </c>
      <c r="GC619" s="6">
        <f t="shared" si="305"/>
        <v>0</v>
      </c>
      <c r="GD619" s="6">
        <f t="shared" si="305"/>
        <v>0</v>
      </c>
      <c r="GE619" s="6">
        <f t="shared" si="305"/>
        <v>0</v>
      </c>
      <c r="GF619" s="6">
        <f t="shared" si="305"/>
        <v>0</v>
      </c>
      <c r="GG619" s="6">
        <f t="shared" si="305"/>
        <v>0</v>
      </c>
      <c r="GH619" s="6">
        <f t="shared" si="305"/>
        <v>0</v>
      </c>
      <c r="GI619" s="6">
        <f t="shared" si="305"/>
        <v>0</v>
      </c>
      <c r="GJ619" s="6">
        <f t="shared" si="305"/>
        <v>0</v>
      </c>
      <c r="GK619" s="6">
        <f t="shared" si="305"/>
        <v>0</v>
      </c>
      <c r="GL619" s="6">
        <f t="shared" si="305"/>
        <v>0</v>
      </c>
      <c r="GM619" s="6">
        <f t="shared" si="305"/>
        <v>0</v>
      </c>
      <c r="GN619" s="6">
        <f t="shared" si="305"/>
        <v>0</v>
      </c>
      <c r="GO619" s="6">
        <f t="shared" si="305"/>
        <v>1285</v>
      </c>
      <c r="GP619" s="6">
        <f t="shared" si="305"/>
        <v>986</v>
      </c>
      <c r="GQ619" s="6">
        <f t="shared" si="305"/>
        <v>1214</v>
      </c>
      <c r="GR619" s="6">
        <f t="shared" si="305"/>
        <v>1035</v>
      </c>
    </row>
    <row r="620" spans="1:200">
      <c r="A620" s="6"/>
      <c r="B620" s="16" t="s">
        <v>35</v>
      </c>
      <c r="C620" s="14">
        <f>SUM(C478)</f>
        <v>574</v>
      </c>
      <c r="D620" s="14">
        <f>SUM(D478)</f>
        <v>312</v>
      </c>
      <c r="E620" s="15">
        <f t="shared" si="28"/>
        <v>0.54355400696864109</v>
      </c>
      <c r="F620" s="66">
        <f t="shared" ref="F620:AB620" si="306">SUM(F478)</f>
        <v>88</v>
      </c>
      <c r="G620" s="6">
        <f t="shared" si="306"/>
        <v>0</v>
      </c>
      <c r="H620" s="6">
        <f t="shared" si="306"/>
        <v>13</v>
      </c>
      <c r="I620" s="6">
        <f t="shared" si="306"/>
        <v>0</v>
      </c>
      <c r="J620" s="59">
        <f t="shared" si="306"/>
        <v>209</v>
      </c>
      <c r="K620" s="6">
        <f t="shared" si="306"/>
        <v>0</v>
      </c>
      <c r="L620" s="6">
        <f t="shared" si="306"/>
        <v>0</v>
      </c>
      <c r="M620" s="6">
        <f t="shared" si="306"/>
        <v>0</v>
      </c>
      <c r="N620" s="6">
        <f t="shared" si="306"/>
        <v>0</v>
      </c>
      <c r="O620" s="6">
        <f t="shared" si="306"/>
        <v>0</v>
      </c>
      <c r="P620" s="6">
        <f t="shared" si="306"/>
        <v>0</v>
      </c>
      <c r="Q620" s="6">
        <f t="shared" si="306"/>
        <v>0</v>
      </c>
      <c r="R620" s="6">
        <f t="shared" si="306"/>
        <v>0</v>
      </c>
      <c r="S620" s="6">
        <f t="shared" si="306"/>
        <v>0</v>
      </c>
      <c r="T620" s="6">
        <f t="shared" si="306"/>
        <v>0</v>
      </c>
      <c r="U620" s="6">
        <f t="shared" si="306"/>
        <v>0</v>
      </c>
      <c r="V620" s="6">
        <f t="shared" si="306"/>
        <v>0</v>
      </c>
      <c r="W620" s="6">
        <f t="shared" si="306"/>
        <v>1</v>
      </c>
      <c r="X620" s="6">
        <f t="shared" si="306"/>
        <v>0</v>
      </c>
      <c r="Y620" s="6">
        <f t="shared" si="306"/>
        <v>0</v>
      </c>
      <c r="Z620" s="6">
        <f t="shared" si="306"/>
        <v>0</v>
      </c>
      <c r="AA620" s="6">
        <f t="shared" si="306"/>
        <v>0</v>
      </c>
      <c r="AB620" s="6">
        <f t="shared" si="306"/>
        <v>0</v>
      </c>
      <c r="AC620" s="6">
        <f t="shared" ref="AC620:BZ620" si="307">SUM(AC478)</f>
        <v>9</v>
      </c>
      <c r="AD620" s="6">
        <f t="shared" si="307"/>
        <v>7</v>
      </c>
      <c r="AE620" s="6">
        <f t="shared" si="307"/>
        <v>201</v>
      </c>
      <c r="AF620" s="6">
        <f t="shared" si="307"/>
        <v>5</v>
      </c>
      <c r="AG620" s="6">
        <f t="shared" si="307"/>
        <v>0</v>
      </c>
      <c r="AH620" s="6">
        <f t="shared" si="307"/>
        <v>78</v>
      </c>
      <c r="AI620" s="6">
        <f t="shared" si="307"/>
        <v>210</v>
      </c>
      <c r="AJ620" s="6">
        <f t="shared" si="307"/>
        <v>0</v>
      </c>
      <c r="AK620" s="6">
        <f t="shared" si="307"/>
        <v>0</v>
      </c>
      <c r="AL620" s="6">
        <f t="shared" si="307"/>
        <v>84</v>
      </c>
      <c r="AM620" s="6">
        <f t="shared" si="307"/>
        <v>0</v>
      </c>
      <c r="AN620" s="6">
        <f t="shared" si="307"/>
        <v>0</v>
      </c>
      <c r="AO620" s="6">
        <f t="shared" si="307"/>
        <v>0</v>
      </c>
      <c r="AP620" s="6">
        <f t="shared" si="307"/>
        <v>88</v>
      </c>
      <c r="AQ620" s="6">
        <f t="shared" si="307"/>
        <v>196</v>
      </c>
      <c r="AR620" s="6">
        <f t="shared" si="307"/>
        <v>0</v>
      </c>
      <c r="AS620" s="6">
        <f t="shared" si="307"/>
        <v>0</v>
      </c>
      <c r="AT620" s="6">
        <f t="shared" si="307"/>
        <v>0</v>
      </c>
      <c r="AU620" s="6">
        <f t="shared" si="307"/>
        <v>0</v>
      </c>
      <c r="AV620" s="6">
        <f t="shared" si="307"/>
        <v>185</v>
      </c>
      <c r="AW620" s="6">
        <f t="shared" si="307"/>
        <v>0</v>
      </c>
      <c r="AX620" s="6">
        <f t="shared" si="307"/>
        <v>0</v>
      </c>
      <c r="AY620" s="6">
        <f t="shared" si="307"/>
        <v>0</v>
      </c>
      <c r="AZ620" s="6">
        <f t="shared" si="307"/>
        <v>0</v>
      </c>
      <c r="BA620" s="6">
        <f t="shared" si="307"/>
        <v>0</v>
      </c>
      <c r="BB620" s="6">
        <f t="shared" si="307"/>
        <v>0</v>
      </c>
      <c r="BC620" s="6">
        <f t="shared" si="307"/>
        <v>0</v>
      </c>
      <c r="BD620" s="6">
        <f t="shared" si="307"/>
        <v>0</v>
      </c>
      <c r="BE620" s="6">
        <f t="shared" si="307"/>
        <v>155</v>
      </c>
      <c r="BF620" s="6">
        <f t="shared" si="307"/>
        <v>128</v>
      </c>
      <c r="BG620" s="6">
        <f t="shared" si="307"/>
        <v>187</v>
      </c>
      <c r="BH620" s="6">
        <f t="shared" si="307"/>
        <v>95</v>
      </c>
      <c r="BI620" s="6">
        <f t="shared" si="307"/>
        <v>197</v>
      </c>
      <c r="BJ620" s="6">
        <f t="shared" si="307"/>
        <v>88</v>
      </c>
      <c r="BK620" s="6">
        <f t="shared" si="307"/>
        <v>96</v>
      </c>
      <c r="BL620" s="6">
        <f t="shared" si="307"/>
        <v>195</v>
      </c>
      <c r="BM620" s="6">
        <f t="shared" si="307"/>
        <v>136</v>
      </c>
      <c r="BN620" s="6">
        <f t="shared" si="307"/>
        <v>160</v>
      </c>
      <c r="BO620" s="6">
        <f t="shared" si="307"/>
        <v>90</v>
      </c>
      <c r="BP620" s="6">
        <f t="shared" si="307"/>
        <v>187</v>
      </c>
      <c r="BQ620" s="6">
        <f t="shared" si="307"/>
        <v>213</v>
      </c>
      <c r="BR620" s="6">
        <f t="shared" si="307"/>
        <v>71</v>
      </c>
      <c r="BS620" s="6">
        <f t="shared" si="307"/>
        <v>191</v>
      </c>
      <c r="BT620" s="6">
        <f t="shared" si="307"/>
        <v>161</v>
      </c>
      <c r="BU620" s="6">
        <f t="shared" si="307"/>
        <v>116</v>
      </c>
      <c r="BV620" s="6">
        <f t="shared" si="307"/>
        <v>199</v>
      </c>
      <c r="BW620" s="6">
        <f t="shared" si="307"/>
        <v>139</v>
      </c>
      <c r="BX620" s="6">
        <f t="shared" si="307"/>
        <v>90</v>
      </c>
      <c r="BY620" s="6">
        <f t="shared" si="307"/>
        <v>194</v>
      </c>
      <c r="BZ620" s="6">
        <f t="shared" si="307"/>
        <v>62</v>
      </c>
      <c r="CA620" s="6">
        <f t="shared" ref="CA620:CP620" si="308">SUM(CA478)</f>
        <v>174</v>
      </c>
      <c r="CB620" s="6">
        <f t="shared" si="308"/>
        <v>143</v>
      </c>
      <c r="CC620" s="6">
        <f t="shared" si="308"/>
        <v>73</v>
      </c>
      <c r="CD620" s="6">
        <f t="shared" si="308"/>
        <v>163</v>
      </c>
      <c r="CE620" s="6">
        <f t="shared" si="308"/>
        <v>63</v>
      </c>
      <c r="CF620" s="6">
        <f t="shared" si="308"/>
        <v>183</v>
      </c>
      <c r="CG620" s="6">
        <f t="shared" si="308"/>
        <v>144</v>
      </c>
      <c r="CH620" s="6">
        <f t="shared" si="308"/>
        <v>64</v>
      </c>
      <c r="CI620" s="6">
        <f t="shared" si="308"/>
        <v>57</v>
      </c>
      <c r="CJ620" s="6">
        <f t="shared" si="308"/>
        <v>167</v>
      </c>
      <c r="CK620" s="6">
        <f t="shared" si="308"/>
        <v>163</v>
      </c>
      <c r="CL620" s="6">
        <f t="shared" si="308"/>
        <v>70</v>
      </c>
      <c r="CM620" s="6">
        <f t="shared" si="308"/>
        <v>165</v>
      </c>
      <c r="CN620" s="6">
        <f t="shared" si="308"/>
        <v>170</v>
      </c>
      <c r="CO620" s="6">
        <f t="shared" si="308"/>
        <v>66</v>
      </c>
      <c r="CP620" s="6">
        <f t="shared" si="308"/>
        <v>156</v>
      </c>
      <c r="CQ620" s="6">
        <f t="shared" ref="CQ620:EM620" si="309">SUM(CQ478)</f>
        <v>0</v>
      </c>
      <c r="CR620" s="6">
        <f t="shared" si="309"/>
        <v>0</v>
      </c>
      <c r="CS620" s="6">
        <f t="shared" si="309"/>
        <v>0</v>
      </c>
      <c r="CT620" s="6">
        <f t="shared" si="309"/>
        <v>0</v>
      </c>
      <c r="CU620" s="6">
        <f t="shared" si="309"/>
        <v>0</v>
      </c>
      <c r="CV620" s="6">
        <f t="shared" si="309"/>
        <v>0</v>
      </c>
      <c r="CW620" s="6">
        <f t="shared" si="309"/>
        <v>0</v>
      </c>
      <c r="CX620" s="6">
        <f t="shared" si="309"/>
        <v>0</v>
      </c>
      <c r="CY620" s="6">
        <f t="shared" si="309"/>
        <v>0</v>
      </c>
      <c r="CZ620" s="6">
        <f t="shared" si="309"/>
        <v>0</v>
      </c>
      <c r="DA620" s="6">
        <f t="shared" si="309"/>
        <v>0</v>
      </c>
      <c r="DB620" s="6">
        <f t="shared" si="309"/>
        <v>0</v>
      </c>
      <c r="DC620" s="6">
        <f t="shared" si="309"/>
        <v>0</v>
      </c>
      <c r="DD620" s="6">
        <f t="shared" si="309"/>
        <v>0</v>
      </c>
      <c r="DE620" s="6">
        <f t="shared" si="309"/>
        <v>0</v>
      </c>
      <c r="DF620" s="6">
        <f t="shared" si="309"/>
        <v>0</v>
      </c>
      <c r="DG620" s="6">
        <f t="shared" si="309"/>
        <v>191</v>
      </c>
      <c r="DH620" s="6">
        <f t="shared" si="309"/>
        <v>107</v>
      </c>
      <c r="DI620" s="6">
        <f t="shared" si="309"/>
        <v>186</v>
      </c>
      <c r="DJ620" s="6">
        <f t="shared" si="309"/>
        <v>110</v>
      </c>
      <c r="DK620" s="6">
        <f t="shared" si="309"/>
        <v>0</v>
      </c>
      <c r="DL620" s="6">
        <f t="shared" si="309"/>
        <v>0</v>
      </c>
      <c r="DM620" s="6">
        <f t="shared" si="309"/>
        <v>0</v>
      </c>
      <c r="DN620" s="6">
        <f t="shared" si="309"/>
        <v>0</v>
      </c>
      <c r="DO620" s="6">
        <f t="shared" si="309"/>
        <v>0</v>
      </c>
      <c r="DP620" s="6">
        <f t="shared" si="309"/>
        <v>0</v>
      </c>
      <c r="DQ620" s="6">
        <f t="shared" si="309"/>
        <v>0</v>
      </c>
      <c r="DR620" s="6">
        <f t="shared" si="309"/>
        <v>0</v>
      </c>
      <c r="DS620" s="6">
        <f t="shared" si="309"/>
        <v>0</v>
      </c>
      <c r="DT620" s="6">
        <f t="shared" si="309"/>
        <v>0</v>
      </c>
      <c r="DU620" s="6">
        <f t="shared" si="309"/>
        <v>0</v>
      </c>
      <c r="DV620" s="6">
        <f t="shared" si="309"/>
        <v>0</v>
      </c>
      <c r="DW620" s="6">
        <f t="shared" si="309"/>
        <v>0</v>
      </c>
      <c r="DX620" s="6">
        <f t="shared" si="309"/>
        <v>0</v>
      </c>
      <c r="DY620" s="6">
        <f t="shared" si="309"/>
        <v>0</v>
      </c>
      <c r="DZ620" s="6">
        <f t="shared" si="309"/>
        <v>0</v>
      </c>
      <c r="EA620" s="6">
        <f t="shared" si="309"/>
        <v>0</v>
      </c>
      <c r="EB620" s="6">
        <f t="shared" si="309"/>
        <v>0</v>
      </c>
      <c r="EC620" s="6">
        <f t="shared" si="309"/>
        <v>0</v>
      </c>
      <c r="ED620" s="6">
        <f t="shared" si="309"/>
        <v>0</v>
      </c>
      <c r="EE620" s="6">
        <f t="shared" si="309"/>
        <v>0</v>
      </c>
      <c r="EF620" s="6">
        <f t="shared" si="309"/>
        <v>0</v>
      </c>
      <c r="EG620" s="6">
        <f t="shared" si="309"/>
        <v>0</v>
      </c>
      <c r="EH620" s="6">
        <f t="shared" si="309"/>
        <v>0</v>
      </c>
      <c r="EI620" s="6">
        <f t="shared" si="309"/>
        <v>0</v>
      </c>
      <c r="EJ620" s="6">
        <f t="shared" si="309"/>
        <v>0</v>
      </c>
      <c r="EK620" s="6">
        <f t="shared" si="309"/>
        <v>0</v>
      </c>
      <c r="EL620" s="6">
        <f t="shared" si="309"/>
        <v>0</v>
      </c>
      <c r="EM620" s="6">
        <f t="shared" si="309"/>
        <v>0</v>
      </c>
      <c r="EN620" s="6">
        <f t="shared" ref="EN620:GR620" si="310">SUM(EN478)</f>
        <v>0</v>
      </c>
      <c r="EO620" s="6">
        <f t="shared" si="310"/>
        <v>0</v>
      </c>
      <c r="EP620" s="6">
        <f t="shared" si="310"/>
        <v>0</v>
      </c>
      <c r="EQ620" s="6">
        <f t="shared" si="310"/>
        <v>0</v>
      </c>
      <c r="ER620" s="6">
        <f t="shared" si="310"/>
        <v>0</v>
      </c>
      <c r="ES620" s="6">
        <f t="shared" si="310"/>
        <v>0</v>
      </c>
      <c r="ET620" s="6">
        <f t="shared" si="310"/>
        <v>0</v>
      </c>
      <c r="EU620" s="6">
        <f t="shared" si="310"/>
        <v>0</v>
      </c>
      <c r="EV620" s="6">
        <f t="shared" si="310"/>
        <v>0</v>
      </c>
      <c r="EW620" s="6">
        <f t="shared" si="310"/>
        <v>0</v>
      </c>
      <c r="EX620" s="6">
        <f t="shared" si="310"/>
        <v>0</v>
      </c>
      <c r="EY620" s="6">
        <f t="shared" si="310"/>
        <v>0</v>
      </c>
      <c r="EZ620" s="6">
        <f t="shared" si="310"/>
        <v>0</v>
      </c>
      <c r="FA620" s="6">
        <f t="shared" si="310"/>
        <v>0</v>
      </c>
      <c r="FB620" s="6">
        <f t="shared" si="310"/>
        <v>0</v>
      </c>
      <c r="FC620" s="6">
        <f t="shared" si="310"/>
        <v>0</v>
      </c>
      <c r="FD620" s="6">
        <f t="shared" si="310"/>
        <v>0</v>
      </c>
      <c r="FE620" s="6">
        <f t="shared" si="310"/>
        <v>0</v>
      </c>
      <c r="FF620" s="6">
        <f t="shared" si="310"/>
        <v>0</v>
      </c>
      <c r="FG620" s="6">
        <f t="shared" si="310"/>
        <v>0</v>
      </c>
      <c r="FH620" s="6">
        <f t="shared" si="310"/>
        <v>0</v>
      </c>
      <c r="FI620" s="6">
        <f t="shared" si="310"/>
        <v>151</v>
      </c>
      <c r="FJ620" s="6">
        <f t="shared" si="310"/>
        <v>133</v>
      </c>
      <c r="FK620" s="6">
        <f t="shared" si="310"/>
        <v>0</v>
      </c>
      <c r="FL620" s="6">
        <f t="shared" si="310"/>
        <v>0</v>
      </c>
      <c r="FM620" s="6">
        <f t="shared" si="310"/>
        <v>0</v>
      </c>
      <c r="FN620" s="6">
        <f t="shared" si="310"/>
        <v>0</v>
      </c>
      <c r="FO620" s="6">
        <f t="shared" si="310"/>
        <v>0</v>
      </c>
      <c r="FP620" s="6">
        <f t="shared" si="310"/>
        <v>0</v>
      </c>
      <c r="FQ620" s="6">
        <f t="shared" si="310"/>
        <v>0</v>
      </c>
      <c r="FR620" s="6">
        <f t="shared" si="310"/>
        <v>0</v>
      </c>
      <c r="FS620" s="6">
        <f t="shared" si="310"/>
        <v>0</v>
      </c>
      <c r="FT620" s="6">
        <f t="shared" si="310"/>
        <v>0</v>
      </c>
      <c r="FU620" s="6">
        <f t="shared" si="310"/>
        <v>0</v>
      </c>
      <c r="FV620" s="6">
        <f t="shared" si="310"/>
        <v>0</v>
      </c>
      <c r="FW620" s="6">
        <f t="shared" si="310"/>
        <v>0</v>
      </c>
      <c r="FX620" s="6">
        <f t="shared" si="310"/>
        <v>0</v>
      </c>
      <c r="FY620" s="6">
        <f t="shared" si="310"/>
        <v>0</v>
      </c>
      <c r="FZ620" s="6">
        <f t="shared" si="310"/>
        <v>0</v>
      </c>
      <c r="GA620" s="6">
        <f t="shared" si="310"/>
        <v>0</v>
      </c>
      <c r="GB620" s="6">
        <f t="shared" si="310"/>
        <v>0</v>
      </c>
      <c r="GC620" s="6">
        <f t="shared" si="310"/>
        <v>0</v>
      </c>
      <c r="GD620" s="6">
        <f t="shared" si="310"/>
        <v>0</v>
      </c>
      <c r="GE620" s="6">
        <f t="shared" si="310"/>
        <v>0</v>
      </c>
      <c r="GF620" s="6">
        <f t="shared" si="310"/>
        <v>0</v>
      </c>
      <c r="GG620" s="6">
        <f t="shared" si="310"/>
        <v>0</v>
      </c>
      <c r="GH620" s="6">
        <f t="shared" si="310"/>
        <v>0</v>
      </c>
      <c r="GI620" s="6">
        <f t="shared" si="310"/>
        <v>0</v>
      </c>
      <c r="GJ620" s="6">
        <f t="shared" si="310"/>
        <v>0</v>
      </c>
      <c r="GK620" s="6">
        <f t="shared" si="310"/>
        <v>0</v>
      </c>
      <c r="GL620" s="6">
        <f t="shared" si="310"/>
        <v>0</v>
      </c>
      <c r="GM620" s="6">
        <f t="shared" si="310"/>
        <v>0</v>
      </c>
      <c r="GN620" s="6">
        <f t="shared" si="310"/>
        <v>0</v>
      </c>
      <c r="GO620" s="6">
        <f t="shared" si="310"/>
        <v>213</v>
      </c>
      <c r="GP620" s="6">
        <f t="shared" si="310"/>
        <v>86</v>
      </c>
      <c r="GQ620" s="6">
        <f t="shared" si="310"/>
        <v>191</v>
      </c>
      <c r="GR620" s="6">
        <f t="shared" si="310"/>
        <v>107</v>
      </c>
    </row>
    <row r="621" spans="1:200">
      <c r="A621" s="6"/>
      <c r="B621" s="16" t="s">
        <v>36</v>
      </c>
      <c r="C621" s="14">
        <f>SUM(C306:C309)</f>
        <v>3061</v>
      </c>
      <c r="D621" s="14">
        <f>SUM(D306:D309)</f>
        <v>2556</v>
      </c>
      <c r="E621" s="15">
        <f t="shared" si="28"/>
        <v>0.83502123489055868</v>
      </c>
      <c r="F621" s="66">
        <f t="shared" ref="F621:AB621" si="311">SUM(F306:F309)</f>
        <v>1470</v>
      </c>
      <c r="G621" s="6">
        <f t="shared" si="311"/>
        <v>5</v>
      </c>
      <c r="H621" s="6">
        <f t="shared" si="311"/>
        <v>88</v>
      </c>
      <c r="I621" s="6">
        <f t="shared" si="311"/>
        <v>11</v>
      </c>
      <c r="J621" s="59">
        <f t="shared" si="311"/>
        <v>907</v>
      </c>
      <c r="K621" s="6">
        <f t="shared" si="311"/>
        <v>0</v>
      </c>
      <c r="L621" s="6">
        <f t="shared" si="311"/>
        <v>0</v>
      </c>
      <c r="M621" s="6">
        <f t="shared" si="311"/>
        <v>1</v>
      </c>
      <c r="N621" s="6">
        <f t="shared" si="311"/>
        <v>0</v>
      </c>
      <c r="O621" s="6">
        <f t="shared" si="311"/>
        <v>0</v>
      </c>
      <c r="P621" s="6">
        <f t="shared" si="311"/>
        <v>0</v>
      </c>
      <c r="Q621" s="6">
        <f t="shared" si="311"/>
        <v>0</v>
      </c>
      <c r="R621" s="6">
        <f t="shared" si="311"/>
        <v>0</v>
      </c>
      <c r="S621" s="6">
        <f t="shared" si="311"/>
        <v>0</v>
      </c>
      <c r="T621" s="6">
        <f t="shared" si="311"/>
        <v>0</v>
      </c>
      <c r="U621" s="6">
        <f t="shared" si="311"/>
        <v>0</v>
      </c>
      <c r="V621" s="6">
        <f t="shared" si="311"/>
        <v>0</v>
      </c>
      <c r="W621" s="6">
        <f t="shared" si="311"/>
        <v>12</v>
      </c>
      <c r="X621" s="6">
        <f t="shared" si="311"/>
        <v>0</v>
      </c>
      <c r="Y621" s="6">
        <f t="shared" si="311"/>
        <v>0</v>
      </c>
      <c r="Z621" s="6">
        <f t="shared" si="311"/>
        <v>0</v>
      </c>
      <c r="AA621" s="6">
        <f t="shared" si="311"/>
        <v>0</v>
      </c>
      <c r="AB621" s="6">
        <f t="shared" si="311"/>
        <v>0</v>
      </c>
      <c r="AC621" s="6">
        <f t="shared" ref="AC621:BZ621" si="312">SUM(AC306:AC309)</f>
        <v>14</v>
      </c>
      <c r="AD621" s="6">
        <f t="shared" si="312"/>
        <v>23</v>
      </c>
      <c r="AE621" s="6">
        <f t="shared" si="312"/>
        <v>1428</v>
      </c>
      <c r="AF621" s="6">
        <f t="shared" si="312"/>
        <v>8</v>
      </c>
      <c r="AG621" s="6">
        <f t="shared" si="312"/>
        <v>0</v>
      </c>
      <c r="AH621" s="6">
        <f t="shared" si="312"/>
        <v>1015</v>
      </c>
      <c r="AI621" s="6">
        <f t="shared" si="312"/>
        <v>0</v>
      </c>
      <c r="AJ621" s="6">
        <f t="shared" si="312"/>
        <v>0</v>
      </c>
      <c r="AK621" s="6">
        <f t="shared" si="312"/>
        <v>0</v>
      </c>
      <c r="AL621" s="6">
        <f t="shared" si="312"/>
        <v>0</v>
      </c>
      <c r="AM621" s="6">
        <f t="shared" si="312"/>
        <v>122</v>
      </c>
      <c r="AN621" s="6">
        <f t="shared" si="312"/>
        <v>963</v>
      </c>
      <c r="AO621" s="6">
        <f t="shared" si="312"/>
        <v>1318</v>
      </c>
      <c r="AP621" s="6">
        <f t="shared" si="312"/>
        <v>0</v>
      </c>
      <c r="AQ621" s="6">
        <f t="shared" si="312"/>
        <v>0</v>
      </c>
      <c r="AR621" s="6">
        <f t="shared" si="312"/>
        <v>0</v>
      </c>
      <c r="AS621" s="6">
        <f t="shared" si="312"/>
        <v>0</v>
      </c>
      <c r="AT621" s="6">
        <f t="shared" si="312"/>
        <v>0</v>
      </c>
      <c r="AU621" s="6">
        <f t="shared" si="312"/>
        <v>0</v>
      </c>
      <c r="AV621" s="6">
        <f t="shared" si="312"/>
        <v>0</v>
      </c>
      <c r="AW621" s="6">
        <f t="shared" si="312"/>
        <v>0</v>
      </c>
      <c r="AX621" s="6">
        <f t="shared" si="312"/>
        <v>0</v>
      </c>
      <c r="AY621" s="6">
        <f t="shared" si="312"/>
        <v>1234</v>
      </c>
      <c r="AZ621" s="6">
        <f t="shared" si="312"/>
        <v>1130</v>
      </c>
      <c r="BA621" s="6">
        <f t="shared" si="312"/>
        <v>0</v>
      </c>
      <c r="BB621" s="6">
        <f t="shared" si="312"/>
        <v>0</v>
      </c>
      <c r="BC621" s="6">
        <f t="shared" si="312"/>
        <v>0</v>
      </c>
      <c r="BD621" s="6">
        <f t="shared" si="312"/>
        <v>0</v>
      </c>
      <c r="BE621" s="6">
        <f t="shared" si="312"/>
        <v>931</v>
      </c>
      <c r="BF621" s="6">
        <f t="shared" si="312"/>
        <v>1461</v>
      </c>
      <c r="BG621" s="6">
        <f t="shared" si="312"/>
        <v>1148</v>
      </c>
      <c r="BH621" s="6">
        <f t="shared" si="312"/>
        <v>1261</v>
      </c>
      <c r="BI621" s="6">
        <f t="shared" si="312"/>
        <v>1326</v>
      </c>
      <c r="BJ621" s="6">
        <f t="shared" si="312"/>
        <v>1065</v>
      </c>
      <c r="BK621" s="6">
        <f t="shared" si="312"/>
        <v>1305</v>
      </c>
      <c r="BL621" s="6">
        <f t="shared" si="312"/>
        <v>1076</v>
      </c>
      <c r="BM621" s="6">
        <f t="shared" si="312"/>
        <v>895</v>
      </c>
      <c r="BN621" s="6">
        <f t="shared" si="312"/>
        <v>1439</v>
      </c>
      <c r="BO621" s="6">
        <f t="shared" si="312"/>
        <v>1128</v>
      </c>
      <c r="BP621" s="6">
        <f t="shared" si="312"/>
        <v>1190</v>
      </c>
      <c r="BQ621" s="6">
        <f t="shared" si="312"/>
        <v>1379</v>
      </c>
      <c r="BR621" s="6">
        <f t="shared" si="312"/>
        <v>965</v>
      </c>
      <c r="BS621" s="6">
        <f t="shared" si="312"/>
        <v>1426</v>
      </c>
      <c r="BT621" s="6">
        <f t="shared" si="312"/>
        <v>758</v>
      </c>
      <c r="BU621" s="6">
        <f t="shared" si="312"/>
        <v>1584</v>
      </c>
      <c r="BV621" s="6">
        <f t="shared" si="312"/>
        <v>1432</v>
      </c>
      <c r="BW621" s="6">
        <f t="shared" si="312"/>
        <v>1091</v>
      </c>
      <c r="BX621" s="6">
        <f t="shared" si="312"/>
        <v>841</v>
      </c>
      <c r="BY621" s="6">
        <f t="shared" si="312"/>
        <v>1042</v>
      </c>
      <c r="BZ621" s="6">
        <f t="shared" si="312"/>
        <v>1020</v>
      </c>
      <c r="CA621" s="6">
        <f t="shared" ref="CA621:CP621" si="313">SUM(CA306:CA309)</f>
        <v>1297</v>
      </c>
      <c r="CB621" s="6">
        <f t="shared" si="313"/>
        <v>827</v>
      </c>
      <c r="CC621" s="6">
        <f t="shared" si="313"/>
        <v>1003</v>
      </c>
      <c r="CD621" s="6">
        <f t="shared" si="313"/>
        <v>1402</v>
      </c>
      <c r="CE621" s="6">
        <f t="shared" si="313"/>
        <v>1010</v>
      </c>
      <c r="CF621" s="6">
        <f t="shared" si="313"/>
        <v>922</v>
      </c>
      <c r="CG621" s="6">
        <f t="shared" si="313"/>
        <v>979</v>
      </c>
      <c r="CH621" s="6">
        <f t="shared" si="313"/>
        <v>830</v>
      </c>
      <c r="CI621" s="6">
        <f t="shared" si="313"/>
        <v>648</v>
      </c>
      <c r="CJ621" s="6">
        <f t="shared" si="313"/>
        <v>1211</v>
      </c>
      <c r="CK621" s="6">
        <f t="shared" si="313"/>
        <v>911</v>
      </c>
      <c r="CL621" s="6">
        <f t="shared" si="313"/>
        <v>902</v>
      </c>
      <c r="CM621" s="6">
        <f t="shared" si="313"/>
        <v>1196</v>
      </c>
      <c r="CN621" s="6">
        <f t="shared" si="313"/>
        <v>1234</v>
      </c>
      <c r="CO621" s="6">
        <f t="shared" si="313"/>
        <v>792</v>
      </c>
      <c r="CP621" s="6">
        <f t="shared" si="313"/>
        <v>1032</v>
      </c>
      <c r="CQ621" s="6">
        <f t="shared" ref="CQ621:EM621" si="314">SUM(CQ306:CQ309)</f>
        <v>0</v>
      </c>
      <c r="CR621" s="6">
        <f t="shared" si="314"/>
        <v>0</v>
      </c>
      <c r="CS621" s="6">
        <f t="shared" si="314"/>
        <v>0</v>
      </c>
      <c r="CT621" s="6">
        <f t="shared" si="314"/>
        <v>0</v>
      </c>
      <c r="CU621" s="6">
        <f t="shared" si="314"/>
        <v>0</v>
      </c>
      <c r="CV621" s="6">
        <f t="shared" si="314"/>
        <v>0</v>
      </c>
      <c r="CW621" s="6">
        <f t="shared" si="314"/>
        <v>0</v>
      </c>
      <c r="CX621" s="6">
        <f t="shared" si="314"/>
        <v>0</v>
      </c>
      <c r="CY621" s="6">
        <f t="shared" si="314"/>
        <v>0</v>
      </c>
      <c r="CZ621" s="6">
        <f t="shared" si="314"/>
        <v>0</v>
      </c>
      <c r="DA621" s="6">
        <f t="shared" si="314"/>
        <v>0</v>
      </c>
      <c r="DB621" s="6">
        <f t="shared" si="314"/>
        <v>0</v>
      </c>
      <c r="DC621" s="6">
        <f t="shared" si="314"/>
        <v>0</v>
      </c>
      <c r="DD621" s="6">
        <f t="shared" si="314"/>
        <v>0</v>
      </c>
      <c r="DE621" s="6">
        <f t="shared" si="314"/>
        <v>0</v>
      </c>
      <c r="DF621" s="6">
        <f t="shared" si="314"/>
        <v>0</v>
      </c>
      <c r="DG621" s="6">
        <f t="shared" si="314"/>
        <v>0</v>
      </c>
      <c r="DH621" s="6">
        <f t="shared" si="314"/>
        <v>0</v>
      </c>
      <c r="DI621" s="6">
        <f t="shared" si="314"/>
        <v>0</v>
      </c>
      <c r="DJ621" s="6">
        <f t="shared" si="314"/>
        <v>0</v>
      </c>
      <c r="DK621" s="6">
        <f t="shared" si="314"/>
        <v>0</v>
      </c>
      <c r="DL621" s="6">
        <f t="shared" si="314"/>
        <v>0</v>
      </c>
      <c r="DM621" s="6">
        <f t="shared" si="314"/>
        <v>0</v>
      </c>
      <c r="DN621" s="6">
        <f t="shared" si="314"/>
        <v>0</v>
      </c>
      <c r="DO621" s="6">
        <f t="shared" si="314"/>
        <v>0</v>
      </c>
      <c r="DP621" s="6">
        <f t="shared" si="314"/>
        <v>0</v>
      </c>
      <c r="DQ621" s="6">
        <f t="shared" si="314"/>
        <v>0</v>
      </c>
      <c r="DR621" s="6">
        <f t="shared" si="314"/>
        <v>0</v>
      </c>
      <c r="DS621" s="6">
        <f t="shared" si="314"/>
        <v>0</v>
      </c>
      <c r="DT621" s="6">
        <f t="shared" si="314"/>
        <v>0</v>
      </c>
      <c r="DU621" s="6">
        <f t="shared" si="314"/>
        <v>0</v>
      </c>
      <c r="DV621" s="6">
        <f t="shared" si="314"/>
        <v>0</v>
      </c>
      <c r="DW621" s="6">
        <f t="shared" si="314"/>
        <v>0</v>
      </c>
      <c r="DX621" s="6">
        <f t="shared" si="314"/>
        <v>0</v>
      </c>
      <c r="DY621" s="6">
        <f t="shared" si="314"/>
        <v>0</v>
      </c>
      <c r="DZ621" s="6">
        <f t="shared" si="314"/>
        <v>0</v>
      </c>
      <c r="EA621" s="6">
        <f t="shared" si="314"/>
        <v>0</v>
      </c>
      <c r="EB621" s="6">
        <f t="shared" si="314"/>
        <v>0</v>
      </c>
      <c r="EC621" s="6">
        <f t="shared" si="314"/>
        <v>0</v>
      </c>
      <c r="ED621" s="6">
        <f t="shared" si="314"/>
        <v>0</v>
      </c>
      <c r="EE621" s="6">
        <f t="shared" si="314"/>
        <v>0</v>
      </c>
      <c r="EF621" s="6">
        <f t="shared" si="314"/>
        <v>0</v>
      </c>
      <c r="EG621" s="6">
        <f t="shared" si="314"/>
        <v>0</v>
      </c>
      <c r="EH621" s="6">
        <f t="shared" si="314"/>
        <v>0</v>
      </c>
      <c r="EI621" s="6">
        <f t="shared" si="314"/>
        <v>0</v>
      </c>
      <c r="EJ621" s="6">
        <f t="shared" si="314"/>
        <v>0</v>
      </c>
      <c r="EK621" s="6">
        <f t="shared" si="314"/>
        <v>0</v>
      </c>
      <c r="EL621" s="6">
        <f t="shared" si="314"/>
        <v>0</v>
      </c>
      <c r="EM621" s="6">
        <f t="shared" si="314"/>
        <v>0</v>
      </c>
      <c r="EN621" s="6">
        <f t="shared" ref="EN621:GR621" si="315">SUM(EN306:EN309)</f>
        <v>0</v>
      </c>
      <c r="EO621" s="6">
        <f t="shared" si="315"/>
        <v>0</v>
      </c>
      <c r="EP621" s="6">
        <f t="shared" si="315"/>
        <v>0</v>
      </c>
      <c r="EQ621" s="6">
        <f t="shared" si="315"/>
        <v>0</v>
      </c>
      <c r="ER621" s="6">
        <f t="shared" si="315"/>
        <v>0</v>
      </c>
      <c r="ES621" s="6">
        <f t="shared" si="315"/>
        <v>0</v>
      </c>
      <c r="ET621" s="6">
        <f t="shared" si="315"/>
        <v>0</v>
      </c>
      <c r="EU621" s="6">
        <f t="shared" si="315"/>
        <v>0</v>
      </c>
      <c r="EV621" s="6">
        <f t="shared" si="315"/>
        <v>0</v>
      </c>
      <c r="EW621" s="6">
        <f t="shared" si="315"/>
        <v>0</v>
      </c>
      <c r="EX621" s="6">
        <f t="shared" si="315"/>
        <v>0</v>
      </c>
      <c r="EY621" s="6">
        <f t="shared" si="315"/>
        <v>0</v>
      </c>
      <c r="EZ621" s="6">
        <f t="shared" si="315"/>
        <v>0</v>
      </c>
      <c r="FA621" s="6">
        <f t="shared" si="315"/>
        <v>0</v>
      </c>
      <c r="FB621" s="6">
        <f t="shared" si="315"/>
        <v>0</v>
      </c>
      <c r="FC621" s="6">
        <f t="shared" si="315"/>
        <v>0</v>
      </c>
      <c r="FD621" s="6">
        <f t="shared" si="315"/>
        <v>0</v>
      </c>
      <c r="FE621" s="6">
        <f t="shared" si="315"/>
        <v>0</v>
      </c>
      <c r="FF621" s="6">
        <f t="shared" si="315"/>
        <v>0</v>
      </c>
      <c r="FG621" s="6">
        <f t="shared" si="315"/>
        <v>0</v>
      </c>
      <c r="FH621" s="6">
        <f t="shared" si="315"/>
        <v>0</v>
      </c>
      <c r="FI621" s="6">
        <f t="shared" si="315"/>
        <v>0</v>
      </c>
      <c r="FJ621" s="6">
        <f t="shared" si="315"/>
        <v>0</v>
      </c>
      <c r="FK621" s="6">
        <f t="shared" si="315"/>
        <v>0</v>
      </c>
      <c r="FL621" s="6">
        <f t="shared" si="315"/>
        <v>0</v>
      </c>
      <c r="FM621" s="6">
        <f t="shared" si="315"/>
        <v>0</v>
      </c>
      <c r="FN621" s="6">
        <f t="shared" si="315"/>
        <v>0</v>
      </c>
      <c r="FO621" s="6">
        <f t="shared" si="315"/>
        <v>0</v>
      </c>
      <c r="FP621" s="6">
        <f t="shared" si="315"/>
        <v>0</v>
      </c>
      <c r="FQ621" s="6">
        <f t="shared" si="315"/>
        <v>0</v>
      </c>
      <c r="FR621" s="6">
        <f t="shared" si="315"/>
        <v>0</v>
      </c>
      <c r="FS621" s="6">
        <f t="shared" si="315"/>
        <v>0</v>
      </c>
      <c r="FT621" s="6">
        <f t="shared" si="315"/>
        <v>0</v>
      </c>
      <c r="FU621" s="6">
        <f t="shared" si="315"/>
        <v>0</v>
      </c>
      <c r="FV621" s="6">
        <f t="shared" si="315"/>
        <v>0</v>
      </c>
      <c r="FW621" s="6">
        <f t="shared" si="315"/>
        <v>0</v>
      </c>
      <c r="FX621" s="6">
        <f t="shared" si="315"/>
        <v>0</v>
      </c>
      <c r="FY621" s="6">
        <f t="shared" si="315"/>
        <v>1150</v>
      </c>
      <c r="FZ621" s="6">
        <f t="shared" si="315"/>
        <v>1292</v>
      </c>
      <c r="GA621" s="6">
        <f t="shared" si="315"/>
        <v>0</v>
      </c>
      <c r="GB621" s="6">
        <f t="shared" si="315"/>
        <v>0</v>
      </c>
      <c r="GC621" s="6">
        <f t="shared" si="315"/>
        <v>0</v>
      </c>
      <c r="GD621" s="6">
        <f t="shared" si="315"/>
        <v>0</v>
      </c>
      <c r="GE621" s="6">
        <f t="shared" si="315"/>
        <v>0</v>
      </c>
      <c r="GF621" s="6">
        <f t="shared" si="315"/>
        <v>0</v>
      </c>
      <c r="GG621" s="6">
        <f t="shared" si="315"/>
        <v>0</v>
      </c>
      <c r="GH621" s="6">
        <f t="shared" si="315"/>
        <v>0</v>
      </c>
      <c r="GI621" s="6">
        <f t="shared" si="315"/>
        <v>0</v>
      </c>
      <c r="GJ621" s="6">
        <f t="shared" si="315"/>
        <v>0</v>
      </c>
      <c r="GK621" s="6">
        <f t="shared" si="315"/>
        <v>0</v>
      </c>
      <c r="GL621" s="6">
        <f t="shared" si="315"/>
        <v>0</v>
      </c>
      <c r="GM621" s="6">
        <f t="shared" si="315"/>
        <v>0</v>
      </c>
      <c r="GN621" s="6">
        <f t="shared" si="315"/>
        <v>0</v>
      </c>
      <c r="GO621" s="6">
        <f t="shared" si="315"/>
        <v>1700</v>
      </c>
      <c r="GP621" s="6">
        <f t="shared" si="315"/>
        <v>752</v>
      </c>
      <c r="GQ621" s="6">
        <f t="shared" si="315"/>
        <v>1743</v>
      </c>
      <c r="GR621" s="6">
        <f t="shared" si="315"/>
        <v>704</v>
      </c>
    </row>
    <row r="622" spans="1:200">
      <c r="A622" s="6"/>
      <c r="B622" s="16" t="s">
        <v>37</v>
      </c>
      <c r="C622" s="14">
        <f>SUM(C342)</f>
        <v>503</v>
      </c>
      <c r="D622" s="14">
        <f>SUM(D342)</f>
        <v>316</v>
      </c>
      <c r="E622" s="15">
        <f t="shared" si="28"/>
        <v>0.62823061630218691</v>
      </c>
      <c r="F622" s="66">
        <f t="shared" ref="F622:AB622" si="316">SUM(F342)</f>
        <v>140</v>
      </c>
      <c r="G622" s="6">
        <f t="shared" si="316"/>
        <v>4</v>
      </c>
      <c r="H622" s="6">
        <f t="shared" si="316"/>
        <v>5</v>
      </c>
      <c r="I622" s="6">
        <f t="shared" si="316"/>
        <v>4</v>
      </c>
      <c r="J622" s="59">
        <f t="shared" si="316"/>
        <v>159</v>
      </c>
      <c r="K622" s="6">
        <f t="shared" si="316"/>
        <v>0</v>
      </c>
      <c r="L622" s="6">
        <f t="shared" si="316"/>
        <v>0</v>
      </c>
      <c r="M622" s="6">
        <f t="shared" si="316"/>
        <v>0</v>
      </c>
      <c r="N622" s="6">
        <f t="shared" si="316"/>
        <v>0</v>
      </c>
      <c r="O622" s="6">
        <f t="shared" si="316"/>
        <v>0</v>
      </c>
      <c r="P622" s="6">
        <f t="shared" si="316"/>
        <v>0</v>
      </c>
      <c r="Q622" s="6">
        <f t="shared" si="316"/>
        <v>0</v>
      </c>
      <c r="R622" s="6">
        <f t="shared" si="316"/>
        <v>0</v>
      </c>
      <c r="S622" s="6">
        <f t="shared" si="316"/>
        <v>0</v>
      </c>
      <c r="T622" s="6">
        <f t="shared" si="316"/>
        <v>0</v>
      </c>
      <c r="U622" s="6">
        <f t="shared" si="316"/>
        <v>0</v>
      </c>
      <c r="V622" s="6">
        <f t="shared" si="316"/>
        <v>0</v>
      </c>
      <c r="W622" s="6">
        <f t="shared" si="316"/>
        <v>0</v>
      </c>
      <c r="X622" s="6">
        <f t="shared" si="316"/>
        <v>0</v>
      </c>
      <c r="Y622" s="6">
        <f t="shared" si="316"/>
        <v>0</v>
      </c>
      <c r="Z622" s="6">
        <f t="shared" si="316"/>
        <v>0</v>
      </c>
      <c r="AA622" s="6">
        <f t="shared" si="316"/>
        <v>0</v>
      </c>
      <c r="AB622" s="6">
        <f t="shared" si="316"/>
        <v>0</v>
      </c>
      <c r="AC622" s="6">
        <f t="shared" ref="AC622:BZ622" si="317">SUM(AC342)</f>
        <v>10</v>
      </c>
      <c r="AD622" s="6">
        <f t="shared" si="317"/>
        <v>4</v>
      </c>
      <c r="AE622" s="6">
        <f t="shared" si="317"/>
        <v>147</v>
      </c>
      <c r="AF622" s="6">
        <f t="shared" si="317"/>
        <v>16</v>
      </c>
      <c r="AG622" s="6">
        <f t="shared" si="317"/>
        <v>0</v>
      </c>
      <c r="AH622" s="6">
        <f t="shared" si="317"/>
        <v>125</v>
      </c>
      <c r="AI622" s="6">
        <f t="shared" si="317"/>
        <v>0</v>
      </c>
      <c r="AJ622" s="6">
        <f t="shared" si="317"/>
        <v>0</v>
      </c>
      <c r="AK622" s="6">
        <f t="shared" si="317"/>
        <v>0</v>
      </c>
      <c r="AL622" s="6">
        <f t="shared" si="317"/>
        <v>0</v>
      </c>
      <c r="AM622" s="6">
        <f t="shared" si="317"/>
        <v>1</v>
      </c>
      <c r="AN622" s="6">
        <f t="shared" si="317"/>
        <v>137</v>
      </c>
      <c r="AO622" s="6">
        <f t="shared" si="317"/>
        <v>151</v>
      </c>
      <c r="AP622" s="6">
        <f t="shared" si="317"/>
        <v>0</v>
      </c>
      <c r="AQ622" s="6">
        <f t="shared" si="317"/>
        <v>0</v>
      </c>
      <c r="AR622" s="6">
        <f t="shared" si="317"/>
        <v>0</v>
      </c>
      <c r="AS622" s="6">
        <f t="shared" si="317"/>
        <v>0</v>
      </c>
      <c r="AT622" s="6">
        <f t="shared" si="317"/>
        <v>0</v>
      </c>
      <c r="AU622" s="6">
        <f t="shared" si="317"/>
        <v>0</v>
      </c>
      <c r="AV622" s="6">
        <f t="shared" si="317"/>
        <v>0</v>
      </c>
      <c r="AW622" s="6">
        <f t="shared" si="317"/>
        <v>0</v>
      </c>
      <c r="AX622" s="6">
        <f t="shared" si="317"/>
        <v>0</v>
      </c>
      <c r="AY622" s="6">
        <f t="shared" si="317"/>
        <v>0</v>
      </c>
      <c r="AZ622" s="6">
        <f t="shared" si="317"/>
        <v>0</v>
      </c>
      <c r="BA622" s="6">
        <f t="shared" si="317"/>
        <v>0</v>
      </c>
      <c r="BB622" s="6">
        <f t="shared" si="317"/>
        <v>0</v>
      </c>
      <c r="BC622" s="6">
        <f t="shared" si="317"/>
        <v>146</v>
      </c>
      <c r="BD622" s="6">
        <f t="shared" si="317"/>
        <v>152</v>
      </c>
      <c r="BE622" s="6">
        <f t="shared" si="317"/>
        <v>128</v>
      </c>
      <c r="BF622" s="6">
        <f t="shared" si="317"/>
        <v>167</v>
      </c>
      <c r="BG622" s="6">
        <f t="shared" si="317"/>
        <v>163</v>
      </c>
      <c r="BH622" s="6">
        <f t="shared" si="317"/>
        <v>127</v>
      </c>
      <c r="BI622" s="6">
        <f t="shared" si="317"/>
        <v>147</v>
      </c>
      <c r="BJ622" s="6">
        <f t="shared" si="317"/>
        <v>141</v>
      </c>
      <c r="BK622" s="6">
        <f t="shared" si="317"/>
        <v>158</v>
      </c>
      <c r="BL622" s="6">
        <f t="shared" si="317"/>
        <v>132</v>
      </c>
      <c r="BM622" s="6">
        <f t="shared" si="317"/>
        <v>99</v>
      </c>
      <c r="BN622" s="6">
        <f t="shared" si="317"/>
        <v>195</v>
      </c>
      <c r="BO622" s="6">
        <f t="shared" si="317"/>
        <v>127</v>
      </c>
      <c r="BP622" s="6">
        <f t="shared" si="317"/>
        <v>156</v>
      </c>
      <c r="BQ622" s="6">
        <f t="shared" si="317"/>
        <v>160</v>
      </c>
      <c r="BR622" s="6">
        <f t="shared" si="317"/>
        <v>119</v>
      </c>
      <c r="BS622" s="6">
        <f t="shared" si="317"/>
        <v>189</v>
      </c>
      <c r="BT622" s="6">
        <f t="shared" si="317"/>
        <v>120</v>
      </c>
      <c r="BU622" s="6">
        <f t="shared" si="317"/>
        <v>161</v>
      </c>
      <c r="BV622" s="6">
        <f t="shared" si="317"/>
        <v>193</v>
      </c>
      <c r="BW622" s="6">
        <f t="shared" si="317"/>
        <v>130</v>
      </c>
      <c r="BX622" s="6">
        <f t="shared" si="317"/>
        <v>101</v>
      </c>
      <c r="BY622" s="6">
        <f t="shared" si="317"/>
        <v>156</v>
      </c>
      <c r="BZ622" s="6">
        <f t="shared" si="317"/>
        <v>96</v>
      </c>
      <c r="CA622" s="6">
        <f t="shared" ref="CA622:CP622" si="318">SUM(CA342)</f>
        <v>180</v>
      </c>
      <c r="CB622" s="6">
        <f t="shared" si="318"/>
        <v>129</v>
      </c>
      <c r="CC622" s="6">
        <f t="shared" si="318"/>
        <v>96</v>
      </c>
      <c r="CD622" s="6">
        <f t="shared" si="318"/>
        <v>166</v>
      </c>
      <c r="CE622" s="6">
        <f t="shared" si="318"/>
        <v>106</v>
      </c>
      <c r="CF622" s="6">
        <f t="shared" si="318"/>
        <v>125</v>
      </c>
      <c r="CG622" s="6">
        <f t="shared" si="318"/>
        <v>126</v>
      </c>
      <c r="CH622" s="6">
        <f t="shared" si="318"/>
        <v>84</v>
      </c>
      <c r="CI622" s="6">
        <f t="shared" si="318"/>
        <v>66</v>
      </c>
      <c r="CJ622" s="6">
        <f t="shared" si="318"/>
        <v>158</v>
      </c>
      <c r="CK622" s="6">
        <f t="shared" si="318"/>
        <v>137</v>
      </c>
      <c r="CL622" s="6">
        <f t="shared" si="318"/>
        <v>88</v>
      </c>
      <c r="CM622" s="6">
        <f t="shared" si="318"/>
        <v>171</v>
      </c>
      <c r="CN622" s="6">
        <f t="shared" si="318"/>
        <v>178</v>
      </c>
      <c r="CO622" s="6">
        <f t="shared" si="318"/>
        <v>101</v>
      </c>
      <c r="CP622" s="6">
        <f t="shared" si="318"/>
        <v>124</v>
      </c>
      <c r="CQ622" s="6">
        <f t="shared" ref="CQ622:EM622" si="319">SUM(CQ342)</f>
        <v>0</v>
      </c>
      <c r="CR622" s="6">
        <f t="shared" si="319"/>
        <v>0</v>
      </c>
      <c r="CS622" s="6">
        <f t="shared" si="319"/>
        <v>0</v>
      </c>
      <c r="CT622" s="6">
        <f t="shared" si="319"/>
        <v>0</v>
      </c>
      <c r="CU622" s="6">
        <f t="shared" si="319"/>
        <v>0</v>
      </c>
      <c r="CV622" s="6">
        <f t="shared" si="319"/>
        <v>0</v>
      </c>
      <c r="CW622" s="6">
        <f t="shared" si="319"/>
        <v>0</v>
      </c>
      <c r="CX622" s="6">
        <f t="shared" si="319"/>
        <v>0</v>
      </c>
      <c r="CY622" s="6">
        <f t="shared" si="319"/>
        <v>0</v>
      </c>
      <c r="CZ622" s="6">
        <f t="shared" si="319"/>
        <v>0</v>
      </c>
      <c r="DA622" s="6">
        <f t="shared" si="319"/>
        <v>0</v>
      </c>
      <c r="DB622" s="6">
        <f t="shared" si="319"/>
        <v>0</v>
      </c>
      <c r="DC622" s="6">
        <f t="shared" si="319"/>
        <v>0</v>
      </c>
      <c r="DD622" s="6">
        <f t="shared" si="319"/>
        <v>0</v>
      </c>
      <c r="DE622" s="6">
        <f t="shared" si="319"/>
        <v>0</v>
      </c>
      <c r="DF622" s="6">
        <f t="shared" si="319"/>
        <v>0</v>
      </c>
      <c r="DG622" s="6">
        <f t="shared" si="319"/>
        <v>0</v>
      </c>
      <c r="DH622" s="6">
        <f t="shared" si="319"/>
        <v>0</v>
      </c>
      <c r="DI622" s="6">
        <f t="shared" si="319"/>
        <v>0</v>
      </c>
      <c r="DJ622" s="6">
        <f t="shared" si="319"/>
        <v>0</v>
      </c>
      <c r="DK622" s="6">
        <f t="shared" si="319"/>
        <v>0</v>
      </c>
      <c r="DL622" s="6">
        <f t="shared" si="319"/>
        <v>0</v>
      </c>
      <c r="DM622" s="6">
        <f t="shared" si="319"/>
        <v>0</v>
      </c>
      <c r="DN622" s="6">
        <f t="shared" si="319"/>
        <v>0</v>
      </c>
      <c r="DO622" s="6">
        <f t="shared" si="319"/>
        <v>0</v>
      </c>
      <c r="DP622" s="6">
        <f t="shared" si="319"/>
        <v>0</v>
      </c>
      <c r="DQ622" s="6">
        <f t="shared" si="319"/>
        <v>0</v>
      </c>
      <c r="DR622" s="6">
        <f t="shared" si="319"/>
        <v>0</v>
      </c>
      <c r="DS622" s="6">
        <f t="shared" si="319"/>
        <v>0</v>
      </c>
      <c r="DT622" s="6">
        <f t="shared" si="319"/>
        <v>0</v>
      </c>
      <c r="DU622" s="6">
        <f t="shared" si="319"/>
        <v>0</v>
      </c>
      <c r="DV622" s="6">
        <f t="shared" si="319"/>
        <v>0</v>
      </c>
      <c r="DW622" s="6">
        <f t="shared" si="319"/>
        <v>0</v>
      </c>
      <c r="DX622" s="6">
        <f t="shared" si="319"/>
        <v>0</v>
      </c>
      <c r="DY622" s="6">
        <f t="shared" si="319"/>
        <v>0</v>
      </c>
      <c r="DZ622" s="6">
        <f t="shared" si="319"/>
        <v>0</v>
      </c>
      <c r="EA622" s="6">
        <f t="shared" si="319"/>
        <v>0</v>
      </c>
      <c r="EB622" s="6">
        <f t="shared" si="319"/>
        <v>0</v>
      </c>
      <c r="EC622" s="6">
        <f t="shared" si="319"/>
        <v>0</v>
      </c>
      <c r="ED622" s="6">
        <f t="shared" si="319"/>
        <v>0</v>
      </c>
      <c r="EE622" s="6">
        <f t="shared" si="319"/>
        <v>0</v>
      </c>
      <c r="EF622" s="6">
        <f t="shared" si="319"/>
        <v>0</v>
      </c>
      <c r="EG622" s="6">
        <f t="shared" si="319"/>
        <v>0</v>
      </c>
      <c r="EH622" s="6">
        <f t="shared" si="319"/>
        <v>0</v>
      </c>
      <c r="EI622" s="6">
        <f t="shared" si="319"/>
        <v>0</v>
      </c>
      <c r="EJ622" s="6">
        <f t="shared" si="319"/>
        <v>0</v>
      </c>
      <c r="EK622" s="6">
        <f t="shared" si="319"/>
        <v>0</v>
      </c>
      <c r="EL622" s="6">
        <f t="shared" si="319"/>
        <v>0</v>
      </c>
      <c r="EM622" s="6">
        <f t="shared" si="319"/>
        <v>0</v>
      </c>
      <c r="EN622" s="6">
        <f t="shared" ref="EN622:GR622" si="320">SUM(EN342)</f>
        <v>0</v>
      </c>
      <c r="EO622" s="6">
        <f t="shared" si="320"/>
        <v>0</v>
      </c>
      <c r="EP622" s="6">
        <f t="shared" si="320"/>
        <v>0</v>
      </c>
      <c r="EQ622" s="6">
        <f t="shared" si="320"/>
        <v>0</v>
      </c>
      <c r="ER622" s="6">
        <f t="shared" si="320"/>
        <v>0</v>
      </c>
      <c r="ES622" s="6">
        <f t="shared" si="320"/>
        <v>0</v>
      </c>
      <c r="ET622" s="6">
        <f t="shared" si="320"/>
        <v>0</v>
      </c>
      <c r="EU622" s="6">
        <f t="shared" si="320"/>
        <v>0</v>
      </c>
      <c r="EV622" s="6">
        <f t="shared" si="320"/>
        <v>0</v>
      </c>
      <c r="EW622" s="6">
        <f t="shared" si="320"/>
        <v>0</v>
      </c>
      <c r="EX622" s="6">
        <f t="shared" si="320"/>
        <v>0</v>
      </c>
      <c r="EY622" s="6">
        <f t="shared" si="320"/>
        <v>0</v>
      </c>
      <c r="EZ622" s="6">
        <f t="shared" si="320"/>
        <v>0</v>
      </c>
      <c r="FA622" s="6">
        <f t="shared" si="320"/>
        <v>0</v>
      </c>
      <c r="FB622" s="6">
        <f t="shared" si="320"/>
        <v>0</v>
      </c>
      <c r="FC622" s="6">
        <f t="shared" si="320"/>
        <v>0</v>
      </c>
      <c r="FD622" s="6">
        <f t="shared" si="320"/>
        <v>0</v>
      </c>
      <c r="FE622" s="6">
        <f t="shared" si="320"/>
        <v>0</v>
      </c>
      <c r="FF622" s="6">
        <f t="shared" si="320"/>
        <v>0</v>
      </c>
      <c r="FG622" s="6">
        <f t="shared" si="320"/>
        <v>0</v>
      </c>
      <c r="FH622" s="6">
        <f t="shared" si="320"/>
        <v>0</v>
      </c>
      <c r="FI622" s="6">
        <f t="shared" si="320"/>
        <v>0</v>
      </c>
      <c r="FJ622" s="6">
        <f t="shared" si="320"/>
        <v>0</v>
      </c>
      <c r="FK622" s="6">
        <f t="shared" si="320"/>
        <v>0</v>
      </c>
      <c r="FL622" s="6">
        <f t="shared" si="320"/>
        <v>0</v>
      </c>
      <c r="FM622" s="6">
        <f t="shared" si="320"/>
        <v>0</v>
      </c>
      <c r="FN622" s="6">
        <f t="shared" si="320"/>
        <v>0</v>
      </c>
      <c r="FO622" s="6">
        <f t="shared" si="320"/>
        <v>0</v>
      </c>
      <c r="FP622" s="6">
        <f t="shared" si="320"/>
        <v>0</v>
      </c>
      <c r="FQ622" s="6">
        <f t="shared" si="320"/>
        <v>0</v>
      </c>
      <c r="FR622" s="6">
        <f t="shared" si="320"/>
        <v>0</v>
      </c>
      <c r="FS622" s="6">
        <f t="shared" si="320"/>
        <v>0</v>
      </c>
      <c r="FT622" s="6">
        <f t="shared" si="320"/>
        <v>0</v>
      </c>
      <c r="FU622" s="6">
        <f t="shared" si="320"/>
        <v>0</v>
      </c>
      <c r="FV622" s="6">
        <f t="shared" si="320"/>
        <v>0</v>
      </c>
      <c r="FW622" s="6">
        <f t="shared" si="320"/>
        <v>0</v>
      </c>
      <c r="FX622" s="6">
        <f t="shared" si="320"/>
        <v>0</v>
      </c>
      <c r="FY622" s="6">
        <f t="shared" si="320"/>
        <v>0</v>
      </c>
      <c r="FZ622" s="6">
        <f t="shared" si="320"/>
        <v>0</v>
      </c>
      <c r="GA622" s="6">
        <f t="shared" si="320"/>
        <v>0</v>
      </c>
      <c r="GB622" s="6">
        <f t="shared" si="320"/>
        <v>0</v>
      </c>
      <c r="GC622" s="6">
        <f t="shared" si="320"/>
        <v>0</v>
      </c>
      <c r="GD622" s="6">
        <f t="shared" si="320"/>
        <v>0</v>
      </c>
      <c r="GE622" s="6">
        <f t="shared" si="320"/>
        <v>0</v>
      </c>
      <c r="GF622" s="6">
        <f t="shared" si="320"/>
        <v>0</v>
      </c>
      <c r="GG622" s="6">
        <f t="shared" si="320"/>
        <v>0</v>
      </c>
      <c r="GH622" s="6">
        <f t="shared" si="320"/>
        <v>0</v>
      </c>
      <c r="GI622" s="6">
        <f t="shared" si="320"/>
        <v>0</v>
      </c>
      <c r="GJ622" s="6">
        <f t="shared" si="320"/>
        <v>0</v>
      </c>
      <c r="GK622" s="6">
        <f t="shared" si="320"/>
        <v>0</v>
      </c>
      <c r="GL622" s="6">
        <f t="shared" si="320"/>
        <v>0</v>
      </c>
      <c r="GM622" s="6">
        <f t="shared" si="320"/>
        <v>0</v>
      </c>
      <c r="GN622" s="6">
        <f t="shared" si="320"/>
        <v>0</v>
      </c>
      <c r="GO622" s="6">
        <f t="shared" si="320"/>
        <v>185</v>
      </c>
      <c r="GP622" s="6">
        <f t="shared" si="320"/>
        <v>114</v>
      </c>
      <c r="GQ622" s="6">
        <f t="shared" si="320"/>
        <v>190</v>
      </c>
      <c r="GR622" s="6">
        <f t="shared" si="320"/>
        <v>103</v>
      </c>
    </row>
    <row r="623" spans="1:200">
      <c r="A623" s="6"/>
      <c r="B623" s="16" t="s">
        <v>38</v>
      </c>
      <c r="C623" s="14">
        <f>SUM(C479:C480)</f>
        <v>2147</v>
      </c>
      <c r="D623" s="14">
        <f>SUM(D479:D480)</f>
        <v>1527</v>
      </c>
      <c r="E623" s="15">
        <f t="shared" si="28"/>
        <v>0.71122496506753607</v>
      </c>
      <c r="F623" s="66">
        <f t="shared" ref="F623:AB623" si="321">SUM(F479:F480)</f>
        <v>320</v>
      </c>
      <c r="G623" s="6">
        <f t="shared" si="321"/>
        <v>4</v>
      </c>
      <c r="H623" s="6">
        <f t="shared" si="321"/>
        <v>45</v>
      </c>
      <c r="I623" s="6">
        <f t="shared" si="321"/>
        <v>8</v>
      </c>
      <c r="J623" s="59">
        <f t="shared" si="321"/>
        <v>1123</v>
      </c>
      <c r="K623" s="6">
        <f t="shared" si="321"/>
        <v>0</v>
      </c>
      <c r="L623" s="6">
        <f t="shared" si="321"/>
        <v>0</v>
      </c>
      <c r="M623" s="6">
        <f t="shared" si="321"/>
        <v>0</v>
      </c>
      <c r="N623" s="6">
        <f t="shared" si="321"/>
        <v>0</v>
      </c>
      <c r="O623" s="6">
        <f t="shared" si="321"/>
        <v>0</v>
      </c>
      <c r="P623" s="6">
        <f t="shared" si="321"/>
        <v>0</v>
      </c>
      <c r="Q623" s="6">
        <f t="shared" si="321"/>
        <v>0</v>
      </c>
      <c r="R623" s="6">
        <f t="shared" si="321"/>
        <v>0</v>
      </c>
      <c r="S623" s="6">
        <f t="shared" si="321"/>
        <v>0</v>
      </c>
      <c r="T623" s="6">
        <f t="shared" si="321"/>
        <v>0</v>
      </c>
      <c r="U623" s="6">
        <f t="shared" si="321"/>
        <v>0</v>
      </c>
      <c r="V623" s="6">
        <f t="shared" si="321"/>
        <v>0</v>
      </c>
      <c r="W623" s="6">
        <f t="shared" si="321"/>
        <v>1</v>
      </c>
      <c r="X623" s="6">
        <f t="shared" si="321"/>
        <v>0</v>
      </c>
      <c r="Y623" s="6">
        <f t="shared" si="321"/>
        <v>0</v>
      </c>
      <c r="Z623" s="6">
        <f t="shared" si="321"/>
        <v>0</v>
      </c>
      <c r="AA623" s="6">
        <f t="shared" si="321"/>
        <v>0</v>
      </c>
      <c r="AB623" s="6">
        <f t="shared" si="321"/>
        <v>0</v>
      </c>
      <c r="AC623" s="6">
        <f t="shared" ref="AC623:BZ623" si="322">SUM(AC479:AC480)</f>
        <v>30</v>
      </c>
      <c r="AD623" s="6">
        <f t="shared" si="322"/>
        <v>25</v>
      </c>
      <c r="AE623" s="6">
        <f t="shared" si="322"/>
        <v>1150</v>
      </c>
      <c r="AF623" s="6">
        <f t="shared" si="322"/>
        <v>16</v>
      </c>
      <c r="AG623" s="6">
        <f t="shared" si="322"/>
        <v>0</v>
      </c>
      <c r="AH623" s="6">
        <f t="shared" si="322"/>
        <v>247</v>
      </c>
      <c r="AI623" s="6">
        <f t="shared" si="322"/>
        <v>1190</v>
      </c>
      <c r="AJ623" s="6">
        <f t="shared" si="322"/>
        <v>1</v>
      </c>
      <c r="AK623" s="6">
        <f t="shared" si="322"/>
        <v>0</v>
      </c>
      <c r="AL623" s="6">
        <f t="shared" si="322"/>
        <v>284</v>
      </c>
      <c r="AM623" s="6">
        <f t="shared" si="322"/>
        <v>0</v>
      </c>
      <c r="AN623" s="6">
        <f t="shared" si="322"/>
        <v>0</v>
      </c>
      <c r="AO623" s="6">
        <f t="shared" si="322"/>
        <v>0</v>
      </c>
      <c r="AP623" s="6">
        <f t="shared" si="322"/>
        <v>319</v>
      </c>
      <c r="AQ623" s="6">
        <f t="shared" si="322"/>
        <v>1067</v>
      </c>
      <c r="AR623" s="6">
        <f t="shared" si="322"/>
        <v>0</v>
      </c>
      <c r="AS623" s="6">
        <f t="shared" si="322"/>
        <v>0</v>
      </c>
      <c r="AT623" s="6">
        <f t="shared" si="322"/>
        <v>0</v>
      </c>
      <c r="AU623" s="6">
        <f t="shared" si="322"/>
        <v>0</v>
      </c>
      <c r="AV623" s="6">
        <f t="shared" si="322"/>
        <v>1042</v>
      </c>
      <c r="AW623" s="6">
        <f t="shared" si="322"/>
        <v>0</v>
      </c>
      <c r="AX623" s="6">
        <f t="shared" si="322"/>
        <v>0</v>
      </c>
      <c r="AY623" s="6">
        <f t="shared" si="322"/>
        <v>0</v>
      </c>
      <c r="AZ623" s="6">
        <f t="shared" si="322"/>
        <v>0</v>
      </c>
      <c r="BA623" s="6">
        <f t="shared" si="322"/>
        <v>0</v>
      </c>
      <c r="BB623" s="6">
        <f t="shared" si="322"/>
        <v>0</v>
      </c>
      <c r="BC623" s="6">
        <f t="shared" si="322"/>
        <v>0</v>
      </c>
      <c r="BD623" s="6">
        <f t="shared" si="322"/>
        <v>0</v>
      </c>
      <c r="BE623" s="6">
        <f t="shared" si="322"/>
        <v>899</v>
      </c>
      <c r="BF623" s="6">
        <f t="shared" si="322"/>
        <v>497</v>
      </c>
      <c r="BG623" s="6">
        <f t="shared" si="322"/>
        <v>1092</v>
      </c>
      <c r="BH623" s="6">
        <f t="shared" si="322"/>
        <v>337</v>
      </c>
      <c r="BI623" s="6">
        <f t="shared" si="322"/>
        <v>1132</v>
      </c>
      <c r="BJ623" s="6">
        <f t="shared" si="322"/>
        <v>283</v>
      </c>
      <c r="BK623" s="6">
        <f t="shared" si="322"/>
        <v>365</v>
      </c>
      <c r="BL623" s="6">
        <f t="shared" si="322"/>
        <v>1053</v>
      </c>
      <c r="BM623" s="6">
        <f t="shared" si="322"/>
        <v>735</v>
      </c>
      <c r="BN623" s="6">
        <f t="shared" si="322"/>
        <v>694</v>
      </c>
      <c r="BO623" s="6">
        <f t="shared" si="322"/>
        <v>275</v>
      </c>
      <c r="BP623" s="6">
        <f t="shared" si="322"/>
        <v>1083</v>
      </c>
      <c r="BQ623" s="6">
        <f t="shared" si="322"/>
        <v>1145</v>
      </c>
      <c r="BR623" s="6">
        <f t="shared" si="322"/>
        <v>232</v>
      </c>
      <c r="BS623" s="6">
        <f t="shared" si="322"/>
        <v>1073</v>
      </c>
      <c r="BT623" s="6">
        <f t="shared" si="322"/>
        <v>834</v>
      </c>
      <c r="BU623" s="6">
        <f t="shared" si="322"/>
        <v>499</v>
      </c>
      <c r="BV623" s="6">
        <f t="shared" si="322"/>
        <v>934</v>
      </c>
      <c r="BW623" s="6">
        <f t="shared" si="322"/>
        <v>695</v>
      </c>
      <c r="BX623" s="6">
        <f t="shared" si="322"/>
        <v>402</v>
      </c>
      <c r="BY623" s="6">
        <f t="shared" si="322"/>
        <v>944</v>
      </c>
      <c r="BZ623" s="6">
        <f t="shared" si="322"/>
        <v>263</v>
      </c>
      <c r="CA623" s="6">
        <f t="shared" ref="CA623:CP623" si="323">SUM(CA479:CA480)</f>
        <v>854</v>
      </c>
      <c r="CB623" s="6">
        <f t="shared" si="323"/>
        <v>793</v>
      </c>
      <c r="CC623" s="6">
        <f t="shared" si="323"/>
        <v>284</v>
      </c>
      <c r="CD623" s="6">
        <f t="shared" si="323"/>
        <v>784</v>
      </c>
      <c r="CE623" s="6">
        <f t="shared" si="323"/>
        <v>262</v>
      </c>
      <c r="CF623" s="6">
        <f t="shared" si="323"/>
        <v>967</v>
      </c>
      <c r="CG623" s="6">
        <f t="shared" si="323"/>
        <v>720</v>
      </c>
      <c r="CH623" s="6">
        <f t="shared" si="323"/>
        <v>295</v>
      </c>
      <c r="CI623" s="6">
        <f t="shared" si="323"/>
        <v>210</v>
      </c>
      <c r="CJ623" s="6">
        <f t="shared" si="323"/>
        <v>876</v>
      </c>
      <c r="CK623" s="6">
        <f t="shared" si="323"/>
        <v>773</v>
      </c>
      <c r="CL623" s="6">
        <f t="shared" si="323"/>
        <v>313</v>
      </c>
      <c r="CM623" s="6">
        <f t="shared" si="323"/>
        <v>829</v>
      </c>
      <c r="CN623" s="6">
        <f t="shared" si="323"/>
        <v>814</v>
      </c>
      <c r="CO623" s="6">
        <f t="shared" si="323"/>
        <v>291</v>
      </c>
      <c r="CP623" s="6">
        <f t="shared" si="323"/>
        <v>772</v>
      </c>
      <c r="CQ623" s="6">
        <f t="shared" ref="CQ623:EM623" si="324">SUM(CQ479:CQ480)</f>
        <v>0</v>
      </c>
      <c r="CR623" s="6">
        <f t="shared" si="324"/>
        <v>0</v>
      </c>
      <c r="CS623" s="6">
        <f t="shared" si="324"/>
        <v>0</v>
      </c>
      <c r="CT623" s="6">
        <f t="shared" si="324"/>
        <v>0</v>
      </c>
      <c r="CU623" s="6">
        <f t="shared" si="324"/>
        <v>0</v>
      </c>
      <c r="CV623" s="6">
        <f t="shared" si="324"/>
        <v>0</v>
      </c>
      <c r="CW623" s="6">
        <f t="shared" si="324"/>
        <v>0</v>
      </c>
      <c r="CX623" s="6">
        <f t="shared" si="324"/>
        <v>0</v>
      </c>
      <c r="CY623" s="6">
        <f t="shared" si="324"/>
        <v>0</v>
      </c>
      <c r="CZ623" s="6">
        <f t="shared" si="324"/>
        <v>0</v>
      </c>
      <c r="DA623" s="6">
        <f t="shared" si="324"/>
        <v>0</v>
      </c>
      <c r="DB623" s="6">
        <f t="shared" si="324"/>
        <v>0</v>
      </c>
      <c r="DC623" s="6">
        <f t="shared" si="324"/>
        <v>0</v>
      </c>
      <c r="DD623" s="6">
        <f t="shared" si="324"/>
        <v>0</v>
      </c>
      <c r="DE623" s="6">
        <f t="shared" si="324"/>
        <v>0</v>
      </c>
      <c r="DF623" s="6">
        <f t="shared" si="324"/>
        <v>0</v>
      </c>
      <c r="DG623" s="6">
        <f t="shared" si="324"/>
        <v>0</v>
      </c>
      <c r="DH623" s="6">
        <f t="shared" si="324"/>
        <v>0</v>
      </c>
      <c r="DI623" s="6">
        <f t="shared" si="324"/>
        <v>0</v>
      </c>
      <c r="DJ623" s="6">
        <f t="shared" si="324"/>
        <v>0</v>
      </c>
      <c r="DK623" s="6">
        <f t="shared" si="324"/>
        <v>968</v>
      </c>
      <c r="DL623" s="6">
        <f t="shared" si="324"/>
        <v>485</v>
      </c>
      <c r="DM623" s="6">
        <f t="shared" si="324"/>
        <v>0</v>
      </c>
      <c r="DN623" s="6">
        <f t="shared" si="324"/>
        <v>0</v>
      </c>
      <c r="DO623" s="6">
        <f t="shared" si="324"/>
        <v>0</v>
      </c>
      <c r="DP623" s="6">
        <f t="shared" si="324"/>
        <v>0</v>
      </c>
      <c r="DQ623" s="6">
        <f t="shared" si="324"/>
        <v>0</v>
      </c>
      <c r="DR623" s="6">
        <f t="shared" si="324"/>
        <v>0</v>
      </c>
      <c r="DS623" s="6">
        <f t="shared" si="324"/>
        <v>0</v>
      </c>
      <c r="DT623" s="6">
        <f t="shared" si="324"/>
        <v>0</v>
      </c>
      <c r="DU623" s="6">
        <f t="shared" si="324"/>
        <v>0</v>
      </c>
      <c r="DV623" s="6">
        <f t="shared" si="324"/>
        <v>0</v>
      </c>
      <c r="DW623" s="6">
        <f t="shared" si="324"/>
        <v>0</v>
      </c>
      <c r="DX623" s="6">
        <f t="shared" si="324"/>
        <v>0</v>
      </c>
      <c r="DY623" s="6">
        <f t="shared" si="324"/>
        <v>0</v>
      </c>
      <c r="DZ623" s="6">
        <f t="shared" si="324"/>
        <v>0</v>
      </c>
      <c r="EA623" s="6">
        <f t="shared" si="324"/>
        <v>0</v>
      </c>
      <c r="EB623" s="6">
        <f t="shared" si="324"/>
        <v>0</v>
      </c>
      <c r="EC623" s="6">
        <f t="shared" si="324"/>
        <v>0</v>
      </c>
      <c r="ED623" s="6">
        <f t="shared" si="324"/>
        <v>0</v>
      </c>
      <c r="EE623" s="6">
        <f t="shared" si="324"/>
        <v>0</v>
      </c>
      <c r="EF623" s="6">
        <f t="shared" si="324"/>
        <v>0</v>
      </c>
      <c r="EG623" s="6">
        <f t="shared" si="324"/>
        <v>0</v>
      </c>
      <c r="EH623" s="6">
        <f t="shared" si="324"/>
        <v>0</v>
      </c>
      <c r="EI623" s="6">
        <f t="shared" si="324"/>
        <v>0</v>
      </c>
      <c r="EJ623" s="6">
        <f t="shared" si="324"/>
        <v>0</v>
      </c>
      <c r="EK623" s="6">
        <f t="shared" si="324"/>
        <v>0</v>
      </c>
      <c r="EL623" s="6">
        <f t="shared" si="324"/>
        <v>0</v>
      </c>
      <c r="EM623" s="6">
        <f t="shared" si="324"/>
        <v>0</v>
      </c>
      <c r="EN623" s="6">
        <f t="shared" ref="EN623:GR623" si="325">SUM(EN479:EN480)</f>
        <v>0</v>
      </c>
      <c r="EO623" s="6">
        <f t="shared" si="325"/>
        <v>0</v>
      </c>
      <c r="EP623" s="6">
        <f t="shared" si="325"/>
        <v>0</v>
      </c>
      <c r="EQ623" s="6">
        <f t="shared" si="325"/>
        <v>0</v>
      </c>
      <c r="ER623" s="6">
        <f t="shared" si="325"/>
        <v>0</v>
      </c>
      <c r="ES623" s="6">
        <f t="shared" si="325"/>
        <v>0</v>
      </c>
      <c r="ET623" s="6">
        <f t="shared" si="325"/>
        <v>0</v>
      </c>
      <c r="EU623" s="6">
        <f t="shared" si="325"/>
        <v>0</v>
      </c>
      <c r="EV623" s="6">
        <f t="shared" si="325"/>
        <v>0</v>
      </c>
      <c r="EW623" s="6">
        <f t="shared" si="325"/>
        <v>0</v>
      </c>
      <c r="EX623" s="6">
        <f t="shared" si="325"/>
        <v>0</v>
      </c>
      <c r="EY623" s="6">
        <f t="shared" si="325"/>
        <v>0</v>
      </c>
      <c r="EZ623" s="6">
        <f t="shared" si="325"/>
        <v>0</v>
      </c>
      <c r="FA623" s="6">
        <f t="shared" si="325"/>
        <v>0</v>
      </c>
      <c r="FB623" s="6">
        <f t="shared" si="325"/>
        <v>0</v>
      </c>
      <c r="FC623" s="6">
        <f t="shared" si="325"/>
        <v>0</v>
      </c>
      <c r="FD623" s="6">
        <f t="shared" si="325"/>
        <v>0</v>
      </c>
      <c r="FE623" s="6">
        <f t="shared" si="325"/>
        <v>0</v>
      </c>
      <c r="FF623" s="6">
        <f t="shared" si="325"/>
        <v>0</v>
      </c>
      <c r="FG623" s="6">
        <f t="shared" si="325"/>
        <v>0</v>
      </c>
      <c r="FH623" s="6">
        <f t="shared" si="325"/>
        <v>0</v>
      </c>
      <c r="FI623" s="6">
        <f t="shared" si="325"/>
        <v>900</v>
      </c>
      <c r="FJ623" s="6">
        <f t="shared" si="325"/>
        <v>522</v>
      </c>
      <c r="FK623" s="6">
        <f t="shared" si="325"/>
        <v>0</v>
      </c>
      <c r="FL623" s="6">
        <f t="shared" si="325"/>
        <v>0</v>
      </c>
      <c r="FM623" s="6">
        <f t="shared" si="325"/>
        <v>0</v>
      </c>
      <c r="FN623" s="6">
        <f t="shared" si="325"/>
        <v>0</v>
      </c>
      <c r="FO623" s="6">
        <f t="shared" si="325"/>
        <v>0</v>
      </c>
      <c r="FP623" s="6">
        <f t="shared" si="325"/>
        <v>0</v>
      </c>
      <c r="FQ623" s="6">
        <f t="shared" si="325"/>
        <v>0</v>
      </c>
      <c r="FR623" s="6">
        <f t="shared" si="325"/>
        <v>0</v>
      </c>
      <c r="FS623" s="6">
        <f t="shared" si="325"/>
        <v>0</v>
      </c>
      <c r="FT623" s="6">
        <f t="shared" si="325"/>
        <v>0</v>
      </c>
      <c r="FU623" s="6">
        <f t="shared" si="325"/>
        <v>0</v>
      </c>
      <c r="FV623" s="6">
        <f t="shared" si="325"/>
        <v>0</v>
      </c>
      <c r="FW623" s="6">
        <f t="shared" si="325"/>
        <v>0</v>
      </c>
      <c r="FX623" s="6">
        <f t="shared" si="325"/>
        <v>0</v>
      </c>
      <c r="FY623" s="6">
        <f t="shared" si="325"/>
        <v>0</v>
      </c>
      <c r="FZ623" s="6">
        <f t="shared" si="325"/>
        <v>0</v>
      </c>
      <c r="GA623" s="6">
        <f t="shared" si="325"/>
        <v>0</v>
      </c>
      <c r="GB623" s="6">
        <f t="shared" si="325"/>
        <v>0</v>
      </c>
      <c r="GC623" s="6">
        <f t="shared" si="325"/>
        <v>0</v>
      </c>
      <c r="GD623" s="6">
        <f t="shared" si="325"/>
        <v>0</v>
      </c>
      <c r="GE623" s="6">
        <f t="shared" si="325"/>
        <v>0</v>
      </c>
      <c r="GF623" s="6">
        <f t="shared" si="325"/>
        <v>0</v>
      </c>
      <c r="GG623" s="6">
        <f t="shared" si="325"/>
        <v>0</v>
      </c>
      <c r="GH623" s="6">
        <f t="shared" si="325"/>
        <v>0</v>
      </c>
      <c r="GI623" s="6">
        <f t="shared" si="325"/>
        <v>0</v>
      </c>
      <c r="GJ623" s="6">
        <f t="shared" si="325"/>
        <v>0</v>
      </c>
      <c r="GK623" s="6">
        <f t="shared" si="325"/>
        <v>0</v>
      </c>
      <c r="GL623" s="6">
        <f t="shared" si="325"/>
        <v>0</v>
      </c>
      <c r="GM623" s="6">
        <f t="shared" si="325"/>
        <v>0</v>
      </c>
      <c r="GN623" s="6">
        <f t="shared" si="325"/>
        <v>0</v>
      </c>
      <c r="GO623" s="6">
        <f t="shared" si="325"/>
        <v>986</v>
      </c>
      <c r="GP623" s="6">
        <f t="shared" si="325"/>
        <v>460</v>
      </c>
      <c r="GQ623" s="6">
        <f t="shared" si="325"/>
        <v>900</v>
      </c>
      <c r="GR623" s="6">
        <f t="shared" si="325"/>
        <v>531</v>
      </c>
    </row>
    <row r="624" spans="1:200">
      <c r="A624" s="6"/>
      <c r="B624" s="16" t="s">
        <v>81</v>
      </c>
      <c r="C624" s="14">
        <f>SUM(C414)</f>
        <v>1276</v>
      </c>
      <c r="D624" s="14">
        <f>SUM(D414)</f>
        <v>630</v>
      </c>
      <c r="E624" s="15">
        <f t="shared" si="28"/>
        <v>0.49373040752351099</v>
      </c>
      <c r="F624" s="66">
        <f t="shared" ref="F624:AB624" si="326">SUM(F414)</f>
        <v>264</v>
      </c>
      <c r="G624" s="6">
        <f t="shared" si="326"/>
        <v>5</v>
      </c>
      <c r="H624" s="6">
        <f t="shared" si="326"/>
        <v>17</v>
      </c>
      <c r="I624" s="6">
        <f t="shared" si="326"/>
        <v>8</v>
      </c>
      <c r="J624" s="59">
        <f t="shared" si="326"/>
        <v>316</v>
      </c>
      <c r="K624" s="6">
        <f t="shared" si="326"/>
        <v>0</v>
      </c>
      <c r="L624" s="6">
        <f t="shared" si="326"/>
        <v>0</v>
      </c>
      <c r="M624" s="6">
        <f t="shared" si="326"/>
        <v>0</v>
      </c>
      <c r="N624" s="6">
        <f t="shared" si="326"/>
        <v>0</v>
      </c>
      <c r="O624" s="6">
        <f t="shared" si="326"/>
        <v>0</v>
      </c>
      <c r="P624" s="6">
        <f t="shared" si="326"/>
        <v>0</v>
      </c>
      <c r="Q624" s="6">
        <f t="shared" si="326"/>
        <v>0</v>
      </c>
      <c r="R624" s="6">
        <f t="shared" si="326"/>
        <v>0</v>
      </c>
      <c r="S624" s="6">
        <f t="shared" si="326"/>
        <v>0</v>
      </c>
      <c r="T624" s="6">
        <f t="shared" si="326"/>
        <v>0</v>
      </c>
      <c r="U624" s="6">
        <f t="shared" si="326"/>
        <v>0</v>
      </c>
      <c r="V624" s="6">
        <f t="shared" si="326"/>
        <v>0</v>
      </c>
      <c r="W624" s="6">
        <f t="shared" si="326"/>
        <v>0</v>
      </c>
      <c r="X624" s="6">
        <f t="shared" si="326"/>
        <v>0</v>
      </c>
      <c r="Y624" s="6">
        <f t="shared" si="326"/>
        <v>0</v>
      </c>
      <c r="Z624" s="6">
        <f t="shared" si="326"/>
        <v>0</v>
      </c>
      <c r="AA624" s="6">
        <f t="shared" si="326"/>
        <v>0</v>
      </c>
      <c r="AB624" s="6">
        <f t="shared" si="326"/>
        <v>0</v>
      </c>
      <c r="AC624" s="6">
        <f t="shared" ref="AC624:BZ624" si="327">SUM(AC414)</f>
        <v>26</v>
      </c>
      <c r="AD624" s="6">
        <f t="shared" si="327"/>
        <v>12</v>
      </c>
      <c r="AE624" s="6">
        <f t="shared" si="327"/>
        <v>342</v>
      </c>
      <c r="AF624" s="6">
        <f t="shared" si="327"/>
        <v>5</v>
      </c>
      <c r="AG624" s="6">
        <f t="shared" si="327"/>
        <v>0</v>
      </c>
      <c r="AH624" s="6">
        <f t="shared" si="327"/>
        <v>206</v>
      </c>
      <c r="AI624" s="6">
        <f t="shared" si="327"/>
        <v>346</v>
      </c>
      <c r="AJ624" s="6">
        <f t="shared" si="327"/>
        <v>0</v>
      </c>
      <c r="AK624" s="6">
        <f t="shared" si="327"/>
        <v>0</v>
      </c>
      <c r="AL624" s="6">
        <f t="shared" si="327"/>
        <v>242</v>
      </c>
      <c r="AM624" s="6">
        <f t="shared" si="327"/>
        <v>0</v>
      </c>
      <c r="AN624" s="6">
        <f t="shared" si="327"/>
        <v>0</v>
      </c>
      <c r="AO624" s="6">
        <f t="shared" si="327"/>
        <v>0</v>
      </c>
      <c r="AP624" s="6">
        <f t="shared" si="327"/>
        <v>0</v>
      </c>
      <c r="AQ624" s="6">
        <f t="shared" si="327"/>
        <v>0</v>
      </c>
      <c r="AR624" s="6">
        <f t="shared" si="327"/>
        <v>0</v>
      </c>
      <c r="AS624" s="6">
        <f t="shared" si="327"/>
        <v>0</v>
      </c>
      <c r="AT624" s="6">
        <f t="shared" si="327"/>
        <v>0</v>
      </c>
      <c r="AU624" s="6">
        <f t="shared" si="327"/>
        <v>0</v>
      </c>
      <c r="AV624" s="6">
        <f t="shared" si="327"/>
        <v>0</v>
      </c>
      <c r="AW624" s="6">
        <f t="shared" si="327"/>
        <v>0</v>
      </c>
      <c r="AX624" s="6">
        <f t="shared" si="327"/>
        <v>0</v>
      </c>
      <c r="AY624" s="6">
        <f t="shared" si="327"/>
        <v>0</v>
      </c>
      <c r="AZ624" s="6">
        <f t="shared" si="327"/>
        <v>0</v>
      </c>
      <c r="BA624" s="6">
        <f t="shared" si="327"/>
        <v>0</v>
      </c>
      <c r="BB624" s="6">
        <f t="shared" si="327"/>
        <v>0</v>
      </c>
      <c r="BC624" s="6">
        <f t="shared" si="327"/>
        <v>310</v>
      </c>
      <c r="BD624" s="6">
        <f t="shared" si="327"/>
        <v>277</v>
      </c>
      <c r="BE624" s="6">
        <f t="shared" si="327"/>
        <v>258</v>
      </c>
      <c r="BF624" s="6">
        <f t="shared" si="327"/>
        <v>321</v>
      </c>
      <c r="BG624" s="6">
        <f t="shared" si="327"/>
        <v>332</v>
      </c>
      <c r="BH624" s="6">
        <f t="shared" si="327"/>
        <v>254</v>
      </c>
      <c r="BI624" s="6">
        <f t="shared" si="327"/>
        <v>352</v>
      </c>
      <c r="BJ624" s="6">
        <f t="shared" si="327"/>
        <v>229</v>
      </c>
      <c r="BK624" s="6">
        <f t="shared" si="327"/>
        <v>270</v>
      </c>
      <c r="BL624" s="6">
        <f t="shared" si="327"/>
        <v>297</v>
      </c>
      <c r="BM624" s="6">
        <f t="shared" si="327"/>
        <v>219</v>
      </c>
      <c r="BN624" s="6">
        <f t="shared" si="327"/>
        <v>361</v>
      </c>
      <c r="BO624" s="6">
        <f t="shared" si="327"/>
        <v>243</v>
      </c>
      <c r="BP624" s="6">
        <f t="shared" si="327"/>
        <v>327</v>
      </c>
      <c r="BQ624" s="6">
        <f t="shared" si="327"/>
        <v>337</v>
      </c>
      <c r="BR624" s="6">
        <f t="shared" si="327"/>
        <v>241</v>
      </c>
      <c r="BS624" s="6">
        <f t="shared" si="327"/>
        <v>393</v>
      </c>
      <c r="BT624" s="6">
        <f t="shared" si="327"/>
        <v>257</v>
      </c>
      <c r="BU624" s="6">
        <f t="shared" si="327"/>
        <v>314</v>
      </c>
      <c r="BV624" s="6">
        <f t="shared" si="327"/>
        <v>376</v>
      </c>
      <c r="BW624" s="6">
        <f t="shared" si="327"/>
        <v>243</v>
      </c>
      <c r="BX624" s="6">
        <f t="shared" si="327"/>
        <v>197</v>
      </c>
      <c r="BY624" s="6">
        <f t="shared" si="327"/>
        <v>349</v>
      </c>
      <c r="BZ624" s="6">
        <f t="shared" si="327"/>
        <v>156</v>
      </c>
      <c r="CA624" s="6">
        <f t="shared" ref="CA624:CP624" si="328">SUM(CA414)</f>
        <v>338</v>
      </c>
      <c r="CB624" s="6">
        <f t="shared" si="328"/>
        <v>230</v>
      </c>
      <c r="CC624" s="6">
        <f t="shared" si="328"/>
        <v>202</v>
      </c>
      <c r="CD624" s="6">
        <f t="shared" si="328"/>
        <v>324</v>
      </c>
      <c r="CE624" s="6">
        <f t="shared" si="328"/>
        <v>202</v>
      </c>
      <c r="CF624" s="6">
        <f t="shared" si="328"/>
        <v>251</v>
      </c>
      <c r="CG624" s="6">
        <f t="shared" si="328"/>
        <v>251</v>
      </c>
      <c r="CH624" s="6">
        <f t="shared" si="328"/>
        <v>161</v>
      </c>
      <c r="CI624" s="6">
        <f t="shared" si="328"/>
        <v>144</v>
      </c>
      <c r="CJ624" s="6">
        <f t="shared" si="328"/>
        <v>285</v>
      </c>
      <c r="CK624" s="6">
        <f t="shared" si="328"/>
        <v>261</v>
      </c>
      <c r="CL624" s="6">
        <f t="shared" si="328"/>
        <v>181</v>
      </c>
      <c r="CM624" s="6">
        <f t="shared" si="328"/>
        <v>323</v>
      </c>
      <c r="CN624" s="6">
        <f t="shared" si="328"/>
        <v>335</v>
      </c>
      <c r="CO624" s="6">
        <f t="shared" si="328"/>
        <v>179</v>
      </c>
      <c r="CP624" s="6">
        <f t="shared" si="328"/>
        <v>258</v>
      </c>
      <c r="CQ624" s="6">
        <f t="shared" ref="CQ624:EM624" si="329">SUM(CQ414)</f>
        <v>0</v>
      </c>
      <c r="CR624" s="6">
        <f t="shared" si="329"/>
        <v>0</v>
      </c>
      <c r="CS624" s="6">
        <f t="shared" si="329"/>
        <v>0</v>
      </c>
      <c r="CT624" s="6">
        <f t="shared" si="329"/>
        <v>0</v>
      </c>
      <c r="CU624" s="6">
        <f t="shared" si="329"/>
        <v>0</v>
      </c>
      <c r="CV624" s="6">
        <f t="shared" si="329"/>
        <v>0</v>
      </c>
      <c r="CW624" s="6">
        <f t="shared" si="329"/>
        <v>0</v>
      </c>
      <c r="CX624" s="6">
        <f t="shared" si="329"/>
        <v>0</v>
      </c>
      <c r="CY624" s="6">
        <f t="shared" si="329"/>
        <v>0</v>
      </c>
      <c r="CZ624" s="6">
        <f t="shared" si="329"/>
        <v>0</v>
      </c>
      <c r="DA624" s="6">
        <f t="shared" si="329"/>
        <v>0</v>
      </c>
      <c r="DB624" s="6">
        <f t="shared" si="329"/>
        <v>0</v>
      </c>
      <c r="DC624" s="6">
        <f t="shared" si="329"/>
        <v>0</v>
      </c>
      <c r="DD624" s="6">
        <f t="shared" si="329"/>
        <v>0</v>
      </c>
      <c r="DE624" s="6">
        <f t="shared" si="329"/>
        <v>0</v>
      </c>
      <c r="DF624" s="6">
        <f t="shared" si="329"/>
        <v>0</v>
      </c>
      <c r="DG624" s="6">
        <f t="shared" si="329"/>
        <v>0</v>
      </c>
      <c r="DH624" s="6">
        <f t="shared" si="329"/>
        <v>0</v>
      </c>
      <c r="DI624" s="6">
        <f t="shared" si="329"/>
        <v>0</v>
      </c>
      <c r="DJ624" s="6">
        <f t="shared" si="329"/>
        <v>0</v>
      </c>
      <c r="DK624" s="6">
        <f t="shared" si="329"/>
        <v>0</v>
      </c>
      <c r="DL624" s="6">
        <f t="shared" si="329"/>
        <v>0</v>
      </c>
      <c r="DM624" s="6">
        <f t="shared" si="329"/>
        <v>0</v>
      </c>
      <c r="DN624" s="6">
        <f t="shared" si="329"/>
        <v>0</v>
      </c>
      <c r="DO624" s="6">
        <f t="shared" si="329"/>
        <v>0</v>
      </c>
      <c r="DP624" s="6">
        <f t="shared" si="329"/>
        <v>0</v>
      </c>
      <c r="DQ624" s="6">
        <f t="shared" si="329"/>
        <v>0</v>
      </c>
      <c r="DR624" s="6">
        <f t="shared" si="329"/>
        <v>0</v>
      </c>
      <c r="DS624" s="6">
        <f t="shared" si="329"/>
        <v>0</v>
      </c>
      <c r="DT624" s="6">
        <f t="shared" si="329"/>
        <v>0</v>
      </c>
      <c r="DU624" s="6">
        <f t="shared" si="329"/>
        <v>0</v>
      </c>
      <c r="DV624" s="6">
        <f t="shared" si="329"/>
        <v>0</v>
      </c>
      <c r="DW624" s="6">
        <f t="shared" si="329"/>
        <v>0</v>
      </c>
      <c r="DX624" s="6">
        <f t="shared" si="329"/>
        <v>0</v>
      </c>
      <c r="DY624" s="6">
        <f t="shared" si="329"/>
        <v>0</v>
      </c>
      <c r="DZ624" s="6">
        <f t="shared" si="329"/>
        <v>0</v>
      </c>
      <c r="EA624" s="6">
        <f t="shared" si="329"/>
        <v>0</v>
      </c>
      <c r="EB624" s="6">
        <f t="shared" si="329"/>
        <v>0</v>
      </c>
      <c r="EC624" s="6">
        <f t="shared" si="329"/>
        <v>0</v>
      </c>
      <c r="ED624" s="6">
        <f t="shared" si="329"/>
        <v>0</v>
      </c>
      <c r="EE624" s="6">
        <f t="shared" si="329"/>
        <v>0</v>
      </c>
      <c r="EF624" s="6">
        <f t="shared" si="329"/>
        <v>0</v>
      </c>
      <c r="EG624" s="6">
        <f t="shared" si="329"/>
        <v>0</v>
      </c>
      <c r="EH624" s="6">
        <f t="shared" si="329"/>
        <v>0</v>
      </c>
      <c r="EI624" s="6">
        <f t="shared" si="329"/>
        <v>0</v>
      </c>
      <c r="EJ624" s="6">
        <f t="shared" si="329"/>
        <v>0</v>
      </c>
      <c r="EK624" s="6">
        <f t="shared" si="329"/>
        <v>0</v>
      </c>
      <c r="EL624" s="6">
        <f t="shared" si="329"/>
        <v>0</v>
      </c>
      <c r="EM624" s="6">
        <f t="shared" si="329"/>
        <v>0</v>
      </c>
      <c r="EN624" s="6">
        <f t="shared" ref="EN624:GR624" si="330">SUM(EN414)</f>
        <v>0</v>
      </c>
      <c r="EO624" s="6">
        <f t="shared" si="330"/>
        <v>0</v>
      </c>
      <c r="EP624" s="6">
        <f t="shared" si="330"/>
        <v>0</v>
      </c>
      <c r="EQ624" s="6">
        <f t="shared" si="330"/>
        <v>0</v>
      </c>
      <c r="ER624" s="6">
        <f t="shared" si="330"/>
        <v>0</v>
      </c>
      <c r="ES624" s="6">
        <f t="shared" si="330"/>
        <v>0</v>
      </c>
      <c r="ET624" s="6">
        <f t="shared" si="330"/>
        <v>0</v>
      </c>
      <c r="EU624" s="6">
        <f t="shared" si="330"/>
        <v>0</v>
      </c>
      <c r="EV624" s="6">
        <f t="shared" si="330"/>
        <v>0</v>
      </c>
      <c r="EW624" s="6">
        <f t="shared" si="330"/>
        <v>0</v>
      </c>
      <c r="EX624" s="6">
        <f t="shared" si="330"/>
        <v>0</v>
      </c>
      <c r="EY624" s="6">
        <f t="shared" si="330"/>
        <v>0</v>
      </c>
      <c r="EZ624" s="6">
        <f t="shared" si="330"/>
        <v>0</v>
      </c>
      <c r="FA624" s="6">
        <f t="shared" si="330"/>
        <v>0</v>
      </c>
      <c r="FB624" s="6">
        <f t="shared" si="330"/>
        <v>0</v>
      </c>
      <c r="FC624" s="6">
        <f t="shared" si="330"/>
        <v>0</v>
      </c>
      <c r="FD624" s="6">
        <f t="shared" si="330"/>
        <v>0</v>
      </c>
      <c r="FE624" s="6">
        <f t="shared" si="330"/>
        <v>0</v>
      </c>
      <c r="FF624" s="6">
        <f t="shared" si="330"/>
        <v>0</v>
      </c>
      <c r="FG624" s="6">
        <f t="shared" si="330"/>
        <v>0</v>
      </c>
      <c r="FH624" s="6">
        <f t="shared" si="330"/>
        <v>0</v>
      </c>
      <c r="FI624" s="6">
        <f t="shared" si="330"/>
        <v>0</v>
      </c>
      <c r="FJ624" s="6">
        <f t="shared" si="330"/>
        <v>0</v>
      </c>
      <c r="FK624" s="6">
        <f t="shared" si="330"/>
        <v>0</v>
      </c>
      <c r="FL624" s="6">
        <f t="shared" si="330"/>
        <v>0</v>
      </c>
      <c r="FM624" s="6">
        <f t="shared" si="330"/>
        <v>0</v>
      </c>
      <c r="FN624" s="6">
        <f t="shared" si="330"/>
        <v>0</v>
      </c>
      <c r="FO624" s="6">
        <f t="shared" si="330"/>
        <v>0</v>
      </c>
      <c r="FP624" s="6">
        <f t="shared" si="330"/>
        <v>0</v>
      </c>
      <c r="FQ624" s="6">
        <f t="shared" si="330"/>
        <v>0</v>
      </c>
      <c r="FR624" s="6">
        <f t="shared" si="330"/>
        <v>0</v>
      </c>
      <c r="FS624" s="6">
        <f t="shared" si="330"/>
        <v>0</v>
      </c>
      <c r="FT624" s="6">
        <f t="shared" si="330"/>
        <v>0</v>
      </c>
      <c r="FU624" s="6">
        <f t="shared" si="330"/>
        <v>0</v>
      </c>
      <c r="FV624" s="6">
        <f t="shared" si="330"/>
        <v>0</v>
      </c>
      <c r="FW624" s="6">
        <f t="shared" si="330"/>
        <v>0</v>
      </c>
      <c r="FX624" s="6">
        <f t="shared" si="330"/>
        <v>0</v>
      </c>
      <c r="FY624" s="6">
        <f t="shared" si="330"/>
        <v>0</v>
      </c>
      <c r="FZ624" s="6">
        <f t="shared" si="330"/>
        <v>0</v>
      </c>
      <c r="GA624" s="6">
        <f t="shared" si="330"/>
        <v>0</v>
      </c>
      <c r="GB624" s="6">
        <f t="shared" si="330"/>
        <v>0</v>
      </c>
      <c r="GC624" s="6">
        <f t="shared" si="330"/>
        <v>0</v>
      </c>
      <c r="GD624" s="6">
        <f t="shared" si="330"/>
        <v>0</v>
      </c>
      <c r="GE624" s="6">
        <f t="shared" si="330"/>
        <v>0</v>
      </c>
      <c r="GF624" s="6">
        <f t="shared" si="330"/>
        <v>0</v>
      </c>
      <c r="GG624" s="6">
        <f t="shared" si="330"/>
        <v>343</v>
      </c>
      <c r="GH624" s="6">
        <f t="shared" si="330"/>
        <v>249</v>
      </c>
      <c r="GI624" s="6">
        <f t="shared" si="330"/>
        <v>0</v>
      </c>
      <c r="GJ624" s="6">
        <f t="shared" si="330"/>
        <v>0</v>
      </c>
      <c r="GK624" s="6">
        <f t="shared" si="330"/>
        <v>0</v>
      </c>
      <c r="GL624" s="6">
        <f t="shared" si="330"/>
        <v>0</v>
      </c>
      <c r="GM624" s="6">
        <f t="shared" si="330"/>
        <v>0</v>
      </c>
      <c r="GN624" s="6">
        <f t="shared" si="330"/>
        <v>0</v>
      </c>
      <c r="GO624" s="6">
        <f t="shared" si="330"/>
        <v>350</v>
      </c>
      <c r="GP624" s="6">
        <f t="shared" si="330"/>
        <v>233</v>
      </c>
      <c r="GQ624" s="6">
        <f t="shared" si="330"/>
        <v>364</v>
      </c>
      <c r="GR624" s="6">
        <f t="shared" si="330"/>
        <v>219</v>
      </c>
    </row>
    <row r="625" spans="1:200">
      <c r="A625" s="6"/>
      <c r="B625" s="16" t="s">
        <v>82</v>
      </c>
      <c r="C625" s="14">
        <f>SUM(C415:C417)</f>
        <v>2340</v>
      </c>
      <c r="D625" s="14">
        <f>SUM(D415:D417)</f>
        <v>1964</v>
      </c>
      <c r="E625" s="15">
        <f t="shared" si="28"/>
        <v>0.83931623931623933</v>
      </c>
      <c r="F625" s="66">
        <f t="shared" ref="F625:AB625" si="331">SUM(F415:F417)</f>
        <v>752</v>
      </c>
      <c r="G625" s="6">
        <f t="shared" si="331"/>
        <v>5</v>
      </c>
      <c r="H625" s="6">
        <f t="shared" si="331"/>
        <v>59</v>
      </c>
      <c r="I625" s="6">
        <f t="shared" si="331"/>
        <v>15</v>
      </c>
      <c r="J625" s="59">
        <f t="shared" si="331"/>
        <v>1079</v>
      </c>
      <c r="K625" s="6">
        <f t="shared" si="331"/>
        <v>0</v>
      </c>
      <c r="L625" s="6">
        <f t="shared" si="331"/>
        <v>0</v>
      </c>
      <c r="M625" s="6">
        <f t="shared" si="331"/>
        <v>3</v>
      </c>
      <c r="N625" s="6">
        <f t="shared" si="331"/>
        <v>0</v>
      </c>
      <c r="O625" s="6">
        <f t="shared" si="331"/>
        <v>0</v>
      </c>
      <c r="P625" s="6">
        <f t="shared" si="331"/>
        <v>0</v>
      </c>
      <c r="Q625" s="6">
        <f t="shared" si="331"/>
        <v>0</v>
      </c>
      <c r="R625" s="6">
        <f t="shared" si="331"/>
        <v>0</v>
      </c>
      <c r="S625" s="6">
        <f t="shared" si="331"/>
        <v>0</v>
      </c>
      <c r="T625" s="6">
        <f t="shared" si="331"/>
        <v>0</v>
      </c>
      <c r="U625" s="6">
        <f t="shared" si="331"/>
        <v>0</v>
      </c>
      <c r="V625" s="6">
        <f t="shared" si="331"/>
        <v>0</v>
      </c>
      <c r="W625" s="6">
        <f t="shared" si="331"/>
        <v>13</v>
      </c>
      <c r="X625" s="6">
        <f t="shared" si="331"/>
        <v>0</v>
      </c>
      <c r="Y625" s="6">
        <f t="shared" si="331"/>
        <v>0</v>
      </c>
      <c r="Z625" s="6">
        <f t="shared" si="331"/>
        <v>0</v>
      </c>
      <c r="AA625" s="6">
        <f t="shared" si="331"/>
        <v>0</v>
      </c>
      <c r="AB625" s="6">
        <f t="shared" si="331"/>
        <v>0</v>
      </c>
      <c r="AC625" s="6">
        <f t="shared" ref="AC625:BZ625" si="332">SUM(AC415:AC417)</f>
        <v>11</v>
      </c>
      <c r="AD625" s="6">
        <f t="shared" si="332"/>
        <v>22</v>
      </c>
      <c r="AE625" s="6">
        <f t="shared" si="332"/>
        <v>1353</v>
      </c>
      <c r="AF625" s="6">
        <f t="shared" si="332"/>
        <v>13</v>
      </c>
      <c r="AG625" s="6">
        <f t="shared" si="332"/>
        <v>0</v>
      </c>
      <c r="AH625" s="6">
        <f t="shared" si="332"/>
        <v>524</v>
      </c>
      <c r="AI625" s="6">
        <f t="shared" si="332"/>
        <v>1306</v>
      </c>
      <c r="AJ625" s="6">
        <f t="shared" si="332"/>
        <v>0</v>
      </c>
      <c r="AK625" s="6">
        <f t="shared" si="332"/>
        <v>0</v>
      </c>
      <c r="AL625" s="6">
        <f t="shared" si="332"/>
        <v>609</v>
      </c>
      <c r="AM625" s="6">
        <f t="shared" si="332"/>
        <v>0</v>
      </c>
      <c r="AN625" s="6">
        <f t="shared" si="332"/>
        <v>0</v>
      </c>
      <c r="AO625" s="6">
        <f t="shared" si="332"/>
        <v>0</v>
      </c>
      <c r="AP625" s="6">
        <f t="shared" si="332"/>
        <v>624</v>
      </c>
      <c r="AQ625" s="6">
        <f t="shared" si="332"/>
        <v>1186</v>
      </c>
      <c r="AR625" s="6">
        <f t="shared" si="332"/>
        <v>0</v>
      </c>
      <c r="AS625" s="6">
        <f t="shared" si="332"/>
        <v>0</v>
      </c>
      <c r="AT625" s="6">
        <f t="shared" si="332"/>
        <v>1293</v>
      </c>
      <c r="AU625" s="6">
        <f t="shared" si="332"/>
        <v>571</v>
      </c>
      <c r="AV625" s="6">
        <f t="shared" si="332"/>
        <v>0</v>
      </c>
      <c r="AW625" s="6">
        <f t="shared" si="332"/>
        <v>0</v>
      </c>
      <c r="AX625" s="6">
        <f t="shared" si="332"/>
        <v>0</v>
      </c>
      <c r="AY625" s="6">
        <f t="shared" si="332"/>
        <v>0</v>
      </c>
      <c r="AZ625" s="6">
        <f t="shared" si="332"/>
        <v>0</v>
      </c>
      <c r="BA625" s="6">
        <f t="shared" si="332"/>
        <v>0</v>
      </c>
      <c r="BB625" s="6">
        <f t="shared" si="332"/>
        <v>0</v>
      </c>
      <c r="BC625" s="6">
        <f t="shared" si="332"/>
        <v>0</v>
      </c>
      <c r="BD625" s="6">
        <f t="shared" si="332"/>
        <v>0</v>
      </c>
      <c r="BE625" s="6">
        <f t="shared" si="332"/>
        <v>1039</v>
      </c>
      <c r="BF625" s="6">
        <f t="shared" si="332"/>
        <v>813</v>
      </c>
      <c r="BG625" s="6">
        <f t="shared" si="332"/>
        <v>1214</v>
      </c>
      <c r="BH625" s="6">
        <f t="shared" si="332"/>
        <v>656</v>
      </c>
      <c r="BI625" s="6">
        <f t="shared" si="332"/>
        <v>1292</v>
      </c>
      <c r="BJ625" s="6">
        <f t="shared" si="332"/>
        <v>551</v>
      </c>
      <c r="BK625" s="6">
        <f t="shared" si="332"/>
        <v>729</v>
      </c>
      <c r="BL625" s="6">
        <f t="shared" si="332"/>
        <v>1117</v>
      </c>
      <c r="BM625" s="6">
        <f t="shared" si="332"/>
        <v>996</v>
      </c>
      <c r="BN625" s="6">
        <f t="shared" si="332"/>
        <v>822</v>
      </c>
      <c r="BO625" s="6">
        <f t="shared" si="332"/>
        <v>653</v>
      </c>
      <c r="BP625" s="6">
        <f t="shared" si="332"/>
        <v>1160</v>
      </c>
      <c r="BQ625" s="6">
        <f t="shared" si="332"/>
        <v>1310</v>
      </c>
      <c r="BR625" s="6">
        <f t="shared" si="332"/>
        <v>518</v>
      </c>
      <c r="BS625" s="6">
        <f t="shared" si="332"/>
        <v>1325</v>
      </c>
      <c r="BT625" s="6">
        <f t="shared" si="332"/>
        <v>890</v>
      </c>
      <c r="BU625" s="6">
        <f t="shared" si="332"/>
        <v>886</v>
      </c>
      <c r="BV625" s="6">
        <f t="shared" si="332"/>
        <v>1289</v>
      </c>
      <c r="BW625" s="6">
        <f t="shared" si="332"/>
        <v>976</v>
      </c>
      <c r="BX625" s="6">
        <f t="shared" si="332"/>
        <v>564</v>
      </c>
      <c r="BY625" s="6">
        <f t="shared" si="332"/>
        <v>1088</v>
      </c>
      <c r="BZ625" s="6">
        <f t="shared" si="332"/>
        <v>576</v>
      </c>
      <c r="CA625" s="6">
        <f t="shared" ref="CA625:CP625" si="333">SUM(CA415:CA417)</f>
        <v>1149</v>
      </c>
      <c r="CB625" s="6">
        <f t="shared" si="333"/>
        <v>976</v>
      </c>
      <c r="CC625" s="6">
        <f t="shared" si="333"/>
        <v>538</v>
      </c>
      <c r="CD625" s="6">
        <f t="shared" si="333"/>
        <v>1076</v>
      </c>
      <c r="CE625" s="6">
        <f t="shared" si="333"/>
        <v>558</v>
      </c>
      <c r="CF625" s="6">
        <f t="shared" si="333"/>
        <v>985</v>
      </c>
      <c r="CG625" s="6">
        <f t="shared" si="333"/>
        <v>957</v>
      </c>
      <c r="CH625" s="6">
        <f t="shared" si="333"/>
        <v>484</v>
      </c>
      <c r="CI625" s="6">
        <f t="shared" si="333"/>
        <v>382</v>
      </c>
      <c r="CJ625" s="6">
        <f t="shared" si="333"/>
        <v>1103</v>
      </c>
      <c r="CK625" s="6">
        <f t="shared" si="333"/>
        <v>923</v>
      </c>
      <c r="CL625" s="6">
        <f t="shared" si="333"/>
        <v>569</v>
      </c>
      <c r="CM625" s="6">
        <f t="shared" si="333"/>
        <v>1070</v>
      </c>
      <c r="CN625" s="6">
        <f t="shared" si="333"/>
        <v>1080</v>
      </c>
      <c r="CO625" s="6">
        <f t="shared" si="333"/>
        <v>515</v>
      </c>
      <c r="CP625" s="6">
        <f t="shared" si="333"/>
        <v>956</v>
      </c>
      <c r="CQ625" s="6">
        <f t="shared" ref="CQ625:EM625" si="334">SUM(CQ415:CQ417)</f>
        <v>0</v>
      </c>
      <c r="CR625" s="6">
        <f t="shared" si="334"/>
        <v>0</v>
      </c>
      <c r="CS625" s="6">
        <f t="shared" si="334"/>
        <v>0</v>
      </c>
      <c r="CT625" s="6">
        <f t="shared" si="334"/>
        <v>0</v>
      </c>
      <c r="CU625" s="6">
        <f t="shared" si="334"/>
        <v>0</v>
      </c>
      <c r="CV625" s="6">
        <f t="shared" si="334"/>
        <v>0</v>
      </c>
      <c r="CW625" s="6">
        <f t="shared" si="334"/>
        <v>0</v>
      </c>
      <c r="CX625" s="6">
        <f t="shared" si="334"/>
        <v>0</v>
      </c>
      <c r="CY625" s="6">
        <f t="shared" si="334"/>
        <v>0</v>
      </c>
      <c r="CZ625" s="6">
        <f t="shared" si="334"/>
        <v>0</v>
      </c>
      <c r="DA625" s="6">
        <f t="shared" si="334"/>
        <v>0</v>
      </c>
      <c r="DB625" s="6">
        <f t="shared" si="334"/>
        <v>0</v>
      </c>
      <c r="DC625" s="6">
        <f t="shared" si="334"/>
        <v>0</v>
      </c>
      <c r="DD625" s="6">
        <f t="shared" si="334"/>
        <v>0</v>
      </c>
      <c r="DE625" s="6">
        <f t="shared" si="334"/>
        <v>0</v>
      </c>
      <c r="DF625" s="6">
        <f t="shared" si="334"/>
        <v>0</v>
      </c>
      <c r="DG625" s="6">
        <f t="shared" si="334"/>
        <v>0</v>
      </c>
      <c r="DH625" s="6">
        <f t="shared" si="334"/>
        <v>0</v>
      </c>
      <c r="DI625" s="6">
        <f t="shared" si="334"/>
        <v>0</v>
      </c>
      <c r="DJ625" s="6">
        <f t="shared" si="334"/>
        <v>0</v>
      </c>
      <c r="DK625" s="6">
        <f t="shared" si="334"/>
        <v>0</v>
      </c>
      <c r="DL625" s="6">
        <f t="shared" si="334"/>
        <v>0</v>
      </c>
      <c r="DM625" s="6">
        <f t="shared" si="334"/>
        <v>1136</v>
      </c>
      <c r="DN625" s="6">
        <f t="shared" si="334"/>
        <v>612</v>
      </c>
      <c r="DO625" s="6">
        <f t="shared" si="334"/>
        <v>1596</v>
      </c>
      <c r="DP625" s="6">
        <f t="shared" si="334"/>
        <v>192</v>
      </c>
      <c r="DQ625" s="6">
        <f t="shared" si="334"/>
        <v>1407</v>
      </c>
      <c r="DR625" s="6">
        <f t="shared" si="334"/>
        <v>329</v>
      </c>
      <c r="DS625" s="6">
        <f t="shared" si="334"/>
        <v>1409</v>
      </c>
      <c r="DT625" s="6">
        <f t="shared" si="334"/>
        <v>324</v>
      </c>
      <c r="DU625" s="6">
        <f t="shared" si="334"/>
        <v>1398</v>
      </c>
      <c r="DV625" s="6">
        <f t="shared" si="334"/>
        <v>300</v>
      </c>
      <c r="DW625" s="6">
        <f t="shared" si="334"/>
        <v>947</v>
      </c>
      <c r="DX625" s="6">
        <f t="shared" si="334"/>
        <v>791</v>
      </c>
      <c r="DY625" s="6">
        <f t="shared" si="334"/>
        <v>0</v>
      </c>
      <c r="DZ625" s="6">
        <f t="shared" si="334"/>
        <v>0</v>
      </c>
      <c r="EA625" s="6">
        <f t="shared" si="334"/>
        <v>0</v>
      </c>
      <c r="EB625" s="6">
        <f t="shared" si="334"/>
        <v>0</v>
      </c>
      <c r="EC625" s="6">
        <f t="shared" si="334"/>
        <v>0</v>
      </c>
      <c r="ED625" s="6">
        <f t="shared" si="334"/>
        <v>0</v>
      </c>
      <c r="EE625" s="6">
        <f t="shared" si="334"/>
        <v>0</v>
      </c>
      <c r="EF625" s="6">
        <f t="shared" si="334"/>
        <v>0</v>
      </c>
      <c r="EG625" s="6">
        <f t="shared" si="334"/>
        <v>0</v>
      </c>
      <c r="EH625" s="6">
        <f t="shared" si="334"/>
        <v>0</v>
      </c>
      <c r="EI625" s="6">
        <f t="shared" si="334"/>
        <v>0</v>
      </c>
      <c r="EJ625" s="6">
        <f t="shared" si="334"/>
        <v>0</v>
      </c>
      <c r="EK625" s="6">
        <f t="shared" si="334"/>
        <v>0</v>
      </c>
      <c r="EL625" s="6">
        <f t="shared" si="334"/>
        <v>0</v>
      </c>
      <c r="EM625" s="6">
        <f t="shared" si="334"/>
        <v>0</v>
      </c>
      <c r="EN625" s="6">
        <f t="shared" ref="EN625:GR625" si="335">SUM(EN415:EN417)</f>
        <v>0</v>
      </c>
      <c r="EO625" s="6">
        <f t="shared" si="335"/>
        <v>0</v>
      </c>
      <c r="EP625" s="6">
        <f t="shared" si="335"/>
        <v>0</v>
      </c>
      <c r="EQ625" s="6">
        <f t="shared" si="335"/>
        <v>0</v>
      </c>
      <c r="ER625" s="6">
        <f t="shared" si="335"/>
        <v>0</v>
      </c>
      <c r="ES625" s="6">
        <f t="shared" si="335"/>
        <v>0</v>
      </c>
      <c r="ET625" s="6">
        <f t="shared" si="335"/>
        <v>0</v>
      </c>
      <c r="EU625" s="6">
        <f t="shared" si="335"/>
        <v>0</v>
      </c>
      <c r="EV625" s="6">
        <f t="shared" si="335"/>
        <v>0</v>
      </c>
      <c r="EW625" s="6">
        <f t="shared" si="335"/>
        <v>0</v>
      </c>
      <c r="EX625" s="6">
        <f t="shared" si="335"/>
        <v>0</v>
      </c>
      <c r="EY625" s="6">
        <f t="shared" si="335"/>
        <v>0</v>
      </c>
      <c r="EZ625" s="6">
        <f t="shared" si="335"/>
        <v>0</v>
      </c>
      <c r="FA625" s="6">
        <f t="shared" si="335"/>
        <v>0</v>
      </c>
      <c r="FB625" s="6">
        <f t="shared" si="335"/>
        <v>0</v>
      </c>
      <c r="FC625" s="6">
        <f t="shared" si="335"/>
        <v>0</v>
      </c>
      <c r="FD625" s="6">
        <f t="shared" si="335"/>
        <v>0</v>
      </c>
      <c r="FE625" s="6">
        <f t="shared" si="335"/>
        <v>0</v>
      </c>
      <c r="FF625" s="6">
        <f t="shared" si="335"/>
        <v>0</v>
      </c>
      <c r="FG625" s="6">
        <f t="shared" si="335"/>
        <v>0</v>
      </c>
      <c r="FH625" s="6">
        <f t="shared" si="335"/>
        <v>0</v>
      </c>
      <c r="FI625" s="6">
        <f t="shared" si="335"/>
        <v>0</v>
      </c>
      <c r="FJ625" s="6">
        <f t="shared" si="335"/>
        <v>0</v>
      </c>
      <c r="FK625" s="6">
        <f t="shared" si="335"/>
        <v>0</v>
      </c>
      <c r="FL625" s="6">
        <f t="shared" si="335"/>
        <v>0</v>
      </c>
      <c r="FM625" s="6">
        <f t="shared" si="335"/>
        <v>0</v>
      </c>
      <c r="FN625" s="6">
        <f t="shared" si="335"/>
        <v>0</v>
      </c>
      <c r="FO625" s="6">
        <f t="shared" si="335"/>
        <v>0</v>
      </c>
      <c r="FP625" s="6">
        <f t="shared" si="335"/>
        <v>0</v>
      </c>
      <c r="FQ625" s="6">
        <f t="shared" si="335"/>
        <v>0</v>
      </c>
      <c r="FR625" s="6">
        <f t="shared" si="335"/>
        <v>0</v>
      </c>
      <c r="FS625" s="6">
        <f t="shared" si="335"/>
        <v>0</v>
      </c>
      <c r="FT625" s="6">
        <f t="shared" si="335"/>
        <v>0</v>
      </c>
      <c r="FU625" s="6">
        <f t="shared" si="335"/>
        <v>0</v>
      </c>
      <c r="FV625" s="6">
        <f t="shared" si="335"/>
        <v>0</v>
      </c>
      <c r="FW625" s="6">
        <f t="shared" si="335"/>
        <v>0</v>
      </c>
      <c r="FX625" s="6">
        <f t="shared" si="335"/>
        <v>0</v>
      </c>
      <c r="FY625" s="6">
        <f t="shared" si="335"/>
        <v>0</v>
      </c>
      <c r="FZ625" s="6">
        <f t="shared" si="335"/>
        <v>0</v>
      </c>
      <c r="GA625" s="6">
        <f t="shared" si="335"/>
        <v>0</v>
      </c>
      <c r="GB625" s="6">
        <f t="shared" si="335"/>
        <v>0</v>
      </c>
      <c r="GC625" s="6">
        <f t="shared" si="335"/>
        <v>0</v>
      </c>
      <c r="GD625" s="6">
        <f t="shared" si="335"/>
        <v>0</v>
      </c>
      <c r="GE625" s="6">
        <f t="shared" si="335"/>
        <v>0</v>
      </c>
      <c r="GF625" s="6">
        <f t="shared" si="335"/>
        <v>0</v>
      </c>
      <c r="GG625" s="6">
        <f t="shared" si="335"/>
        <v>0</v>
      </c>
      <c r="GH625" s="6">
        <f t="shared" si="335"/>
        <v>0</v>
      </c>
      <c r="GI625" s="6">
        <f t="shared" si="335"/>
        <v>141</v>
      </c>
      <c r="GJ625" s="6">
        <f t="shared" si="335"/>
        <v>50</v>
      </c>
      <c r="GK625" s="6">
        <f t="shared" si="335"/>
        <v>0</v>
      </c>
      <c r="GL625" s="6">
        <f t="shared" si="335"/>
        <v>0</v>
      </c>
      <c r="GM625" s="6">
        <f t="shared" si="335"/>
        <v>0</v>
      </c>
      <c r="GN625" s="6">
        <f t="shared" si="335"/>
        <v>0</v>
      </c>
      <c r="GO625" s="6">
        <f t="shared" si="335"/>
        <v>1343</v>
      </c>
      <c r="GP625" s="6">
        <f t="shared" si="335"/>
        <v>544</v>
      </c>
      <c r="GQ625" s="6">
        <f t="shared" si="335"/>
        <v>1363</v>
      </c>
      <c r="GR625" s="6">
        <f t="shared" si="335"/>
        <v>522</v>
      </c>
    </row>
    <row r="626" spans="1:200">
      <c r="A626" s="6"/>
      <c r="B626" s="16" t="s">
        <v>83</v>
      </c>
      <c r="C626" s="14">
        <f>SUM(C418)</f>
        <v>1235</v>
      </c>
      <c r="D626" s="14">
        <f>SUM(D418)</f>
        <v>927</v>
      </c>
      <c r="E626" s="15">
        <f t="shared" si="28"/>
        <v>0.75060728744939276</v>
      </c>
      <c r="F626" s="66">
        <f t="shared" ref="F626:AB626" si="336">SUM(F418)</f>
        <v>357</v>
      </c>
      <c r="G626" s="6">
        <f t="shared" si="336"/>
        <v>2</v>
      </c>
      <c r="H626" s="6">
        <f t="shared" si="336"/>
        <v>35</v>
      </c>
      <c r="I626" s="6">
        <f t="shared" si="336"/>
        <v>10</v>
      </c>
      <c r="J626" s="59">
        <f t="shared" si="336"/>
        <v>496</v>
      </c>
      <c r="K626" s="6">
        <f t="shared" si="336"/>
        <v>0</v>
      </c>
      <c r="L626" s="6">
        <f t="shared" si="336"/>
        <v>0</v>
      </c>
      <c r="M626" s="6">
        <f t="shared" si="336"/>
        <v>0</v>
      </c>
      <c r="N626" s="6">
        <f t="shared" si="336"/>
        <v>0</v>
      </c>
      <c r="O626" s="6">
        <f t="shared" si="336"/>
        <v>0</v>
      </c>
      <c r="P626" s="6">
        <f t="shared" si="336"/>
        <v>0</v>
      </c>
      <c r="Q626" s="6">
        <f t="shared" si="336"/>
        <v>0</v>
      </c>
      <c r="R626" s="6">
        <f t="shared" si="336"/>
        <v>0</v>
      </c>
      <c r="S626" s="6">
        <f t="shared" si="336"/>
        <v>0</v>
      </c>
      <c r="T626" s="6">
        <f t="shared" si="336"/>
        <v>0</v>
      </c>
      <c r="U626" s="6">
        <f t="shared" si="336"/>
        <v>0</v>
      </c>
      <c r="V626" s="6">
        <f t="shared" si="336"/>
        <v>0</v>
      </c>
      <c r="W626" s="6">
        <f t="shared" si="336"/>
        <v>4</v>
      </c>
      <c r="X626" s="6">
        <f t="shared" si="336"/>
        <v>0</v>
      </c>
      <c r="Y626" s="6">
        <f t="shared" si="336"/>
        <v>0</v>
      </c>
      <c r="Z626" s="6">
        <f t="shared" si="336"/>
        <v>0</v>
      </c>
      <c r="AA626" s="6">
        <f t="shared" si="336"/>
        <v>0</v>
      </c>
      <c r="AB626" s="6">
        <f t="shared" si="336"/>
        <v>0</v>
      </c>
      <c r="AC626" s="6">
        <f t="shared" ref="AC626:BZ626" si="337">SUM(AC418)</f>
        <v>10</v>
      </c>
      <c r="AD626" s="6">
        <f t="shared" si="337"/>
        <v>16</v>
      </c>
      <c r="AE626" s="6">
        <f t="shared" si="337"/>
        <v>590</v>
      </c>
      <c r="AF626" s="6">
        <f t="shared" si="337"/>
        <v>9</v>
      </c>
      <c r="AG626" s="6">
        <f t="shared" si="337"/>
        <v>0</v>
      </c>
      <c r="AH626" s="6">
        <f t="shared" si="337"/>
        <v>261</v>
      </c>
      <c r="AI626" s="6">
        <f t="shared" si="337"/>
        <v>0</v>
      </c>
      <c r="AJ626" s="6">
        <f t="shared" si="337"/>
        <v>0</v>
      </c>
      <c r="AK626" s="6">
        <f t="shared" si="337"/>
        <v>0</v>
      </c>
      <c r="AL626" s="6">
        <f t="shared" si="337"/>
        <v>0</v>
      </c>
      <c r="AM626" s="6">
        <f t="shared" si="337"/>
        <v>38</v>
      </c>
      <c r="AN626" s="6">
        <f t="shared" si="337"/>
        <v>267</v>
      </c>
      <c r="AO626" s="6">
        <f t="shared" si="337"/>
        <v>548</v>
      </c>
      <c r="AP626" s="6">
        <f t="shared" si="337"/>
        <v>0</v>
      </c>
      <c r="AQ626" s="6">
        <f t="shared" si="337"/>
        <v>0</v>
      </c>
      <c r="AR626" s="6">
        <f t="shared" si="337"/>
        <v>548</v>
      </c>
      <c r="AS626" s="6">
        <f t="shared" si="337"/>
        <v>290</v>
      </c>
      <c r="AT626" s="6">
        <f t="shared" si="337"/>
        <v>0</v>
      </c>
      <c r="AU626" s="6">
        <f t="shared" si="337"/>
        <v>0</v>
      </c>
      <c r="AV626" s="6">
        <f t="shared" si="337"/>
        <v>0</v>
      </c>
      <c r="AW626" s="6">
        <f t="shared" si="337"/>
        <v>0</v>
      </c>
      <c r="AX626" s="6">
        <f t="shared" si="337"/>
        <v>0</v>
      </c>
      <c r="AY626" s="6">
        <f t="shared" si="337"/>
        <v>0</v>
      </c>
      <c r="AZ626" s="6">
        <f t="shared" si="337"/>
        <v>0</v>
      </c>
      <c r="BA626" s="6">
        <f t="shared" si="337"/>
        <v>0</v>
      </c>
      <c r="BB626" s="6">
        <f t="shared" si="337"/>
        <v>0</v>
      </c>
      <c r="BC626" s="6">
        <f t="shared" si="337"/>
        <v>0</v>
      </c>
      <c r="BD626" s="6">
        <f t="shared" si="337"/>
        <v>0</v>
      </c>
      <c r="BE626" s="6">
        <f t="shared" si="337"/>
        <v>424</v>
      </c>
      <c r="BF626" s="6">
        <f t="shared" si="337"/>
        <v>411</v>
      </c>
      <c r="BG626" s="6">
        <f t="shared" si="337"/>
        <v>523</v>
      </c>
      <c r="BH626" s="6">
        <f t="shared" si="337"/>
        <v>326</v>
      </c>
      <c r="BI626" s="6">
        <f t="shared" si="337"/>
        <v>542</v>
      </c>
      <c r="BJ626" s="6">
        <f t="shared" si="337"/>
        <v>298</v>
      </c>
      <c r="BK626" s="6">
        <f t="shared" si="337"/>
        <v>382</v>
      </c>
      <c r="BL626" s="6">
        <f t="shared" si="337"/>
        <v>459</v>
      </c>
      <c r="BM626" s="6">
        <f t="shared" si="337"/>
        <v>375</v>
      </c>
      <c r="BN626" s="6">
        <f t="shared" si="337"/>
        <v>460</v>
      </c>
      <c r="BO626" s="6">
        <f t="shared" si="337"/>
        <v>312</v>
      </c>
      <c r="BP626" s="6">
        <f t="shared" si="337"/>
        <v>503</v>
      </c>
      <c r="BQ626" s="6">
        <f t="shared" si="337"/>
        <v>541</v>
      </c>
      <c r="BR626" s="6">
        <f t="shared" si="337"/>
        <v>274</v>
      </c>
      <c r="BS626" s="6">
        <f t="shared" si="337"/>
        <v>576</v>
      </c>
      <c r="BT626" s="6">
        <f t="shared" si="337"/>
        <v>379</v>
      </c>
      <c r="BU626" s="6">
        <f t="shared" si="337"/>
        <v>445</v>
      </c>
      <c r="BV626" s="6">
        <f t="shared" si="337"/>
        <v>549</v>
      </c>
      <c r="BW626" s="6">
        <f t="shared" si="337"/>
        <v>366</v>
      </c>
      <c r="BX626" s="6">
        <f t="shared" si="337"/>
        <v>288</v>
      </c>
      <c r="BY626" s="6">
        <f t="shared" si="337"/>
        <v>454</v>
      </c>
      <c r="BZ626" s="6">
        <f t="shared" si="337"/>
        <v>272</v>
      </c>
      <c r="CA626" s="6">
        <f t="shared" ref="CA626:CP626" si="338">SUM(CA418)</f>
        <v>492</v>
      </c>
      <c r="CB626" s="6">
        <f t="shared" si="338"/>
        <v>394</v>
      </c>
      <c r="CC626" s="6">
        <f t="shared" si="338"/>
        <v>269</v>
      </c>
      <c r="CD626" s="6">
        <f t="shared" si="338"/>
        <v>494</v>
      </c>
      <c r="CE626" s="6">
        <f t="shared" si="338"/>
        <v>311</v>
      </c>
      <c r="CF626" s="6">
        <f t="shared" si="338"/>
        <v>353</v>
      </c>
      <c r="CG626" s="6">
        <f t="shared" si="338"/>
        <v>387</v>
      </c>
      <c r="CH626" s="6">
        <f t="shared" si="338"/>
        <v>246</v>
      </c>
      <c r="CI626" s="6">
        <f t="shared" si="338"/>
        <v>186</v>
      </c>
      <c r="CJ626" s="6">
        <f t="shared" si="338"/>
        <v>464</v>
      </c>
      <c r="CK626" s="6">
        <f t="shared" si="338"/>
        <v>342</v>
      </c>
      <c r="CL626" s="6">
        <f t="shared" si="338"/>
        <v>291</v>
      </c>
      <c r="CM626" s="6">
        <f t="shared" si="338"/>
        <v>476</v>
      </c>
      <c r="CN626" s="6">
        <f t="shared" si="338"/>
        <v>473</v>
      </c>
      <c r="CO626" s="6">
        <f t="shared" si="338"/>
        <v>262</v>
      </c>
      <c r="CP626" s="6">
        <f t="shared" si="338"/>
        <v>384</v>
      </c>
      <c r="CQ626" s="6">
        <f t="shared" ref="CQ626:EM626" si="339">SUM(CQ418)</f>
        <v>0</v>
      </c>
      <c r="CR626" s="6">
        <f t="shared" si="339"/>
        <v>0</v>
      </c>
      <c r="CS626" s="6">
        <f t="shared" si="339"/>
        <v>0</v>
      </c>
      <c r="CT626" s="6">
        <f t="shared" si="339"/>
        <v>0</v>
      </c>
      <c r="CU626" s="6">
        <f t="shared" si="339"/>
        <v>0</v>
      </c>
      <c r="CV626" s="6">
        <f t="shared" si="339"/>
        <v>0</v>
      </c>
      <c r="CW626" s="6">
        <f t="shared" si="339"/>
        <v>0</v>
      </c>
      <c r="CX626" s="6">
        <f t="shared" si="339"/>
        <v>0</v>
      </c>
      <c r="CY626" s="6">
        <f t="shared" si="339"/>
        <v>0</v>
      </c>
      <c r="CZ626" s="6">
        <f t="shared" si="339"/>
        <v>0</v>
      </c>
      <c r="DA626" s="6">
        <f t="shared" si="339"/>
        <v>0</v>
      </c>
      <c r="DB626" s="6">
        <f t="shared" si="339"/>
        <v>0</v>
      </c>
      <c r="DC626" s="6">
        <f t="shared" si="339"/>
        <v>0</v>
      </c>
      <c r="DD626" s="6">
        <f t="shared" si="339"/>
        <v>0</v>
      </c>
      <c r="DE626" s="6">
        <f t="shared" si="339"/>
        <v>0</v>
      </c>
      <c r="DF626" s="6">
        <f t="shared" si="339"/>
        <v>0</v>
      </c>
      <c r="DG626" s="6">
        <f t="shared" si="339"/>
        <v>0</v>
      </c>
      <c r="DH626" s="6">
        <f t="shared" si="339"/>
        <v>0</v>
      </c>
      <c r="DI626" s="6">
        <f t="shared" si="339"/>
        <v>0</v>
      </c>
      <c r="DJ626" s="6">
        <f t="shared" si="339"/>
        <v>0</v>
      </c>
      <c r="DK626" s="6">
        <f t="shared" si="339"/>
        <v>0</v>
      </c>
      <c r="DL626" s="6">
        <f t="shared" si="339"/>
        <v>0</v>
      </c>
      <c r="DM626" s="6">
        <f t="shared" si="339"/>
        <v>0</v>
      </c>
      <c r="DN626" s="6">
        <f t="shared" si="339"/>
        <v>0</v>
      </c>
      <c r="DO626" s="6">
        <f t="shared" si="339"/>
        <v>0</v>
      </c>
      <c r="DP626" s="6">
        <f t="shared" si="339"/>
        <v>0</v>
      </c>
      <c r="DQ626" s="6">
        <f t="shared" si="339"/>
        <v>0</v>
      </c>
      <c r="DR626" s="6">
        <f t="shared" si="339"/>
        <v>0</v>
      </c>
      <c r="DS626" s="6">
        <f t="shared" si="339"/>
        <v>0</v>
      </c>
      <c r="DT626" s="6">
        <f t="shared" si="339"/>
        <v>0</v>
      </c>
      <c r="DU626" s="6">
        <f t="shared" si="339"/>
        <v>0</v>
      </c>
      <c r="DV626" s="6">
        <f t="shared" si="339"/>
        <v>0</v>
      </c>
      <c r="DW626" s="6">
        <f t="shared" si="339"/>
        <v>0</v>
      </c>
      <c r="DX626" s="6">
        <f t="shared" si="339"/>
        <v>0</v>
      </c>
      <c r="DY626" s="6">
        <f t="shared" si="339"/>
        <v>448</v>
      </c>
      <c r="DZ626" s="6">
        <f t="shared" si="339"/>
        <v>427</v>
      </c>
      <c r="EA626" s="6">
        <f t="shared" si="339"/>
        <v>0</v>
      </c>
      <c r="EB626" s="6">
        <f t="shared" si="339"/>
        <v>0</v>
      </c>
      <c r="EC626" s="6">
        <f t="shared" si="339"/>
        <v>0</v>
      </c>
      <c r="ED626" s="6">
        <f t="shared" si="339"/>
        <v>0</v>
      </c>
      <c r="EE626" s="6">
        <f t="shared" si="339"/>
        <v>0</v>
      </c>
      <c r="EF626" s="6">
        <f t="shared" si="339"/>
        <v>0</v>
      </c>
      <c r="EG626" s="6">
        <f t="shared" si="339"/>
        <v>0</v>
      </c>
      <c r="EH626" s="6">
        <f t="shared" si="339"/>
        <v>0</v>
      </c>
      <c r="EI626" s="6">
        <f t="shared" si="339"/>
        <v>0</v>
      </c>
      <c r="EJ626" s="6">
        <f t="shared" si="339"/>
        <v>0</v>
      </c>
      <c r="EK626" s="6">
        <f t="shared" si="339"/>
        <v>0</v>
      </c>
      <c r="EL626" s="6">
        <f t="shared" si="339"/>
        <v>0</v>
      </c>
      <c r="EM626" s="6">
        <f t="shared" si="339"/>
        <v>0</v>
      </c>
      <c r="EN626" s="6">
        <f t="shared" ref="EN626:GR626" si="340">SUM(EN418)</f>
        <v>0</v>
      </c>
      <c r="EO626" s="6">
        <f t="shared" si="340"/>
        <v>0</v>
      </c>
      <c r="EP626" s="6">
        <f t="shared" si="340"/>
        <v>0</v>
      </c>
      <c r="EQ626" s="6">
        <f t="shared" si="340"/>
        <v>0</v>
      </c>
      <c r="ER626" s="6">
        <f t="shared" si="340"/>
        <v>0</v>
      </c>
      <c r="ES626" s="6">
        <f t="shared" si="340"/>
        <v>0</v>
      </c>
      <c r="ET626" s="6">
        <f t="shared" si="340"/>
        <v>0</v>
      </c>
      <c r="EU626" s="6">
        <f t="shared" si="340"/>
        <v>0</v>
      </c>
      <c r="EV626" s="6">
        <f t="shared" si="340"/>
        <v>0</v>
      </c>
      <c r="EW626" s="6">
        <f t="shared" si="340"/>
        <v>0</v>
      </c>
      <c r="EX626" s="6">
        <f t="shared" si="340"/>
        <v>0</v>
      </c>
      <c r="EY626" s="6">
        <f t="shared" si="340"/>
        <v>0</v>
      </c>
      <c r="EZ626" s="6">
        <f t="shared" si="340"/>
        <v>0</v>
      </c>
      <c r="FA626" s="6">
        <f t="shared" si="340"/>
        <v>0</v>
      </c>
      <c r="FB626" s="6">
        <f t="shared" si="340"/>
        <v>0</v>
      </c>
      <c r="FC626" s="6">
        <f t="shared" si="340"/>
        <v>0</v>
      </c>
      <c r="FD626" s="6">
        <f t="shared" si="340"/>
        <v>0</v>
      </c>
      <c r="FE626" s="6">
        <f t="shared" si="340"/>
        <v>0</v>
      </c>
      <c r="FF626" s="6">
        <f t="shared" si="340"/>
        <v>0</v>
      </c>
      <c r="FG626" s="6">
        <f t="shared" si="340"/>
        <v>0</v>
      </c>
      <c r="FH626" s="6">
        <f t="shared" si="340"/>
        <v>0</v>
      </c>
      <c r="FI626" s="6">
        <f t="shared" si="340"/>
        <v>0</v>
      </c>
      <c r="FJ626" s="6">
        <f t="shared" si="340"/>
        <v>0</v>
      </c>
      <c r="FK626" s="6">
        <f t="shared" si="340"/>
        <v>0</v>
      </c>
      <c r="FL626" s="6">
        <f t="shared" si="340"/>
        <v>0</v>
      </c>
      <c r="FM626" s="6">
        <f t="shared" si="340"/>
        <v>0</v>
      </c>
      <c r="FN626" s="6">
        <f t="shared" si="340"/>
        <v>0</v>
      </c>
      <c r="FO626" s="6">
        <f t="shared" si="340"/>
        <v>0</v>
      </c>
      <c r="FP626" s="6">
        <f t="shared" si="340"/>
        <v>0</v>
      </c>
      <c r="FQ626" s="6">
        <f t="shared" si="340"/>
        <v>0</v>
      </c>
      <c r="FR626" s="6">
        <f t="shared" si="340"/>
        <v>0</v>
      </c>
      <c r="FS626" s="6">
        <f t="shared" si="340"/>
        <v>0</v>
      </c>
      <c r="FT626" s="6">
        <f t="shared" si="340"/>
        <v>0</v>
      </c>
      <c r="FU626" s="6">
        <f t="shared" si="340"/>
        <v>0</v>
      </c>
      <c r="FV626" s="6">
        <f t="shared" si="340"/>
        <v>0</v>
      </c>
      <c r="FW626" s="6">
        <f t="shared" si="340"/>
        <v>0</v>
      </c>
      <c r="FX626" s="6">
        <f t="shared" si="340"/>
        <v>0</v>
      </c>
      <c r="FY626" s="6">
        <f t="shared" si="340"/>
        <v>0</v>
      </c>
      <c r="FZ626" s="6">
        <f t="shared" si="340"/>
        <v>0</v>
      </c>
      <c r="GA626" s="6">
        <f t="shared" si="340"/>
        <v>0</v>
      </c>
      <c r="GB626" s="6">
        <f t="shared" si="340"/>
        <v>0</v>
      </c>
      <c r="GC626" s="6">
        <f t="shared" si="340"/>
        <v>0</v>
      </c>
      <c r="GD626" s="6">
        <f t="shared" si="340"/>
        <v>0</v>
      </c>
      <c r="GE626" s="6">
        <f t="shared" si="340"/>
        <v>0</v>
      </c>
      <c r="GF626" s="6">
        <f t="shared" si="340"/>
        <v>0</v>
      </c>
      <c r="GG626" s="6">
        <f t="shared" si="340"/>
        <v>0</v>
      </c>
      <c r="GH626" s="6">
        <f t="shared" si="340"/>
        <v>0</v>
      </c>
      <c r="GI626" s="6">
        <f t="shared" si="340"/>
        <v>0</v>
      </c>
      <c r="GJ626" s="6">
        <f t="shared" si="340"/>
        <v>0</v>
      </c>
      <c r="GK626" s="6">
        <f t="shared" si="340"/>
        <v>0</v>
      </c>
      <c r="GL626" s="6">
        <f t="shared" si="340"/>
        <v>0</v>
      </c>
      <c r="GM626" s="6">
        <f t="shared" si="340"/>
        <v>0</v>
      </c>
      <c r="GN626" s="6">
        <f t="shared" si="340"/>
        <v>0</v>
      </c>
      <c r="GO626" s="6">
        <f t="shared" si="340"/>
        <v>599</v>
      </c>
      <c r="GP626" s="6">
        <f t="shared" si="340"/>
        <v>287</v>
      </c>
      <c r="GQ626" s="6">
        <f t="shared" si="340"/>
        <v>576</v>
      </c>
      <c r="GR626" s="6">
        <f t="shared" si="340"/>
        <v>303</v>
      </c>
    </row>
    <row r="627" spans="1:200">
      <c r="A627" s="6"/>
      <c r="B627" s="16" t="s">
        <v>39</v>
      </c>
      <c r="C627" s="14">
        <f>SUM(C419:C420)</f>
        <v>1917</v>
      </c>
      <c r="D627" s="14">
        <f>SUM(D419:D420)</f>
        <v>1613</v>
      </c>
      <c r="E627" s="15">
        <f t="shared" si="28"/>
        <v>0.8414188836724048</v>
      </c>
      <c r="F627" s="66">
        <f t="shared" ref="F627:AB627" si="341">SUM(F419:F420)</f>
        <v>734</v>
      </c>
      <c r="G627" s="6">
        <f t="shared" si="341"/>
        <v>7</v>
      </c>
      <c r="H627" s="6">
        <f t="shared" si="341"/>
        <v>43</v>
      </c>
      <c r="I627" s="6">
        <f t="shared" si="341"/>
        <v>9</v>
      </c>
      <c r="J627" s="59">
        <f t="shared" si="341"/>
        <v>780</v>
      </c>
      <c r="K627" s="6">
        <f t="shared" si="341"/>
        <v>0</v>
      </c>
      <c r="L627" s="6">
        <f t="shared" si="341"/>
        <v>0</v>
      </c>
      <c r="M627" s="6">
        <f t="shared" si="341"/>
        <v>0</v>
      </c>
      <c r="N627" s="6">
        <f t="shared" si="341"/>
        <v>0</v>
      </c>
      <c r="O627" s="6">
        <f t="shared" si="341"/>
        <v>0</v>
      </c>
      <c r="P627" s="6">
        <f t="shared" si="341"/>
        <v>0</v>
      </c>
      <c r="Q627" s="6">
        <f t="shared" si="341"/>
        <v>0</v>
      </c>
      <c r="R627" s="6">
        <f t="shared" si="341"/>
        <v>0</v>
      </c>
      <c r="S627" s="6">
        <f t="shared" si="341"/>
        <v>0</v>
      </c>
      <c r="T627" s="6">
        <f t="shared" si="341"/>
        <v>0</v>
      </c>
      <c r="U627" s="6">
        <f t="shared" si="341"/>
        <v>0</v>
      </c>
      <c r="V627" s="6">
        <f t="shared" si="341"/>
        <v>0</v>
      </c>
      <c r="W627" s="6">
        <f t="shared" si="341"/>
        <v>11</v>
      </c>
      <c r="X627" s="6">
        <f t="shared" si="341"/>
        <v>0</v>
      </c>
      <c r="Y627" s="6">
        <f t="shared" si="341"/>
        <v>0</v>
      </c>
      <c r="Z627" s="6">
        <f t="shared" si="341"/>
        <v>0</v>
      </c>
      <c r="AA627" s="6">
        <f t="shared" si="341"/>
        <v>0</v>
      </c>
      <c r="AB627" s="6">
        <f t="shared" si="341"/>
        <v>0</v>
      </c>
      <c r="AC627" s="6">
        <f t="shared" ref="AC627:BZ627" si="342">SUM(AC419:AC420)</f>
        <v>14</v>
      </c>
      <c r="AD627" s="6">
        <f t="shared" si="342"/>
        <v>25</v>
      </c>
      <c r="AE627" s="6">
        <f t="shared" si="342"/>
        <v>970</v>
      </c>
      <c r="AF627" s="6">
        <f t="shared" si="342"/>
        <v>15</v>
      </c>
      <c r="AG627" s="6">
        <f t="shared" si="342"/>
        <v>0</v>
      </c>
      <c r="AH627" s="6">
        <f t="shared" si="342"/>
        <v>551</v>
      </c>
      <c r="AI627" s="6">
        <f t="shared" si="342"/>
        <v>917</v>
      </c>
      <c r="AJ627" s="6">
        <f t="shared" si="342"/>
        <v>0</v>
      </c>
      <c r="AK627" s="6">
        <f t="shared" si="342"/>
        <v>0</v>
      </c>
      <c r="AL627" s="6">
        <f t="shared" si="342"/>
        <v>643</v>
      </c>
      <c r="AM627" s="6">
        <f t="shared" si="342"/>
        <v>0</v>
      </c>
      <c r="AN627" s="6">
        <f t="shared" si="342"/>
        <v>0</v>
      </c>
      <c r="AO627" s="6">
        <f t="shared" si="342"/>
        <v>0</v>
      </c>
      <c r="AP627" s="6">
        <f t="shared" si="342"/>
        <v>628</v>
      </c>
      <c r="AQ627" s="6">
        <f t="shared" si="342"/>
        <v>867</v>
      </c>
      <c r="AR627" s="6">
        <f t="shared" si="342"/>
        <v>0</v>
      </c>
      <c r="AS627" s="6">
        <f t="shared" si="342"/>
        <v>0</v>
      </c>
      <c r="AT627" s="6">
        <f t="shared" si="342"/>
        <v>920</v>
      </c>
      <c r="AU627" s="6">
        <f t="shared" si="342"/>
        <v>606</v>
      </c>
      <c r="AV627" s="6">
        <f t="shared" si="342"/>
        <v>0</v>
      </c>
      <c r="AW627" s="6">
        <f t="shared" si="342"/>
        <v>0</v>
      </c>
      <c r="AX627" s="6">
        <f t="shared" si="342"/>
        <v>0</v>
      </c>
      <c r="AY627" s="6">
        <f t="shared" si="342"/>
        <v>0</v>
      </c>
      <c r="AZ627" s="6">
        <f t="shared" si="342"/>
        <v>0</v>
      </c>
      <c r="BA627" s="6">
        <f t="shared" si="342"/>
        <v>0</v>
      </c>
      <c r="BB627" s="6">
        <f t="shared" si="342"/>
        <v>0</v>
      </c>
      <c r="BC627" s="6">
        <f t="shared" si="342"/>
        <v>0</v>
      </c>
      <c r="BD627" s="6">
        <f t="shared" si="342"/>
        <v>0</v>
      </c>
      <c r="BE627" s="6">
        <f t="shared" si="342"/>
        <v>770</v>
      </c>
      <c r="BF627" s="6">
        <f t="shared" si="342"/>
        <v>760</v>
      </c>
      <c r="BG627" s="6">
        <f t="shared" si="342"/>
        <v>891</v>
      </c>
      <c r="BH627" s="6">
        <f t="shared" si="342"/>
        <v>652</v>
      </c>
      <c r="BI627" s="6">
        <f t="shared" si="342"/>
        <v>947</v>
      </c>
      <c r="BJ627" s="6">
        <f t="shared" si="342"/>
        <v>565</v>
      </c>
      <c r="BK627" s="6">
        <f t="shared" si="342"/>
        <v>695</v>
      </c>
      <c r="BL627" s="6">
        <f t="shared" si="342"/>
        <v>836</v>
      </c>
      <c r="BM627" s="6">
        <f t="shared" si="342"/>
        <v>753</v>
      </c>
      <c r="BN627" s="6">
        <f t="shared" si="342"/>
        <v>753</v>
      </c>
      <c r="BO627" s="6">
        <f t="shared" si="342"/>
        <v>659</v>
      </c>
      <c r="BP627" s="6">
        <f t="shared" si="342"/>
        <v>839</v>
      </c>
      <c r="BQ627" s="6">
        <f t="shared" si="342"/>
        <v>972</v>
      </c>
      <c r="BR627" s="6">
        <f t="shared" si="342"/>
        <v>543</v>
      </c>
      <c r="BS627" s="6">
        <f t="shared" si="342"/>
        <v>1088</v>
      </c>
      <c r="BT627" s="6">
        <f t="shared" si="342"/>
        <v>690</v>
      </c>
      <c r="BU627" s="6">
        <f t="shared" si="342"/>
        <v>798</v>
      </c>
      <c r="BV627" s="6">
        <f t="shared" si="342"/>
        <v>1031</v>
      </c>
      <c r="BW627" s="6">
        <f t="shared" si="342"/>
        <v>712</v>
      </c>
      <c r="BX627" s="6">
        <f t="shared" si="342"/>
        <v>538</v>
      </c>
      <c r="BY627" s="6">
        <f t="shared" si="342"/>
        <v>792</v>
      </c>
      <c r="BZ627" s="6">
        <f t="shared" si="342"/>
        <v>572</v>
      </c>
      <c r="CA627" s="6">
        <f t="shared" ref="CA627:CP627" si="343">SUM(CA419:CA420)</f>
        <v>924</v>
      </c>
      <c r="CB627" s="6">
        <f t="shared" si="343"/>
        <v>623</v>
      </c>
      <c r="CC627" s="6">
        <f t="shared" si="343"/>
        <v>577</v>
      </c>
      <c r="CD627" s="6">
        <f t="shared" si="343"/>
        <v>912</v>
      </c>
      <c r="CE627" s="6">
        <f t="shared" si="343"/>
        <v>585</v>
      </c>
      <c r="CF627" s="6">
        <f t="shared" si="343"/>
        <v>682</v>
      </c>
      <c r="CG627" s="6">
        <f t="shared" si="343"/>
        <v>613</v>
      </c>
      <c r="CH627" s="6">
        <f t="shared" si="343"/>
        <v>697</v>
      </c>
      <c r="CI627" s="6">
        <f t="shared" si="343"/>
        <v>378</v>
      </c>
      <c r="CJ627" s="6">
        <f t="shared" si="343"/>
        <v>836</v>
      </c>
      <c r="CK627" s="6">
        <f t="shared" si="343"/>
        <v>665</v>
      </c>
      <c r="CL627" s="6">
        <f t="shared" si="343"/>
        <v>535</v>
      </c>
      <c r="CM627" s="6">
        <f t="shared" si="343"/>
        <v>876</v>
      </c>
      <c r="CN627" s="6">
        <f t="shared" si="343"/>
        <v>880</v>
      </c>
      <c r="CO627" s="6">
        <f t="shared" si="343"/>
        <v>495</v>
      </c>
      <c r="CP627" s="6">
        <f t="shared" si="343"/>
        <v>697</v>
      </c>
      <c r="CQ627" s="6">
        <f t="shared" ref="CQ627:EM627" si="344">SUM(CQ419:CQ420)</f>
        <v>0</v>
      </c>
      <c r="CR627" s="6">
        <f t="shared" si="344"/>
        <v>0</v>
      </c>
      <c r="CS627" s="6">
        <f t="shared" si="344"/>
        <v>0</v>
      </c>
      <c r="CT627" s="6">
        <f t="shared" si="344"/>
        <v>0</v>
      </c>
      <c r="CU627" s="6">
        <f t="shared" si="344"/>
        <v>0</v>
      </c>
      <c r="CV627" s="6">
        <f t="shared" si="344"/>
        <v>0</v>
      </c>
      <c r="CW627" s="6">
        <f t="shared" si="344"/>
        <v>0</v>
      </c>
      <c r="CX627" s="6">
        <f t="shared" si="344"/>
        <v>0</v>
      </c>
      <c r="CY627" s="6">
        <f t="shared" si="344"/>
        <v>0</v>
      </c>
      <c r="CZ627" s="6">
        <f t="shared" si="344"/>
        <v>0</v>
      </c>
      <c r="DA627" s="6">
        <f t="shared" si="344"/>
        <v>0</v>
      </c>
      <c r="DB627" s="6">
        <f t="shared" si="344"/>
        <v>0</v>
      </c>
      <c r="DC627" s="6">
        <f t="shared" si="344"/>
        <v>0</v>
      </c>
      <c r="DD627" s="6">
        <f t="shared" si="344"/>
        <v>0</v>
      </c>
      <c r="DE627" s="6">
        <f t="shared" si="344"/>
        <v>0</v>
      </c>
      <c r="DF627" s="6">
        <f t="shared" si="344"/>
        <v>0</v>
      </c>
      <c r="DG627" s="6">
        <f t="shared" si="344"/>
        <v>0</v>
      </c>
      <c r="DH627" s="6">
        <f t="shared" si="344"/>
        <v>0</v>
      </c>
      <c r="DI627" s="6">
        <f t="shared" si="344"/>
        <v>0</v>
      </c>
      <c r="DJ627" s="6">
        <f t="shared" si="344"/>
        <v>0</v>
      </c>
      <c r="DK627" s="6">
        <f t="shared" si="344"/>
        <v>0</v>
      </c>
      <c r="DL627" s="6">
        <f t="shared" si="344"/>
        <v>0</v>
      </c>
      <c r="DM627" s="6">
        <f t="shared" si="344"/>
        <v>0</v>
      </c>
      <c r="DN627" s="6">
        <f t="shared" si="344"/>
        <v>0</v>
      </c>
      <c r="DO627" s="6">
        <f t="shared" si="344"/>
        <v>0</v>
      </c>
      <c r="DP627" s="6">
        <f t="shared" si="344"/>
        <v>0</v>
      </c>
      <c r="DQ627" s="6">
        <f t="shared" si="344"/>
        <v>0</v>
      </c>
      <c r="DR627" s="6">
        <f t="shared" si="344"/>
        <v>0</v>
      </c>
      <c r="DS627" s="6">
        <f t="shared" si="344"/>
        <v>0</v>
      </c>
      <c r="DT627" s="6">
        <f t="shared" si="344"/>
        <v>0</v>
      </c>
      <c r="DU627" s="6">
        <f t="shared" si="344"/>
        <v>0</v>
      </c>
      <c r="DV627" s="6">
        <f t="shared" si="344"/>
        <v>0</v>
      </c>
      <c r="DW627" s="6">
        <f t="shared" si="344"/>
        <v>0</v>
      </c>
      <c r="DX627" s="6">
        <f t="shared" si="344"/>
        <v>0</v>
      </c>
      <c r="DY627" s="6">
        <f t="shared" si="344"/>
        <v>0</v>
      </c>
      <c r="DZ627" s="6">
        <f t="shared" si="344"/>
        <v>0</v>
      </c>
      <c r="EA627" s="6">
        <f t="shared" si="344"/>
        <v>1090</v>
      </c>
      <c r="EB627" s="6">
        <f t="shared" si="344"/>
        <v>461</v>
      </c>
      <c r="EC627" s="6">
        <f t="shared" si="344"/>
        <v>0</v>
      </c>
      <c r="ED627" s="6">
        <f t="shared" si="344"/>
        <v>0</v>
      </c>
      <c r="EE627" s="6">
        <f t="shared" si="344"/>
        <v>0</v>
      </c>
      <c r="EF627" s="6">
        <f t="shared" si="344"/>
        <v>0</v>
      </c>
      <c r="EG627" s="6">
        <f t="shared" si="344"/>
        <v>0</v>
      </c>
      <c r="EH627" s="6">
        <f t="shared" si="344"/>
        <v>0</v>
      </c>
      <c r="EI627" s="6">
        <f t="shared" si="344"/>
        <v>0</v>
      </c>
      <c r="EJ627" s="6">
        <f t="shared" si="344"/>
        <v>0</v>
      </c>
      <c r="EK627" s="6">
        <f t="shared" si="344"/>
        <v>0</v>
      </c>
      <c r="EL627" s="6">
        <f t="shared" si="344"/>
        <v>0</v>
      </c>
      <c r="EM627" s="6">
        <f t="shared" si="344"/>
        <v>0</v>
      </c>
      <c r="EN627" s="6">
        <f t="shared" ref="EN627:GR627" si="345">SUM(EN419:EN420)</f>
        <v>0</v>
      </c>
      <c r="EO627" s="6">
        <f t="shared" si="345"/>
        <v>0</v>
      </c>
      <c r="EP627" s="6">
        <f t="shared" si="345"/>
        <v>0</v>
      </c>
      <c r="EQ627" s="6">
        <f t="shared" si="345"/>
        <v>0</v>
      </c>
      <c r="ER627" s="6">
        <f t="shared" si="345"/>
        <v>0</v>
      </c>
      <c r="ES627" s="6">
        <f t="shared" si="345"/>
        <v>0</v>
      </c>
      <c r="ET627" s="6">
        <f t="shared" si="345"/>
        <v>0</v>
      </c>
      <c r="EU627" s="6">
        <f t="shared" si="345"/>
        <v>0</v>
      </c>
      <c r="EV627" s="6">
        <f t="shared" si="345"/>
        <v>0</v>
      </c>
      <c r="EW627" s="6">
        <f t="shared" si="345"/>
        <v>0</v>
      </c>
      <c r="EX627" s="6">
        <f t="shared" si="345"/>
        <v>0</v>
      </c>
      <c r="EY627" s="6">
        <f t="shared" si="345"/>
        <v>0</v>
      </c>
      <c r="EZ627" s="6">
        <f t="shared" si="345"/>
        <v>0</v>
      </c>
      <c r="FA627" s="6">
        <f t="shared" si="345"/>
        <v>0</v>
      </c>
      <c r="FB627" s="6">
        <f t="shared" si="345"/>
        <v>0</v>
      </c>
      <c r="FC627" s="6">
        <f t="shared" si="345"/>
        <v>0</v>
      </c>
      <c r="FD627" s="6">
        <f t="shared" si="345"/>
        <v>0</v>
      </c>
      <c r="FE627" s="6">
        <f t="shared" si="345"/>
        <v>0</v>
      </c>
      <c r="FF627" s="6">
        <f t="shared" si="345"/>
        <v>0</v>
      </c>
      <c r="FG627" s="6">
        <f t="shared" si="345"/>
        <v>0</v>
      </c>
      <c r="FH627" s="6">
        <f t="shared" si="345"/>
        <v>0</v>
      </c>
      <c r="FI627" s="6">
        <f t="shared" si="345"/>
        <v>0</v>
      </c>
      <c r="FJ627" s="6">
        <f t="shared" si="345"/>
        <v>0</v>
      </c>
      <c r="FK627" s="6">
        <f t="shared" si="345"/>
        <v>0</v>
      </c>
      <c r="FL627" s="6">
        <f t="shared" si="345"/>
        <v>0</v>
      </c>
      <c r="FM627" s="6">
        <f t="shared" si="345"/>
        <v>0</v>
      </c>
      <c r="FN627" s="6">
        <f t="shared" si="345"/>
        <v>0</v>
      </c>
      <c r="FO627" s="6">
        <f t="shared" si="345"/>
        <v>0</v>
      </c>
      <c r="FP627" s="6">
        <f t="shared" si="345"/>
        <v>0</v>
      </c>
      <c r="FQ627" s="6">
        <f t="shared" si="345"/>
        <v>0</v>
      </c>
      <c r="FR627" s="6">
        <f t="shared" si="345"/>
        <v>0</v>
      </c>
      <c r="FS627" s="6">
        <f t="shared" si="345"/>
        <v>0</v>
      </c>
      <c r="FT627" s="6">
        <f t="shared" si="345"/>
        <v>0</v>
      </c>
      <c r="FU627" s="6">
        <f t="shared" si="345"/>
        <v>0</v>
      </c>
      <c r="FV627" s="6">
        <f t="shared" si="345"/>
        <v>0</v>
      </c>
      <c r="FW627" s="6">
        <f t="shared" si="345"/>
        <v>0</v>
      </c>
      <c r="FX627" s="6">
        <f t="shared" si="345"/>
        <v>0</v>
      </c>
      <c r="FY627" s="6">
        <f t="shared" si="345"/>
        <v>0</v>
      </c>
      <c r="FZ627" s="6">
        <f t="shared" si="345"/>
        <v>0</v>
      </c>
      <c r="GA627" s="6">
        <f t="shared" si="345"/>
        <v>0</v>
      </c>
      <c r="GB627" s="6">
        <f t="shared" si="345"/>
        <v>0</v>
      </c>
      <c r="GC627" s="6">
        <f t="shared" si="345"/>
        <v>0</v>
      </c>
      <c r="GD627" s="6">
        <f t="shared" si="345"/>
        <v>0</v>
      </c>
      <c r="GE627" s="6">
        <f t="shared" si="345"/>
        <v>0</v>
      </c>
      <c r="GF627" s="6">
        <f t="shared" si="345"/>
        <v>0</v>
      </c>
      <c r="GG627" s="6">
        <f t="shared" si="345"/>
        <v>0</v>
      </c>
      <c r="GH627" s="6">
        <f t="shared" si="345"/>
        <v>0</v>
      </c>
      <c r="GI627" s="6">
        <f t="shared" si="345"/>
        <v>0</v>
      </c>
      <c r="GJ627" s="6">
        <f t="shared" si="345"/>
        <v>0</v>
      </c>
      <c r="GK627" s="6">
        <f t="shared" si="345"/>
        <v>0</v>
      </c>
      <c r="GL627" s="6">
        <f t="shared" si="345"/>
        <v>0</v>
      </c>
      <c r="GM627" s="6">
        <f t="shared" si="345"/>
        <v>0</v>
      </c>
      <c r="GN627" s="6">
        <f t="shared" si="345"/>
        <v>0</v>
      </c>
      <c r="GO627" s="6">
        <f t="shared" si="345"/>
        <v>1132</v>
      </c>
      <c r="GP627" s="6">
        <f t="shared" si="345"/>
        <v>435</v>
      </c>
      <c r="GQ627" s="6">
        <f t="shared" si="345"/>
        <v>1124</v>
      </c>
      <c r="GR627" s="6">
        <f t="shared" si="345"/>
        <v>433</v>
      </c>
    </row>
    <row r="628" spans="1:200">
      <c r="A628" s="6"/>
      <c r="B628" s="16" t="s">
        <v>84</v>
      </c>
      <c r="C628" s="14">
        <f>SUM(C421:C422)</f>
        <v>2696</v>
      </c>
      <c r="D628" s="14">
        <f>SUM(D421:D422)</f>
        <v>1909</v>
      </c>
      <c r="E628" s="15">
        <f t="shared" si="28"/>
        <v>0.70808605341246289</v>
      </c>
      <c r="F628" s="66">
        <f t="shared" ref="F628:AB628" si="346">SUM(F421:F422)</f>
        <v>1572</v>
      </c>
      <c r="G628" s="6">
        <f t="shared" si="346"/>
        <v>5</v>
      </c>
      <c r="H628" s="6">
        <f t="shared" si="346"/>
        <v>29</v>
      </c>
      <c r="I628" s="6">
        <f t="shared" si="346"/>
        <v>22</v>
      </c>
      <c r="J628" s="59">
        <f t="shared" si="346"/>
        <v>238</v>
      </c>
      <c r="K628" s="6">
        <f t="shared" si="346"/>
        <v>0</v>
      </c>
      <c r="L628" s="6">
        <f t="shared" si="346"/>
        <v>0</v>
      </c>
      <c r="M628" s="6">
        <f t="shared" si="346"/>
        <v>0</v>
      </c>
      <c r="N628" s="6">
        <f t="shared" si="346"/>
        <v>0</v>
      </c>
      <c r="O628" s="6">
        <f t="shared" si="346"/>
        <v>0</v>
      </c>
      <c r="P628" s="6">
        <f t="shared" si="346"/>
        <v>0</v>
      </c>
      <c r="Q628" s="6">
        <f t="shared" si="346"/>
        <v>0</v>
      </c>
      <c r="R628" s="6">
        <f t="shared" si="346"/>
        <v>0</v>
      </c>
      <c r="S628" s="6">
        <f t="shared" si="346"/>
        <v>0</v>
      </c>
      <c r="T628" s="6">
        <f t="shared" si="346"/>
        <v>0</v>
      </c>
      <c r="U628" s="6">
        <f t="shared" si="346"/>
        <v>0</v>
      </c>
      <c r="V628" s="6">
        <f t="shared" si="346"/>
        <v>0</v>
      </c>
      <c r="W628" s="6">
        <f t="shared" si="346"/>
        <v>8</v>
      </c>
      <c r="X628" s="6">
        <f t="shared" si="346"/>
        <v>0</v>
      </c>
      <c r="Y628" s="6">
        <f t="shared" si="346"/>
        <v>0</v>
      </c>
      <c r="Z628" s="6">
        <f t="shared" si="346"/>
        <v>0</v>
      </c>
      <c r="AA628" s="6">
        <f t="shared" si="346"/>
        <v>0</v>
      </c>
      <c r="AB628" s="6">
        <f t="shared" si="346"/>
        <v>0</v>
      </c>
      <c r="AC628" s="6">
        <f t="shared" ref="AC628:BZ628" si="347">SUM(AC421:AC422)</f>
        <v>20</v>
      </c>
      <c r="AD628" s="6">
        <f t="shared" si="347"/>
        <v>33</v>
      </c>
      <c r="AE628" s="6">
        <f t="shared" si="347"/>
        <v>402</v>
      </c>
      <c r="AF628" s="6">
        <f t="shared" si="347"/>
        <v>12</v>
      </c>
      <c r="AG628" s="6">
        <f t="shared" si="347"/>
        <v>0</v>
      </c>
      <c r="AH628" s="6">
        <f t="shared" si="347"/>
        <v>1358</v>
      </c>
      <c r="AI628" s="6">
        <f t="shared" si="347"/>
        <v>0</v>
      </c>
      <c r="AJ628" s="6">
        <f t="shared" si="347"/>
        <v>0</v>
      </c>
      <c r="AK628" s="6">
        <f t="shared" si="347"/>
        <v>0</v>
      </c>
      <c r="AL628" s="6">
        <f t="shared" si="347"/>
        <v>0</v>
      </c>
      <c r="AM628" s="6">
        <f t="shared" si="347"/>
        <v>65</v>
      </c>
      <c r="AN628" s="6">
        <f t="shared" si="347"/>
        <v>1376</v>
      </c>
      <c r="AO628" s="6">
        <f t="shared" si="347"/>
        <v>332</v>
      </c>
      <c r="AP628" s="6">
        <f t="shared" si="347"/>
        <v>0</v>
      </c>
      <c r="AQ628" s="6">
        <f t="shared" si="347"/>
        <v>0</v>
      </c>
      <c r="AR628" s="6">
        <f t="shared" si="347"/>
        <v>0</v>
      </c>
      <c r="AS628" s="6">
        <f t="shared" si="347"/>
        <v>0</v>
      </c>
      <c r="AT628" s="6">
        <f t="shared" si="347"/>
        <v>0</v>
      </c>
      <c r="AU628" s="6">
        <f t="shared" si="347"/>
        <v>0</v>
      </c>
      <c r="AV628" s="6">
        <f t="shared" si="347"/>
        <v>0</v>
      </c>
      <c r="AW628" s="6">
        <f t="shared" si="347"/>
        <v>0</v>
      </c>
      <c r="AX628" s="6">
        <f t="shared" si="347"/>
        <v>0</v>
      </c>
      <c r="AY628" s="6">
        <f t="shared" si="347"/>
        <v>0</v>
      </c>
      <c r="AZ628" s="6">
        <f t="shared" si="347"/>
        <v>0</v>
      </c>
      <c r="BA628" s="6">
        <f t="shared" si="347"/>
        <v>0</v>
      </c>
      <c r="BB628" s="6">
        <f t="shared" si="347"/>
        <v>0</v>
      </c>
      <c r="BC628" s="6">
        <f t="shared" si="347"/>
        <v>281</v>
      </c>
      <c r="BD628" s="6">
        <f t="shared" si="347"/>
        <v>1555</v>
      </c>
      <c r="BE628" s="6">
        <f t="shared" si="347"/>
        <v>242</v>
      </c>
      <c r="BF628" s="6">
        <f t="shared" si="347"/>
        <v>1553</v>
      </c>
      <c r="BG628" s="6">
        <f t="shared" si="347"/>
        <v>312</v>
      </c>
      <c r="BH628" s="6">
        <f t="shared" si="347"/>
        <v>1486</v>
      </c>
      <c r="BI628" s="6">
        <f t="shared" si="347"/>
        <v>392</v>
      </c>
      <c r="BJ628" s="6">
        <f t="shared" si="347"/>
        <v>1409</v>
      </c>
      <c r="BK628" s="6">
        <f t="shared" si="347"/>
        <v>1427</v>
      </c>
      <c r="BL628" s="6">
        <f t="shared" si="347"/>
        <v>365</v>
      </c>
      <c r="BM628" s="6">
        <f t="shared" si="347"/>
        <v>235</v>
      </c>
      <c r="BN628" s="6">
        <f t="shared" si="347"/>
        <v>1552</v>
      </c>
      <c r="BO628" s="6">
        <f t="shared" si="347"/>
        <v>1439</v>
      </c>
      <c r="BP628" s="6">
        <f t="shared" si="347"/>
        <v>337</v>
      </c>
      <c r="BQ628" s="6">
        <f t="shared" si="347"/>
        <v>378</v>
      </c>
      <c r="BR628" s="6">
        <f t="shared" si="347"/>
        <v>1402</v>
      </c>
      <c r="BS628" s="6">
        <f t="shared" si="347"/>
        <v>736</v>
      </c>
      <c r="BT628" s="6">
        <f t="shared" si="347"/>
        <v>220</v>
      </c>
      <c r="BU628" s="6">
        <f t="shared" si="347"/>
        <v>1579</v>
      </c>
      <c r="BV628" s="6">
        <f t="shared" si="347"/>
        <v>965</v>
      </c>
      <c r="BW628" s="6">
        <f t="shared" si="347"/>
        <v>541</v>
      </c>
      <c r="BX628" s="6">
        <f t="shared" si="347"/>
        <v>973</v>
      </c>
      <c r="BY628" s="6">
        <f t="shared" si="347"/>
        <v>536</v>
      </c>
      <c r="BZ628" s="6">
        <f t="shared" si="347"/>
        <v>1074</v>
      </c>
      <c r="CA628" s="6">
        <f t="shared" ref="CA628:CP628" si="348">SUM(CA421:CA422)</f>
        <v>830</v>
      </c>
      <c r="CB628" s="6">
        <f t="shared" si="348"/>
        <v>343</v>
      </c>
      <c r="CC628" s="6">
        <f t="shared" si="348"/>
        <v>1173</v>
      </c>
      <c r="CD628" s="6">
        <f t="shared" si="348"/>
        <v>1080</v>
      </c>
      <c r="CE628" s="6">
        <f t="shared" si="348"/>
        <v>1109</v>
      </c>
      <c r="CF628" s="6">
        <f t="shared" si="348"/>
        <v>384</v>
      </c>
      <c r="CG628" s="6">
        <f t="shared" si="348"/>
        <v>454</v>
      </c>
      <c r="CH628" s="6">
        <f t="shared" si="348"/>
        <v>960</v>
      </c>
      <c r="CI628" s="6">
        <f t="shared" si="348"/>
        <v>836</v>
      </c>
      <c r="CJ628" s="6">
        <f t="shared" si="348"/>
        <v>604</v>
      </c>
      <c r="CK628" s="6">
        <f t="shared" si="348"/>
        <v>598</v>
      </c>
      <c r="CL628" s="6">
        <f t="shared" si="348"/>
        <v>902</v>
      </c>
      <c r="CM628" s="6">
        <f t="shared" si="348"/>
        <v>778</v>
      </c>
      <c r="CN628" s="6">
        <f t="shared" si="348"/>
        <v>887</v>
      </c>
      <c r="CO628" s="6">
        <f t="shared" si="348"/>
        <v>963</v>
      </c>
      <c r="CP628" s="6">
        <f t="shared" si="348"/>
        <v>562</v>
      </c>
      <c r="CQ628" s="6">
        <f t="shared" ref="CQ628:EM628" si="349">SUM(CQ421:CQ422)</f>
        <v>0</v>
      </c>
      <c r="CR628" s="6">
        <f t="shared" si="349"/>
        <v>0</v>
      </c>
      <c r="CS628" s="6">
        <f t="shared" si="349"/>
        <v>0</v>
      </c>
      <c r="CT628" s="6">
        <f t="shared" si="349"/>
        <v>0</v>
      </c>
      <c r="CU628" s="6">
        <f t="shared" si="349"/>
        <v>0</v>
      </c>
      <c r="CV628" s="6">
        <f t="shared" si="349"/>
        <v>0</v>
      </c>
      <c r="CW628" s="6">
        <f t="shared" si="349"/>
        <v>0</v>
      </c>
      <c r="CX628" s="6">
        <f t="shared" si="349"/>
        <v>0</v>
      </c>
      <c r="CY628" s="6">
        <f t="shared" si="349"/>
        <v>0</v>
      </c>
      <c r="CZ628" s="6">
        <f t="shared" si="349"/>
        <v>0</v>
      </c>
      <c r="DA628" s="6">
        <f t="shared" si="349"/>
        <v>0</v>
      </c>
      <c r="DB628" s="6">
        <f t="shared" si="349"/>
        <v>0</v>
      </c>
      <c r="DC628" s="6">
        <f t="shared" si="349"/>
        <v>0</v>
      </c>
      <c r="DD628" s="6">
        <f t="shared" si="349"/>
        <v>0</v>
      </c>
      <c r="DE628" s="6">
        <f t="shared" si="349"/>
        <v>0</v>
      </c>
      <c r="DF628" s="6">
        <f t="shared" si="349"/>
        <v>0</v>
      </c>
      <c r="DG628" s="6">
        <f t="shared" si="349"/>
        <v>0</v>
      </c>
      <c r="DH628" s="6">
        <f t="shared" si="349"/>
        <v>0</v>
      </c>
      <c r="DI628" s="6">
        <f t="shared" si="349"/>
        <v>0</v>
      </c>
      <c r="DJ628" s="6">
        <f t="shared" si="349"/>
        <v>0</v>
      </c>
      <c r="DK628" s="6">
        <f t="shared" si="349"/>
        <v>0</v>
      </c>
      <c r="DL628" s="6">
        <f t="shared" si="349"/>
        <v>0</v>
      </c>
      <c r="DM628" s="6">
        <f t="shared" si="349"/>
        <v>0</v>
      </c>
      <c r="DN628" s="6">
        <f t="shared" si="349"/>
        <v>0</v>
      </c>
      <c r="DO628" s="6">
        <f t="shared" si="349"/>
        <v>0</v>
      </c>
      <c r="DP628" s="6">
        <f t="shared" si="349"/>
        <v>0</v>
      </c>
      <c r="DQ628" s="6">
        <f t="shared" si="349"/>
        <v>0</v>
      </c>
      <c r="DR628" s="6">
        <f t="shared" si="349"/>
        <v>0</v>
      </c>
      <c r="DS628" s="6">
        <f t="shared" si="349"/>
        <v>0</v>
      </c>
      <c r="DT628" s="6">
        <f t="shared" si="349"/>
        <v>0</v>
      </c>
      <c r="DU628" s="6">
        <f t="shared" si="349"/>
        <v>0</v>
      </c>
      <c r="DV628" s="6">
        <f t="shared" si="349"/>
        <v>0</v>
      </c>
      <c r="DW628" s="6">
        <f t="shared" si="349"/>
        <v>0</v>
      </c>
      <c r="DX628" s="6">
        <f t="shared" si="349"/>
        <v>0</v>
      </c>
      <c r="DY628" s="6">
        <f t="shared" si="349"/>
        <v>0</v>
      </c>
      <c r="DZ628" s="6">
        <f t="shared" si="349"/>
        <v>0</v>
      </c>
      <c r="EA628" s="6">
        <f t="shared" si="349"/>
        <v>0</v>
      </c>
      <c r="EB628" s="6">
        <f t="shared" si="349"/>
        <v>0</v>
      </c>
      <c r="EC628" s="6">
        <f t="shared" si="349"/>
        <v>1214</v>
      </c>
      <c r="ED628" s="6">
        <f t="shared" si="349"/>
        <v>573</v>
      </c>
      <c r="EE628" s="6">
        <f t="shared" si="349"/>
        <v>1298</v>
      </c>
      <c r="EF628" s="6">
        <f t="shared" si="349"/>
        <v>479</v>
      </c>
      <c r="EG628" s="6">
        <f t="shared" si="349"/>
        <v>0</v>
      </c>
      <c r="EH628" s="6">
        <f t="shared" si="349"/>
        <v>0</v>
      </c>
      <c r="EI628" s="6">
        <f t="shared" si="349"/>
        <v>0</v>
      </c>
      <c r="EJ628" s="6">
        <f t="shared" si="349"/>
        <v>0</v>
      </c>
      <c r="EK628" s="6">
        <f t="shared" si="349"/>
        <v>0</v>
      </c>
      <c r="EL628" s="6">
        <f t="shared" si="349"/>
        <v>0</v>
      </c>
      <c r="EM628" s="6">
        <f t="shared" si="349"/>
        <v>0</v>
      </c>
      <c r="EN628" s="6">
        <f t="shared" ref="EN628:GR628" si="350">SUM(EN421:EN422)</f>
        <v>0</v>
      </c>
      <c r="EO628" s="6">
        <f t="shared" si="350"/>
        <v>0</v>
      </c>
      <c r="EP628" s="6">
        <f t="shared" si="350"/>
        <v>0</v>
      </c>
      <c r="EQ628" s="6">
        <f t="shared" si="350"/>
        <v>0</v>
      </c>
      <c r="ER628" s="6">
        <f t="shared" si="350"/>
        <v>0</v>
      </c>
      <c r="ES628" s="6">
        <f t="shared" si="350"/>
        <v>0</v>
      </c>
      <c r="ET628" s="6">
        <f t="shared" si="350"/>
        <v>0</v>
      </c>
      <c r="EU628" s="6">
        <f t="shared" si="350"/>
        <v>0</v>
      </c>
      <c r="EV628" s="6">
        <f t="shared" si="350"/>
        <v>0</v>
      </c>
      <c r="EW628" s="6">
        <f t="shared" si="350"/>
        <v>0</v>
      </c>
      <c r="EX628" s="6">
        <f t="shared" si="350"/>
        <v>0</v>
      </c>
      <c r="EY628" s="6">
        <f t="shared" si="350"/>
        <v>0</v>
      </c>
      <c r="EZ628" s="6">
        <f t="shared" si="350"/>
        <v>0</v>
      </c>
      <c r="FA628" s="6">
        <f t="shared" si="350"/>
        <v>0</v>
      </c>
      <c r="FB628" s="6">
        <f t="shared" si="350"/>
        <v>0</v>
      </c>
      <c r="FC628" s="6">
        <f t="shared" si="350"/>
        <v>0</v>
      </c>
      <c r="FD628" s="6">
        <f t="shared" si="350"/>
        <v>0</v>
      </c>
      <c r="FE628" s="6">
        <f t="shared" si="350"/>
        <v>0</v>
      </c>
      <c r="FF628" s="6">
        <f t="shared" si="350"/>
        <v>0</v>
      </c>
      <c r="FG628" s="6">
        <f t="shared" si="350"/>
        <v>0</v>
      </c>
      <c r="FH628" s="6">
        <f t="shared" si="350"/>
        <v>0</v>
      </c>
      <c r="FI628" s="6">
        <f t="shared" si="350"/>
        <v>0</v>
      </c>
      <c r="FJ628" s="6">
        <f t="shared" si="350"/>
        <v>0</v>
      </c>
      <c r="FK628" s="6">
        <f t="shared" si="350"/>
        <v>0</v>
      </c>
      <c r="FL628" s="6">
        <f t="shared" si="350"/>
        <v>0</v>
      </c>
      <c r="FM628" s="6">
        <f t="shared" si="350"/>
        <v>0</v>
      </c>
      <c r="FN628" s="6">
        <f t="shared" si="350"/>
        <v>0</v>
      </c>
      <c r="FO628" s="6">
        <f t="shared" si="350"/>
        <v>0</v>
      </c>
      <c r="FP628" s="6">
        <f t="shared" si="350"/>
        <v>0</v>
      </c>
      <c r="FQ628" s="6">
        <f t="shared" si="350"/>
        <v>0</v>
      </c>
      <c r="FR628" s="6">
        <f t="shared" si="350"/>
        <v>0</v>
      </c>
      <c r="FS628" s="6">
        <f t="shared" si="350"/>
        <v>0</v>
      </c>
      <c r="FT628" s="6">
        <f t="shared" si="350"/>
        <v>0</v>
      </c>
      <c r="FU628" s="6">
        <f t="shared" si="350"/>
        <v>0</v>
      </c>
      <c r="FV628" s="6">
        <f t="shared" si="350"/>
        <v>0</v>
      </c>
      <c r="FW628" s="6">
        <f t="shared" si="350"/>
        <v>0</v>
      </c>
      <c r="FX628" s="6">
        <f t="shared" si="350"/>
        <v>0</v>
      </c>
      <c r="FY628" s="6">
        <f t="shared" si="350"/>
        <v>1202</v>
      </c>
      <c r="FZ628" s="6">
        <f t="shared" si="350"/>
        <v>604</v>
      </c>
      <c r="GA628" s="6">
        <f t="shared" si="350"/>
        <v>0</v>
      </c>
      <c r="GB628" s="6">
        <f t="shared" si="350"/>
        <v>0</v>
      </c>
      <c r="GC628" s="6">
        <f t="shared" si="350"/>
        <v>0</v>
      </c>
      <c r="GD628" s="6">
        <f t="shared" si="350"/>
        <v>0</v>
      </c>
      <c r="GE628" s="6">
        <f t="shared" si="350"/>
        <v>0</v>
      </c>
      <c r="GF628" s="6">
        <f t="shared" si="350"/>
        <v>0</v>
      </c>
      <c r="GG628" s="6">
        <f t="shared" si="350"/>
        <v>0</v>
      </c>
      <c r="GH628" s="6">
        <f t="shared" si="350"/>
        <v>0</v>
      </c>
      <c r="GI628" s="6">
        <f t="shared" si="350"/>
        <v>0</v>
      </c>
      <c r="GJ628" s="6">
        <f t="shared" si="350"/>
        <v>0</v>
      </c>
      <c r="GK628" s="6">
        <f t="shared" si="350"/>
        <v>0</v>
      </c>
      <c r="GL628" s="6">
        <f t="shared" si="350"/>
        <v>0</v>
      </c>
      <c r="GM628" s="6">
        <f t="shared" si="350"/>
        <v>0</v>
      </c>
      <c r="GN628" s="6">
        <f t="shared" si="350"/>
        <v>0</v>
      </c>
      <c r="GO628" s="6">
        <f t="shared" si="350"/>
        <v>1223</v>
      </c>
      <c r="GP628" s="6">
        <f t="shared" si="350"/>
        <v>546</v>
      </c>
      <c r="GQ628" s="6">
        <f t="shared" si="350"/>
        <v>1325</v>
      </c>
      <c r="GR628" s="6">
        <f t="shared" si="350"/>
        <v>444</v>
      </c>
    </row>
    <row r="629" spans="1:200">
      <c r="A629" s="6"/>
      <c r="B629" s="16" t="s">
        <v>85</v>
      </c>
      <c r="C629" s="14">
        <f>SUM(C466:C468)</f>
        <v>2557</v>
      </c>
      <c r="D629" s="14">
        <f>SUM(D466:D468)</f>
        <v>1992</v>
      </c>
      <c r="E629" s="15">
        <f t="shared" ref="E629:E682" si="351">SUM(D629/C629)</f>
        <v>0.77903793508017205</v>
      </c>
      <c r="F629" s="66">
        <f t="shared" ref="F629:AB629" si="352">SUM(F466:F468)</f>
        <v>758</v>
      </c>
      <c r="G629" s="6">
        <f t="shared" si="352"/>
        <v>3</v>
      </c>
      <c r="H629" s="6">
        <f t="shared" si="352"/>
        <v>110</v>
      </c>
      <c r="I629" s="6">
        <f t="shared" si="352"/>
        <v>24</v>
      </c>
      <c r="J629" s="59">
        <f t="shared" si="352"/>
        <v>1046</v>
      </c>
      <c r="K629" s="6">
        <f t="shared" si="352"/>
        <v>0</v>
      </c>
      <c r="L629" s="6">
        <f t="shared" si="352"/>
        <v>0</v>
      </c>
      <c r="M629" s="6">
        <f t="shared" si="352"/>
        <v>0</v>
      </c>
      <c r="N629" s="6">
        <f t="shared" si="352"/>
        <v>0</v>
      </c>
      <c r="O629" s="6">
        <f t="shared" si="352"/>
        <v>0</v>
      </c>
      <c r="P629" s="6">
        <f t="shared" si="352"/>
        <v>2</v>
      </c>
      <c r="Q629" s="6">
        <f t="shared" si="352"/>
        <v>0</v>
      </c>
      <c r="R629" s="6">
        <f t="shared" si="352"/>
        <v>0</v>
      </c>
      <c r="S629" s="6">
        <f t="shared" si="352"/>
        <v>0</v>
      </c>
      <c r="T629" s="6">
        <f t="shared" si="352"/>
        <v>0</v>
      </c>
      <c r="U629" s="6">
        <f t="shared" si="352"/>
        <v>0</v>
      </c>
      <c r="V629" s="6">
        <f t="shared" si="352"/>
        <v>2</v>
      </c>
      <c r="W629" s="6">
        <f t="shared" si="352"/>
        <v>5</v>
      </c>
      <c r="X629" s="6">
        <f t="shared" si="352"/>
        <v>0</v>
      </c>
      <c r="Y629" s="6">
        <f t="shared" si="352"/>
        <v>0</v>
      </c>
      <c r="Z629" s="6">
        <f t="shared" si="352"/>
        <v>0</v>
      </c>
      <c r="AA629" s="6">
        <f t="shared" si="352"/>
        <v>0</v>
      </c>
      <c r="AB629" s="6">
        <f t="shared" si="352"/>
        <v>0</v>
      </c>
      <c r="AC629" s="6">
        <f t="shared" ref="AC629:BZ629" si="353">SUM(AC466:AC468)</f>
        <v>29</v>
      </c>
      <c r="AD629" s="6">
        <f t="shared" si="353"/>
        <v>49</v>
      </c>
      <c r="AE629" s="6">
        <f t="shared" si="353"/>
        <v>1200</v>
      </c>
      <c r="AF629" s="6">
        <f t="shared" si="353"/>
        <v>31</v>
      </c>
      <c r="AG629" s="6">
        <f t="shared" si="353"/>
        <v>0</v>
      </c>
      <c r="AH629" s="6">
        <f t="shared" si="353"/>
        <v>611</v>
      </c>
      <c r="AI629" s="6">
        <f t="shared" si="353"/>
        <v>0</v>
      </c>
      <c r="AJ629" s="6">
        <f t="shared" si="353"/>
        <v>0</v>
      </c>
      <c r="AK629" s="6">
        <f t="shared" si="353"/>
        <v>0</v>
      </c>
      <c r="AL629" s="6">
        <f t="shared" si="353"/>
        <v>0</v>
      </c>
      <c r="AM629" s="6">
        <f t="shared" si="353"/>
        <v>33</v>
      </c>
      <c r="AN629" s="6">
        <f t="shared" si="353"/>
        <v>618</v>
      </c>
      <c r="AO629" s="6">
        <f t="shared" si="353"/>
        <v>1188</v>
      </c>
      <c r="AP629" s="6">
        <f t="shared" si="353"/>
        <v>713</v>
      </c>
      <c r="AQ629" s="6">
        <f t="shared" si="353"/>
        <v>1086</v>
      </c>
      <c r="AR629" s="6">
        <f t="shared" si="353"/>
        <v>0</v>
      </c>
      <c r="AS629" s="6">
        <f t="shared" si="353"/>
        <v>0</v>
      </c>
      <c r="AT629" s="6">
        <f t="shared" si="353"/>
        <v>1177</v>
      </c>
      <c r="AU629" s="6">
        <f t="shared" si="353"/>
        <v>674</v>
      </c>
      <c r="AV629" s="6">
        <f t="shared" si="353"/>
        <v>0</v>
      </c>
      <c r="AW629" s="6">
        <f t="shared" si="353"/>
        <v>0</v>
      </c>
      <c r="AX629" s="6">
        <f t="shared" si="353"/>
        <v>0</v>
      </c>
      <c r="AY629" s="6">
        <f t="shared" si="353"/>
        <v>0</v>
      </c>
      <c r="AZ629" s="6">
        <f t="shared" si="353"/>
        <v>0</v>
      </c>
      <c r="BA629" s="6">
        <f t="shared" si="353"/>
        <v>0</v>
      </c>
      <c r="BB629" s="6">
        <f t="shared" si="353"/>
        <v>0</v>
      </c>
      <c r="BC629" s="6">
        <f t="shared" si="353"/>
        <v>0</v>
      </c>
      <c r="BD629" s="6">
        <f t="shared" si="353"/>
        <v>0</v>
      </c>
      <c r="BE629" s="6">
        <f t="shared" si="353"/>
        <v>941</v>
      </c>
      <c r="BF629" s="6">
        <f t="shared" si="353"/>
        <v>883</v>
      </c>
      <c r="BG629" s="6">
        <f t="shared" si="353"/>
        <v>1150</v>
      </c>
      <c r="BH629" s="6">
        <f t="shared" si="353"/>
        <v>696</v>
      </c>
      <c r="BI629" s="6">
        <f t="shared" si="353"/>
        <v>1207</v>
      </c>
      <c r="BJ629" s="6">
        <f t="shared" si="353"/>
        <v>623</v>
      </c>
      <c r="BK629" s="6">
        <f t="shared" si="353"/>
        <v>766</v>
      </c>
      <c r="BL629" s="6">
        <f t="shared" si="353"/>
        <v>1074</v>
      </c>
      <c r="BM629" s="6">
        <f t="shared" si="353"/>
        <v>907</v>
      </c>
      <c r="BN629" s="6">
        <f t="shared" si="353"/>
        <v>918</v>
      </c>
      <c r="BO629" s="6">
        <f t="shared" si="353"/>
        <v>727</v>
      </c>
      <c r="BP629" s="6">
        <f t="shared" si="353"/>
        <v>1064</v>
      </c>
      <c r="BQ629" s="6">
        <f t="shared" si="353"/>
        <v>1179</v>
      </c>
      <c r="BR629" s="6">
        <f t="shared" si="353"/>
        <v>603</v>
      </c>
      <c r="BS629" s="6">
        <f t="shared" si="353"/>
        <v>1277</v>
      </c>
      <c r="BT629" s="6">
        <f t="shared" si="353"/>
        <v>824</v>
      </c>
      <c r="BU629" s="6">
        <f t="shared" si="353"/>
        <v>939</v>
      </c>
      <c r="BV629" s="6">
        <f t="shared" si="353"/>
        <v>1238</v>
      </c>
      <c r="BW629" s="6">
        <f t="shared" si="353"/>
        <v>846</v>
      </c>
      <c r="BX629" s="6">
        <f t="shared" si="353"/>
        <v>586</v>
      </c>
      <c r="BY629" s="6">
        <f t="shared" si="353"/>
        <v>1051</v>
      </c>
      <c r="BZ629" s="6">
        <f t="shared" si="353"/>
        <v>533</v>
      </c>
      <c r="CA629" s="6">
        <f t="shared" ref="CA629:CP629" si="354">SUM(CA466:CA468)</f>
        <v>1087</v>
      </c>
      <c r="CB629" s="6">
        <f t="shared" si="354"/>
        <v>746</v>
      </c>
      <c r="CC629" s="6">
        <f t="shared" si="354"/>
        <v>609</v>
      </c>
      <c r="CD629" s="6">
        <f t="shared" si="354"/>
        <v>1040</v>
      </c>
      <c r="CE629" s="6">
        <f t="shared" si="354"/>
        <v>554</v>
      </c>
      <c r="CF629" s="6">
        <f t="shared" si="354"/>
        <v>865</v>
      </c>
      <c r="CG629" s="6">
        <f t="shared" si="354"/>
        <v>820</v>
      </c>
      <c r="CH629" s="6">
        <f t="shared" si="354"/>
        <v>510</v>
      </c>
      <c r="CI629" s="6">
        <f t="shared" si="354"/>
        <v>371</v>
      </c>
      <c r="CJ629" s="6">
        <f t="shared" si="354"/>
        <v>1027</v>
      </c>
      <c r="CK629" s="6">
        <f t="shared" si="354"/>
        <v>809</v>
      </c>
      <c r="CL629" s="6">
        <f t="shared" si="354"/>
        <v>541</v>
      </c>
      <c r="CM629" s="6">
        <f t="shared" si="354"/>
        <v>1043</v>
      </c>
      <c r="CN629" s="6">
        <f t="shared" si="354"/>
        <v>1030</v>
      </c>
      <c r="CO629" s="6">
        <f t="shared" si="354"/>
        <v>497</v>
      </c>
      <c r="CP629" s="6">
        <f t="shared" si="354"/>
        <v>854</v>
      </c>
      <c r="CQ629" s="6">
        <f t="shared" ref="CQ629:EM629" si="355">SUM(CQ466:CQ468)</f>
        <v>0</v>
      </c>
      <c r="CR629" s="6">
        <f t="shared" si="355"/>
        <v>0</v>
      </c>
      <c r="CS629" s="6">
        <f t="shared" si="355"/>
        <v>0</v>
      </c>
      <c r="CT629" s="6">
        <f t="shared" si="355"/>
        <v>0</v>
      </c>
      <c r="CU629" s="6">
        <f t="shared" si="355"/>
        <v>0</v>
      </c>
      <c r="CV629" s="6">
        <f t="shared" si="355"/>
        <v>0</v>
      </c>
      <c r="CW629" s="6">
        <f t="shared" si="355"/>
        <v>0</v>
      </c>
      <c r="CX629" s="6">
        <f t="shared" si="355"/>
        <v>0</v>
      </c>
      <c r="CY629" s="6">
        <f t="shared" si="355"/>
        <v>0</v>
      </c>
      <c r="CZ629" s="6">
        <f t="shared" si="355"/>
        <v>0</v>
      </c>
      <c r="DA629" s="6">
        <f t="shared" si="355"/>
        <v>0</v>
      </c>
      <c r="DB629" s="6">
        <f t="shared" si="355"/>
        <v>0</v>
      </c>
      <c r="DC629" s="6">
        <f t="shared" si="355"/>
        <v>0</v>
      </c>
      <c r="DD629" s="6">
        <f t="shared" si="355"/>
        <v>0</v>
      </c>
      <c r="DE629" s="6">
        <f t="shared" si="355"/>
        <v>0</v>
      </c>
      <c r="DF629" s="6">
        <f t="shared" si="355"/>
        <v>0</v>
      </c>
      <c r="DG629" s="6">
        <f t="shared" si="355"/>
        <v>0</v>
      </c>
      <c r="DH629" s="6">
        <f t="shared" si="355"/>
        <v>0</v>
      </c>
      <c r="DI629" s="6">
        <f t="shared" si="355"/>
        <v>0</v>
      </c>
      <c r="DJ629" s="6">
        <f t="shared" si="355"/>
        <v>0</v>
      </c>
      <c r="DK629" s="6">
        <f t="shared" si="355"/>
        <v>0</v>
      </c>
      <c r="DL629" s="6">
        <f t="shared" si="355"/>
        <v>0</v>
      </c>
      <c r="DM629" s="6">
        <f t="shared" si="355"/>
        <v>0</v>
      </c>
      <c r="DN629" s="6">
        <f t="shared" si="355"/>
        <v>0</v>
      </c>
      <c r="DO629" s="6">
        <f t="shared" si="355"/>
        <v>0</v>
      </c>
      <c r="DP629" s="6">
        <f t="shared" si="355"/>
        <v>0</v>
      </c>
      <c r="DQ629" s="6">
        <f t="shared" si="355"/>
        <v>0</v>
      </c>
      <c r="DR629" s="6">
        <f t="shared" si="355"/>
        <v>0</v>
      </c>
      <c r="DS629" s="6">
        <f t="shared" si="355"/>
        <v>0</v>
      </c>
      <c r="DT629" s="6">
        <f t="shared" si="355"/>
        <v>0</v>
      </c>
      <c r="DU629" s="6">
        <f t="shared" si="355"/>
        <v>0</v>
      </c>
      <c r="DV629" s="6">
        <f t="shared" si="355"/>
        <v>0</v>
      </c>
      <c r="DW629" s="6">
        <f t="shared" si="355"/>
        <v>0</v>
      </c>
      <c r="DX629" s="6">
        <f t="shared" si="355"/>
        <v>0</v>
      </c>
      <c r="DY629" s="6">
        <f t="shared" si="355"/>
        <v>0</v>
      </c>
      <c r="DZ629" s="6">
        <f t="shared" si="355"/>
        <v>0</v>
      </c>
      <c r="EA629" s="6">
        <f t="shared" si="355"/>
        <v>0</v>
      </c>
      <c r="EB629" s="6">
        <f t="shared" si="355"/>
        <v>0</v>
      </c>
      <c r="EC629" s="6">
        <f t="shared" si="355"/>
        <v>0</v>
      </c>
      <c r="ED629" s="6">
        <f t="shared" si="355"/>
        <v>0</v>
      </c>
      <c r="EE629" s="6">
        <f t="shared" si="355"/>
        <v>0</v>
      </c>
      <c r="EF629" s="6">
        <f t="shared" si="355"/>
        <v>0</v>
      </c>
      <c r="EG629" s="6">
        <f t="shared" si="355"/>
        <v>1204</v>
      </c>
      <c r="EH629" s="6">
        <f t="shared" si="355"/>
        <v>714</v>
      </c>
      <c r="EI629" s="6">
        <f t="shared" si="355"/>
        <v>0</v>
      </c>
      <c r="EJ629" s="6">
        <f t="shared" si="355"/>
        <v>0</v>
      </c>
      <c r="EK629" s="6">
        <f t="shared" si="355"/>
        <v>0</v>
      </c>
      <c r="EL629" s="6">
        <f t="shared" si="355"/>
        <v>0</v>
      </c>
      <c r="EM629" s="6">
        <f t="shared" si="355"/>
        <v>0</v>
      </c>
      <c r="EN629" s="6">
        <f t="shared" ref="EN629:GR629" si="356">SUM(EN466:EN468)</f>
        <v>0</v>
      </c>
      <c r="EO629" s="6">
        <f t="shared" si="356"/>
        <v>0</v>
      </c>
      <c r="EP629" s="6">
        <f t="shared" si="356"/>
        <v>0</v>
      </c>
      <c r="EQ629" s="6">
        <f t="shared" si="356"/>
        <v>0</v>
      </c>
      <c r="ER629" s="6">
        <f t="shared" si="356"/>
        <v>0</v>
      </c>
      <c r="ES629" s="6">
        <f t="shared" si="356"/>
        <v>0</v>
      </c>
      <c r="ET629" s="6">
        <f t="shared" si="356"/>
        <v>0</v>
      </c>
      <c r="EU629" s="6">
        <f t="shared" si="356"/>
        <v>0</v>
      </c>
      <c r="EV629" s="6">
        <f t="shared" si="356"/>
        <v>0</v>
      </c>
      <c r="EW629" s="6">
        <f t="shared" si="356"/>
        <v>0</v>
      </c>
      <c r="EX629" s="6">
        <f t="shared" si="356"/>
        <v>0</v>
      </c>
      <c r="EY629" s="6">
        <f t="shared" si="356"/>
        <v>0</v>
      </c>
      <c r="EZ629" s="6">
        <f t="shared" si="356"/>
        <v>0</v>
      </c>
      <c r="FA629" s="6">
        <f t="shared" si="356"/>
        <v>0</v>
      </c>
      <c r="FB629" s="6">
        <f t="shared" si="356"/>
        <v>0</v>
      </c>
      <c r="FC629" s="6">
        <f t="shared" si="356"/>
        <v>0</v>
      </c>
      <c r="FD629" s="6">
        <f t="shared" si="356"/>
        <v>0</v>
      </c>
      <c r="FE629" s="6">
        <f t="shared" si="356"/>
        <v>0</v>
      </c>
      <c r="FF629" s="6">
        <f t="shared" si="356"/>
        <v>0</v>
      </c>
      <c r="FG629" s="6">
        <f t="shared" si="356"/>
        <v>0</v>
      </c>
      <c r="FH629" s="6">
        <f t="shared" si="356"/>
        <v>0</v>
      </c>
      <c r="FI629" s="6">
        <f t="shared" si="356"/>
        <v>0</v>
      </c>
      <c r="FJ629" s="6">
        <f t="shared" si="356"/>
        <v>0</v>
      </c>
      <c r="FK629" s="6">
        <f t="shared" si="356"/>
        <v>0</v>
      </c>
      <c r="FL629" s="6">
        <f t="shared" si="356"/>
        <v>0</v>
      </c>
      <c r="FM629" s="6">
        <f t="shared" si="356"/>
        <v>0</v>
      </c>
      <c r="FN629" s="6">
        <f t="shared" si="356"/>
        <v>0</v>
      </c>
      <c r="FO629" s="6">
        <f t="shared" si="356"/>
        <v>0</v>
      </c>
      <c r="FP629" s="6">
        <f t="shared" si="356"/>
        <v>0</v>
      </c>
      <c r="FQ629" s="6">
        <f t="shared" si="356"/>
        <v>0</v>
      </c>
      <c r="FR629" s="6">
        <f t="shared" si="356"/>
        <v>0</v>
      </c>
      <c r="FS629" s="6">
        <f t="shared" si="356"/>
        <v>0</v>
      </c>
      <c r="FT629" s="6">
        <f t="shared" si="356"/>
        <v>0</v>
      </c>
      <c r="FU629" s="6">
        <f t="shared" si="356"/>
        <v>0</v>
      </c>
      <c r="FV629" s="6">
        <f t="shared" si="356"/>
        <v>0</v>
      </c>
      <c r="FW629" s="6">
        <f t="shared" si="356"/>
        <v>0</v>
      </c>
      <c r="FX629" s="6">
        <f t="shared" si="356"/>
        <v>0</v>
      </c>
      <c r="FY629" s="6">
        <f t="shared" si="356"/>
        <v>0</v>
      </c>
      <c r="FZ629" s="6">
        <f t="shared" si="356"/>
        <v>0</v>
      </c>
      <c r="GA629" s="6">
        <f t="shared" si="356"/>
        <v>0</v>
      </c>
      <c r="GB629" s="6">
        <f t="shared" si="356"/>
        <v>0</v>
      </c>
      <c r="GC629" s="6">
        <f t="shared" si="356"/>
        <v>0</v>
      </c>
      <c r="GD629" s="6">
        <f t="shared" si="356"/>
        <v>0</v>
      </c>
      <c r="GE629" s="6">
        <f t="shared" si="356"/>
        <v>0</v>
      </c>
      <c r="GF629" s="6">
        <f t="shared" si="356"/>
        <v>0</v>
      </c>
      <c r="GG629" s="6">
        <f t="shared" si="356"/>
        <v>0</v>
      </c>
      <c r="GH629" s="6">
        <f t="shared" si="356"/>
        <v>0</v>
      </c>
      <c r="GI629" s="6">
        <f t="shared" si="356"/>
        <v>0</v>
      </c>
      <c r="GJ629" s="6">
        <f t="shared" si="356"/>
        <v>0</v>
      </c>
      <c r="GK629" s="6">
        <f t="shared" si="356"/>
        <v>796</v>
      </c>
      <c r="GL629" s="6">
        <f t="shared" si="356"/>
        <v>1159</v>
      </c>
      <c r="GM629" s="6">
        <f t="shared" si="356"/>
        <v>0</v>
      </c>
      <c r="GN629" s="6">
        <f t="shared" si="356"/>
        <v>0</v>
      </c>
      <c r="GO629" s="6">
        <f t="shared" si="356"/>
        <v>1416</v>
      </c>
      <c r="GP629" s="6">
        <f t="shared" si="356"/>
        <v>535</v>
      </c>
      <c r="GQ629" s="6">
        <f t="shared" si="356"/>
        <v>1305</v>
      </c>
      <c r="GR629" s="6">
        <f t="shared" si="356"/>
        <v>625</v>
      </c>
    </row>
    <row r="630" spans="1:200">
      <c r="A630" s="6"/>
      <c r="B630" s="16" t="s">
        <v>86</v>
      </c>
      <c r="C630" s="14">
        <f>SUM(C472:C473)</f>
        <v>2312</v>
      </c>
      <c r="D630" s="14">
        <f>SUM(D472:D473)</f>
        <v>1460</v>
      </c>
      <c r="E630" s="15">
        <f t="shared" si="351"/>
        <v>0.63148788927335642</v>
      </c>
      <c r="F630" s="66">
        <f t="shared" ref="F630:AB630" si="357">SUM(F472:F473)</f>
        <v>1416</v>
      </c>
      <c r="G630" s="6">
        <f t="shared" si="357"/>
        <v>3</v>
      </c>
      <c r="H630" s="6">
        <f t="shared" si="357"/>
        <v>4</v>
      </c>
      <c r="I630" s="6">
        <f t="shared" si="357"/>
        <v>9</v>
      </c>
      <c r="J630" s="59">
        <f t="shared" si="357"/>
        <v>22</v>
      </c>
      <c r="K630" s="6">
        <f t="shared" si="357"/>
        <v>0</v>
      </c>
      <c r="L630" s="6">
        <f t="shared" si="357"/>
        <v>0</v>
      </c>
      <c r="M630" s="6">
        <f t="shared" si="357"/>
        <v>0</v>
      </c>
      <c r="N630" s="6">
        <f t="shared" si="357"/>
        <v>0</v>
      </c>
      <c r="O630" s="6">
        <f t="shared" si="357"/>
        <v>0</v>
      </c>
      <c r="P630" s="6">
        <f t="shared" si="357"/>
        <v>0</v>
      </c>
      <c r="Q630" s="6">
        <f t="shared" si="357"/>
        <v>0</v>
      </c>
      <c r="R630" s="6">
        <f t="shared" si="357"/>
        <v>0</v>
      </c>
      <c r="S630" s="6">
        <f t="shared" si="357"/>
        <v>0</v>
      </c>
      <c r="T630" s="6">
        <f t="shared" si="357"/>
        <v>0</v>
      </c>
      <c r="U630" s="6">
        <f t="shared" si="357"/>
        <v>0</v>
      </c>
      <c r="V630" s="6">
        <f t="shared" si="357"/>
        <v>0</v>
      </c>
      <c r="W630" s="6">
        <f t="shared" si="357"/>
        <v>0</v>
      </c>
      <c r="X630" s="6">
        <f t="shared" si="357"/>
        <v>0</v>
      </c>
      <c r="Y630" s="6">
        <f t="shared" si="357"/>
        <v>0</v>
      </c>
      <c r="Z630" s="6">
        <f t="shared" si="357"/>
        <v>0</v>
      </c>
      <c r="AA630" s="6">
        <f t="shared" si="357"/>
        <v>0</v>
      </c>
      <c r="AB630" s="6">
        <f t="shared" si="357"/>
        <v>0</v>
      </c>
      <c r="AC630" s="6">
        <f t="shared" ref="AC630:BZ630" si="358">SUM(AC472:AC473)</f>
        <v>10</v>
      </c>
      <c r="AD630" s="6">
        <f t="shared" si="358"/>
        <v>11</v>
      </c>
      <c r="AE630" s="6">
        <f t="shared" si="358"/>
        <v>70</v>
      </c>
      <c r="AF630" s="6">
        <f t="shared" si="358"/>
        <v>8</v>
      </c>
      <c r="AG630" s="6">
        <f t="shared" si="358"/>
        <v>0</v>
      </c>
      <c r="AH630" s="6">
        <f t="shared" si="358"/>
        <v>1300</v>
      </c>
      <c r="AI630" s="6">
        <f t="shared" si="358"/>
        <v>85</v>
      </c>
      <c r="AJ630" s="6">
        <f t="shared" si="358"/>
        <v>0</v>
      </c>
      <c r="AK630" s="6">
        <f t="shared" si="358"/>
        <v>0</v>
      </c>
      <c r="AL630" s="6">
        <f t="shared" si="358"/>
        <v>1308</v>
      </c>
      <c r="AM630" s="6">
        <f t="shared" si="358"/>
        <v>0</v>
      </c>
      <c r="AN630" s="6">
        <f t="shared" si="358"/>
        <v>0</v>
      </c>
      <c r="AO630" s="6">
        <f t="shared" si="358"/>
        <v>0</v>
      </c>
      <c r="AP630" s="6">
        <f t="shared" si="358"/>
        <v>0</v>
      </c>
      <c r="AQ630" s="6">
        <f t="shared" si="358"/>
        <v>0</v>
      </c>
      <c r="AR630" s="6">
        <f t="shared" si="358"/>
        <v>0</v>
      </c>
      <c r="AS630" s="6">
        <f t="shared" si="358"/>
        <v>0</v>
      </c>
      <c r="AT630" s="6">
        <f t="shared" si="358"/>
        <v>0</v>
      </c>
      <c r="AU630" s="6">
        <f t="shared" si="358"/>
        <v>0</v>
      </c>
      <c r="AV630" s="6">
        <f t="shared" si="358"/>
        <v>0</v>
      </c>
      <c r="AW630" s="6">
        <f t="shared" si="358"/>
        <v>0</v>
      </c>
      <c r="AX630" s="6">
        <f t="shared" si="358"/>
        <v>0</v>
      </c>
      <c r="AY630" s="6">
        <f t="shared" si="358"/>
        <v>0</v>
      </c>
      <c r="AZ630" s="6">
        <f t="shared" si="358"/>
        <v>0</v>
      </c>
      <c r="BA630" s="6">
        <f t="shared" si="358"/>
        <v>0</v>
      </c>
      <c r="BB630" s="6">
        <f t="shared" si="358"/>
        <v>0</v>
      </c>
      <c r="BC630" s="6">
        <f t="shared" si="358"/>
        <v>32</v>
      </c>
      <c r="BD630" s="6">
        <f t="shared" si="358"/>
        <v>1389</v>
      </c>
      <c r="BE630" s="6">
        <f t="shared" si="358"/>
        <v>24</v>
      </c>
      <c r="BF630" s="6">
        <f t="shared" si="358"/>
        <v>1373</v>
      </c>
      <c r="BG630" s="6">
        <f t="shared" si="358"/>
        <v>47</v>
      </c>
      <c r="BH630" s="6">
        <f t="shared" si="358"/>
        <v>1336</v>
      </c>
      <c r="BI630" s="6">
        <f t="shared" si="358"/>
        <v>82</v>
      </c>
      <c r="BJ630" s="6">
        <f t="shared" si="358"/>
        <v>1314</v>
      </c>
      <c r="BK630" s="6">
        <f t="shared" si="358"/>
        <v>1300</v>
      </c>
      <c r="BL630" s="6">
        <f t="shared" si="358"/>
        <v>89</v>
      </c>
      <c r="BM630" s="6">
        <f t="shared" si="358"/>
        <v>36</v>
      </c>
      <c r="BN630" s="6">
        <f t="shared" si="358"/>
        <v>1355</v>
      </c>
      <c r="BO630" s="6">
        <f t="shared" si="358"/>
        <v>1346</v>
      </c>
      <c r="BP630" s="6">
        <f t="shared" si="358"/>
        <v>42</v>
      </c>
      <c r="BQ630" s="6">
        <f t="shared" si="358"/>
        <v>65</v>
      </c>
      <c r="BR630" s="6">
        <f t="shared" si="358"/>
        <v>1329</v>
      </c>
      <c r="BS630" s="6">
        <f t="shared" si="358"/>
        <v>331</v>
      </c>
      <c r="BT630" s="6">
        <f t="shared" si="358"/>
        <v>34</v>
      </c>
      <c r="BU630" s="6">
        <f t="shared" si="358"/>
        <v>1369</v>
      </c>
      <c r="BV630" s="6">
        <f t="shared" si="358"/>
        <v>554</v>
      </c>
      <c r="BW630" s="6">
        <f t="shared" si="358"/>
        <v>258</v>
      </c>
      <c r="BX630" s="6">
        <f t="shared" si="358"/>
        <v>944</v>
      </c>
      <c r="BY630" s="6">
        <f t="shared" si="358"/>
        <v>248</v>
      </c>
      <c r="BZ630" s="6">
        <f t="shared" si="358"/>
        <v>1026</v>
      </c>
      <c r="CA630" s="6">
        <f t="shared" ref="CA630:CP630" si="359">SUM(CA472:CA473)</f>
        <v>482</v>
      </c>
      <c r="CB630" s="6">
        <f t="shared" si="359"/>
        <v>136</v>
      </c>
      <c r="CC630" s="6">
        <f t="shared" si="359"/>
        <v>1080</v>
      </c>
      <c r="CD630" s="6">
        <f t="shared" si="359"/>
        <v>875</v>
      </c>
      <c r="CE630" s="6">
        <f t="shared" si="359"/>
        <v>1023</v>
      </c>
      <c r="CF630" s="6">
        <f t="shared" si="359"/>
        <v>169</v>
      </c>
      <c r="CG630" s="6">
        <f t="shared" si="359"/>
        <v>195</v>
      </c>
      <c r="CH630" s="6">
        <f t="shared" si="359"/>
        <v>951</v>
      </c>
      <c r="CI630" s="6">
        <f t="shared" si="359"/>
        <v>897</v>
      </c>
      <c r="CJ630" s="6">
        <f t="shared" si="359"/>
        <v>296</v>
      </c>
      <c r="CK630" s="6">
        <f t="shared" si="359"/>
        <v>350</v>
      </c>
      <c r="CL630" s="6">
        <f t="shared" si="359"/>
        <v>860</v>
      </c>
      <c r="CM630" s="6">
        <f t="shared" si="359"/>
        <v>473</v>
      </c>
      <c r="CN630" s="6">
        <f t="shared" si="359"/>
        <v>554</v>
      </c>
      <c r="CO630" s="6">
        <f t="shared" si="359"/>
        <v>943</v>
      </c>
      <c r="CP630" s="6">
        <f t="shared" si="359"/>
        <v>302</v>
      </c>
      <c r="CQ630" s="6">
        <f t="shared" ref="CQ630:EM630" si="360">SUM(CQ472:CQ473)</f>
        <v>0</v>
      </c>
      <c r="CR630" s="6">
        <f t="shared" si="360"/>
        <v>0</v>
      </c>
      <c r="CS630" s="6">
        <f t="shared" si="360"/>
        <v>0</v>
      </c>
      <c r="CT630" s="6">
        <f t="shared" si="360"/>
        <v>0</v>
      </c>
      <c r="CU630" s="6">
        <f t="shared" si="360"/>
        <v>0</v>
      </c>
      <c r="CV630" s="6">
        <f t="shared" si="360"/>
        <v>0</v>
      </c>
      <c r="CW630" s="6">
        <f t="shared" si="360"/>
        <v>0</v>
      </c>
      <c r="CX630" s="6">
        <f t="shared" si="360"/>
        <v>0</v>
      </c>
      <c r="CY630" s="6">
        <f t="shared" si="360"/>
        <v>0</v>
      </c>
      <c r="CZ630" s="6">
        <f t="shared" si="360"/>
        <v>0</v>
      </c>
      <c r="DA630" s="6">
        <f t="shared" si="360"/>
        <v>0</v>
      </c>
      <c r="DB630" s="6">
        <f t="shared" si="360"/>
        <v>0</v>
      </c>
      <c r="DC630" s="6">
        <f t="shared" si="360"/>
        <v>0</v>
      </c>
      <c r="DD630" s="6">
        <f t="shared" si="360"/>
        <v>0</v>
      </c>
      <c r="DE630" s="6">
        <f t="shared" si="360"/>
        <v>0</v>
      </c>
      <c r="DF630" s="6">
        <f t="shared" si="360"/>
        <v>0</v>
      </c>
      <c r="DG630" s="6">
        <f t="shared" si="360"/>
        <v>0</v>
      </c>
      <c r="DH630" s="6">
        <f t="shared" si="360"/>
        <v>0</v>
      </c>
      <c r="DI630" s="6">
        <f t="shared" si="360"/>
        <v>0</v>
      </c>
      <c r="DJ630" s="6">
        <f t="shared" si="360"/>
        <v>0</v>
      </c>
      <c r="DK630" s="6">
        <f t="shared" si="360"/>
        <v>0</v>
      </c>
      <c r="DL630" s="6">
        <f t="shared" si="360"/>
        <v>0</v>
      </c>
      <c r="DM630" s="6">
        <f t="shared" si="360"/>
        <v>0</v>
      </c>
      <c r="DN630" s="6">
        <f t="shared" si="360"/>
        <v>0</v>
      </c>
      <c r="DO630" s="6">
        <f t="shared" si="360"/>
        <v>0</v>
      </c>
      <c r="DP630" s="6">
        <f t="shared" si="360"/>
        <v>0</v>
      </c>
      <c r="DQ630" s="6">
        <f t="shared" si="360"/>
        <v>0</v>
      </c>
      <c r="DR630" s="6">
        <f t="shared" si="360"/>
        <v>0</v>
      </c>
      <c r="DS630" s="6">
        <f t="shared" si="360"/>
        <v>0</v>
      </c>
      <c r="DT630" s="6">
        <f t="shared" si="360"/>
        <v>0</v>
      </c>
      <c r="DU630" s="6">
        <f t="shared" si="360"/>
        <v>0</v>
      </c>
      <c r="DV630" s="6">
        <f t="shared" si="360"/>
        <v>0</v>
      </c>
      <c r="DW630" s="6">
        <f t="shared" si="360"/>
        <v>0</v>
      </c>
      <c r="DX630" s="6">
        <f t="shared" si="360"/>
        <v>0</v>
      </c>
      <c r="DY630" s="6">
        <f t="shared" si="360"/>
        <v>0</v>
      </c>
      <c r="DZ630" s="6">
        <f t="shared" si="360"/>
        <v>0</v>
      </c>
      <c r="EA630" s="6">
        <f t="shared" si="360"/>
        <v>0</v>
      </c>
      <c r="EB630" s="6">
        <f t="shared" si="360"/>
        <v>0</v>
      </c>
      <c r="EC630" s="6">
        <f t="shared" si="360"/>
        <v>0</v>
      </c>
      <c r="ED630" s="6">
        <f t="shared" si="360"/>
        <v>0</v>
      </c>
      <c r="EE630" s="6">
        <f t="shared" si="360"/>
        <v>0</v>
      </c>
      <c r="EF630" s="6">
        <f t="shared" si="360"/>
        <v>0</v>
      </c>
      <c r="EG630" s="6">
        <f t="shared" si="360"/>
        <v>0</v>
      </c>
      <c r="EH630" s="6">
        <f t="shared" si="360"/>
        <v>0</v>
      </c>
      <c r="EI630" s="6">
        <f t="shared" si="360"/>
        <v>0</v>
      </c>
      <c r="EJ630" s="6">
        <f t="shared" si="360"/>
        <v>0</v>
      </c>
      <c r="EK630" s="6">
        <f t="shared" si="360"/>
        <v>0</v>
      </c>
      <c r="EL630" s="6">
        <f t="shared" si="360"/>
        <v>0</v>
      </c>
      <c r="EM630" s="6">
        <f t="shared" si="360"/>
        <v>0</v>
      </c>
      <c r="EN630" s="6">
        <f t="shared" ref="EN630:GR630" si="361">SUM(EN472:EN473)</f>
        <v>0</v>
      </c>
      <c r="EO630" s="6">
        <f t="shared" si="361"/>
        <v>0</v>
      </c>
      <c r="EP630" s="6">
        <f t="shared" si="361"/>
        <v>0</v>
      </c>
      <c r="EQ630" s="6">
        <f t="shared" si="361"/>
        <v>0</v>
      </c>
      <c r="ER630" s="6">
        <f t="shared" si="361"/>
        <v>0</v>
      </c>
      <c r="ES630" s="6">
        <f t="shared" si="361"/>
        <v>0</v>
      </c>
      <c r="ET630" s="6">
        <f t="shared" si="361"/>
        <v>0</v>
      </c>
      <c r="EU630" s="6">
        <f t="shared" si="361"/>
        <v>0</v>
      </c>
      <c r="EV630" s="6">
        <f t="shared" si="361"/>
        <v>0</v>
      </c>
      <c r="EW630" s="6">
        <f t="shared" si="361"/>
        <v>0</v>
      </c>
      <c r="EX630" s="6">
        <f t="shared" si="361"/>
        <v>0</v>
      </c>
      <c r="EY630" s="6">
        <f t="shared" si="361"/>
        <v>0</v>
      </c>
      <c r="EZ630" s="6">
        <f t="shared" si="361"/>
        <v>0</v>
      </c>
      <c r="FA630" s="6">
        <f t="shared" si="361"/>
        <v>0</v>
      </c>
      <c r="FB630" s="6">
        <f t="shared" si="361"/>
        <v>0</v>
      </c>
      <c r="FC630" s="6">
        <f t="shared" si="361"/>
        <v>0</v>
      </c>
      <c r="FD630" s="6">
        <f t="shared" si="361"/>
        <v>0</v>
      </c>
      <c r="FE630" s="6">
        <f t="shared" si="361"/>
        <v>0</v>
      </c>
      <c r="FF630" s="6">
        <f t="shared" si="361"/>
        <v>0</v>
      </c>
      <c r="FG630" s="6">
        <f t="shared" si="361"/>
        <v>0</v>
      </c>
      <c r="FH630" s="6">
        <f t="shared" si="361"/>
        <v>0</v>
      </c>
      <c r="FI630" s="6">
        <f t="shared" si="361"/>
        <v>0</v>
      </c>
      <c r="FJ630" s="6">
        <f t="shared" si="361"/>
        <v>0</v>
      </c>
      <c r="FK630" s="6">
        <f t="shared" si="361"/>
        <v>0</v>
      </c>
      <c r="FL630" s="6">
        <f t="shared" si="361"/>
        <v>0</v>
      </c>
      <c r="FM630" s="6">
        <f t="shared" si="361"/>
        <v>0</v>
      </c>
      <c r="FN630" s="6">
        <f t="shared" si="361"/>
        <v>0</v>
      </c>
      <c r="FO630" s="6">
        <f t="shared" si="361"/>
        <v>0</v>
      </c>
      <c r="FP630" s="6">
        <f t="shared" si="361"/>
        <v>0</v>
      </c>
      <c r="FQ630" s="6">
        <f t="shared" si="361"/>
        <v>0</v>
      </c>
      <c r="FR630" s="6">
        <f t="shared" si="361"/>
        <v>0</v>
      </c>
      <c r="FS630" s="6">
        <f t="shared" si="361"/>
        <v>0</v>
      </c>
      <c r="FT630" s="6">
        <f t="shared" si="361"/>
        <v>0</v>
      </c>
      <c r="FU630" s="6">
        <f t="shared" si="361"/>
        <v>0</v>
      </c>
      <c r="FV630" s="6">
        <f t="shared" si="361"/>
        <v>0</v>
      </c>
      <c r="FW630" s="6">
        <f t="shared" si="361"/>
        <v>0</v>
      </c>
      <c r="FX630" s="6">
        <f t="shared" si="361"/>
        <v>0</v>
      </c>
      <c r="FY630" s="6">
        <f t="shared" si="361"/>
        <v>0</v>
      </c>
      <c r="FZ630" s="6">
        <f t="shared" si="361"/>
        <v>0</v>
      </c>
      <c r="GA630" s="6">
        <f t="shared" si="361"/>
        <v>0</v>
      </c>
      <c r="GB630" s="6">
        <f t="shared" si="361"/>
        <v>0</v>
      </c>
      <c r="GC630" s="6">
        <f t="shared" si="361"/>
        <v>0</v>
      </c>
      <c r="GD630" s="6">
        <f t="shared" si="361"/>
        <v>0</v>
      </c>
      <c r="GE630" s="6">
        <f t="shared" si="361"/>
        <v>0</v>
      </c>
      <c r="GF630" s="6">
        <f t="shared" si="361"/>
        <v>0</v>
      </c>
      <c r="GG630" s="6">
        <f t="shared" si="361"/>
        <v>0</v>
      </c>
      <c r="GH630" s="6">
        <f t="shared" si="361"/>
        <v>0</v>
      </c>
      <c r="GI630" s="6">
        <f t="shared" si="361"/>
        <v>0</v>
      </c>
      <c r="GJ630" s="6">
        <f t="shared" si="361"/>
        <v>0</v>
      </c>
      <c r="GK630" s="6">
        <f t="shared" si="361"/>
        <v>0</v>
      </c>
      <c r="GL630" s="6">
        <f t="shared" si="361"/>
        <v>0</v>
      </c>
      <c r="GM630" s="6">
        <f t="shared" si="361"/>
        <v>0</v>
      </c>
      <c r="GN630" s="6">
        <f t="shared" si="361"/>
        <v>0</v>
      </c>
      <c r="GO630" s="6">
        <f t="shared" si="361"/>
        <v>959</v>
      </c>
      <c r="GP630" s="6">
        <f t="shared" si="361"/>
        <v>385</v>
      </c>
      <c r="GQ630" s="6">
        <f t="shared" si="361"/>
        <v>1061</v>
      </c>
      <c r="GR630" s="6">
        <f t="shared" si="361"/>
        <v>282</v>
      </c>
    </row>
    <row r="631" spans="1:200">
      <c r="A631" s="6"/>
      <c r="B631" s="16" t="s">
        <v>87</v>
      </c>
      <c r="C631" s="14">
        <f>SUM(C474:C475)</f>
        <v>2270</v>
      </c>
      <c r="D631" s="14">
        <f>SUM(D474:D475)</f>
        <v>1325</v>
      </c>
      <c r="E631" s="15">
        <f t="shared" si="351"/>
        <v>0.58370044052863435</v>
      </c>
      <c r="F631" s="66">
        <f t="shared" ref="F631:AB631" si="362">SUM(F474:F475)</f>
        <v>654</v>
      </c>
      <c r="G631" s="6">
        <f t="shared" si="362"/>
        <v>4</v>
      </c>
      <c r="H631" s="6">
        <f t="shared" si="362"/>
        <v>27</v>
      </c>
      <c r="I631" s="6">
        <f t="shared" si="362"/>
        <v>15</v>
      </c>
      <c r="J631" s="59">
        <f t="shared" si="362"/>
        <v>605</v>
      </c>
      <c r="K631" s="6">
        <f t="shared" si="362"/>
        <v>0</v>
      </c>
      <c r="L631" s="6">
        <f t="shared" si="362"/>
        <v>0</v>
      </c>
      <c r="M631" s="6">
        <f t="shared" si="362"/>
        <v>0</v>
      </c>
      <c r="N631" s="6">
        <f t="shared" si="362"/>
        <v>0</v>
      </c>
      <c r="O631" s="6">
        <f t="shared" si="362"/>
        <v>0</v>
      </c>
      <c r="P631" s="6">
        <f t="shared" si="362"/>
        <v>0</v>
      </c>
      <c r="Q631" s="6">
        <f t="shared" si="362"/>
        <v>0</v>
      </c>
      <c r="R631" s="6">
        <f t="shared" si="362"/>
        <v>0</v>
      </c>
      <c r="S631" s="6">
        <f t="shared" si="362"/>
        <v>0</v>
      </c>
      <c r="T631" s="6">
        <f t="shared" si="362"/>
        <v>0</v>
      </c>
      <c r="U631" s="6">
        <f t="shared" si="362"/>
        <v>0</v>
      </c>
      <c r="V631" s="6">
        <f t="shared" si="362"/>
        <v>0</v>
      </c>
      <c r="W631" s="6">
        <f t="shared" si="362"/>
        <v>1</v>
      </c>
      <c r="X631" s="6">
        <f t="shared" si="362"/>
        <v>0</v>
      </c>
      <c r="Y631" s="6">
        <f t="shared" si="362"/>
        <v>0</v>
      </c>
      <c r="Z631" s="6">
        <f t="shared" si="362"/>
        <v>0</v>
      </c>
      <c r="AA631" s="6">
        <f t="shared" si="362"/>
        <v>0</v>
      </c>
      <c r="AB631" s="6">
        <f t="shared" si="362"/>
        <v>0</v>
      </c>
      <c r="AC631" s="6">
        <f t="shared" ref="AC631:BZ631" si="363">SUM(AC474:AC475)</f>
        <v>19</v>
      </c>
      <c r="AD631" s="6">
        <f t="shared" si="363"/>
        <v>32</v>
      </c>
      <c r="AE631" s="6">
        <f t="shared" si="363"/>
        <v>639</v>
      </c>
      <c r="AF631" s="6">
        <f t="shared" si="363"/>
        <v>15</v>
      </c>
      <c r="AG631" s="6">
        <f t="shared" si="363"/>
        <v>0</v>
      </c>
      <c r="AH631" s="6">
        <f t="shared" si="363"/>
        <v>545</v>
      </c>
      <c r="AI631" s="6">
        <f t="shared" si="363"/>
        <v>0</v>
      </c>
      <c r="AJ631" s="6">
        <f t="shared" si="363"/>
        <v>0</v>
      </c>
      <c r="AK631" s="6">
        <f t="shared" si="363"/>
        <v>0</v>
      </c>
      <c r="AL631" s="6">
        <f t="shared" si="363"/>
        <v>0</v>
      </c>
      <c r="AM631" s="6">
        <f t="shared" si="363"/>
        <v>16</v>
      </c>
      <c r="AN631" s="6">
        <f t="shared" si="363"/>
        <v>585</v>
      </c>
      <c r="AO631" s="6">
        <f t="shared" si="363"/>
        <v>589</v>
      </c>
      <c r="AP631" s="6">
        <f t="shared" si="363"/>
        <v>0</v>
      </c>
      <c r="AQ631" s="6">
        <f t="shared" si="363"/>
        <v>0</v>
      </c>
      <c r="AR631" s="6">
        <f t="shared" si="363"/>
        <v>0</v>
      </c>
      <c r="AS631" s="6">
        <f t="shared" si="363"/>
        <v>0</v>
      </c>
      <c r="AT631" s="6">
        <f t="shared" si="363"/>
        <v>0</v>
      </c>
      <c r="AU631" s="6">
        <f t="shared" si="363"/>
        <v>0</v>
      </c>
      <c r="AV631" s="6">
        <f t="shared" si="363"/>
        <v>0</v>
      </c>
      <c r="AW631" s="6">
        <f t="shared" si="363"/>
        <v>0</v>
      </c>
      <c r="AX631" s="6">
        <f t="shared" si="363"/>
        <v>0</v>
      </c>
      <c r="AY631" s="6">
        <f t="shared" si="363"/>
        <v>0</v>
      </c>
      <c r="AZ631" s="6">
        <f t="shared" si="363"/>
        <v>0</v>
      </c>
      <c r="BA631" s="6">
        <f t="shared" si="363"/>
        <v>0</v>
      </c>
      <c r="BB631" s="6">
        <f t="shared" si="363"/>
        <v>0</v>
      </c>
      <c r="BC631" s="6">
        <f t="shared" si="363"/>
        <v>547</v>
      </c>
      <c r="BD631" s="6">
        <f t="shared" si="363"/>
        <v>664</v>
      </c>
      <c r="BE631" s="6">
        <f t="shared" si="363"/>
        <v>442</v>
      </c>
      <c r="BF631" s="6">
        <f t="shared" si="363"/>
        <v>741</v>
      </c>
      <c r="BG631" s="6">
        <f t="shared" si="363"/>
        <v>619</v>
      </c>
      <c r="BH631" s="6">
        <f t="shared" si="363"/>
        <v>597</v>
      </c>
      <c r="BI631" s="6">
        <f t="shared" si="363"/>
        <v>665</v>
      </c>
      <c r="BJ631" s="6">
        <f t="shared" si="363"/>
        <v>541</v>
      </c>
      <c r="BK631" s="6">
        <f t="shared" si="363"/>
        <v>617</v>
      </c>
      <c r="BL631" s="6">
        <f t="shared" si="363"/>
        <v>578</v>
      </c>
      <c r="BM631" s="6">
        <f t="shared" si="363"/>
        <v>421</v>
      </c>
      <c r="BN631" s="6">
        <f t="shared" si="363"/>
        <v>774</v>
      </c>
      <c r="BO631" s="6">
        <f t="shared" si="363"/>
        <v>631</v>
      </c>
      <c r="BP631" s="6">
        <f t="shared" si="363"/>
        <v>547</v>
      </c>
      <c r="BQ631" s="6">
        <f t="shared" si="363"/>
        <v>616</v>
      </c>
      <c r="BR631" s="6">
        <f t="shared" si="363"/>
        <v>565</v>
      </c>
      <c r="BS631" s="6">
        <f t="shared" si="363"/>
        <v>748</v>
      </c>
      <c r="BT631" s="6">
        <f t="shared" si="363"/>
        <v>476</v>
      </c>
      <c r="BU631" s="6">
        <f t="shared" si="363"/>
        <v>697</v>
      </c>
      <c r="BV631" s="6">
        <f t="shared" si="363"/>
        <v>773</v>
      </c>
      <c r="BW631" s="6">
        <f t="shared" si="363"/>
        <v>480</v>
      </c>
      <c r="BX631" s="6">
        <f t="shared" si="363"/>
        <v>466</v>
      </c>
      <c r="BY631" s="6">
        <f t="shared" si="363"/>
        <v>650</v>
      </c>
      <c r="BZ631" s="6">
        <f t="shared" si="363"/>
        <v>402</v>
      </c>
      <c r="CA631" s="6">
        <f t="shared" ref="CA631:CP631" si="364">SUM(CA474:CA475)</f>
        <v>695</v>
      </c>
      <c r="CB631" s="6">
        <f t="shared" si="364"/>
        <v>439</v>
      </c>
      <c r="CC631" s="6">
        <f t="shared" si="364"/>
        <v>492</v>
      </c>
      <c r="CD631" s="6">
        <f t="shared" si="364"/>
        <v>693</v>
      </c>
      <c r="CE631" s="6">
        <f t="shared" si="364"/>
        <v>474</v>
      </c>
      <c r="CF631" s="6">
        <f t="shared" si="364"/>
        <v>478</v>
      </c>
      <c r="CG631" s="6">
        <f t="shared" si="364"/>
        <v>462</v>
      </c>
      <c r="CH631" s="6">
        <f t="shared" si="364"/>
        <v>383</v>
      </c>
      <c r="CI631" s="6">
        <f t="shared" si="364"/>
        <v>289</v>
      </c>
      <c r="CJ631" s="6">
        <f t="shared" si="364"/>
        <v>616</v>
      </c>
      <c r="CK631" s="6">
        <f t="shared" si="364"/>
        <v>520</v>
      </c>
      <c r="CL631" s="6">
        <f t="shared" si="364"/>
        <v>389</v>
      </c>
      <c r="CM631" s="6">
        <f t="shared" si="364"/>
        <v>665</v>
      </c>
      <c r="CN631" s="6">
        <f t="shared" si="364"/>
        <v>722</v>
      </c>
      <c r="CO631" s="6">
        <f t="shared" si="364"/>
        <v>396</v>
      </c>
      <c r="CP631" s="6">
        <f t="shared" si="364"/>
        <v>530</v>
      </c>
      <c r="CQ631" s="6">
        <f t="shared" ref="CQ631:EM631" si="365">SUM(CQ474:CQ475)</f>
        <v>0</v>
      </c>
      <c r="CR631" s="6">
        <f t="shared" si="365"/>
        <v>0</v>
      </c>
      <c r="CS631" s="6">
        <f t="shared" si="365"/>
        <v>0</v>
      </c>
      <c r="CT631" s="6">
        <f t="shared" si="365"/>
        <v>0</v>
      </c>
      <c r="CU631" s="6">
        <f t="shared" si="365"/>
        <v>0</v>
      </c>
      <c r="CV631" s="6">
        <f t="shared" si="365"/>
        <v>0</v>
      </c>
      <c r="CW631" s="6">
        <f t="shared" si="365"/>
        <v>0</v>
      </c>
      <c r="CX631" s="6">
        <f t="shared" si="365"/>
        <v>0</v>
      </c>
      <c r="CY631" s="6">
        <f t="shared" si="365"/>
        <v>0</v>
      </c>
      <c r="CZ631" s="6">
        <f t="shared" si="365"/>
        <v>0</v>
      </c>
      <c r="DA631" s="6">
        <f t="shared" si="365"/>
        <v>0</v>
      </c>
      <c r="DB631" s="6">
        <f t="shared" si="365"/>
        <v>0</v>
      </c>
      <c r="DC631" s="6">
        <f t="shared" si="365"/>
        <v>0</v>
      </c>
      <c r="DD631" s="6">
        <f t="shared" si="365"/>
        <v>0</v>
      </c>
      <c r="DE631" s="6">
        <f t="shared" si="365"/>
        <v>0</v>
      </c>
      <c r="DF631" s="6">
        <f t="shared" si="365"/>
        <v>0</v>
      </c>
      <c r="DG631" s="6">
        <f t="shared" si="365"/>
        <v>0</v>
      </c>
      <c r="DH631" s="6">
        <f t="shared" si="365"/>
        <v>0</v>
      </c>
      <c r="DI631" s="6">
        <f t="shared" si="365"/>
        <v>0</v>
      </c>
      <c r="DJ631" s="6">
        <f t="shared" si="365"/>
        <v>0</v>
      </c>
      <c r="DK631" s="6">
        <f t="shared" si="365"/>
        <v>0</v>
      </c>
      <c r="DL631" s="6">
        <f t="shared" si="365"/>
        <v>0</v>
      </c>
      <c r="DM631" s="6">
        <f t="shared" si="365"/>
        <v>0</v>
      </c>
      <c r="DN631" s="6">
        <f t="shared" si="365"/>
        <v>0</v>
      </c>
      <c r="DO631" s="6">
        <f t="shared" si="365"/>
        <v>0</v>
      </c>
      <c r="DP631" s="6">
        <f t="shared" si="365"/>
        <v>0</v>
      </c>
      <c r="DQ631" s="6">
        <f t="shared" si="365"/>
        <v>0</v>
      </c>
      <c r="DR631" s="6">
        <f t="shared" si="365"/>
        <v>0</v>
      </c>
      <c r="DS631" s="6">
        <f t="shared" si="365"/>
        <v>0</v>
      </c>
      <c r="DT631" s="6">
        <f t="shared" si="365"/>
        <v>0</v>
      </c>
      <c r="DU631" s="6">
        <f t="shared" si="365"/>
        <v>0</v>
      </c>
      <c r="DV631" s="6">
        <f t="shared" si="365"/>
        <v>0</v>
      </c>
      <c r="DW631" s="6">
        <f t="shared" si="365"/>
        <v>0</v>
      </c>
      <c r="DX631" s="6">
        <f t="shared" si="365"/>
        <v>0</v>
      </c>
      <c r="DY631" s="6">
        <f t="shared" si="365"/>
        <v>0</v>
      </c>
      <c r="DZ631" s="6">
        <f t="shared" si="365"/>
        <v>0</v>
      </c>
      <c r="EA631" s="6">
        <f t="shared" si="365"/>
        <v>0</v>
      </c>
      <c r="EB631" s="6">
        <f t="shared" si="365"/>
        <v>0</v>
      </c>
      <c r="EC631" s="6">
        <f t="shared" si="365"/>
        <v>0</v>
      </c>
      <c r="ED631" s="6">
        <f t="shared" si="365"/>
        <v>0</v>
      </c>
      <c r="EE631" s="6">
        <f t="shared" si="365"/>
        <v>0</v>
      </c>
      <c r="EF631" s="6">
        <f t="shared" si="365"/>
        <v>0</v>
      </c>
      <c r="EG631" s="6">
        <f t="shared" si="365"/>
        <v>0</v>
      </c>
      <c r="EH631" s="6">
        <f t="shared" si="365"/>
        <v>0</v>
      </c>
      <c r="EI631" s="6">
        <f t="shared" si="365"/>
        <v>801</v>
      </c>
      <c r="EJ631" s="6">
        <f t="shared" si="365"/>
        <v>413</v>
      </c>
      <c r="EK631" s="6">
        <f t="shared" si="365"/>
        <v>708</v>
      </c>
      <c r="EL631" s="6">
        <f t="shared" si="365"/>
        <v>509</v>
      </c>
      <c r="EM631" s="6">
        <f t="shared" si="365"/>
        <v>0</v>
      </c>
      <c r="EN631" s="6">
        <f t="shared" ref="EN631:GR631" si="366">SUM(EN474:EN475)</f>
        <v>0</v>
      </c>
      <c r="EO631" s="6">
        <f t="shared" si="366"/>
        <v>0</v>
      </c>
      <c r="EP631" s="6">
        <f t="shared" si="366"/>
        <v>0</v>
      </c>
      <c r="EQ631" s="6">
        <f t="shared" si="366"/>
        <v>0</v>
      </c>
      <c r="ER631" s="6">
        <f t="shared" si="366"/>
        <v>0</v>
      </c>
      <c r="ES631" s="6">
        <f t="shared" si="366"/>
        <v>0</v>
      </c>
      <c r="ET631" s="6">
        <f t="shared" si="366"/>
        <v>0</v>
      </c>
      <c r="EU631" s="6">
        <f t="shared" si="366"/>
        <v>0</v>
      </c>
      <c r="EV631" s="6">
        <f t="shared" si="366"/>
        <v>0</v>
      </c>
      <c r="EW631" s="6">
        <f t="shared" si="366"/>
        <v>0</v>
      </c>
      <c r="EX631" s="6">
        <f t="shared" si="366"/>
        <v>0</v>
      </c>
      <c r="EY631" s="6">
        <f t="shared" si="366"/>
        <v>0</v>
      </c>
      <c r="EZ631" s="6">
        <f t="shared" si="366"/>
        <v>0</v>
      </c>
      <c r="FA631" s="6">
        <f t="shared" si="366"/>
        <v>0</v>
      </c>
      <c r="FB631" s="6">
        <f t="shared" si="366"/>
        <v>0</v>
      </c>
      <c r="FC631" s="6">
        <f t="shared" si="366"/>
        <v>0</v>
      </c>
      <c r="FD631" s="6">
        <f t="shared" si="366"/>
        <v>0</v>
      </c>
      <c r="FE631" s="6">
        <f t="shared" si="366"/>
        <v>0</v>
      </c>
      <c r="FF631" s="6">
        <f t="shared" si="366"/>
        <v>0</v>
      </c>
      <c r="FG631" s="6">
        <f t="shared" si="366"/>
        <v>0</v>
      </c>
      <c r="FH631" s="6">
        <f t="shared" si="366"/>
        <v>0</v>
      </c>
      <c r="FI631" s="6">
        <f t="shared" si="366"/>
        <v>0</v>
      </c>
      <c r="FJ631" s="6">
        <f t="shared" si="366"/>
        <v>0</v>
      </c>
      <c r="FK631" s="6">
        <f t="shared" si="366"/>
        <v>0</v>
      </c>
      <c r="FL631" s="6">
        <f t="shared" si="366"/>
        <v>0</v>
      </c>
      <c r="FM631" s="6">
        <f t="shared" si="366"/>
        <v>0</v>
      </c>
      <c r="FN631" s="6">
        <f t="shared" si="366"/>
        <v>0</v>
      </c>
      <c r="FO631" s="6">
        <f t="shared" si="366"/>
        <v>0</v>
      </c>
      <c r="FP631" s="6">
        <f t="shared" si="366"/>
        <v>0</v>
      </c>
      <c r="FQ631" s="6">
        <f t="shared" si="366"/>
        <v>0</v>
      </c>
      <c r="FR631" s="6">
        <f t="shared" si="366"/>
        <v>0</v>
      </c>
      <c r="FS631" s="6">
        <f t="shared" si="366"/>
        <v>0</v>
      </c>
      <c r="FT631" s="6">
        <f t="shared" si="366"/>
        <v>0</v>
      </c>
      <c r="FU631" s="6">
        <f t="shared" si="366"/>
        <v>0</v>
      </c>
      <c r="FV631" s="6">
        <f t="shared" si="366"/>
        <v>0</v>
      </c>
      <c r="FW631" s="6">
        <f t="shared" si="366"/>
        <v>0</v>
      </c>
      <c r="FX631" s="6">
        <f t="shared" si="366"/>
        <v>0</v>
      </c>
      <c r="FY631" s="6">
        <f t="shared" si="366"/>
        <v>0</v>
      </c>
      <c r="FZ631" s="6">
        <f t="shared" si="366"/>
        <v>0</v>
      </c>
      <c r="GA631" s="6">
        <f t="shared" si="366"/>
        <v>0</v>
      </c>
      <c r="GB631" s="6">
        <f t="shared" si="366"/>
        <v>0</v>
      </c>
      <c r="GC631" s="6">
        <f t="shared" si="366"/>
        <v>0</v>
      </c>
      <c r="GD631" s="6">
        <f t="shared" si="366"/>
        <v>0</v>
      </c>
      <c r="GE631" s="6">
        <f t="shared" si="366"/>
        <v>0</v>
      </c>
      <c r="GF631" s="6">
        <f t="shared" si="366"/>
        <v>0</v>
      </c>
      <c r="GG631" s="6">
        <f t="shared" si="366"/>
        <v>0</v>
      </c>
      <c r="GH631" s="6">
        <f t="shared" si="366"/>
        <v>0</v>
      </c>
      <c r="GI631" s="6">
        <f t="shared" si="366"/>
        <v>0</v>
      </c>
      <c r="GJ631" s="6">
        <f t="shared" si="366"/>
        <v>0</v>
      </c>
      <c r="GK631" s="6">
        <f t="shared" si="366"/>
        <v>0</v>
      </c>
      <c r="GL631" s="6">
        <f t="shared" si="366"/>
        <v>0</v>
      </c>
      <c r="GM631" s="6">
        <f t="shared" si="366"/>
        <v>0</v>
      </c>
      <c r="GN631" s="6">
        <f t="shared" si="366"/>
        <v>0</v>
      </c>
      <c r="GO631" s="6">
        <f t="shared" si="366"/>
        <v>790</v>
      </c>
      <c r="GP631" s="6">
        <f t="shared" si="366"/>
        <v>413</v>
      </c>
      <c r="GQ631" s="6">
        <f t="shared" si="366"/>
        <v>755</v>
      </c>
      <c r="GR631" s="6">
        <f t="shared" si="366"/>
        <v>445</v>
      </c>
    </row>
    <row r="632" spans="1:200">
      <c r="A632" s="6"/>
      <c r="B632" s="16" t="s">
        <v>88</v>
      </c>
      <c r="C632" s="14">
        <f>SUM(C476:C477)</f>
        <v>2640</v>
      </c>
      <c r="D632" s="14">
        <f>SUM(D476:D477)</f>
        <v>2111</v>
      </c>
      <c r="E632" s="15">
        <f t="shared" si="351"/>
        <v>0.79962121212121207</v>
      </c>
      <c r="F632" s="66">
        <f t="shared" ref="F632:AB632" si="367">SUM(F476:F477)</f>
        <v>1102</v>
      </c>
      <c r="G632" s="6">
        <f t="shared" si="367"/>
        <v>2</v>
      </c>
      <c r="H632" s="6">
        <f t="shared" si="367"/>
        <v>110</v>
      </c>
      <c r="I632" s="6">
        <f t="shared" si="367"/>
        <v>22</v>
      </c>
      <c r="J632" s="59">
        <f t="shared" si="367"/>
        <v>774</v>
      </c>
      <c r="K632" s="6">
        <f t="shared" si="367"/>
        <v>0</v>
      </c>
      <c r="L632" s="6">
        <f t="shared" si="367"/>
        <v>0</v>
      </c>
      <c r="M632" s="6">
        <f t="shared" si="367"/>
        <v>1</v>
      </c>
      <c r="N632" s="6">
        <f t="shared" si="367"/>
        <v>0</v>
      </c>
      <c r="O632" s="6">
        <f t="shared" si="367"/>
        <v>0</v>
      </c>
      <c r="P632" s="6">
        <f t="shared" si="367"/>
        <v>0</v>
      </c>
      <c r="Q632" s="6">
        <f t="shared" si="367"/>
        <v>0</v>
      </c>
      <c r="R632" s="6">
        <f t="shared" si="367"/>
        <v>0</v>
      </c>
      <c r="S632" s="6">
        <f t="shared" si="367"/>
        <v>0</v>
      </c>
      <c r="T632" s="6">
        <f t="shared" si="367"/>
        <v>0</v>
      </c>
      <c r="U632" s="6">
        <f t="shared" si="367"/>
        <v>0</v>
      </c>
      <c r="V632" s="6">
        <f t="shared" si="367"/>
        <v>3</v>
      </c>
      <c r="W632" s="6">
        <f t="shared" si="367"/>
        <v>10</v>
      </c>
      <c r="X632" s="6">
        <f t="shared" si="367"/>
        <v>0</v>
      </c>
      <c r="Y632" s="6">
        <f t="shared" si="367"/>
        <v>0</v>
      </c>
      <c r="Z632" s="6">
        <f t="shared" si="367"/>
        <v>0</v>
      </c>
      <c r="AA632" s="6">
        <f t="shared" si="367"/>
        <v>0</v>
      </c>
      <c r="AB632" s="6">
        <f t="shared" si="367"/>
        <v>0</v>
      </c>
      <c r="AC632" s="6">
        <f t="shared" ref="AC632:BZ632" si="368">SUM(AC476:AC477)</f>
        <v>7</v>
      </c>
      <c r="AD632" s="6">
        <f t="shared" si="368"/>
        <v>28</v>
      </c>
      <c r="AE632" s="6">
        <f t="shared" si="368"/>
        <v>1354</v>
      </c>
      <c r="AF632" s="6">
        <f t="shared" si="368"/>
        <v>10</v>
      </c>
      <c r="AG632" s="6">
        <f t="shared" si="368"/>
        <v>0</v>
      </c>
      <c r="AH632" s="6">
        <f t="shared" si="368"/>
        <v>660</v>
      </c>
      <c r="AI632" s="6">
        <f t="shared" si="368"/>
        <v>0</v>
      </c>
      <c r="AJ632" s="6">
        <f t="shared" si="368"/>
        <v>0</v>
      </c>
      <c r="AK632" s="6">
        <f t="shared" si="368"/>
        <v>0</v>
      </c>
      <c r="AL632" s="6">
        <f t="shared" si="368"/>
        <v>0</v>
      </c>
      <c r="AM632" s="6">
        <f t="shared" si="368"/>
        <v>96</v>
      </c>
      <c r="AN632" s="6">
        <f t="shared" si="368"/>
        <v>645</v>
      </c>
      <c r="AO632" s="6">
        <f t="shared" si="368"/>
        <v>1212</v>
      </c>
      <c r="AP632" s="6">
        <f t="shared" si="368"/>
        <v>0</v>
      </c>
      <c r="AQ632" s="6">
        <f t="shared" si="368"/>
        <v>0</v>
      </c>
      <c r="AR632" s="6">
        <f t="shared" si="368"/>
        <v>1154</v>
      </c>
      <c r="AS632" s="6">
        <f t="shared" si="368"/>
        <v>765</v>
      </c>
      <c r="AT632" s="6">
        <f t="shared" si="368"/>
        <v>0</v>
      </c>
      <c r="AU632" s="6">
        <f t="shared" si="368"/>
        <v>0</v>
      </c>
      <c r="AV632" s="6">
        <f t="shared" si="368"/>
        <v>0</v>
      </c>
      <c r="AW632" s="6">
        <f t="shared" si="368"/>
        <v>0</v>
      </c>
      <c r="AX632" s="6">
        <f t="shared" si="368"/>
        <v>0</v>
      </c>
      <c r="AY632" s="6">
        <f t="shared" si="368"/>
        <v>0</v>
      </c>
      <c r="AZ632" s="6">
        <f t="shared" si="368"/>
        <v>0</v>
      </c>
      <c r="BA632" s="6">
        <f t="shared" si="368"/>
        <v>0</v>
      </c>
      <c r="BB632" s="6">
        <f t="shared" si="368"/>
        <v>0</v>
      </c>
      <c r="BC632" s="6">
        <f t="shared" si="368"/>
        <v>0</v>
      </c>
      <c r="BD632" s="6">
        <f t="shared" si="368"/>
        <v>0</v>
      </c>
      <c r="BE632" s="6">
        <f t="shared" si="368"/>
        <v>922</v>
      </c>
      <c r="BF632" s="6">
        <f t="shared" si="368"/>
        <v>995</v>
      </c>
      <c r="BG632" s="6">
        <f t="shared" si="368"/>
        <v>1044</v>
      </c>
      <c r="BH632" s="6">
        <f t="shared" si="368"/>
        <v>881</v>
      </c>
      <c r="BI632" s="6">
        <f t="shared" si="368"/>
        <v>1207</v>
      </c>
      <c r="BJ632" s="6">
        <f t="shared" si="368"/>
        <v>703</v>
      </c>
      <c r="BK632" s="6">
        <f t="shared" si="368"/>
        <v>959</v>
      </c>
      <c r="BL632" s="6">
        <f t="shared" si="368"/>
        <v>957</v>
      </c>
      <c r="BM632" s="6">
        <f t="shared" si="368"/>
        <v>937</v>
      </c>
      <c r="BN632" s="6">
        <f t="shared" si="368"/>
        <v>936</v>
      </c>
      <c r="BO632" s="6">
        <f t="shared" si="368"/>
        <v>794</v>
      </c>
      <c r="BP632" s="6">
        <f t="shared" si="368"/>
        <v>1023</v>
      </c>
      <c r="BQ632" s="6">
        <f t="shared" si="368"/>
        <v>1191</v>
      </c>
      <c r="BR632" s="6">
        <f t="shared" si="368"/>
        <v>658</v>
      </c>
      <c r="BS632" s="6">
        <f t="shared" si="368"/>
        <v>1312</v>
      </c>
      <c r="BT632" s="6">
        <f t="shared" si="368"/>
        <v>766</v>
      </c>
      <c r="BU632" s="6">
        <f t="shared" si="368"/>
        <v>1098</v>
      </c>
      <c r="BV632" s="6">
        <f t="shared" si="368"/>
        <v>1330</v>
      </c>
      <c r="BW632" s="6">
        <f t="shared" si="368"/>
        <v>915</v>
      </c>
      <c r="BX632" s="6">
        <f t="shared" si="368"/>
        <v>573</v>
      </c>
      <c r="BY632" s="6">
        <f t="shared" si="368"/>
        <v>968</v>
      </c>
      <c r="BZ632" s="6">
        <f t="shared" si="368"/>
        <v>678</v>
      </c>
      <c r="CA632" s="6">
        <f t="shared" ref="CA632:CP632" si="369">SUM(CA476:CA477)</f>
        <v>1177</v>
      </c>
      <c r="CB632" s="6">
        <f t="shared" si="369"/>
        <v>909</v>
      </c>
      <c r="CC632" s="6">
        <f t="shared" si="369"/>
        <v>627</v>
      </c>
      <c r="CD632" s="6">
        <f t="shared" si="369"/>
        <v>1080</v>
      </c>
      <c r="CE632" s="6">
        <f t="shared" si="369"/>
        <v>725</v>
      </c>
      <c r="CF632" s="6">
        <f t="shared" si="369"/>
        <v>780</v>
      </c>
      <c r="CG632" s="6">
        <f t="shared" si="369"/>
        <v>881</v>
      </c>
      <c r="CH632" s="6">
        <f t="shared" si="369"/>
        <v>624</v>
      </c>
      <c r="CI632" s="6">
        <f t="shared" si="369"/>
        <v>368</v>
      </c>
      <c r="CJ632" s="6">
        <f t="shared" si="369"/>
        <v>1116</v>
      </c>
      <c r="CK632" s="6">
        <f t="shared" si="369"/>
        <v>900</v>
      </c>
      <c r="CL632" s="6">
        <f t="shared" si="369"/>
        <v>555</v>
      </c>
      <c r="CM632" s="6">
        <f t="shared" si="369"/>
        <v>1107</v>
      </c>
      <c r="CN632" s="6">
        <f t="shared" si="369"/>
        <v>1126</v>
      </c>
      <c r="CO632" s="6">
        <f t="shared" si="369"/>
        <v>459</v>
      </c>
      <c r="CP632" s="6">
        <f t="shared" si="369"/>
        <v>990</v>
      </c>
      <c r="CQ632" s="6">
        <f t="shared" ref="CQ632:EM632" si="370">SUM(CQ476:CQ477)</f>
        <v>0</v>
      </c>
      <c r="CR632" s="6">
        <f t="shared" si="370"/>
        <v>0</v>
      </c>
      <c r="CS632" s="6">
        <f t="shared" si="370"/>
        <v>0</v>
      </c>
      <c r="CT632" s="6">
        <f t="shared" si="370"/>
        <v>0</v>
      </c>
      <c r="CU632" s="6">
        <f t="shared" si="370"/>
        <v>0</v>
      </c>
      <c r="CV632" s="6">
        <f t="shared" si="370"/>
        <v>0</v>
      </c>
      <c r="CW632" s="6">
        <f t="shared" si="370"/>
        <v>0</v>
      </c>
      <c r="CX632" s="6">
        <f t="shared" si="370"/>
        <v>0</v>
      </c>
      <c r="CY632" s="6">
        <f t="shared" si="370"/>
        <v>0</v>
      </c>
      <c r="CZ632" s="6">
        <f t="shared" si="370"/>
        <v>0</v>
      </c>
      <c r="DA632" s="6">
        <f t="shared" si="370"/>
        <v>0</v>
      </c>
      <c r="DB632" s="6">
        <f t="shared" si="370"/>
        <v>0</v>
      </c>
      <c r="DC632" s="6">
        <f t="shared" si="370"/>
        <v>0</v>
      </c>
      <c r="DD632" s="6">
        <f t="shared" si="370"/>
        <v>0</v>
      </c>
      <c r="DE632" s="6">
        <f t="shared" si="370"/>
        <v>0</v>
      </c>
      <c r="DF632" s="6">
        <f t="shared" si="370"/>
        <v>0</v>
      </c>
      <c r="DG632" s="6">
        <f t="shared" si="370"/>
        <v>0</v>
      </c>
      <c r="DH632" s="6">
        <f t="shared" si="370"/>
        <v>0</v>
      </c>
      <c r="DI632" s="6">
        <f t="shared" si="370"/>
        <v>0</v>
      </c>
      <c r="DJ632" s="6">
        <f t="shared" si="370"/>
        <v>0</v>
      </c>
      <c r="DK632" s="6">
        <f t="shared" si="370"/>
        <v>0</v>
      </c>
      <c r="DL632" s="6">
        <f t="shared" si="370"/>
        <v>0</v>
      </c>
      <c r="DM632" s="6">
        <f t="shared" si="370"/>
        <v>0</v>
      </c>
      <c r="DN632" s="6">
        <f t="shared" si="370"/>
        <v>0</v>
      </c>
      <c r="DO632" s="6">
        <f t="shared" si="370"/>
        <v>0</v>
      </c>
      <c r="DP632" s="6">
        <f t="shared" si="370"/>
        <v>0</v>
      </c>
      <c r="DQ632" s="6">
        <f t="shared" si="370"/>
        <v>0</v>
      </c>
      <c r="DR632" s="6">
        <f t="shared" si="370"/>
        <v>0</v>
      </c>
      <c r="DS632" s="6">
        <f t="shared" si="370"/>
        <v>0</v>
      </c>
      <c r="DT632" s="6">
        <f t="shared" si="370"/>
        <v>0</v>
      </c>
      <c r="DU632" s="6">
        <f t="shared" si="370"/>
        <v>0</v>
      </c>
      <c r="DV632" s="6">
        <f t="shared" si="370"/>
        <v>0</v>
      </c>
      <c r="DW632" s="6">
        <f t="shared" si="370"/>
        <v>0</v>
      </c>
      <c r="DX632" s="6">
        <f t="shared" si="370"/>
        <v>0</v>
      </c>
      <c r="DY632" s="6">
        <f t="shared" si="370"/>
        <v>0</v>
      </c>
      <c r="DZ632" s="6">
        <f t="shared" si="370"/>
        <v>0</v>
      </c>
      <c r="EA632" s="6">
        <f t="shared" si="370"/>
        <v>0</v>
      </c>
      <c r="EB632" s="6">
        <f t="shared" si="370"/>
        <v>0</v>
      </c>
      <c r="EC632" s="6">
        <f t="shared" si="370"/>
        <v>0</v>
      </c>
      <c r="ED632" s="6">
        <f t="shared" si="370"/>
        <v>0</v>
      </c>
      <c r="EE632" s="6">
        <f t="shared" si="370"/>
        <v>0</v>
      </c>
      <c r="EF632" s="6">
        <f t="shared" si="370"/>
        <v>0</v>
      </c>
      <c r="EG632" s="6">
        <f t="shared" si="370"/>
        <v>0</v>
      </c>
      <c r="EH632" s="6">
        <f t="shared" si="370"/>
        <v>0</v>
      </c>
      <c r="EI632" s="6">
        <f t="shared" si="370"/>
        <v>0</v>
      </c>
      <c r="EJ632" s="6">
        <f t="shared" si="370"/>
        <v>0</v>
      </c>
      <c r="EK632" s="6">
        <f t="shared" si="370"/>
        <v>0</v>
      </c>
      <c r="EL632" s="6">
        <f t="shared" si="370"/>
        <v>0</v>
      </c>
      <c r="EM632" s="6">
        <f t="shared" si="370"/>
        <v>1423</v>
      </c>
      <c r="EN632" s="6">
        <f t="shared" ref="EN632:GR632" si="371">SUM(EN476:EN477)</f>
        <v>581</v>
      </c>
      <c r="EO632" s="6">
        <f t="shared" si="371"/>
        <v>860</v>
      </c>
      <c r="EP632" s="6">
        <f t="shared" si="371"/>
        <v>1163</v>
      </c>
      <c r="EQ632" s="6">
        <f t="shared" si="371"/>
        <v>0</v>
      </c>
      <c r="ER632" s="6">
        <f t="shared" si="371"/>
        <v>0</v>
      </c>
      <c r="ES632" s="6">
        <f t="shared" si="371"/>
        <v>0</v>
      </c>
      <c r="ET632" s="6">
        <f t="shared" si="371"/>
        <v>0</v>
      </c>
      <c r="EU632" s="6">
        <f t="shared" si="371"/>
        <v>0</v>
      </c>
      <c r="EV632" s="6">
        <f t="shared" si="371"/>
        <v>0</v>
      </c>
      <c r="EW632" s="6">
        <f t="shared" si="371"/>
        <v>0</v>
      </c>
      <c r="EX632" s="6">
        <f t="shared" si="371"/>
        <v>0</v>
      </c>
      <c r="EY632" s="6">
        <f t="shared" si="371"/>
        <v>0</v>
      </c>
      <c r="EZ632" s="6">
        <f t="shared" si="371"/>
        <v>0</v>
      </c>
      <c r="FA632" s="6">
        <f t="shared" si="371"/>
        <v>0</v>
      </c>
      <c r="FB632" s="6">
        <f t="shared" si="371"/>
        <v>0</v>
      </c>
      <c r="FC632" s="6">
        <f t="shared" si="371"/>
        <v>0</v>
      </c>
      <c r="FD632" s="6">
        <f t="shared" si="371"/>
        <v>0</v>
      </c>
      <c r="FE632" s="6">
        <f t="shared" si="371"/>
        <v>0</v>
      </c>
      <c r="FF632" s="6">
        <f t="shared" si="371"/>
        <v>0</v>
      </c>
      <c r="FG632" s="6">
        <f t="shared" si="371"/>
        <v>0</v>
      </c>
      <c r="FH632" s="6">
        <f t="shared" si="371"/>
        <v>0</v>
      </c>
      <c r="FI632" s="6">
        <f t="shared" si="371"/>
        <v>0</v>
      </c>
      <c r="FJ632" s="6">
        <f t="shared" si="371"/>
        <v>0</v>
      </c>
      <c r="FK632" s="6">
        <f t="shared" si="371"/>
        <v>0</v>
      </c>
      <c r="FL632" s="6">
        <f t="shared" si="371"/>
        <v>0</v>
      </c>
      <c r="FM632" s="6">
        <f t="shared" si="371"/>
        <v>0</v>
      </c>
      <c r="FN632" s="6">
        <f t="shared" si="371"/>
        <v>0</v>
      </c>
      <c r="FO632" s="6">
        <f t="shared" si="371"/>
        <v>0</v>
      </c>
      <c r="FP632" s="6">
        <f t="shared" si="371"/>
        <v>0</v>
      </c>
      <c r="FQ632" s="6">
        <f t="shared" si="371"/>
        <v>0</v>
      </c>
      <c r="FR632" s="6">
        <f t="shared" si="371"/>
        <v>0</v>
      </c>
      <c r="FS632" s="6">
        <f t="shared" si="371"/>
        <v>0</v>
      </c>
      <c r="FT632" s="6">
        <f t="shared" si="371"/>
        <v>0</v>
      </c>
      <c r="FU632" s="6">
        <f t="shared" si="371"/>
        <v>0</v>
      </c>
      <c r="FV632" s="6">
        <f t="shared" si="371"/>
        <v>0</v>
      </c>
      <c r="FW632" s="6">
        <f t="shared" si="371"/>
        <v>0</v>
      </c>
      <c r="FX632" s="6">
        <f t="shared" si="371"/>
        <v>0</v>
      </c>
      <c r="FY632" s="6">
        <f t="shared" si="371"/>
        <v>0</v>
      </c>
      <c r="FZ632" s="6">
        <f t="shared" si="371"/>
        <v>0</v>
      </c>
      <c r="GA632" s="6">
        <f t="shared" si="371"/>
        <v>0</v>
      </c>
      <c r="GB632" s="6">
        <f t="shared" si="371"/>
        <v>0</v>
      </c>
      <c r="GC632" s="6">
        <f t="shared" si="371"/>
        <v>0</v>
      </c>
      <c r="GD632" s="6">
        <f t="shared" si="371"/>
        <v>0</v>
      </c>
      <c r="GE632" s="6">
        <f t="shared" si="371"/>
        <v>0</v>
      </c>
      <c r="GF632" s="6">
        <f t="shared" si="371"/>
        <v>0</v>
      </c>
      <c r="GG632" s="6">
        <f t="shared" si="371"/>
        <v>0</v>
      </c>
      <c r="GH632" s="6">
        <f t="shared" si="371"/>
        <v>0</v>
      </c>
      <c r="GI632" s="6">
        <f t="shared" si="371"/>
        <v>0</v>
      </c>
      <c r="GJ632" s="6">
        <f t="shared" si="371"/>
        <v>0</v>
      </c>
      <c r="GK632" s="6">
        <f t="shared" si="371"/>
        <v>0</v>
      </c>
      <c r="GL632" s="6">
        <f t="shared" si="371"/>
        <v>0</v>
      </c>
      <c r="GM632" s="6">
        <f t="shared" si="371"/>
        <v>0</v>
      </c>
      <c r="GN632" s="6">
        <f t="shared" si="371"/>
        <v>0</v>
      </c>
      <c r="GO632" s="6">
        <f t="shared" si="371"/>
        <v>1620</v>
      </c>
      <c r="GP632" s="6">
        <f t="shared" si="371"/>
        <v>414</v>
      </c>
      <c r="GQ632" s="6">
        <f t="shared" si="371"/>
        <v>1621</v>
      </c>
      <c r="GR632" s="6">
        <f t="shared" si="371"/>
        <v>388</v>
      </c>
    </row>
    <row r="633" spans="1:200">
      <c r="A633" s="6"/>
      <c r="B633" s="16" t="s">
        <v>89</v>
      </c>
      <c r="C633" s="14">
        <f>SUM(C490:C491)</f>
        <v>1986</v>
      </c>
      <c r="D633" s="14">
        <f>SUM(D490:D491)</f>
        <v>1482</v>
      </c>
      <c r="E633" s="15">
        <f t="shared" si="351"/>
        <v>0.74622356495468278</v>
      </c>
      <c r="F633" s="66">
        <f t="shared" ref="F633:AB633" si="372">SUM(F490:F491)</f>
        <v>508</v>
      </c>
      <c r="G633" s="6">
        <f t="shared" si="372"/>
        <v>2</v>
      </c>
      <c r="H633" s="6">
        <f t="shared" si="372"/>
        <v>65</v>
      </c>
      <c r="I633" s="6">
        <f t="shared" si="372"/>
        <v>12</v>
      </c>
      <c r="J633" s="59">
        <f t="shared" si="372"/>
        <v>847</v>
      </c>
      <c r="K633" s="6">
        <f t="shared" si="372"/>
        <v>0</v>
      </c>
      <c r="L633" s="6">
        <f t="shared" si="372"/>
        <v>0</v>
      </c>
      <c r="M633" s="6">
        <f t="shared" si="372"/>
        <v>0</v>
      </c>
      <c r="N633" s="6">
        <f t="shared" si="372"/>
        <v>0</v>
      </c>
      <c r="O633" s="6">
        <f t="shared" si="372"/>
        <v>0</v>
      </c>
      <c r="P633" s="6">
        <f t="shared" si="372"/>
        <v>0</v>
      </c>
      <c r="Q633" s="6">
        <f t="shared" si="372"/>
        <v>0</v>
      </c>
      <c r="R633" s="6">
        <f t="shared" si="372"/>
        <v>0</v>
      </c>
      <c r="S633" s="6">
        <f t="shared" si="372"/>
        <v>0</v>
      </c>
      <c r="T633" s="6">
        <f t="shared" si="372"/>
        <v>0</v>
      </c>
      <c r="U633" s="6">
        <f t="shared" si="372"/>
        <v>0</v>
      </c>
      <c r="V633" s="6">
        <f t="shared" si="372"/>
        <v>1</v>
      </c>
      <c r="W633" s="6">
        <f t="shared" si="372"/>
        <v>7</v>
      </c>
      <c r="X633" s="6">
        <f t="shared" si="372"/>
        <v>0</v>
      </c>
      <c r="Y633" s="6">
        <f t="shared" si="372"/>
        <v>0</v>
      </c>
      <c r="Z633" s="6">
        <f t="shared" si="372"/>
        <v>0</v>
      </c>
      <c r="AA633" s="6">
        <f t="shared" si="372"/>
        <v>0</v>
      </c>
      <c r="AB633" s="6">
        <f t="shared" si="372"/>
        <v>0</v>
      </c>
      <c r="AC633" s="6">
        <f t="shared" ref="AC633:BZ633" si="373">SUM(AC490:AC491)</f>
        <v>17</v>
      </c>
      <c r="AD633" s="6">
        <f t="shared" si="373"/>
        <v>25</v>
      </c>
      <c r="AE633" s="6">
        <f t="shared" si="373"/>
        <v>1055</v>
      </c>
      <c r="AF633" s="6">
        <f t="shared" si="373"/>
        <v>18</v>
      </c>
      <c r="AG633" s="6">
        <f t="shared" si="373"/>
        <v>0</v>
      </c>
      <c r="AH633" s="6">
        <f t="shared" si="373"/>
        <v>323</v>
      </c>
      <c r="AI633" s="6">
        <f t="shared" si="373"/>
        <v>0</v>
      </c>
      <c r="AJ633" s="6">
        <f t="shared" si="373"/>
        <v>0</v>
      </c>
      <c r="AK633" s="6">
        <f t="shared" si="373"/>
        <v>0</v>
      </c>
      <c r="AL633" s="6">
        <f t="shared" si="373"/>
        <v>0</v>
      </c>
      <c r="AM633" s="6">
        <f t="shared" si="373"/>
        <v>14</v>
      </c>
      <c r="AN633" s="6">
        <f t="shared" si="373"/>
        <v>369</v>
      </c>
      <c r="AO633" s="6">
        <f t="shared" si="373"/>
        <v>1020</v>
      </c>
      <c r="AP633" s="6">
        <f t="shared" si="373"/>
        <v>0</v>
      </c>
      <c r="AQ633" s="6">
        <f t="shared" si="373"/>
        <v>0</v>
      </c>
      <c r="AR633" s="6">
        <f t="shared" si="373"/>
        <v>997</v>
      </c>
      <c r="AS633" s="6">
        <f t="shared" si="373"/>
        <v>392</v>
      </c>
      <c r="AT633" s="6">
        <f t="shared" si="373"/>
        <v>0</v>
      </c>
      <c r="AU633" s="6">
        <f t="shared" si="373"/>
        <v>0</v>
      </c>
      <c r="AV633" s="6">
        <f t="shared" si="373"/>
        <v>0</v>
      </c>
      <c r="AW633" s="6">
        <f t="shared" si="373"/>
        <v>0</v>
      </c>
      <c r="AX633" s="6">
        <f t="shared" si="373"/>
        <v>0</v>
      </c>
      <c r="AY633" s="6">
        <f t="shared" si="373"/>
        <v>0</v>
      </c>
      <c r="AZ633" s="6">
        <f t="shared" si="373"/>
        <v>0</v>
      </c>
      <c r="BA633" s="6">
        <f t="shared" si="373"/>
        <v>0</v>
      </c>
      <c r="BB633" s="6">
        <f t="shared" si="373"/>
        <v>0</v>
      </c>
      <c r="BC633" s="6">
        <f t="shared" si="373"/>
        <v>0</v>
      </c>
      <c r="BD633" s="6">
        <f t="shared" si="373"/>
        <v>0</v>
      </c>
      <c r="BE633" s="6">
        <f t="shared" si="373"/>
        <v>863</v>
      </c>
      <c r="BF633" s="6">
        <f t="shared" si="373"/>
        <v>529</v>
      </c>
      <c r="BG633" s="6">
        <f t="shared" si="373"/>
        <v>944</v>
      </c>
      <c r="BH633" s="6">
        <f t="shared" si="373"/>
        <v>457</v>
      </c>
      <c r="BI633" s="6">
        <f t="shared" si="373"/>
        <v>977</v>
      </c>
      <c r="BJ633" s="6">
        <f t="shared" si="373"/>
        <v>405</v>
      </c>
      <c r="BK633" s="6">
        <f t="shared" si="373"/>
        <v>513</v>
      </c>
      <c r="BL633" s="6">
        <f t="shared" si="373"/>
        <v>859</v>
      </c>
      <c r="BM633" s="6">
        <f t="shared" si="373"/>
        <v>734</v>
      </c>
      <c r="BN633" s="6">
        <f t="shared" si="373"/>
        <v>645</v>
      </c>
      <c r="BO633" s="6">
        <f t="shared" si="373"/>
        <v>448</v>
      </c>
      <c r="BP633" s="6">
        <f t="shared" si="373"/>
        <v>901</v>
      </c>
      <c r="BQ633" s="6">
        <f t="shared" si="373"/>
        <v>1001</v>
      </c>
      <c r="BR633" s="6">
        <f t="shared" si="373"/>
        <v>357</v>
      </c>
      <c r="BS633" s="6">
        <f t="shared" si="373"/>
        <v>1067</v>
      </c>
      <c r="BT633" s="6">
        <f t="shared" si="373"/>
        <v>702</v>
      </c>
      <c r="BU633" s="6">
        <f t="shared" si="373"/>
        <v>658</v>
      </c>
      <c r="BV633" s="6">
        <f t="shared" si="373"/>
        <v>1030</v>
      </c>
      <c r="BW633" s="6">
        <f t="shared" si="373"/>
        <v>732</v>
      </c>
      <c r="BX633" s="6">
        <f t="shared" si="373"/>
        <v>422</v>
      </c>
      <c r="BY633" s="6">
        <f t="shared" si="373"/>
        <v>831</v>
      </c>
      <c r="BZ633" s="6">
        <f t="shared" si="373"/>
        <v>415</v>
      </c>
      <c r="CA633" s="6">
        <f t="shared" ref="CA633:CP633" si="374">SUM(CA490:CA491)</f>
        <v>936</v>
      </c>
      <c r="CB633" s="6">
        <f t="shared" si="374"/>
        <v>735</v>
      </c>
      <c r="CC633" s="6">
        <f t="shared" si="374"/>
        <v>421</v>
      </c>
      <c r="CD633" s="6">
        <f t="shared" si="374"/>
        <v>837</v>
      </c>
      <c r="CE633" s="6">
        <f t="shared" si="374"/>
        <v>431</v>
      </c>
      <c r="CF633" s="6">
        <f t="shared" si="374"/>
        <v>720</v>
      </c>
      <c r="CG633" s="6">
        <f t="shared" si="374"/>
        <v>787</v>
      </c>
      <c r="CH633" s="6">
        <f t="shared" si="374"/>
        <v>314</v>
      </c>
      <c r="CI633" s="6">
        <f t="shared" si="374"/>
        <v>209</v>
      </c>
      <c r="CJ633" s="6">
        <f t="shared" si="374"/>
        <v>914</v>
      </c>
      <c r="CK633" s="6">
        <f t="shared" si="374"/>
        <v>732</v>
      </c>
      <c r="CL633" s="6">
        <f t="shared" si="374"/>
        <v>368</v>
      </c>
      <c r="CM633" s="6">
        <f t="shared" si="374"/>
        <v>905</v>
      </c>
      <c r="CN633" s="6">
        <f t="shared" si="374"/>
        <v>913</v>
      </c>
      <c r="CO633" s="6">
        <f t="shared" si="374"/>
        <v>307</v>
      </c>
      <c r="CP633" s="6">
        <f t="shared" si="374"/>
        <v>808</v>
      </c>
      <c r="CQ633" s="6">
        <f t="shared" ref="CQ633:EM633" si="375">SUM(CQ490:CQ491)</f>
        <v>0</v>
      </c>
      <c r="CR633" s="6">
        <f t="shared" si="375"/>
        <v>0</v>
      </c>
      <c r="CS633" s="6">
        <f t="shared" si="375"/>
        <v>0</v>
      </c>
      <c r="CT633" s="6">
        <f t="shared" si="375"/>
        <v>0</v>
      </c>
      <c r="CU633" s="6">
        <f t="shared" si="375"/>
        <v>0</v>
      </c>
      <c r="CV633" s="6">
        <f t="shared" si="375"/>
        <v>0</v>
      </c>
      <c r="CW633" s="6">
        <f t="shared" si="375"/>
        <v>0</v>
      </c>
      <c r="CX633" s="6">
        <f t="shared" si="375"/>
        <v>0</v>
      </c>
      <c r="CY633" s="6">
        <f t="shared" si="375"/>
        <v>0</v>
      </c>
      <c r="CZ633" s="6">
        <f t="shared" si="375"/>
        <v>0</v>
      </c>
      <c r="DA633" s="6">
        <f t="shared" si="375"/>
        <v>0</v>
      </c>
      <c r="DB633" s="6">
        <f t="shared" si="375"/>
        <v>0</v>
      </c>
      <c r="DC633" s="6">
        <f t="shared" si="375"/>
        <v>0</v>
      </c>
      <c r="DD633" s="6">
        <f t="shared" si="375"/>
        <v>0</v>
      </c>
      <c r="DE633" s="6">
        <f t="shared" si="375"/>
        <v>0</v>
      </c>
      <c r="DF633" s="6">
        <f t="shared" si="375"/>
        <v>0</v>
      </c>
      <c r="DG633" s="6">
        <f t="shared" si="375"/>
        <v>0</v>
      </c>
      <c r="DH633" s="6">
        <f t="shared" si="375"/>
        <v>0</v>
      </c>
      <c r="DI633" s="6">
        <f t="shared" si="375"/>
        <v>0</v>
      </c>
      <c r="DJ633" s="6">
        <f t="shared" si="375"/>
        <v>0</v>
      </c>
      <c r="DK633" s="6">
        <f t="shared" si="375"/>
        <v>0</v>
      </c>
      <c r="DL633" s="6">
        <f t="shared" si="375"/>
        <v>0</v>
      </c>
      <c r="DM633" s="6">
        <f t="shared" si="375"/>
        <v>0</v>
      </c>
      <c r="DN633" s="6">
        <f t="shared" si="375"/>
        <v>0</v>
      </c>
      <c r="DO633" s="6">
        <f t="shared" si="375"/>
        <v>0</v>
      </c>
      <c r="DP633" s="6">
        <f t="shared" si="375"/>
        <v>0</v>
      </c>
      <c r="DQ633" s="6">
        <f t="shared" si="375"/>
        <v>0</v>
      </c>
      <c r="DR633" s="6">
        <f t="shared" si="375"/>
        <v>0</v>
      </c>
      <c r="DS633" s="6">
        <f t="shared" si="375"/>
        <v>0</v>
      </c>
      <c r="DT633" s="6">
        <f t="shared" si="375"/>
        <v>0</v>
      </c>
      <c r="DU633" s="6">
        <f t="shared" si="375"/>
        <v>0</v>
      </c>
      <c r="DV633" s="6">
        <f t="shared" si="375"/>
        <v>0</v>
      </c>
      <c r="DW633" s="6">
        <f t="shared" si="375"/>
        <v>0</v>
      </c>
      <c r="DX633" s="6">
        <f t="shared" si="375"/>
        <v>0</v>
      </c>
      <c r="DY633" s="6">
        <f t="shared" si="375"/>
        <v>0</v>
      </c>
      <c r="DZ633" s="6">
        <f t="shared" si="375"/>
        <v>0</v>
      </c>
      <c r="EA633" s="6">
        <f t="shared" si="375"/>
        <v>0</v>
      </c>
      <c r="EB633" s="6">
        <f t="shared" si="375"/>
        <v>0</v>
      </c>
      <c r="EC633" s="6">
        <f t="shared" si="375"/>
        <v>0</v>
      </c>
      <c r="ED633" s="6">
        <f t="shared" si="375"/>
        <v>0</v>
      </c>
      <c r="EE633" s="6">
        <f t="shared" si="375"/>
        <v>0</v>
      </c>
      <c r="EF633" s="6">
        <f t="shared" si="375"/>
        <v>0</v>
      </c>
      <c r="EG633" s="6">
        <f t="shared" si="375"/>
        <v>0</v>
      </c>
      <c r="EH633" s="6">
        <f t="shared" si="375"/>
        <v>0</v>
      </c>
      <c r="EI633" s="6">
        <f t="shared" si="375"/>
        <v>0</v>
      </c>
      <c r="EJ633" s="6">
        <f t="shared" si="375"/>
        <v>0</v>
      </c>
      <c r="EK633" s="6">
        <f t="shared" si="375"/>
        <v>0</v>
      </c>
      <c r="EL633" s="6">
        <f t="shared" si="375"/>
        <v>0</v>
      </c>
      <c r="EM633" s="6">
        <f t="shared" si="375"/>
        <v>0</v>
      </c>
      <c r="EN633" s="6">
        <f t="shared" ref="EN633:GR633" si="376">SUM(EN490:EN491)</f>
        <v>0</v>
      </c>
      <c r="EO633" s="6">
        <f t="shared" si="376"/>
        <v>0</v>
      </c>
      <c r="EP633" s="6">
        <f t="shared" si="376"/>
        <v>0</v>
      </c>
      <c r="EQ633" s="6">
        <f t="shared" si="376"/>
        <v>0</v>
      </c>
      <c r="ER633" s="6">
        <f t="shared" si="376"/>
        <v>0</v>
      </c>
      <c r="ES633" s="6">
        <f t="shared" si="376"/>
        <v>0</v>
      </c>
      <c r="ET633" s="6">
        <f t="shared" si="376"/>
        <v>0</v>
      </c>
      <c r="EU633" s="6">
        <f t="shared" si="376"/>
        <v>0</v>
      </c>
      <c r="EV633" s="6">
        <f t="shared" si="376"/>
        <v>0</v>
      </c>
      <c r="EW633" s="6">
        <f t="shared" si="376"/>
        <v>0</v>
      </c>
      <c r="EX633" s="6">
        <f t="shared" si="376"/>
        <v>0</v>
      </c>
      <c r="EY633" s="6">
        <f t="shared" si="376"/>
        <v>0</v>
      </c>
      <c r="EZ633" s="6">
        <f t="shared" si="376"/>
        <v>0</v>
      </c>
      <c r="FA633" s="6">
        <f t="shared" si="376"/>
        <v>0</v>
      </c>
      <c r="FB633" s="6">
        <f t="shared" si="376"/>
        <v>0</v>
      </c>
      <c r="FC633" s="6">
        <f t="shared" si="376"/>
        <v>0</v>
      </c>
      <c r="FD633" s="6">
        <f t="shared" si="376"/>
        <v>0</v>
      </c>
      <c r="FE633" s="6">
        <f t="shared" si="376"/>
        <v>0</v>
      </c>
      <c r="FF633" s="6">
        <f t="shared" si="376"/>
        <v>0</v>
      </c>
      <c r="FG633" s="6">
        <f t="shared" si="376"/>
        <v>0</v>
      </c>
      <c r="FH633" s="6">
        <f t="shared" si="376"/>
        <v>0</v>
      </c>
      <c r="FI633" s="6">
        <f t="shared" si="376"/>
        <v>0</v>
      </c>
      <c r="FJ633" s="6">
        <f t="shared" si="376"/>
        <v>0</v>
      </c>
      <c r="FK633" s="6">
        <f t="shared" si="376"/>
        <v>0</v>
      </c>
      <c r="FL633" s="6">
        <f t="shared" si="376"/>
        <v>0</v>
      </c>
      <c r="FM633" s="6">
        <f t="shared" si="376"/>
        <v>0</v>
      </c>
      <c r="FN633" s="6">
        <f t="shared" si="376"/>
        <v>0</v>
      </c>
      <c r="FO633" s="6">
        <f t="shared" si="376"/>
        <v>0</v>
      </c>
      <c r="FP633" s="6">
        <f t="shared" si="376"/>
        <v>0</v>
      </c>
      <c r="FQ633" s="6">
        <f t="shared" si="376"/>
        <v>0</v>
      </c>
      <c r="FR633" s="6">
        <f t="shared" si="376"/>
        <v>0</v>
      </c>
      <c r="FS633" s="6">
        <f t="shared" si="376"/>
        <v>0</v>
      </c>
      <c r="FT633" s="6">
        <f t="shared" si="376"/>
        <v>0</v>
      </c>
      <c r="FU633" s="6">
        <f t="shared" si="376"/>
        <v>0</v>
      </c>
      <c r="FV633" s="6">
        <f t="shared" si="376"/>
        <v>0</v>
      </c>
      <c r="FW633" s="6">
        <f t="shared" si="376"/>
        <v>0</v>
      </c>
      <c r="FX633" s="6">
        <f t="shared" si="376"/>
        <v>0</v>
      </c>
      <c r="FY633" s="6">
        <f t="shared" si="376"/>
        <v>0</v>
      </c>
      <c r="FZ633" s="6">
        <f t="shared" si="376"/>
        <v>0</v>
      </c>
      <c r="GA633" s="6">
        <f t="shared" si="376"/>
        <v>0</v>
      </c>
      <c r="GB633" s="6">
        <f t="shared" si="376"/>
        <v>0</v>
      </c>
      <c r="GC633" s="6">
        <f t="shared" si="376"/>
        <v>0</v>
      </c>
      <c r="GD633" s="6">
        <f t="shared" si="376"/>
        <v>0</v>
      </c>
      <c r="GE633" s="6">
        <f t="shared" si="376"/>
        <v>0</v>
      </c>
      <c r="GF633" s="6">
        <f t="shared" si="376"/>
        <v>0</v>
      </c>
      <c r="GG633" s="6">
        <f t="shared" si="376"/>
        <v>0</v>
      </c>
      <c r="GH633" s="6">
        <f t="shared" si="376"/>
        <v>0</v>
      </c>
      <c r="GI633" s="6">
        <f t="shared" si="376"/>
        <v>0</v>
      </c>
      <c r="GJ633" s="6">
        <f t="shared" si="376"/>
        <v>0</v>
      </c>
      <c r="GK633" s="6">
        <f t="shared" si="376"/>
        <v>0</v>
      </c>
      <c r="GL633" s="6">
        <f t="shared" si="376"/>
        <v>0</v>
      </c>
      <c r="GM633" s="6">
        <f t="shared" si="376"/>
        <v>0</v>
      </c>
      <c r="GN633" s="6">
        <f t="shared" si="376"/>
        <v>0</v>
      </c>
      <c r="GO633" s="6">
        <f t="shared" si="376"/>
        <v>1007</v>
      </c>
      <c r="GP633" s="6">
        <f t="shared" si="376"/>
        <v>423</v>
      </c>
      <c r="GQ633" s="6">
        <f t="shared" si="376"/>
        <v>998</v>
      </c>
      <c r="GR633" s="6">
        <f t="shared" si="376"/>
        <v>433</v>
      </c>
    </row>
    <row r="634" spans="1:200">
      <c r="A634" s="6"/>
      <c r="B634" s="16" t="s">
        <v>40</v>
      </c>
      <c r="C634" s="14">
        <f>SUM(C481)</f>
        <v>764</v>
      </c>
      <c r="D634" s="14">
        <f>SUM(D481)</f>
        <v>619</v>
      </c>
      <c r="E634" s="15">
        <f t="shared" si="351"/>
        <v>0.81020942408376961</v>
      </c>
      <c r="F634" s="66">
        <f t="shared" ref="F634:AB634" si="377">SUM(F481)</f>
        <v>100</v>
      </c>
      <c r="G634" s="6">
        <f t="shared" si="377"/>
        <v>2</v>
      </c>
      <c r="H634" s="6">
        <f t="shared" si="377"/>
        <v>16</v>
      </c>
      <c r="I634" s="6">
        <f t="shared" si="377"/>
        <v>1</v>
      </c>
      <c r="J634" s="59">
        <f t="shared" si="377"/>
        <v>490</v>
      </c>
      <c r="K634" s="6">
        <f t="shared" si="377"/>
        <v>0</v>
      </c>
      <c r="L634" s="6">
        <f t="shared" si="377"/>
        <v>0</v>
      </c>
      <c r="M634" s="6">
        <f t="shared" si="377"/>
        <v>0</v>
      </c>
      <c r="N634" s="6">
        <f t="shared" si="377"/>
        <v>0</v>
      </c>
      <c r="O634" s="6">
        <f t="shared" si="377"/>
        <v>0</v>
      </c>
      <c r="P634" s="6">
        <f t="shared" si="377"/>
        <v>0</v>
      </c>
      <c r="Q634" s="6">
        <f t="shared" si="377"/>
        <v>0</v>
      </c>
      <c r="R634" s="6">
        <f t="shared" si="377"/>
        <v>0</v>
      </c>
      <c r="S634" s="6">
        <f t="shared" si="377"/>
        <v>0</v>
      </c>
      <c r="T634" s="6">
        <f t="shared" si="377"/>
        <v>0</v>
      </c>
      <c r="U634" s="6">
        <f t="shared" si="377"/>
        <v>0</v>
      </c>
      <c r="V634" s="6">
        <f t="shared" si="377"/>
        <v>0</v>
      </c>
      <c r="W634" s="6">
        <f t="shared" si="377"/>
        <v>0</v>
      </c>
      <c r="X634" s="6">
        <f t="shared" si="377"/>
        <v>0</v>
      </c>
      <c r="Y634" s="6">
        <f t="shared" si="377"/>
        <v>0</v>
      </c>
      <c r="Z634" s="6">
        <f t="shared" si="377"/>
        <v>0</v>
      </c>
      <c r="AA634" s="6">
        <f t="shared" si="377"/>
        <v>0</v>
      </c>
      <c r="AB634" s="6">
        <f t="shared" si="377"/>
        <v>0</v>
      </c>
      <c r="AC634" s="6">
        <f t="shared" ref="AC634:BZ634" si="378">SUM(AC481)</f>
        <v>6</v>
      </c>
      <c r="AD634" s="6">
        <f t="shared" si="378"/>
        <v>1</v>
      </c>
      <c r="AE634" s="6">
        <f t="shared" si="378"/>
        <v>536</v>
      </c>
      <c r="AF634" s="6">
        <f t="shared" si="378"/>
        <v>10</v>
      </c>
      <c r="AG634" s="6">
        <f t="shared" si="378"/>
        <v>0</v>
      </c>
      <c r="AH634" s="6">
        <f t="shared" si="378"/>
        <v>54</v>
      </c>
      <c r="AI634" s="6">
        <f t="shared" si="378"/>
        <v>520</v>
      </c>
      <c r="AJ634" s="6">
        <f t="shared" si="378"/>
        <v>0</v>
      </c>
      <c r="AK634" s="6">
        <f t="shared" si="378"/>
        <v>0</v>
      </c>
      <c r="AL634" s="6">
        <f t="shared" si="378"/>
        <v>82</v>
      </c>
      <c r="AM634" s="6">
        <f t="shared" si="378"/>
        <v>0</v>
      </c>
      <c r="AN634" s="6">
        <f t="shared" si="378"/>
        <v>0</v>
      </c>
      <c r="AO634" s="6">
        <f t="shared" si="378"/>
        <v>0</v>
      </c>
      <c r="AP634" s="6">
        <f t="shared" si="378"/>
        <v>88</v>
      </c>
      <c r="AQ634" s="6">
        <f t="shared" si="378"/>
        <v>497</v>
      </c>
      <c r="AR634" s="6">
        <f t="shared" si="378"/>
        <v>0</v>
      </c>
      <c r="AS634" s="6">
        <f t="shared" si="378"/>
        <v>0</v>
      </c>
      <c r="AT634" s="6">
        <f t="shared" si="378"/>
        <v>0</v>
      </c>
      <c r="AU634" s="6">
        <f t="shared" si="378"/>
        <v>0</v>
      </c>
      <c r="AV634" s="6">
        <f t="shared" si="378"/>
        <v>465</v>
      </c>
      <c r="AW634" s="6">
        <f t="shared" si="378"/>
        <v>0</v>
      </c>
      <c r="AX634" s="6">
        <f t="shared" si="378"/>
        <v>0</v>
      </c>
      <c r="AY634" s="6">
        <f t="shared" si="378"/>
        <v>0</v>
      </c>
      <c r="AZ634" s="6">
        <f t="shared" si="378"/>
        <v>0</v>
      </c>
      <c r="BA634" s="6">
        <f t="shared" si="378"/>
        <v>0</v>
      </c>
      <c r="BB634" s="6">
        <f t="shared" si="378"/>
        <v>0</v>
      </c>
      <c r="BC634" s="6">
        <f t="shared" si="378"/>
        <v>0</v>
      </c>
      <c r="BD634" s="6">
        <f t="shared" si="378"/>
        <v>0</v>
      </c>
      <c r="BE634" s="6">
        <f t="shared" si="378"/>
        <v>410</v>
      </c>
      <c r="BF634" s="6">
        <f t="shared" si="378"/>
        <v>182</v>
      </c>
      <c r="BG634" s="6">
        <f t="shared" si="378"/>
        <v>481</v>
      </c>
      <c r="BH634" s="6">
        <f t="shared" si="378"/>
        <v>115</v>
      </c>
      <c r="BI634" s="6">
        <f t="shared" si="378"/>
        <v>511</v>
      </c>
      <c r="BJ634" s="6">
        <f t="shared" si="378"/>
        <v>82</v>
      </c>
      <c r="BK634" s="6">
        <f t="shared" si="378"/>
        <v>113</v>
      </c>
      <c r="BL634" s="6">
        <f t="shared" si="378"/>
        <v>479</v>
      </c>
      <c r="BM634" s="6">
        <f t="shared" si="378"/>
        <v>301</v>
      </c>
      <c r="BN634" s="6">
        <f t="shared" si="378"/>
        <v>284</v>
      </c>
      <c r="BO634" s="6">
        <f t="shared" si="378"/>
        <v>88</v>
      </c>
      <c r="BP634" s="6">
        <f t="shared" si="378"/>
        <v>490</v>
      </c>
      <c r="BQ634" s="6">
        <f t="shared" si="378"/>
        <v>529</v>
      </c>
      <c r="BR634" s="6">
        <f t="shared" si="378"/>
        <v>56</v>
      </c>
      <c r="BS634" s="6">
        <f t="shared" si="378"/>
        <v>488</v>
      </c>
      <c r="BT634" s="6">
        <f t="shared" si="378"/>
        <v>329</v>
      </c>
      <c r="BU634" s="6">
        <f t="shared" si="378"/>
        <v>243</v>
      </c>
      <c r="BV634" s="6">
        <f t="shared" si="378"/>
        <v>403</v>
      </c>
      <c r="BW634" s="6">
        <f t="shared" si="378"/>
        <v>328</v>
      </c>
      <c r="BX634" s="6">
        <f t="shared" si="378"/>
        <v>152</v>
      </c>
      <c r="BY634" s="6">
        <f t="shared" si="378"/>
        <v>433</v>
      </c>
      <c r="BZ634" s="6">
        <f t="shared" si="378"/>
        <v>84</v>
      </c>
      <c r="CA634" s="6">
        <f t="shared" ref="CA634:CP634" si="379">SUM(CA481)</f>
        <v>371</v>
      </c>
      <c r="CB634" s="6">
        <f t="shared" si="379"/>
        <v>369</v>
      </c>
      <c r="CC634" s="6">
        <f t="shared" si="379"/>
        <v>81</v>
      </c>
      <c r="CD634" s="6">
        <f t="shared" si="379"/>
        <v>326</v>
      </c>
      <c r="CE634" s="6">
        <f t="shared" si="379"/>
        <v>75</v>
      </c>
      <c r="CF634" s="6">
        <f t="shared" si="379"/>
        <v>472</v>
      </c>
      <c r="CG634" s="6">
        <f t="shared" si="379"/>
        <v>382</v>
      </c>
      <c r="CH634" s="6">
        <f t="shared" si="379"/>
        <v>74</v>
      </c>
      <c r="CI634" s="6">
        <f t="shared" si="379"/>
        <v>43</v>
      </c>
      <c r="CJ634" s="6">
        <f t="shared" si="379"/>
        <v>417</v>
      </c>
      <c r="CK634" s="6">
        <f t="shared" si="379"/>
        <v>346</v>
      </c>
      <c r="CL634" s="6">
        <f t="shared" si="379"/>
        <v>126</v>
      </c>
      <c r="CM634" s="6">
        <f t="shared" si="379"/>
        <v>372</v>
      </c>
      <c r="CN634" s="6">
        <f t="shared" si="379"/>
        <v>344</v>
      </c>
      <c r="CO634" s="6">
        <f t="shared" si="379"/>
        <v>81</v>
      </c>
      <c r="CP634" s="6">
        <f t="shared" si="379"/>
        <v>371</v>
      </c>
      <c r="CQ634" s="6">
        <f t="shared" ref="CQ634:EM634" si="380">SUM(CQ481)</f>
        <v>0</v>
      </c>
      <c r="CR634" s="6">
        <f t="shared" si="380"/>
        <v>0</v>
      </c>
      <c r="CS634" s="6">
        <f t="shared" si="380"/>
        <v>0</v>
      </c>
      <c r="CT634" s="6">
        <f t="shared" si="380"/>
        <v>0</v>
      </c>
      <c r="CU634" s="6">
        <f t="shared" si="380"/>
        <v>0</v>
      </c>
      <c r="CV634" s="6">
        <f t="shared" si="380"/>
        <v>0</v>
      </c>
      <c r="CW634" s="6">
        <f t="shared" si="380"/>
        <v>0</v>
      </c>
      <c r="CX634" s="6">
        <f t="shared" si="380"/>
        <v>0</v>
      </c>
      <c r="CY634" s="6">
        <f t="shared" si="380"/>
        <v>0</v>
      </c>
      <c r="CZ634" s="6">
        <f t="shared" si="380"/>
        <v>0</v>
      </c>
      <c r="DA634" s="6">
        <f t="shared" si="380"/>
        <v>0</v>
      </c>
      <c r="DB634" s="6">
        <f t="shared" si="380"/>
        <v>0</v>
      </c>
      <c r="DC634" s="6">
        <f t="shared" si="380"/>
        <v>0</v>
      </c>
      <c r="DD634" s="6">
        <f t="shared" si="380"/>
        <v>0</v>
      </c>
      <c r="DE634" s="6">
        <f t="shared" si="380"/>
        <v>0</v>
      </c>
      <c r="DF634" s="6">
        <f t="shared" si="380"/>
        <v>0</v>
      </c>
      <c r="DG634" s="6">
        <f t="shared" si="380"/>
        <v>0</v>
      </c>
      <c r="DH634" s="6">
        <f t="shared" si="380"/>
        <v>0</v>
      </c>
      <c r="DI634" s="6">
        <f t="shared" si="380"/>
        <v>0</v>
      </c>
      <c r="DJ634" s="6">
        <f t="shared" si="380"/>
        <v>0</v>
      </c>
      <c r="DK634" s="6">
        <f t="shared" si="380"/>
        <v>0</v>
      </c>
      <c r="DL634" s="6">
        <f t="shared" si="380"/>
        <v>0</v>
      </c>
      <c r="DM634" s="6">
        <f t="shared" si="380"/>
        <v>0</v>
      </c>
      <c r="DN634" s="6">
        <f t="shared" si="380"/>
        <v>0</v>
      </c>
      <c r="DO634" s="6">
        <f t="shared" si="380"/>
        <v>0</v>
      </c>
      <c r="DP634" s="6">
        <f t="shared" si="380"/>
        <v>0</v>
      </c>
      <c r="DQ634" s="6">
        <f t="shared" si="380"/>
        <v>0</v>
      </c>
      <c r="DR634" s="6">
        <f t="shared" si="380"/>
        <v>0</v>
      </c>
      <c r="DS634" s="6">
        <f t="shared" si="380"/>
        <v>0</v>
      </c>
      <c r="DT634" s="6">
        <f t="shared" si="380"/>
        <v>0</v>
      </c>
      <c r="DU634" s="6">
        <f t="shared" si="380"/>
        <v>0</v>
      </c>
      <c r="DV634" s="6">
        <f t="shared" si="380"/>
        <v>0</v>
      </c>
      <c r="DW634" s="6">
        <f t="shared" si="380"/>
        <v>0</v>
      </c>
      <c r="DX634" s="6">
        <f t="shared" si="380"/>
        <v>0</v>
      </c>
      <c r="DY634" s="6">
        <f t="shared" si="380"/>
        <v>0</v>
      </c>
      <c r="DZ634" s="6">
        <f t="shared" si="380"/>
        <v>0</v>
      </c>
      <c r="EA634" s="6">
        <f t="shared" si="380"/>
        <v>0</v>
      </c>
      <c r="EB634" s="6">
        <f t="shared" si="380"/>
        <v>0</v>
      </c>
      <c r="EC634" s="6">
        <f t="shared" si="380"/>
        <v>0</v>
      </c>
      <c r="ED634" s="6">
        <f t="shared" si="380"/>
        <v>0</v>
      </c>
      <c r="EE634" s="6">
        <f t="shared" si="380"/>
        <v>0</v>
      </c>
      <c r="EF634" s="6">
        <f t="shared" si="380"/>
        <v>0</v>
      </c>
      <c r="EG634" s="6">
        <f t="shared" si="380"/>
        <v>0</v>
      </c>
      <c r="EH634" s="6">
        <f t="shared" si="380"/>
        <v>0</v>
      </c>
      <c r="EI634" s="6">
        <f t="shared" si="380"/>
        <v>0</v>
      </c>
      <c r="EJ634" s="6">
        <f t="shared" si="380"/>
        <v>0</v>
      </c>
      <c r="EK634" s="6">
        <f t="shared" si="380"/>
        <v>0</v>
      </c>
      <c r="EL634" s="6">
        <f t="shared" si="380"/>
        <v>0</v>
      </c>
      <c r="EM634" s="6">
        <f t="shared" si="380"/>
        <v>0</v>
      </c>
      <c r="EN634" s="6">
        <f t="shared" ref="EN634:GR634" si="381">SUM(EN481)</f>
        <v>0</v>
      </c>
      <c r="EO634" s="6">
        <f t="shared" si="381"/>
        <v>0</v>
      </c>
      <c r="EP634" s="6">
        <f t="shared" si="381"/>
        <v>0</v>
      </c>
      <c r="EQ634" s="6">
        <f t="shared" si="381"/>
        <v>439</v>
      </c>
      <c r="ER634" s="6">
        <f t="shared" si="381"/>
        <v>161</v>
      </c>
      <c r="ES634" s="6">
        <f t="shared" si="381"/>
        <v>0</v>
      </c>
      <c r="ET634" s="6">
        <f t="shared" si="381"/>
        <v>0</v>
      </c>
      <c r="EU634" s="6">
        <f t="shared" si="381"/>
        <v>0</v>
      </c>
      <c r="EV634" s="6">
        <f t="shared" si="381"/>
        <v>0</v>
      </c>
      <c r="EW634" s="6">
        <f t="shared" si="381"/>
        <v>0</v>
      </c>
      <c r="EX634" s="6">
        <f t="shared" si="381"/>
        <v>0</v>
      </c>
      <c r="EY634" s="6">
        <f t="shared" si="381"/>
        <v>0</v>
      </c>
      <c r="EZ634" s="6">
        <f t="shared" si="381"/>
        <v>0</v>
      </c>
      <c r="FA634" s="6">
        <f t="shared" si="381"/>
        <v>0</v>
      </c>
      <c r="FB634" s="6">
        <f t="shared" si="381"/>
        <v>0</v>
      </c>
      <c r="FC634" s="6">
        <f t="shared" si="381"/>
        <v>0</v>
      </c>
      <c r="FD634" s="6">
        <f t="shared" si="381"/>
        <v>0</v>
      </c>
      <c r="FE634" s="6">
        <f t="shared" si="381"/>
        <v>0</v>
      </c>
      <c r="FF634" s="6">
        <f t="shared" si="381"/>
        <v>0</v>
      </c>
      <c r="FG634" s="6">
        <f t="shared" si="381"/>
        <v>0</v>
      </c>
      <c r="FH634" s="6">
        <f t="shared" si="381"/>
        <v>0</v>
      </c>
      <c r="FI634" s="6">
        <f t="shared" si="381"/>
        <v>423</v>
      </c>
      <c r="FJ634" s="6">
        <f t="shared" si="381"/>
        <v>169</v>
      </c>
      <c r="FK634" s="6">
        <f t="shared" si="381"/>
        <v>0</v>
      </c>
      <c r="FL634" s="6">
        <f t="shared" si="381"/>
        <v>0</v>
      </c>
      <c r="FM634" s="6">
        <f t="shared" si="381"/>
        <v>0</v>
      </c>
      <c r="FN634" s="6">
        <f t="shared" si="381"/>
        <v>0</v>
      </c>
      <c r="FO634" s="6">
        <f t="shared" si="381"/>
        <v>0</v>
      </c>
      <c r="FP634" s="6">
        <f t="shared" si="381"/>
        <v>0</v>
      </c>
      <c r="FQ634" s="6">
        <f t="shared" si="381"/>
        <v>0</v>
      </c>
      <c r="FR634" s="6">
        <f t="shared" si="381"/>
        <v>0</v>
      </c>
      <c r="FS634" s="6">
        <f t="shared" si="381"/>
        <v>0</v>
      </c>
      <c r="FT634" s="6">
        <f t="shared" si="381"/>
        <v>0</v>
      </c>
      <c r="FU634" s="6">
        <f t="shared" si="381"/>
        <v>0</v>
      </c>
      <c r="FV634" s="6">
        <f t="shared" si="381"/>
        <v>0</v>
      </c>
      <c r="FW634" s="6">
        <f t="shared" si="381"/>
        <v>0</v>
      </c>
      <c r="FX634" s="6">
        <f t="shared" si="381"/>
        <v>0</v>
      </c>
      <c r="FY634" s="6">
        <f t="shared" si="381"/>
        <v>0</v>
      </c>
      <c r="FZ634" s="6">
        <f t="shared" si="381"/>
        <v>0</v>
      </c>
      <c r="GA634" s="6">
        <f t="shared" si="381"/>
        <v>0</v>
      </c>
      <c r="GB634" s="6">
        <f t="shared" si="381"/>
        <v>0</v>
      </c>
      <c r="GC634" s="6">
        <f t="shared" si="381"/>
        <v>0</v>
      </c>
      <c r="GD634" s="6">
        <f t="shared" si="381"/>
        <v>0</v>
      </c>
      <c r="GE634" s="6">
        <f t="shared" si="381"/>
        <v>0</v>
      </c>
      <c r="GF634" s="6">
        <f t="shared" si="381"/>
        <v>0</v>
      </c>
      <c r="GG634" s="6">
        <f t="shared" si="381"/>
        <v>0</v>
      </c>
      <c r="GH634" s="6">
        <f t="shared" si="381"/>
        <v>0</v>
      </c>
      <c r="GI634" s="6">
        <f t="shared" si="381"/>
        <v>0</v>
      </c>
      <c r="GJ634" s="6">
        <f t="shared" si="381"/>
        <v>0</v>
      </c>
      <c r="GK634" s="6">
        <f t="shared" si="381"/>
        <v>0</v>
      </c>
      <c r="GL634" s="6">
        <f t="shared" si="381"/>
        <v>0</v>
      </c>
      <c r="GM634" s="6">
        <f t="shared" si="381"/>
        <v>0</v>
      </c>
      <c r="GN634" s="6">
        <f t="shared" si="381"/>
        <v>0</v>
      </c>
      <c r="GO634" s="6">
        <f t="shared" si="381"/>
        <v>410</v>
      </c>
      <c r="GP634" s="6">
        <f t="shared" si="381"/>
        <v>186</v>
      </c>
      <c r="GQ634" s="6">
        <f t="shared" si="381"/>
        <v>421</v>
      </c>
      <c r="GR634" s="6">
        <f t="shared" si="381"/>
        <v>176</v>
      </c>
    </row>
    <row r="635" spans="1:200">
      <c r="A635" s="6"/>
      <c r="B635" s="16" t="s">
        <v>90</v>
      </c>
      <c r="C635" s="14">
        <f>SUM(C492:C495)</f>
        <v>3048</v>
      </c>
      <c r="D635" s="14">
        <f>SUM(D492:D495)</f>
        <v>2206</v>
      </c>
      <c r="E635" s="15">
        <f t="shared" si="351"/>
        <v>0.72375328083989499</v>
      </c>
      <c r="F635" s="66">
        <f t="shared" ref="F635:AB635" si="382">SUM(F492:F495)</f>
        <v>1006</v>
      </c>
      <c r="G635" s="6">
        <f t="shared" si="382"/>
        <v>9</v>
      </c>
      <c r="H635" s="6">
        <f t="shared" si="382"/>
        <v>67</v>
      </c>
      <c r="I635" s="6">
        <f t="shared" si="382"/>
        <v>14</v>
      </c>
      <c r="J635" s="59">
        <f t="shared" si="382"/>
        <v>1058</v>
      </c>
      <c r="K635" s="6">
        <f t="shared" si="382"/>
        <v>0</v>
      </c>
      <c r="L635" s="6">
        <f t="shared" si="382"/>
        <v>0</v>
      </c>
      <c r="M635" s="6">
        <f t="shared" si="382"/>
        <v>0</v>
      </c>
      <c r="N635" s="6">
        <f t="shared" si="382"/>
        <v>0</v>
      </c>
      <c r="O635" s="6">
        <f t="shared" si="382"/>
        <v>0</v>
      </c>
      <c r="P635" s="6">
        <f t="shared" si="382"/>
        <v>0</v>
      </c>
      <c r="Q635" s="6">
        <f t="shared" si="382"/>
        <v>0</v>
      </c>
      <c r="R635" s="6">
        <f t="shared" si="382"/>
        <v>0</v>
      </c>
      <c r="S635" s="6">
        <f t="shared" si="382"/>
        <v>0</v>
      </c>
      <c r="T635" s="6">
        <f t="shared" si="382"/>
        <v>0</v>
      </c>
      <c r="U635" s="6">
        <f t="shared" si="382"/>
        <v>0</v>
      </c>
      <c r="V635" s="6">
        <f t="shared" si="382"/>
        <v>1</v>
      </c>
      <c r="W635" s="6">
        <f t="shared" si="382"/>
        <v>9</v>
      </c>
      <c r="X635" s="6">
        <f t="shared" si="382"/>
        <v>0</v>
      </c>
      <c r="Y635" s="6">
        <f t="shared" si="382"/>
        <v>0</v>
      </c>
      <c r="Z635" s="6">
        <f t="shared" si="382"/>
        <v>0</v>
      </c>
      <c r="AA635" s="6">
        <f t="shared" si="382"/>
        <v>0</v>
      </c>
      <c r="AB635" s="6">
        <f t="shared" si="382"/>
        <v>0</v>
      </c>
      <c r="AC635" s="6">
        <f t="shared" ref="AC635:BZ635" si="383">SUM(AC492:AC495)</f>
        <v>34</v>
      </c>
      <c r="AD635" s="6">
        <f t="shared" si="383"/>
        <v>37</v>
      </c>
      <c r="AE635" s="6">
        <f t="shared" si="383"/>
        <v>1176</v>
      </c>
      <c r="AF635" s="6">
        <f t="shared" si="383"/>
        <v>23</v>
      </c>
      <c r="AG635" s="6">
        <f t="shared" si="383"/>
        <v>0</v>
      </c>
      <c r="AH635" s="6">
        <f t="shared" si="383"/>
        <v>857</v>
      </c>
      <c r="AI635" s="6">
        <f t="shared" si="383"/>
        <v>1162</v>
      </c>
      <c r="AJ635" s="6">
        <f t="shared" si="383"/>
        <v>1</v>
      </c>
      <c r="AK635" s="6">
        <f t="shared" si="383"/>
        <v>0</v>
      </c>
      <c r="AL635" s="6">
        <f t="shared" si="383"/>
        <v>969</v>
      </c>
      <c r="AM635" s="6">
        <f t="shared" si="383"/>
        <v>0</v>
      </c>
      <c r="AN635" s="6">
        <f t="shared" si="383"/>
        <v>0</v>
      </c>
      <c r="AO635" s="6">
        <f t="shared" si="383"/>
        <v>0</v>
      </c>
      <c r="AP635" s="6">
        <f t="shared" si="383"/>
        <v>0</v>
      </c>
      <c r="AQ635" s="6">
        <f t="shared" si="383"/>
        <v>0</v>
      </c>
      <c r="AR635" s="6">
        <f t="shared" si="383"/>
        <v>0</v>
      </c>
      <c r="AS635" s="6">
        <f t="shared" si="383"/>
        <v>0</v>
      </c>
      <c r="AT635" s="6">
        <f t="shared" si="383"/>
        <v>0</v>
      </c>
      <c r="AU635" s="6">
        <f t="shared" si="383"/>
        <v>0</v>
      </c>
      <c r="AV635" s="6">
        <f t="shared" si="383"/>
        <v>0</v>
      </c>
      <c r="AW635" s="6">
        <f t="shared" si="383"/>
        <v>0</v>
      </c>
      <c r="AX635" s="6">
        <f t="shared" si="383"/>
        <v>0</v>
      </c>
      <c r="AY635" s="6">
        <f t="shared" si="383"/>
        <v>1042</v>
      </c>
      <c r="AZ635" s="6">
        <f t="shared" si="383"/>
        <v>969</v>
      </c>
      <c r="BA635" s="6">
        <f t="shared" si="383"/>
        <v>0</v>
      </c>
      <c r="BB635" s="6">
        <f t="shared" si="383"/>
        <v>0</v>
      </c>
      <c r="BC635" s="6">
        <f t="shared" si="383"/>
        <v>0</v>
      </c>
      <c r="BD635" s="6">
        <f t="shared" si="383"/>
        <v>0</v>
      </c>
      <c r="BE635" s="6">
        <f t="shared" si="383"/>
        <v>795</v>
      </c>
      <c r="BF635" s="6">
        <f t="shared" si="383"/>
        <v>1243</v>
      </c>
      <c r="BG635" s="6">
        <f t="shared" si="383"/>
        <v>1069</v>
      </c>
      <c r="BH635" s="6">
        <f t="shared" si="383"/>
        <v>1000</v>
      </c>
      <c r="BI635" s="6">
        <f t="shared" si="383"/>
        <v>1149</v>
      </c>
      <c r="BJ635" s="6">
        <f t="shared" si="383"/>
        <v>891</v>
      </c>
      <c r="BK635" s="6">
        <f t="shared" si="383"/>
        <v>1073</v>
      </c>
      <c r="BL635" s="6">
        <f t="shared" si="383"/>
        <v>962</v>
      </c>
      <c r="BM635" s="6">
        <f t="shared" si="383"/>
        <v>749</v>
      </c>
      <c r="BN635" s="6">
        <f t="shared" si="383"/>
        <v>1301</v>
      </c>
      <c r="BO635" s="6">
        <f t="shared" si="383"/>
        <v>945</v>
      </c>
      <c r="BP635" s="6">
        <f t="shared" si="383"/>
        <v>1058</v>
      </c>
      <c r="BQ635" s="6">
        <f t="shared" si="383"/>
        <v>1136</v>
      </c>
      <c r="BR635" s="6">
        <f t="shared" si="383"/>
        <v>860</v>
      </c>
      <c r="BS635" s="6">
        <f t="shared" si="383"/>
        <v>1273</v>
      </c>
      <c r="BT635" s="6">
        <f t="shared" si="383"/>
        <v>781</v>
      </c>
      <c r="BU635" s="6">
        <f t="shared" si="383"/>
        <v>1227</v>
      </c>
      <c r="BV635" s="6">
        <f t="shared" si="383"/>
        <v>1287</v>
      </c>
      <c r="BW635" s="6">
        <f t="shared" si="383"/>
        <v>860</v>
      </c>
      <c r="BX635" s="6">
        <f t="shared" si="383"/>
        <v>757</v>
      </c>
      <c r="BY635" s="6">
        <f t="shared" si="383"/>
        <v>1070</v>
      </c>
      <c r="BZ635" s="6">
        <f t="shared" si="383"/>
        <v>688</v>
      </c>
      <c r="CA635" s="6">
        <f t="shared" ref="CA635:CP635" si="384">SUM(CA492:CA495)</f>
        <v>1182</v>
      </c>
      <c r="CB635" s="6">
        <f t="shared" si="384"/>
        <v>788</v>
      </c>
      <c r="CC635" s="6">
        <f t="shared" si="384"/>
        <v>802</v>
      </c>
      <c r="CD635" s="6">
        <f t="shared" si="384"/>
        <v>1187</v>
      </c>
      <c r="CE635" s="6">
        <f t="shared" si="384"/>
        <v>758</v>
      </c>
      <c r="CF635" s="6">
        <f t="shared" si="384"/>
        <v>881</v>
      </c>
      <c r="CG635" s="6">
        <f t="shared" si="384"/>
        <v>827</v>
      </c>
      <c r="CH635" s="6">
        <f t="shared" si="384"/>
        <v>691</v>
      </c>
      <c r="CI635" s="6">
        <f t="shared" si="384"/>
        <v>479</v>
      </c>
      <c r="CJ635" s="6">
        <f t="shared" si="384"/>
        <v>1102</v>
      </c>
      <c r="CK635" s="6">
        <f t="shared" si="384"/>
        <v>930</v>
      </c>
      <c r="CL635" s="6">
        <f t="shared" si="384"/>
        <v>678</v>
      </c>
      <c r="CM635" s="6">
        <f t="shared" si="384"/>
        <v>1138</v>
      </c>
      <c r="CN635" s="6">
        <f t="shared" si="384"/>
        <v>1148</v>
      </c>
      <c r="CO635" s="6">
        <f t="shared" si="384"/>
        <v>640</v>
      </c>
      <c r="CP635" s="6">
        <f t="shared" si="384"/>
        <v>960</v>
      </c>
      <c r="CQ635" s="6">
        <f t="shared" ref="CQ635:EM635" si="385">SUM(CQ492:CQ495)</f>
        <v>0</v>
      </c>
      <c r="CR635" s="6">
        <f t="shared" si="385"/>
        <v>0</v>
      </c>
      <c r="CS635" s="6">
        <f t="shared" si="385"/>
        <v>0</v>
      </c>
      <c r="CT635" s="6">
        <f t="shared" si="385"/>
        <v>0</v>
      </c>
      <c r="CU635" s="6">
        <f t="shared" si="385"/>
        <v>0</v>
      </c>
      <c r="CV635" s="6">
        <f t="shared" si="385"/>
        <v>0</v>
      </c>
      <c r="CW635" s="6">
        <f t="shared" si="385"/>
        <v>0</v>
      </c>
      <c r="CX635" s="6">
        <f t="shared" si="385"/>
        <v>0</v>
      </c>
      <c r="CY635" s="6">
        <f t="shared" si="385"/>
        <v>0</v>
      </c>
      <c r="CZ635" s="6">
        <f t="shared" si="385"/>
        <v>0</v>
      </c>
      <c r="DA635" s="6">
        <f t="shared" si="385"/>
        <v>0</v>
      </c>
      <c r="DB635" s="6">
        <f t="shared" si="385"/>
        <v>0</v>
      </c>
      <c r="DC635" s="6">
        <f t="shared" si="385"/>
        <v>0</v>
      </c>
      <c r="DD635" s="6">
        <f t="shared" si="385"/>
        <v>0</v>
      </c>
      <c r="DE635" s="6">
        <f t="shared" si="385"/>
        <v>0</v>
      </c>
      <c r="DF635" s="6">
        <f t="shared" si="385"/>
        <v>0</v>
      </c>
      <c r="DG635" s="6">
        <f t="shared" si="385"/>
        <v>0</v>
      </c>
      <c r="DH635" s="6">
        <f t="shared" si="385"/>
        <v>0</v>
      </c>
      <c r="DI635" s="6">
        <f t="shared" si="385"/>
        <v>0</v>
      </c>
      <c r="DJ635" s="6">
        <f t="shared" si="385"/>
        <v>0</v>
      </c>
      <c r="DK635" s="6">
        <f t="shared" si="385"/>
        <v>0</v>
      </c>
      <c r="DL635" s="6">
        <f t="shared" si="385"/>
        <v>0</v>
      </c>
      <c r="DM635" s="6">
        <f t="shared" si="385"/>
        <v>0</v>
      </c>
      <c r="DN635" s="6">
        <f t="shared" si="385"/>
        <v>0</v>
      </c>
      <c r="DO635" s="6">
        <f t="shared" si="385"/>
        <v>0</v>
      </c>
      <c r="DP635" s="6">
        <f t="shared" si="385"/>
        <v>0</v>
      </c>
      <c r="DQ635" s="6">
        <f t="shared" si="385"/>
        <v>0</v>
      </c>
      <c r="DR635" s="6">
        <f t="shared" si="385"/>
        <v>0</v>
      </c>
      <c r="DS635" s="6">
        <f t="shared" si="385"/>
        <v>0</v>
      </c>
      <c r="DT635" s="6">
        <f t="shared" si="385"/>
        <v>0</v>
      </c>
      <c r="DU635" s="6">
        <f t="shared" si="385"/>
        <v>0</v>
      </c>
      <c r="DV635" s="6">
        <f t="shared" si="385"/>
        <v>0</v>
      </c>
      <c r="DW635" s="6">
        <f t="shared" si="385"/>
        <v>0</v>
      </c>
      <c r="DX635" s="6">
        <f t="shared" si="385"/>
        <v>0</v>
      </c>
      <c r="DY635" s="6">
        <f t="shared" si="385"/>
        <v>0</v>
      </c>
      <c r="DZ635" s="6">
        <f t="shared" si="385"/>
        <v>0</v>
      </c>
      <c r="EA635" s="6">
        <f t="shared" si="385"/>
        <v>0</v>
      </c>
      <c r="EB635" s="6">
        <f t="shared" si="385"/>
        <v>0</v>
      </c>
      <c r="EC635" s="6">
        <f t="shared" si="385"/>
        <v>0</v>
      </c>
      <c r="ED635" s="6">
        <f t="shared" si="385"/>
        <v>0</v>
      </c>
      <c r="EE635" s="6">
        <f t="shared" si="385"/>
        <v>0</v>
      </c>
      <c r="EF635" s="6">
        <f t="shared" si="385"/>
        <v>0</v>
      </c>
      <c r="EG635" s="6">
        <f t="shared" si="385"/>
        <v>0</v>
      </c>
      <c r="EH635" s="6">
        <f t="shared" si="385"/>
        <v>0</v>
      </c>
      <c r="EI635" s="6">
        <f t="shared" si="385"/>
        <v>0</v>
      </c>
      <c r="EJ635" s="6">
        <f t="shared" si="385"/>
        <v>0</v>
      </c>
      <c r="EK635" s="6">
        <f t="shared" si="385"/>
        <v>0</v>
      </c>
      <c r="EL635" s="6">
        <f t="shared" si="385"/>
        <v>0</v>
      </c>
      <c r="EM635" s="6">
        <f t="shared" si="385"/>
        <v>0</v>
      </c>
      <c r="EN635" s="6">
        <f t="shared" ref="EN635:GR635" si="386">SUM(EN492:EN495)</f>
        <v>0</v>
      </c>
      <c r="EO635" s="6">
        <f t="shared" si="386"/>
        <v>0</v>
      </c>
      <c r="EP635" s="6">
        <f t="shared" si="386"/>
        <v>0</v>
      </c>
      <c r="EQ635" s="6">
        <f t="shared" si="386"/>
        <v>0</v>
      </c>
      <c r="ER635" s="6">
        <f t="shared" si="386"/>
        <v>0</v>
      </c>
      <c r="ES635" s="6">
        <f t="shared" si="386"/>
        <v>0</v>
      </c>
      <c r="ET635" s="6">
        <f t="shared" si="386"/>
        <v>0</v>
      </c>
      <c r="EU635" s="6">
        <f t="shared" si="386"/>
        <v>0</v>
      </c>
      <c r="EV635" s="6">
        <f t="shared" si="386"/>
        <v>0</v>
      </c>
      <c r="EW635" s="6">
        <f t="shared" si="386"/>
        <v>0</v>
      </c>
      <c r="EX635" s="6">
        <f t="shared" si="386"/>
        <v>0</v>
      </c>
      <c r="EY635" s="6">
        <f t="shared" si="386"/>
        <v>0</v>
      </c>
      <c r="EZ635" s="6">
        <f t="shared" si="386"/>
        <v>0</v>
      </c>
      <c r="FA635" s="6">
        <f t="shared" si="386"/>
        <v>0</v>
      </c>
      <c r="FB635" s="6">
        <f t="shared" si="386"/>
        <v>0</v>
      </c>
      <c r="FC635" s="6">
        <f t="shared" si="386"/>
        <v>0</v>
      </c>
      <c r="FD635" s="6">
        <f t="shared" si="386"/>
        <v>0</v>
      </c>
      <c r="FE635" s="6">
        <f t="shared" si="386"/>
        <v>0</v>
      </c>
      <c r="FF635" s="6">
        <f t="shared" si="386"/>
        <v>0</v>
      </c>
      <c r="FG635" s="6">
        <f t="shared" si="386"/>
        <v>0</v>
      </c>
      <c r="FH635" s="6">
        <f t="shared" si="386"/>
        <v>0</v>
      </c>
      <c r="FI635" s="6">
        <f t="shared" si="386"/>
        <v>0</v>
      </c>
      <c r="FJ635" s="6">
        <f t="shared" si="386"/>
        <v>0</v>
      </c>
      <c r="FK635" s="6">
        <f t="shared" si="386"/>
        <v>0</v>
      </c>
      <c r="FL635" s="6">
        <f t="shared" si="386"/>
        <v>0</v>
      </c>
      <c r="FM635" s="6">
        <f t="shared" si="386"/>
        <v>0</v>
      </c>
      <c r="FN635" s="6">
        <f t="shared" si="386"/>
        <v>0</v>
      </c>
      <c r="FO635" s="6">
        <f t="shared" si="386"/>
        <v>0</v>
      </c>
      <c r="FP635" s="6">
        <f t="shared" si="386"/>
        <v>0</v>
      </c>
      <c r="FQ635" s="6">
        <f t="shared" si="386"/>
        <v>0</v>
      </c>
      <c r="FR635" s="6">
        <f t="shared" si="386"/>
        <v>0</v>
      </c>
      <c r="FS635" s="6">
        <f t="shared" si="386"/>
        <v>0</v>
      </c>
      <c r="FT635" s="6">
        <f t="shared" si="386"/>
        <v>0</v>
      </c>
      <c r="FU635" s="6">
        <f t="shared" si="386"/>
        <v>0</v>
      </c>
      <c r="FV635" s="6">
        <f t="shared" si="386"/>
        <v>0</v>
      </c>
      <c r="FW635" s="6">
        <f t="shared" si="386"/>
        <v>0</v>
      </c>
      <c r="FX635" s="6">
        <f t="shared" si="386"/>
        <v>0</v>
      </c>
      <c r="FY635" s="6">
        <f t="shared" si="386"/>
        <v>0</v>
      </c>
      <c r="FZ635" s="6">
        <f t="shared" si="386"/>
        <v>0</v>
      </c>
      <c r="GA635" s="6">
        <f t="shared" si="386"/>
        <v>0</v>
      </c>
      <c r="GB635" s="6">
        <f t="shared" si="386"/>
        <v>0</v>
      </c>
      <c r="GC635" s="6">
        <f t="shared" si="386"/>
        <v>0</v>
      </c>
      <c r="GD635" s="6">
        <f t="shared" si="386"/>
        <v>0</v>
      </c>
      <c r="GE635" s="6">
        <f t="shared" si="386"/>
        <v>0</v>
      </c>
      <c r="GF635" s="6">
        <f t="shared" si="386"/>
        <v>0</v>
      </c>
      <c r="GG635" s="6">
        <f t="shared" si="386"/>
        <v>1224</v>
      </c>
      <c r="GH635" s="6">
        <f t="shared" si="386"/>
        <v>891</v>
      </c>
      <c r="GI635" s="6">
        <f t="shared" si="386"/>
        <v>0</v>
      </c>
      <c r="GJ635" s="6">
        <f t="shared" si="386"/>
        <v>0</v>
      </c>
      <c r="GK635" s="6">
        <f t="shared" si="386"/>
        <v>0</v>
      </c>
      <c r="GL635" s="6">
        <f t="shared" si="386"/>
        <v>0</v>
      </c>
      <c r="GM635" s="6">
        <f t="shared" si="386"/>
        <v>0</v>
      </c>
      <c r="GN635" s="6">
        <f t="shared" si="386"/>
        <v>0</v>
      </c>
      <c r="GO635" s="6">
        <f t="shared" si="386"/>
        <v>1376</v>
      </c>
      <c r="GP635" s="6">
        <f t="shared" si="386"/>
        <v>716</v>
      </c>
      <c r="GQ635" s="6">
        <f t="shared" si="386"/>
        <v>1418</v>
      </c>
      <c r="GR635" s="6">
        <f t="shared" si="386"/>
        <v>654</v>
      </c>
    </row>
    <row r="636" spans="1:200">
      <c r="A636" s="6"/>
      <c r="B636" s="16" t="s">
        <v>91</v>
      </c>
      <c r="C636" s="14">
        <f>SUM(C496:C498)</f>
        <v>3617</v>
      </c>
      <c r="D636" s="14">
        <f>SUM(D496:D498)</f>
        <v>2560</v>
      </c>
      <c r="E636" s="15">
        <f t="shared" si="351"/>
        <v>0.70776886922864257</v>
      </c>
      <c r="F636" s="66">
        <f t="shared" ref="F636:AB636" si="387">SUM(F496:F498)</f>
        <v>1888</v>
      </c>
      <c r="G636" s="6">
        <f t="shared" si="387"/>
        <v>9</v>
      </c>
      <c r="H636" s="6">
        <f t="shared" si="387"/>
        <v>69</v>
      </c>
      <c r="I636" s="6">
        <f t="shared" si="387"/>
        <v>28</v>
      </c>
      <c r="J636" s="59">
        <f t="shared" si="387"/>
        <v>518</v>
      </c>
      <c r="K636" s="6">
        <f t="shared" si="387"/>
        <v>0</v>
      </c>
      <c r="L636" s="6">
        <f t="shared" si="387"/>
        <v>0</v>
      </c>
      <c r="M636" s="6">
        <f t="shared" si="387"/>
        <v>0</v>
      </c>
      <c r="N636" s="6">
        <f t="shared" si="387"/>
        <v>0</v>
      </c>
      <c r="O636" s="6">
        <f t="shared" si="387"/>
        <v>0</v>
      </c>
      <c r="P636" s="6">
        <f t="shared" si="387"/>
        <v>1</v>
      </c>
      <c r="Q636" s="6">
        <f t="shared" si="387"/>
        <v>0</v>
      </c>
      <c r="R636" s="6">
        <f t="shared" si="387"/>
        <v>0</v>
      </c>
      <c r="S636" s="6">
        <f t="shared" si="387"/>
        <v>0</v>
      </c>
      <c r="T636" s="6">
        <f t="shared" si="387"/>
        <v>0</v>
      </c>
      <c r="U636" s="6">
        <f t="shared" si="387"/>
        <v>0</v>
      </c>
      <c r="V636" s="6">
        <f t="shared" si="387"/>
        <v>1</v>
      </c>
      <c r="W636" s="6">
        <f t="shared" si="387"/>
        <v>8</v>
      </c>
      <c r="X636" s="6">
        <f t="shared" si="387"/>
        <v>0</v>
      </c>
      <c r="Y636" s="6">
        <f t="shared" si="387"/>
        <v>0</v>
      </c>
      <c r="Z636" s="6">
        <f t="shared" si="387"/>
        <v>0</v>
      </c>
      <c r="AA636" s="6">
        <f t="shared" si="387"/>
        <v>0</v>
      </c>
      <c r="AB636" s="6">
        <f t="shared" si="387"/>
        <v>0</v>
      </c>
      <c r="AC636" s="6">
        <f t="shared" ref="AC636:BZ636" si="388">SUM(AC496:AC498)</f>
        <v>27</v>
      </c>
      <c r="AD636" s="6">
        <f t="shared" si="388"/>
        <v>52</v>
      </c>
      <c r="AE636" s="6">
        <f t="shared" si="388"/>
        <v>759</v>
      </c>
      <c r="AF636" s="6">
        <f t="shared" si="388"/>
        <v>23</v>
      </c>
      <c r="AG636" s="6">
        <f t="shared" si="388"/>
        <v>0</v>
      </c>
      <c r="AH636" s="6">
        <f t="shared" si="388"/>
        <v>1590</v>
      </c>
      <c r="AI636" s="6">
        <f t="shared" si="388"/>
        <v>0</v>
      </c>
      <c r="AJ636" s="6">
        <f t="shared" si="388"/>
        <v>0</v>
      </c>
      <c r="AK636" s="6">
        <f t="shared" si="388"/>
        <v>0</v>
      </c>
      <c r="AL636" s="6">
        <f t="shared" si="388"/>
        <v>0</v>
      </c>
      <c r="AM636" s="6">
        <f t="shared" si="388"/>
        <v>326</v>
      </c>
      <c r="AN636" s="6">
        <f t="shared" si="388"/>
        <v>1385</v>
      </c>
      <c r="AO636" s="6">
        <f t="shared" si="388"/>
        <v>642</v>
      </c>
      <c r="AP636" s="6">
        <f t="shared" si="388"/>
        <v>0</v>
      </c>
      <c r="AQ636" s="6">
        <f t="shared" si="388"/>
        <v>0</v>
      </c>
      <c r="AR636" s="6">
        <f t="shared" si="388"/>
        <v>0</v>
      </c>
      <c r="AS636" s="6">
        <f t="shared" si="388"/>
        <v>0</v>
      </c>
      <c r="AT636" s="6">
        <f t="shared" si="388"/>
        <v>0</v>
      </c>
      <c r="AU636" s="6">
        <f t="shared" si="388"/>
        <v>0</v>
      </c>
      <c r="AV636" s="6">
        <f t="shared" si="388"/>
        <v>0</v>
      </c>
      <c r="AW636" s="6">
        <f t="shared" si="388"/>
        <v>0</v>
      </c>
      <c r="AX636" s="6">
        <f t="shared" si="388"/>
        <v>0</v>
      </c>
      <c r="AY636" s="6">
        <f t="shared" si="388"/>
        <v>1804</v>
      </c>
      <c r="AZ636" s="6">
        <f t="shared" si="388"/>
        <v>586</v>
      </c>
      <c r="BA636" s="6">
        <f t="shared" si="388"/>
        <v>0</v>
      </c>
      <c r="BB636" s="6">
        <f t="shared" si="388"/>
        <v>0</v>
      </c>
      <c r="BC636" s="6">
        <f t="shared" si="388"/>
        <v>0</v>
      </c>
      <c r="BD636" s="6">
        <f t="shared" si="388"/>
        <v>0</v>
      </c>
      <c r="BE636" s="6">
        <f t="shared" si="388"/>
        <v>510</v>
      </c>
      <c r="BF636" s="6">
        <f t="shared" si="388"/>
        <v>1870</v>
      </c>
      <c r="BG636" s="6">
        <f t="shared" si="388"/>
        <v>645</v>
      </c>
      <c r="BH636" s="6">
        <f t="shared" si="388"/>
        <v>1768</v>
      </c>
      <c r="BI636" s="6">
        <f t="shared" si="388"/>
        <v>763</v>
      </c>
      <c r="BJ636" s="6">
        <f t="shared" si="388"/>
        <v>1642</v>
      </c>
      <c r="BK636" s="6">
        <f t="shared" si="388"/>
        <v>1805</v>
      </c>
      <c r="BL636" s="6">
        <f t="shared" si="388"/>
        <v>584</v>
      </c>
      <c r="BM636" s="6">
        <f t="shared" si="388"/>
        <v>475</v>
      </c>
      <c r="BN636" s="6">
        <f t="shared" si="388"/>
        <v>1916</v>
      </c>
      <c r="BO636" s="6">
        <f t="shared" si="388"/>
        <v>1710</v>
      </c>
      <c r="BP636" s="6">
        <f t="shared" si="388"/>
        <v>623</v>
      </c>
      <c r="BQ636" s="6">
        <f t="shared" si="388"/>
        <v>724</v>
      </c>
      <c r="BR636" s="6">
        <f t="shared" si="388"/>
        <v>1619</v>
      </c>
      <c r="BS636" s="6">
        <f t="shared" si="388"/>
        <v>1112</v>
      </c>
      <c r="BT636" s="6">
        <f t="shared" si="388"/>
        <v>436</v>
      </c>
      <c r="BU636" s="6">
        <f t="shared" si="388"/>
        <v>1920</v>
      </c>
      <c r="BV636" s="6">
        <f t="shared" si="388"/>
        <v>1362</v>
      </c>
      <c r="BW636" s="6">
        <f t="shared" si="388"/>
        <v>783</v>
      </c>
      <c r="BX636" s="6">
        <f t="shared" si="388"/>
        <v>1211</v>
      </c>
      <c r="BY636" s="6">
        <f t="shared" si="388"/>
        <v>838</v>
      </c>
      <c r="BZ636" s="6">
        <f t="shared" si="388"/>
        <v>1313</v>
      </c>
      <c r="CA636" s="6">
        <f t="shared" ref="CA636:CP636" si="389">SUM(CA496:CA498)</f>
        <v>1215</v>
      </c>
      <c r="CB636" s="6">
        <f t="shared" si="389"/>
        <v>592</v>
      </c>
      <c r="CC636" s="6">
        <f t="shared" si="389"/>
        <v>1374</v>
      </c>
      <c r="CD636" s="6">
        <f t="shared" si="389"/>
        <v>1515</v>
      </c>
      <c r="CE636" s="6">
        <f t="shared" si="389"/>
        <v>1358</v>
      </c>
      <c r="CF636" s="6">
        <f t="shared" si="389"/>
        <v>617</v>
      </c>
      <c r="CG636" s="6">
        <f t="shared" si="389"/>
        <v>684</v>
      </c>
      <c r="CH636" s="6">
        <f t="shared" si="389"/>
        <v>1211</v>
      </c>
      <c r="CI636" s="6">
        <f t="shared" si="389"/>
        <v>1106</v>
      </c>
      <c r="CJ636" s="6">
        <f t="shared" si="389"/>
        <v>862</v>
      </c>
      <c r="CK636" s="6">
        <f t="shared" si="389"/>
        <v>820</v>
      </c>
      <c r="CL636" s="6">
        <f t="shared" si="389"/>
        <v>1130</v>
      </c>
      <c r="CM636" s="6">
        <f t="shared" si="389"/>
        <v>1156</v>
      </c>
      <c r="CN636" s="6">
        <f t="shared" si="389"/>
        <v>1254</v>
      </c>
      <c r="CO636" s="6">
        <f t="shared" si="389"/>
        <v>1180</v>
      </c>
      <c r="CP636" s="6">
        <f t="shared" si="389"/>
        <v>808</v>
      </c>
      <c r="CQ636" s="6">
        <f t="shared" ref="CQ636:EM636" si="390">SUM(CQ496:CQ498)</f>
        <v>0</v>
      </c>
      <c r="CR636" s="6">
        <f t="shared" si="390"/>
        <v>0</v>
      </c>
      <c r="CS636" s="6">
        <f t="shared" si="390"/>
        <v>0</v>
      </c>
      <c r="CT636" s="6">
        <f t="shared" si="390"/>
        <v>0</v>
      </c>
      <c r="CU636" s="6">
        <f t="shared" si="390"/>
        <v>0</v>
      </c>
      <c r="CV636" s="6">
        <f t="shared" si="390"/>
        <v>0</v>
      </c>
      <c r="CW636" s="6">
        <f t="shared" si="390"/>
        <v>0</v>
      </c>
      <c r="CX636" s="6">
        <f t="shared" si="390"/>
        <v>0</v>
      </c>
      <c r="CY636" s="6">
        <f t="shared" si="390"/>
        <v>0</v>
      </c>
      <c r="CZ636" s="6">
        <f t="shared" si="390"/>
        <v>0</v>
      </c>
      <c r="DA636" s="6">
        <f t="shared" si="390"/>
        <v>0</v>
      </c>
      <c r="DB636" s="6">
        <f t="shared" si="390"/>
        <v>0</v>
      </c>
      <c r="DC636" s="6">
        <f t="shared" si="390"/>
        <v>0</v>
      </c>
      <c r="DD636" s="6">
        <f t="shared" si="390"/>
        <v>0</v>
      </c>
      <c r="DE636" s="6">
        <f t="shared" si="390"/>
        <v>0</v>
      </c>
      <c r="DF636" s="6">
        <f t="shared" si="390"/>
        <v>0</v>
      </c>
      <c r="DG636" s="6">
        <f t="shared" si="390"/>
        <v>0</v>
      </c>
      <c r="DH636" s="6">
        <f t="shared" si="390"/>
        <v>0</v>
      </c>
      <c r="DI636" s="6">
        <f t="shared" si="390"/>
        <v>0</v>
      </c>
      <c r="DJ636" s="6">
        <f t="shared" si="390"/>
        <v>0</v>
      </c>
      <c r="DK636" s="6">
        <f t="shared" si="390"/>
        <v>0</v>
      </c>
      <c r="DL636" s="6">
        <f t="shared" si="390"/>
        <v>0</v>
      </c>
      <c r="DM636" s="6">
        <f t="shared" si="390"/>
        <v>0</v>
      </c>
      <c r="DN636" s="6">
        <f t="shared" si="390"/>
        <v>0</v>
      </c>
      <c r="DO636" s="6">
        <f t="shared" si="390"/>
        <v>0</v>
      </c>
      <c r="DP636" s="6">
        <f t="shared" si="390"/>
        <v>0</v>
      </c>
      <c r="DQ636" s="6">
        <f t="shared" si="390"/>
        <v>0</v>
      </c>
      <c r="DR636" s="6">
        <f t="shared" si="390"/>
        <v>0</v>
      </c>
      <c r="DS636" s="6">
        <f t="shared" si="390"/>
        <v>0</v>
      </c>
      <c r="DT636" s="6">
        <f t="shared" si="390"/>
        <v>0</v>
      </c>
      <c r="DU636" s="6">
        <f t="shared" si="390"/>
        <v>0</v>
      </c>
      <c r="DV636" s="6">
        <f t="shared" si="390"/>
        <v>0</v>
      </c>
      <c r="DW636" s="6">
        <f t="shared" si="390"/>
        <v>0</v>
      </c>
      <c r="DX636" s="6">
        <f t="shared" si="390"/>
        <v>0</v>
      </c>
      <c r="DY636" s="6">
        <f t="shared" si="390"/>
        <v>0</v>
      </c>
      <c r="DZ636" s="6">
        <f t="shared" si="390"/>
        <v>0</v>
      </c>
      <c r="EA636" s="6">
        <f t="shared" si="390"/>
        <v>0</v>
      </c>
      <c r="EB636" s="6">
        <f t="shared" si="390"/>
        <v>0</v>
      </c>
      <c r="EC636" s="6">
        <f t="shared" si="390"/>
        <v>0</v>
      </c>
      <c r="ED636" s="6">
        <f t="shared" si="390"/>
        <v>0</v>
      </c>
      <c r="EE636" s="6">
        <f t="shared" si="390"/>
        <v>0</v>
      </c>
      <c r="EF636" s="6">
        <f t="shared" si="390"/>
        <v>0</v>
      </c>
      <c r="EG636" s="6">
        <f t="shared" si="390"/>
        <v>0</v>
      </c>
      <c r="EH636" s="6">
        <f t="shared" si="390"/>
        <v>0</v>
      </c>
      <c r="EI636" s="6">
        <f t="shared" si="390"/>
        <v>0</v>
      </c>
      <c r="EJ636" s="6">
        <f t="shared" si="390"/>
        <v>0</v>
      </c>
      <c r="EK636" s="6">
        <f t="shared" si="390"/>
        <v>0</v>
      </c>
      <c r="EL636" s="6">
        <f t="shared" si="390"/>
        <v>0</v>
      </c>
      <c r="EM636" s="6">
        <f t="shared" si="390"/>
        <v>0</v>
      </c>
      <c r="EN636" s="6">
        <f t="shared" ref="EN636:GR636" si="391">SUM(EN496:EN498)</f>
        <v>0</v>
      </c>
      <c r="EO636" s="6">
        <f t="shared" si="391"/>
        <v>0</v>
      </c>
      <c r="EP636" s="6">
        <f t="shared" si="391"/>
        <v>0</v>
      </c>
      <c r="EQ636" s="6">
        <f t="shared" si="391"/>
        <v>0</v>
      </c>
      <c r="ER636" s="6">
        <f t="shared" si="391"/>
        <v>0</v>
      </c>
      <c r="ES636" s="6">
        <f t="shared" si="391"/>
        <v>0</v>
      </c>
      <c r="ET636" s="6">
        <f t="shared" si="391"/>
        <v>0</v>
      </c>
      <c r="EU636" s="6">
        <f t="shared" si="391"/>
        <v>0</v>
      </c>
      <c r="EV636" s="6">
        <f t="shared" si="391"/>
        <v>0</v>
      </c>
      <c r="EW636" s="6">
        <f t="shared" si="391"/>
        <v>0</v>
      </c>
      <c r="EX636" s="6">
        <f t="shared" si="391"/>
        <v>0</v>
      </c>
      <c r="EY636" s="6">
        <f t="shared" si="391"/>
        <v>0</v>
      </c>
      <c r="EZ636" s="6">
        <f t="shared" si="391"/>
        <v>0</v>
      </c>
      <c r="FA636" s="6">
        <f t="shared" si="391"/>
        <v>0</v>
      </c>
      <c r="FB636" s="6">
        <f t="shared" si="391"/>
        <v>0</v>
      </c>
      <c r="FC636" s="6">
        <f t="shared" si="391"/>
        <v>0</v>
      </c>
      <c r="FD636" s="6">
        <f t="shared" si="391"/>
        <v>0</v>
      </c>
      <c r="FE636" s="6">
        <f t="shared" si="391"/>
        <v>0</v>
      </c>
      <c r="FF636" s="6">
        <f t="shared" si="391"/>
        <v>0</v>
      </c>
      <c r="FG636" s="6">
        <f t="shared" si="391"/>
        <v>0</v>
      </c>
      <c r="FH636" s="6">
        <f t="shared" si="391"/>
        <v>0</v>
      </c>
      <c r="FI636" s="6">
        <f t="shared" si="391"/>
        <v>0</v>
      </c>
      <c r="FJ636" s="6">
        <f t="shared" si="391"/>
        <v>0</v>
      </c>
      <c r="FK636" s="6">
        <f t="shared" si="391"/>
        <v>0</v>
      </c>
      <c r="FL636" s="6">
        <f t="shared" si="391"/>
        <v>0</v>
      </c>
      <c r="FM636" s="6">
        <f t="shared" si="391"/>
        <v>0</v>
      </c>
      <c r="FN636" s="6">
        <f t="shared" si="391"/>
        <v>0</v>
      </c>
      <c r="FO636" s="6">
        <f t="shared" si="391"/>
        <v>0</v>
      </c>
      <c r="FP636" s="6">
        <f t="shared" si="391"/>
        <v>0</v>
      </c>
      <c r="FQ636" s="6">
        <f t="shared" si="391"/>
        <v>0</v>
      </c>
      <c r="FR636" s="6">
        <f t="shared" si="391"/>
        <v>0</v>
      </c>
      <c r="FS636" s="6">
        <f t="shared" si="391"/>
        <v>0</v>
      </c>
      <c r="FT636" s="6">
        <f t="shared" si="391"/>
        <v>0</v>
      </c>
      <c r="FU636" s="6">
        <f t="shared" si="391"/>
        <v>0</v>
      </c>
      <c r="FV636" s="6">
        <f t="shared" si="391"/>
        <v>0</v>
      </c>
      <c r="FW636" s="6">
        <f t="shared" si="391"/>
        <v>0</v>
      </c>
      <c r="FX636" s="6">
        <f t="shared" si="391"/>
        <v>0</v>
      </c>
      <c r="FY636" s="6">
        <f t="shared" si="391"/>
        <v>1453</v>
      </c>
      <c r="FZ636" s="6">
        <f t="shared" si="391"/>
        <v>811</v>
      </c>
      <c r="GA636" s="6">
        <f t="shared" si="391"/>
        <v>102</v>
      </c>
      <c r="GB636" s="6">
        <f t="shared" si="391"/>
        <v>65</v>
      </c>
      <c r="GC636" s="6">
        <f t="shared" si="391"/>
        <v>0</v>
      </c>
      <c r="GD636" s="6">
        <f t="shared" si="391"/>
        <v>0</v>
      </c>
      <c r="GE636" s="6">
        <f t="shared" si="391"/>
        <v>0</v>
      </c>
      <c r="GF636" s="6">
        <f t="shared" si="391"/>
        <v>0</v>
      </c>
      <c r="GG636" s="6">
        <f t="shared" si="391"/>
        <v>0</v>
      </c>
      <c r="GH636" s="6">
        <f t="shared" si="391"/>
        <v>0</v>
      </c>
      <c r="GI636" s="6">
        <f t="shared" si="391"/>
        <v>0</v>
      </c>
      <c r="GJ636" s="6">
        <f t="shared" si="391"/>
        <v>0</v>
      </c>
      <c r="GK636" s="6">
        <f t="shared" si="391"/>
        <v>0</v>
      </c>
      <c r="GL636" s="6">
        <f t="shared" si="391"/>
        <v>0</v>
      </c>
      <c r="GM636" s="6">
        <f t="shared" si="391"/>
        <v>0</v>
      </c>
      <c r="GN636" s="6">
        <f t="shared" si="391"/>
        <v>0</v>
      </c>
      <c r="GO636" s="6">
        <f t="shared" si="391"/>
        <v>1663</v>
      </c>
      <c r="GP636" s="6">
        <f t="shared" si="391"/>
        <v>734</v>
      </c>
      <c r="GQ636" s="6">
        <f t="shared" si="391"/>
        <v>1834</v>
      </c>
      <c r="GR636" s="6">
        <f t="shared" si="391"/>
        <v>581</v>
      </c>
    </row>
    <row r="637" spans="1:200">
      <c r="A637" s="6"/>
      <c r="B637" s="16" t="s">
        <v>92</v>
      </c>
      <c r="C637" s="14">
        <f>SUM(C553:C554)</f>
        <v>1785</v>
      </c>
      <c r="D637" s="14">
        <f>SUM(D553:D554)</f>
        <v>1480</v>
      </c>
      <c r="E637" s="15">
        <f t="shared" si="351"/>
        <v>0.82913165266106448</v>
      </c>
      <c r="F637" s="66">
        <f t="shared" ref="F637:AB637" si="392">SUM(F553:F554)</f>
        <v>610</v>
      </c>
      <c r="G637" s="6">
        <f t="shared" si="392"/>
        <v>6</v>
      </c>
      <c r="H637" s="6">
        <f t="shared" si="392"/>
        <v>60</v>
      </c>
      <c r="I637" s="6">
        <f t="shared" si="392"/>
        <v>5</v>
      </c>
      <c r="J637" s="59">
        <f t="shared" si="392"/>
        <v>730</v>
      </c>
      <c r="K637" s="6">
        <f t="shared" si="392"/>
        <v>0</v>
      </c>
      <c r="L637" s="6">
        <f t="shared" si="392"/>
        <v>0</v>
      </c>
      <c r="M637" s="6">
        <f t="shared" si="392"/>
        <v>0</v>
      </c>
      <c r="N637" s="6">
        <f t="shared" si="392"/>
        <v>0</v>
      </c>
      <c r="O637" s="6">
        <f t="shared" si="392"/>
        <v>0</v>
      </c>
      <c r="P637" s="6">
        <f t="shared" si="392"/>
        <v>0</v>
      </c>
      <c r="Q637" s="6">
        <f t="shared" si="392"/>
        <v>0</v>
      </c>
      <c r="R637" s="6">
        <f t="shared" si="392"/>
        <v>0</v>
      </c>
      <c r="S637" s="6">
        <f t="shared" si="392"/>
        <v>0</v>
      </c>
      <c r="T637" s="6">
        <f t="shared" si="392"/>
        <v>0</v>
      </c>
      <c r="U637" s="6">
        <f t="shared" si="392"/>
        <v>0</v>
      </c>
      <c r="V637" s="6">
        <f t="shared" si="392"/>
        <v>0</v>
      </c>
      <c r="W637" s="6">
        <f t="shared" si="392"/>
        <v>13</v>
      </c>
      <c r="X637" s="6">
        <f t="shared" si="392"/>
        <v>0</v>
      </c>
      <c r="Y637" s="6">
        <f t="shared" si="392"/>
        <v>0</v>
      </c>
      <c r="Z637" s="6">
        <f t="shared" si="392"/>
        <v>0</v>
      </c>
      <c r="AA637" s="6">
        <f t="shared" si="392"/>
        <v>0</v>
      </c>
      <c r="AB637" s="6">
        <f t="shared" si="392"/>
        <v>0</v>
      </c>
      <c r="AC637" s="6">
        <f t="shared" ref="AC637:BZ637" si="393">SUM(AC553:AC554)</f>
        <v>7</v>
      </c>
      <c r="AD637" s="6">
        <f t="shared" si="393"/>
        <v>10</v>
      </c>
      <c r="AE637" s="6">
        <f t="shared" si="393"/>
        <v>1147</v>
      </c>
      <c r="AF637" s="6">
        <f t="shared" si="393"/>
        <v>5</v>
      </c>
      <c r="AG637" s="6">
        <f t="shared" si="393"/>
        <v>0</v>
      </c>
      <c r="AH637" s="6">
        <f t="shared" si="393"/>
        <v>293</v>
      </c>
      <c r="AI637" s="6">
        <f t="shared" si="393"/>
        <v>0</v>
      </c>
      <c r="AJ637" s="6">
        <f t="shared" si="393"/>
        <v>0</v>
      </c>
      <c r="AK637" s="6">
        <f t="shared" si="393"/>
        <v>0</v>
      </c>
      <c r="AL637" s="6">
        <f t="shared" si="393"/>
        <v>0</v>
      </c>
      <c r="AM637" s="6">
        <f t="shared" si="393"/>
        <v>23</v>
      </c>
      <c r="AN637" s="6">
        <f t="shared" si="393"/>
        <v>342</v>
      </c>
      <c r="AO637" s="6">
        <f t="shared" si="393"/>
        <v>1049</v>
      </c>
      <c r="AP637" s="6">
        <f t="shared" si="393"/>
        <v>0</v>
      </c>
      <c r="AQ637" s="6">
        <f t="shared" si="393"/>
        <v>0</v>
      </c>
      <c r="AR637" s="6">
        <f t="shared" si="393"/>
        <v>971</v>
      </c>
      <c r="AS637" s="6">
        <f t="shared" si="393"/>
        <v>407</v>
      </c>
      <c r="AT637" s="6">
        <f t="shared" si="393"/>
        <v>0</v>
      </c>
      <c r="AU637" s="6">
        <f t="shared" si="393"/>
        <v>0</v>
      </c>
      <c r="AV637" s="6">
        <f t="shared" si="393"/>
        <v>0</v>
      </c>
      <c r="AW637" s="6">
        <f t="shared" si="393"/>
        <v>0</v>
      </c>
      <c r="AX637" s="6">
        <f t="shared" si="393"/>
        <v>0</v>
      </c>
      <c r="AY637" s="6">
        <f t="shared" si="393"/>
        <v>0</v>
      </c>
      <c r="AZ637" s="6">
        <f t="shared" si="393"/>
        <v>0</v>
      </c>
      <c r="BA637" s="6">
        <f t="shared" si="393"/>
        <v>0</v>
      </c>
      <c r="BB637" s="6">
        <f t="shared" si="393"/>
        <v>0</v>
      </c>
      <c r="BC637" s="6">
        <f t="shared" si="393"/>
        <v>0</v>
      </c>
      <c r="BD637" s="6">
        <f t="shared" si="393"/>
        <v>0</v>
      </c>
      <c r="BE637" s="6">
        <f t="shared" si="393"/>
        <v>834</v>
      </c>
      <c r="BF637" s="6">
        <f t="shared" si="393"/>
        <v>532</v>
      </c>
      <c r="BG637" s="6">
        <f t="shared" si="393"/>
        <v>920</v>
      </c>
      <c r="BH637" s="6">
        <f t="shared" si="393"/>
        <v>475</v>
      </c>
      <c r="BI637" s="6">
        <f t="shared" si="393"/>
        <v>1017</v>
      </c>
      <c r="BJ637" s="6">
        <f t="shared" si="393"/>
        <v>367</v>
      </c>
      <c r="BK637" s="6">
        <f t="shared" si="393"/>
        <v>517</v>
      </c>
      <c r="BL637" s="6">
        <f t="shared" si="393"/>
        <v>851</v>
      </c>
      <c r="BM637" s="6">
        <f t="shared" si="393"/>
        <v>835</v>
      </c>
      <c r="BN637" s="6">
        <f t="shared" si="393"/>
        <v>513</v>
      </c>
      <c r="BO637" s="6">
        <f t="shared" si="393"/>
        <v>431</v>
      </c>
      <c r="BP637" s="6">
        <f t="shared" si="393"/>
        <v>892</v>
      </c>
      <c r="BQ637" s="6">
        <f t="shared" si="393"/>
        <v>1028</v>
      </c>
      <c r="BR637" s="6">
        <f t="shared" si="393"/>
        <v>316</v>
      </c>
      <c r="BS637" s="6">
        <f t="shared" si="393"/>
        <v>1031</v>
      </c>
      <c r="BT637" s="6">
        <f t="shared" si="393"/>
        <v>716</v>
      </c>
      <c r="BU637" s="6">
        <f t="shared" si="393"/>
        <v>605</v>
      </c>
      <c r="BV637" s="6">
        <f t="shared" si="393"/>
        <v>979</v>
      </c>
      <c r="BW637" s="6">
        <f t="shared" si="393"/>
        <v>668</v>
      </c>
      <c r="BX637" s="6">
        <f t="shared" si="393"/>
        <v>387</v>
      </c>
      <c r="BY637" s="6">
        <f t="shared" si="393"/>
        <v>739</v>
      </c>
      <c r="BZ637" s="6">
        <f t="shared" si="393"/>
        <v>428</v>
      </c>
      <c r="CA637" s="6">
        <f t="shared" ref="CA637:CP637" si="394">SUM(CA553:CA554)</f>
        <v>861</v>
      </c>
      <c r="CB637" s="6">
        <f t="shared" si="394"/>
        <v>876</v>
      </c>
      <c r="CC637" s="6">
        <f t="shared" si="394"/>
        <v>290</v>
      </c>
      <c r="CD637" s="6">
        <f t="shared" si="394"/>
        <v>773</v>
      </c>
      <c r="CE637" s="6">
        <f t="shared" si="394"/>
        <v>431</v>
      </c>
      <c r="CF637" s="6">
        <f t="shared" si="394"/>
        <v>625</v>
      </c>
      <c r="CG637" s="6">
        <f t="shared" si="394"/>
        <v>737</v>
      </c>
      <c r="CH637" s="6">
        <f t="shared" si="394"/>
        <v>283</v>
      </c>
      <c r="CI637" s="6">
        <f t="shared" si="394"/>
        <v>202</v>
      </c>
      <c r="CJ637" s="6">
        <f t="shared" si="394"/>
        <v>808</v>
      </c>
      <c r="CK637" s="6">
        <f t="shared" si="394"/>
        <v>629</v>
      </c>
      <c r="CL637" s="6">
        <f t="shared" si="394"/>
        <v>359</v>
      </c>
      <c r="CM637" s="6">
        <f t="shared" si="394"/>
        <v>798</v>
      </c>
      <c r="CN637" s="6">
        <f t="shared" si="394"/>
        <v>807</v>
      </c>
      <c r="CO637" s="6">
        <f t="shared" si="394"/>
        <v>259</v>
      </c>
      <c r="CP637" s="6">
        <f t="shared" si="394"/>
        <v>732</v>
      </c>
      <c r="CQ637" s="6">
        <f t="shared" ref="CQ637:EM637" si="395">SUM(CQ553:CQ554)</f>
        <v>0</v>
      </c>
      <c r="CR637" s="6">
        <f t="shared" si="395"/>
        <v>0</v>
      </c>
      <c r="CS637" s="6">
        <f t="shared" si="395"/>
        <v>0</v>
      </c>
      <c r="CT637" s="6">
        <f t="shared" si="395"/>
        <v>0</v>
      </c>
      <c r="CU637" s="6">
        <f t="shared" si="395"/>
        <v>0</v>
      </c>
      <c r="CV637" s="6">
        <f t="shared" si="395"/>
        <v>0</v>
      </c>
      <c r="CW637" s="6">
        <f t="shared" si="395"/>
        <v>0</v>
      </c>
      <c r="CX637" s="6">
        <f t="shared" si="395"/>
        <v>0</v>
      </c>
      <c r="CY637" s="6">
        <f t="shared" si="395"/>
        <v>0</v>
      </c>
      <c r="CZ637" s="6">
        <f t="shared" si="395"/>
        <v>0</v>
      </c>
      <c r="DA637" s="6">
        <f t="shared" si="395"/>
        <v>0</v>
      </c>
      <c r="DB637" s="6">
        <f t="shared" si="395"/>
        <v>0</v>
      </c>
      <c r="DC637" s="6">
        <f t="shared" si="395"/>
        <v>0</v>
      </c>
      <c r="DD637" s="6">
        <f t="shared" si="395"/>
        <v>0</v>
      </c>
      <c r="DE637" s="6">
        <f t="shared" si="395"/>
        <v>0</v>
      </c>
      <c r="DF637" s="6">
        <f t="shared" si="395"/>
        <v>0</v>
      </c>
      <c r="DG637" s="6">
        <f t="shared" si="395"/>
        <v>0</v>
      </c>
      <c r="DH637" s="6">
        <f t="shared" si="395"/>
        <v>0</v>
      </c>
      <c r="DI637" s="6">
        <f t="shared" si="395"/>
        <v>0</v>
      </c>
      <c r="DJ637" s="6">
        <f t="shared" si="395"/>
        <v>0</v>
      </c>
      <c r="DK637" s="6">
        <f t="shared" si="395"/>
        <v>0</v>
      </c>
      <c r="DL637" s="6">
        <f t="shared" si="395"/>
        <v>0</v>
      </c>
      <c r="DM637" s="6">
        <f t="shared" si="395"/>
        <v>0</v>
      </c>
      <c r="DN637" s="6">
        <f t="shared" si="395"/>
        <v>0</v>
      </c>
      <c r="DO637" s="6">
        <f t="shared" si="395"/>
        <v>0</v>
      </c>
      <c r="DP637" s="6">
        <f t="shared" si="395"/>
        <v>0</v>
      </c>
      <c r="DQ637" s="6">
        <f t="shared" si="395"/>
        <v>0</v>
      </c>
      <c r="DR637" s="6">
        <f t="shared" si="395"/>
        <v>0</v>
      </c>
      <c r="DS637" s="6">
        <f t="shared" si="395"/>
        <v>0</v>
      </c>
      <c r="DT637" s="6">
        <f t="shared" si="395"/>
        <v>0</v>
      </c>
      <c r="DU637" s="6">
        <f t="shared" si="395"/>
        <v>0</v>
      </c>
      <c r="DV637" s="6">
        <f t="shared" si="395"/>
        <v>0</v>
      </c>
      <c r="DW637" s="6">
        <f t="shared" si="395"/>
        <v>0</v>
      </c>
      <c r="DX637" s="6">
        <f t="shared" si="395"/>
        <v>0</v>
      </c>
      <c r="DY637" s="6">
        <f t="shared" si="395"/>
        <v>0</v>
      </c>
      <c r="DZ637" s="6">
        <f t="shared" si="395"/>
        <v>0</v>
      </c>
      <c r="EA637" s="6">
        <f t="shared" si="395"/>
        <v>0</v>
      </c>
      <c r="EB637" s="6">
        <f t="shared" si="395"/>
        <v>0</v>
      </c>
      <c r="EC637" s="6">
        <f t="shared" si="395"/>
        <v>0</v>
      </c>
      <c r="ED637" s="6">
        <f t="shared" si="395"/>
        <v>0</v>
      </c>
      <c r="EE637" s="6">
        <f t="shared" si="395"/>
        <v>0</v>
      </c>
      <c r="EF637" s="6">
        <f t="shared" si="395"/>
        <v>0</v>
      </c>
      <c r="EG637" s="6">
        <f t="shared" si="395"/>
        <v>0</v>
      </c>
      <c r="EH637" s="6">
        <f t="shared" si="395"/>
        <v>0</v>
      </c>
      <c r="EI637" s="6">
        <f t="shared" si="395"/>
        <v>0</v>
      </c>
      <c r="EJ637" s="6">
        <f t="shared" si="395"/>
        <v>0</v>
      </c>
      <c r="EK637" s="6">
        <f t="shared" si="395"/>
        <v>0</v>
      </c>
      <c r="EL637" s="6">
        <f t="shared" si="395"/>
        <v>0</v>
      </c>
      <c r="EM637" s="6">
        <f t="shared" si="395"/>
        <v>0</v>
      </c>
      <c r="EN637" s="6">
        <f t="shared" ref="EN637:GR637" si="396">SUM(EN553:EN554)</f>
        <v>0</v>
      </c>
      <c r="EO637" s="6">
        <f t="shared" si="396"/>
        <v>0</v>
      </c>
      <c r="EP637" s="6">
        <f t="shared" si="396"/>
        <v>0</v>
      </c>
      <c r="EQ637" s="6">
        <f t="shared" si="396"/>
        <v>0</v>
      </c>
      <c r="ER637" s="6">
        <f t="shared" si="396"/>
        <v>0</v>
      </c>
      <c r="ES637" s="6">
        <f t="shared" si="396"/>
        <v>1124</v>
      </c>
      <c r="ET637" s="6">
        <f t="shared" si="396"/>
        <v>297</v>
      </c>
      <c r="EU637" s="6">
        <f t="shared" si="396"/>
        <v>0</v>
      </c>
      <c r="EV637" s="6">
        <f t="shared" si="396"/>
        <v>0</v>
      </c>
      <c r="EW637" s="6">
        <f t="shared" si="396"/>
        <v>0</v>
      </c>
      <c r="EX637" s="6">
        <f t="shared" si="396"/>
        <v>0</v>
      </c>
      <c r="EY637" s="6">
        <f t="shared" si="396"/>
        <v>0</v>
      </c>
      <c r="EZ637" s="6">
        <f t="shared" si="396"/>
        <v>0</v>
      </c>
      <c r="FA637" s="6">
        <f t="shared" si="396"/>
        <v>0</v>
      </c>
      <c r="FB637" s="6">
        <f t="shared" si="396"/>
        <v>0</v>
      </c>
      <c r="FC637" s="6">
        <f t="shared" si="396"/>
        <v>0</v>
      </c>
      <c r="FD637" s="6">
        <f t="shared" si="396"/>
        <v>0</v>
      </c>
      <c r="FE637" s="6">
        <f t="shared" si="396"/>
        <v>0</v>
      </c>
      <c r="FF637" s="6">
        <f t="shared" si="396"/>
        <v>0</v>
      </c>
      <c r="FG637" s="6">
        <f t="shared" si="396"/>
        <v>0</v>
      </c>
      <c r="FH637" s="6">
        <f t="shared" si="396"/>
        <v>0</v>
      </c>
      <c r="FI637" s="6">
        <f t="shared" si="396"/>
        <v>0</v>
      </c>
      <c r="FJ637" s="6">
        <f t="shared" si="396"/>
        <v>0</v>
      </c>
      <c r="FK637" s="6">
        <f t="shared" si="396"/>
        <v>0</v>
      </c>
      <c r="FL637" s="6">
        <f t="shared" si="396"/>
        <v>0</v>
      </c>
      <c r="FM637" s="6">
        <f t="shared" si="396"/>
        <v>0</v>
      </c>
      <c r="FN637" s="6">
        <f t="shared" si="396"/>
        <v>0</v>
      </c>
      <c r="FO637" s="6">
        <f t="shared" si="396"/>
        <v>0</v>
      </c>
      <c r="FP637" s="6">
        <f t="shared" si="396"/>
        <v>0</v>
      </c>
      <c r="FQ637" s="6">
        <f t="shared" si="396"/>
        <v>0</v>
      </c>
      <c r="FR637" s="6">
        <f t="shared" si="396"/>
        <v>0</v>
      </c>
      <c r="FS637" s="6">
        <f t="shared" si="396"/>
        <v>0</v>
      </c>
      <c r="FT637" s="6">
        <f t="shared" si="396"/>
        <v>0</v>
      </c>
      <c r="FU637" s="6">
        <f t="shared" si="396"/>
        <v>0</v>
      </c>
      <c r="FV637" s="6">
        <f t="shared" si="396"/>
        <v>0</v>
      </c>
      <c r="FW637" s="6">
        <f t="shared" si="396"/>
        <v>0</v>
      </c>
      <c r="FX637" s="6">
        <f t="shared" si="396"/>
        <v>0</v>
      </c>
      <c r="FY637" s="6">
        <f t="shared" si="396"/>
        <v>0</v>
      </c>
      <c r="FZ637" s="6">
        <f t="shared" si="396"/>
        <v>0</v>
      </c>
      <c r="GA637" s="6">
        <f t="shared" si="396"/>
        <v>0</v>
      </c>
      <c r="GB637" s="6">
        <f t="shared" si="396"/>
        <v>0</v>
      </c>
      <c r="GC637" s="6">
        <f t="shared" si="396"/>
        <v>0</v>
      </c>
      <c r="GD637" s="6">
        <f t="shared" si="396"/>
        <v>0</v>
      </c>
      <c r="GE637" s="6">
        <f t="shared" si="396"/>
        <v>0</v>
      </c>
      <c r="GF637" s="6">
        <f t="shared" si="396"/>
        <v>0</v>
      </c>
      <c r="GG637" s="6">
        <f t="shared" si="396"/>
        <v>0</v>
      </c>
      <c r="GH637" s="6">
        <f t="shared" si="396"/>
        <v>0</v>
      </c>
      <c r="GI637" s="6">
        <f t="shared" si="396"/>
        <v>0</v>
      </c>
      <c r="GJ637" s="6">
        <f t="shared" si="396"/>
        <v>0</v>
      </c>
      <c r="GK637" s="6">
        <f t="shared" si="396"/>
        <v>0</v>
      </c>
      <c r="GL637" s="6">
        <f t="shared" si="396"/>
        <v>0</v>
      </c>
      <c r="GM637" s="6">
        <f t="shared" si="396"/>
        <v>0</v>
      </c>
      <c r="GN637" s="6">
        <f t="shared" si="396"/>
        <v>0</v>
      </c>
      <c r="GO637" s="6">
        <f t="shared" si="396"/>
        <v>1112</v>
      </c>
      <c r="GP637" s="6">
        <f t="shared" si="396"/>
        <v>298</v>
      </c>
      <c r="GQ637" s="6">
        <f t="shared" si="396"/>
        <v>1073</v>
      </c>
      <c r="GR637" s="6">
        <f t="shared" si="396"/>
        <v>344</v>
      </c>
    </row>
    <row r="638" spans="1:200">
      <c r="A638" s="6"/>
      <c r="B638" s="16" t="s">
        <v>93</v>
      </c>
      <c r="C638" s="14">
        <f>SUM(C558:C559)</f>
        <v>2587</v>
      </c>
      <c r="D638" s="14">
        <f>SUM(D558:D559)</f>
        <v>1748</v>
      </c>
      <c r="E638" s="15">
        <f t="shared" si="351"/>
        <v>0.67568612292230379</v>
      </c>
      <c r="F638" s="66">
        <f t="shared" ref="F638:AB638" si="397">SUM(F558:F559)</f>
        <v>1469</v>
      </c>
      <c r="G638" s="6">
        <f t="shared" si="397"/>
        <v>3</v>
      </c>
      <c r="H638" s="6">
        <f t="shared" si="397"/>
        <v>30</v>
      </c>
      <c r="I638" s="6">
        <f t="shared" si="397"/>
        <v>25</v>
      </c>
      <c r="J638" s="59">
        <f t="shared" si="397"/>
        <v>200</v>
      </c>
      <c r="K638" s="6">
        <f t="shared" si="397"/>
        <v>0</v>
      </c>
      <c r="L638" s="6">
        <f t="shared" si="397"/>
        <v>0</v>
      </c>
      <c r="M638" s="6">
        <f t="shared" si="397"/>
        <v>0</v>
      </c>
      <c r="N638" s="6">
        <f t="shared" si="397"/>
        <v>0</v>
      </c>
      <c r="O638" s="6">
        <f t="shared" si="397"/>
        <v>0</v>
      </c>
      <c r="P638" s="6">
        <f t="shared" si="397"/>
        <v>0</v>
      </c>
      <c r="Q638" s="6">
        <f t="shared" si="397"/>
        <v>0</v>
      </c>
      <c r="R638" s="6">
        <f t="shared" si="397"/>
        <v>0</v>
      </c>
      <c r="S638" s="6">
        <f t="shared" si="397"/>
        <v>0</v>
      </c>
      <c r="T638" s="6">
        <f t="shared" si="397"/>
        <v>0</v>
      </c>
      <c r="U638" s="6">
        <f t="shared" si="397"/>
        <v>0</v>
      </c>
      <c r="V638" s="6">
        <f t="shared" si="397"/>
        <v>0</v>
      </c>
      <c r="W638" s="6">
        <f t="shared" si="397"/>
        <v>1</v>
      </c>
      <c r="X638" s="6">
        <f t="shared" si="397"/>
        <v>0</v>
      </c>
      <c r="Y638" s="6">
        <f t="shared" si="397"/>
        <v>0</v>
      </c>
      <c r="Z638" s="6">
        <f t="shared" si="397"/>
        <v>0</v>
      </c>
      <c r="AA638" s="6">
        <f t="shared" si="397"/>
        <v>0</v>
      </c>
      <c r="AB638" s="6">
        <f t="shared" si="397"/>
        <v>0</v>
      </c>
      <c r="AC638" s="6">
        <f t="shared" ref="AC638:BZ638" si="398">SUM(AC558:AC559)</f>
        <v>22</v>
      </c>
      <c r="AD638" s="6">
        <f t="shared" si="398"/>
        <v>32</v>
      </c>
      <c r="AE638" s="6">
        <f t="shared" si="398"/>
        <v>325</v>
      </c>
      <c r="AF638" s="6">
        <f t="shared" si="398"/>
        <v>12</v>
      </c>
      <c r="AG638" s="6">
        <f t="shared" si="398"/>
        <v>0</v>
      </c>
      <c r="AH638" s="6">
        <f t="shared" si="398"/>
        <v>1292</v>
      </c>
      <c r="AI638" s="6">
        <f t="shared" si="398"/>
        <v>0</v>
      </c>
      <c r="AJ638" s="6">
        <f t="shared" si="398"/>
        <v>0</v>
      </c>
      <c r="AK638" s="6">
        <f t="shared" si="398"/>
        <v>0</v>
      </c>
      <c r="AL638" s="6">
        <f t="shared" si="398"/>
        <v>0</v>
      </c>
      <c r="AM638" s="6">
        <f t="shared" si="398"/>
        <v>85</v>
      </c>
      <c r="AN638" s="6">
        <f t="shared" si="398"/>
        <v>1303</v>
      </c>
      <c r="AO638" s="6">
        <f t="shared" si="398"/>
        <v>255</v>
      </c>
      <c r="AP638" s="6">
        <f t="shared" si="398"/>
        <v>0</v>
      </c>
      <c r="AQ638" s="6">
        <f t="shared" si="398"/>
        <v>0</v>
      </c>
      <c r="AR638" s="6">
        <f t="shared" si="398"/>
        <v>0</v>
      </c>
      <c r="AS638" s="6">
        <f t="shared" si="398"/>
        <v>0</v>
      </c>
      <c r="AT638" s="6">
        <f t="shared" si="398"/>
        <v>0</v>
      </c>
      <c r="AU638" s="6">
        <f t="shared" si="398"/>
        <v>0</v>
      </c>
      <c r="AV638" s="6">
        <f t="shared" si="398"/>
        <v>0</v>
      </c>
      <c r="AW638" s="6">
        <f t="shared" si="398"/>
        <v>0</v>
      </c>
      <c r="AX638" s="6">
        <f t="shared" si="398"/>
        <v>0</v>
      </c>
      <c r="AY638" s="6">
        <f t="shared" si="398"/>
        <v>0</v>
      </c>
      <c r="AZ638" s="6">
        <f t="shared" si="398"/>
        <v>0</v>
      </c>
      <c r="BA638" s="6">
        <f t="shared" si="398"/>
        <v>0</v>
      </c>
      <c r="BB638" s="6">
        <f t="shared" si="398"/>
        <v>0</v>
      </c>
      <c r="BC638" s="6">
        <f t="shared" si="398"/>
        <v>212</v>
      </c>
      <c r="BD638" s="6">
        <f t="shared" si="398"/>
        <v>1490</v>
      </c>
      <c r="BE638" s="6">
        <f t="shared" si="398"/>
        <v>198</v>
      </c>
      <c r="BF638" s="6">
        <f t="shared" si="398"/>
        <v>1462</v>
      </c>
      <c r="BG638" s="6">
        <f t="shared" si="398"/>
        <v>255</v>
      </c>
      <c r="BH638" s="6">
        <f t="shared" si="398"/>
        <v>1400</v>
      </c>
      <c r="BI638" s="6">
        <f t="shared" si="398"/>
        <v>321</v>
      </c>
      <c r="BJ638" s="6">
        <f t="shared" si="398"/>
        <v>1344</v>
      </c>
      <c r="BK638" s="6">
        <f t="shared" si="398"/>
        <v>1349</v>
      </c>
      <c r="BL638" s="6">
        <f t="shared" si="398"/>
        <v>301</v>
      </c>
      <c r="BM638" s="6">
        <f t="shared" si="398"/>
        <v>208</v>
      </c>
      <c r="BN638" s="6">
        <f t="shared" si="398"/>
        <v>1428</v>
      </c>
      <c r="BO638" s="6">
        <f t="shared" si="398"/>
        <v>1391</v>
      </c>
      <c r="BP638" s="6">
        <f t="shared" si="398"/>
        <v>249</v>
      </c>
      <c r="BQ638" s="6">
        <f t="shared" si="398"/>
        <v>300</v>
      </c>
      <c r="BR638" s="6">
        <f t="shared" si="398"/>
        <v>1343</v>
      </c>
      <c r="BS638" s="6">
        <f t="shared" si="398"/>
        <v>699</v>
      </c>
      <c r="BT638" s="6">
        <f t="shared" si="398"/>
        <v>196</v>
      </c>
      <c r="BU638" s="6">
        <f t="shared" si="398"/>
        <v>1451</v>
      </c>
      <c r="BV638" s="6">
        <f t="shared" si="398"/>
        <v>924</v>
      </c>
      <c r="BW638" s="6">
        <f t="shared" si="398"/>
        <v>433</v>
      </c>
      <c r="BX638" s="6">
        <f t="shared" si="398"/>
        <v>941</v>
      </c>
      <c r="BY638" s="6">
        <f t="shared" si="398"/>
        <v>387</v>
      </c>
      <c r="BZ638" s="6">
        <f t="shared" si="398"/>
        <v>1093</v>
      </c>
      <c r="CA638" s="6">
        <f t="shared" ref="CA638:CP638" si="399">SUM(CA558:CA559)</f>
        <v>808</v>
      </c>
      <c r="CB638" s="6">
        <f t="shared" si="399"/>
        <v>244</v>
      </c>
      <c r="CC638" s="6">
        <f t="shared" si="399"/>
        <v>1154</v>
      </c>
      <c r="CD638" s="6">
        <f t="shared" si="399"/>
        <v>1046</v>
      </c>
      <c r="CE638" s="6">
        <f t="shared" si="399"/>
        <v>1088</v>
      </c>
      <c r="CF638" s="6">
        <f t="shared" si="399"/>
        <v>317</v>
      </c>
      <c r="CG638" s="6">
        <f t="shared" si="399"/>
        <v>356</v>
      </c>
      <c r="CH638" s="6">
        <f t="shared" si="399"/>
        <v>952</v>
      </c>
      <c r="CI638" s="6">
        <f t="shared" si="399"/>
        <v>889</v>
      </c>
      <c r="CJ638" s="6">
        <f t="shared" si="399"/>
        <v>486</v>
      </c>
      <c r="CK638" s="6">
        <f t="shared" si="399"/>
        <v>523</v>
      </c>
      <c r="CL638" s="6">
        <f t="shared" si="399"/>
        <v>883</v>
      </c>
      <c r="CM638" s="6">
        <f t="shared" si="399"/>
        <v>769</v>
      </c>
      <c r="CN638" s="6">
        <f t="shared" si="399"/>
        <v>841</v>
      </c>
      <c r="CO638" s="6">
        <f t="shared" si="399"/>
        <v>938</v>
      </c>
      <c r="CP638" s="6">
        <f t="shared" si="399"/>
        <v>493</v>
      </c>
      <c r="CQ638" s="6">
        <f t="shared" ref="CQ638:EM638" si="400">SUM(CQ558:CQ559)</f>
        <v>0</v>
      </c>
      <c r="CR638" s="6">
        <f t="shared" si="400"/>
        <v>0</v>
      </c>
      <c r="CS638" s="6">
        <f t="shared" si="400"/>
        <v>0</v>
      </c>
      <c r="CT638" s="6">
        <f t="shared" si="400"/>
        <v>0</v>
      </c>
      <c r="CU638" s="6">
        <f t="shared" si="400"/>
        <v>0</v>
      </c>
      <c r="CV638" s="6">
        <f t="shared" si="400"/>
        <v>0</v>
      </c>
      <c r="CW638" s="6">
        <f t="shared" si="400"/>
        <v>0</v>
      </c>
      <c r="CX638" s="6">
        <f t="shared" si="400"/>
        <v>0</v>
      </c>
      <c r="CY638" s="6">
        <f t="shared" si="400"/>
        <v>0</v>
      </c>
      <c r="CZ638" s="6">
        <f t="shared" si="400"/>
        <v>0</v>
      </c>
      <c r="DA638" s="6">
        <f t="shared" si="400"/>
        <v>0</v>
      </c>
      <c r="DB638" s="6">
        <f t="shared" si="400"/>
        <v>0</v>
      </c>
      <c r="DC638" s="6">
        <f t="shared" si="400"/>
        <v>0</v>
      </c>
      <c r="DD638" s="6">
        <f t="shared" si="400"/>
        <v>0</v>
      </c>
      <c r="DE638" s="6">
        <f t="shared" si="400"/>
        <v>0</v>
      </c>
      <c r="DF638" s="6">
        <f t="shared" si="400"/>
        <v>0</v>
      </c>
      <c r="DG638" s="6">
        <f t="shared" si="400"/>
        <v>0</v>
      </c>
      <c r="DH638" s="6">
        <f t="shared" si="400"/>
        <v>0</v>
      </c>
      <c r="DI638" s="6">
        <f t="shared" si="400"/>
        <v>0</v>
      </c>
      <c r="DJ638" s="6">
        <f t="shared" si="400"/>
        <v>0</v>
      </c>
      <c r="DK638" s="6">
        <f t="shared" si="400"/>
        <v>0</v>
      </c>
      <c r="DL638" s="6">
        <f t="shared" si="400"/>
        <v>0</v>
      </c>
      <c r="DM638" s="6">
        <f t="shared" si="400"/>
        <v>0</v>
      </c>
      <c r="DN638" s="6">
        <f t="shared" si="400"/>
        <v>0</v>
      </c>
      <c r="DO638" s="6">
        <f t="shared" si="400"/>
        <v>0</v>
      </c>
      <c r="DP638" s="6">
        <f t="shared" si="400"/>
        <v>0</v>
      </c>
      <c r="DQ638" s="6">
        <f t="shared" si="400"/>
        <v>0</v>
      </c>
      <c r="DR638" s="6">
        <f t="shared" si="400"/>
        <v>0</v>
      </c>
      <c r="DS638" s="6">
        <f t="shared" si="400"/>
        <v>0</v>
      </c>
      <c r="DT638" s="6">
        <f t="shared" si="400"/>
        <v>0</v>
      </c>
      <c r="DU638" s="6">
        <f t="shared" si="400"/>
        <v>0</v>
      </c>
      <c r="DV638" s="6">
        <f t="shared" si="400"/>
        <v>0</v>
      </c>
      <c r="DW638" s="6">
        <f t="shared" si="400"/>
        <v>0</v>
      </c>
      <c r="DX638" s="6">
        <f t="shared" si="400"/>
        <v>0</v>
      </c>
      <c r="DY638" s="6">
        <f t="shared" si="400"/>
        <v>0</v>
      </c>
      <c r="DZ638" s="6">
        <f t="shared" si="400"/>
        <v>0</v>
      </c>
      <c r="EA638" s="6">
        <f t="shared" si="400"/>
        <v>0</v>
      </c>
      <c r="EB638" s="6">
        <f t="shared" si="400"/>
        <v>0</v>
      </c>
      <c r="EC638" s="6">
        <f t="shared" si="400"/>
        <v>0</v>
      </c>
      <c r="ED638" s="6">
        <f t="shared" si="400"/>
        <v>0</v>
      </c>
      <c r="EE638" s="6">
        <f t="shared" si="400"/>
        <v>0</v>
      </c>
      <c r="EF638" s="6">
        <f t="shared" si="400"/>
        <v>0</v>
      </c>
      <c r="EG638" s="6">
        <f t="shared" si="400"/>
        <v>0</v>
      </c>
      <c r="EH638" s="6">
        <f t="shared" si="400"/>
        <v>0</v>
      </c>
      <c r="EI638" s="6">
        <f t="shared" si="400"/>
        <v>0</v>
      </c>
      <c r="EJ638" s="6">
        <f t="shared" si="400"/>
        <v>0</v>
      </c>
      <c r="EK638" s="6">
        <f t="shared" si="400"/>
        <v>0</v>
      </c>
      <c r="EL638" s="6">
        <f t="shared" si="400"/>
        <v>0</v>
      </c>
      <c r="EM638" s="6">
        <f t="shared" si="400"/>
        <v>0</v>
      </c>
      <c r="EN638" s="6">
        <f t="shared" ref="EN638:GR638" si="401">SUM(EN558:EN559)</f>
        <v>0</v>
      </c>
      <c r="EO638" s="6">
        <f t="shared" si="401"/>
        <v>0</v>
      </c>
      <c r="EP638" s="6">
        <f t="shared" si="401"/>
        <v>0</v>
      </c>
      <c r="EQ638" s="6">
        <f t="shared" si="401"/>
        <v>0</v>
      </c>
      <c r="ER638" s="6">
        <f t="shared" si="401"/>
        <v>0</v>
      </c>
      <c r="ES638" s="6">
        <f t="shared" si="401"/>
        <v>0</v>
      </c>
      <c r="ET638" s="6">
        <f t="shared" si="401"/>
        <v>0</v>
      </c>
      <c r="EU638" s="6">
        <f t="shared" si="401"/>
        <v>1026</v>
      </c>
      <c r="EV638" s="6">
        <f t="shared" si="401"/>
        <v>451</v>
      </c>
      <c r="EW638" s="6">
        <f t="shared" si="401"/>
        <v>0</v>
      </c>
      <c r="EX638" s="6">
        <f t="shared" si="401"/>
        <v>0</v>
      </c>
      <c r="EY638" s="6">
        <f t="shared" si="401"/>
        <v>0</v>
      </c>
      <c r="EZ638" s="6">
        <f t="shared" si="401"/>
        <v>0</v>
      </c>
      <c r="FA638" s="6">
        <f t="shared" si="401"/>
        <v>0</v>
      </c>
      <c r="FB638" s="6">
        <f t="shared" si="401"/>
        <v>0</v>
      </c>
      <c r="FC638" s="6">
        <f t="shared" si="401"/>
        <v>0</v>
      </c>
      <c r="FD638" s="6">
        <f t="shared" si="401"/>
        <v>0</v>
      </c>
      <c r="FE638" s="6">
        <f t="shared" si="401"/>
        <v>0</v>
      </c>
      <c r="FF638" s="6">
        <f t="shared" si="401"/>
        <v>0</v>
      </c>
      <c r="FG638" s="6">
        <f t="shared" si="401"/>
        <v>0</v>
      </c>
      <c r="FH638" s="6">
        <f t="shared" si="401"/>
        <v>0</v>
      </c>
      <c r="FI638" s="6">
        <f t="shared" si="401"/>
        <v>0</v>
      </c>
      <c r="FJ638" s="6">
        <f t="shared" si="401"/>
        <v>0</v>
      </c>
      <c r="FK638" s="6">
        <f t="shared" si="401"/>
        <v>0</v>
      </c>
      <c r="FL638" s="6">
        <f t="shared" si="401"/>
        <v>0</v>
      </c>
      <c r="FM638" s="6">
        <f t="shared" si="401"/>
        <v>0</v>
      </c>
      <c r="FN638" s="6">
        <f t="shared" si="401"/>
        <v>0</v>
      </c>
      <c r="FO638" s="6">
        <f t="shared" si="401"/>
        <v>0</v>
      </c>
      <c r="FP638" s="6">
        <f t="shared" si="401"/>
        <v>0</v>
      </c>
      <c r="FQ638" s="6">
        <f t="shared" si="401"/>
        <v>0</v>
      </c>
      <c r="FR638" s="6">
        <f t="shared" si="401"/>
        <v>0</v>
      </c>
      <c r="FS638" s="6">
        <f t="shared" si="401"/>
        <v>0</v>
      </c>
      <c r="FT638" s="6">
        <f t="shared" si="401"/>
        <v>0</v>
      </c>
      <c r="FU638" s="6">
        <f t="shared" si="401"/>
        <v>0</v>
      </c>
      <c r="FV638" s="6">
        <f t="shared" si="401"/>
        <v>0</v>
      </c>
      <c r="FW638" s="6">
        <f t="shared" si="401"/>
        <v>0</v>
      </c>
      <c r="FX638" s="6">
        <f t="shared" si="401"/>
        <v>0</v>
      </c>
      <c r="FY638" s="6">
        <f t="shared" si="401"/>
        <v>0</v>
      </c>
      <c r="FZ638" s="6">
        <f t="shared" si="401"/>
        <v>0</v>
      </c>
      <c r="GA638" s="6">
        <f t="shared" si="401"/>
        <v>0</v>
      </c>
      <c r="GB638" s="6">
        <f t="shared" si="401"/>
        <v>0</v>
      </c>
      <c r="GC638" s="6">
        <f t="shared" si="401"/>
        <v>0</v>
      </c>
      <c r="GD638" s="6">
        <f t="shared" si="401"/>
        <v>0</v>
      </c>
      <c r="GE638" s="6">
        <f t="shared" si="401"/>
        <v>0</v>
      </c>
      <c r="GF638" s="6">
        <f t="shared" si="401"/>
        <v>0</v>
      </c>
      <c r="GG638" s="6">
        <f t="shared" si="401"/>
        <v>0</v>
      </c>
      <c r="GH638" s="6">
        <f t="shared" si="401"/>
        <v>0</v>
      </c>
      <c r="GI638" s="6">
        <f t="shared" si="401"/>
        <v>0</v>
      </c>
      <c r="GJ638" s="6">
        <f t="shared" si="401"/>
        <v>0</v>
      </c>
      <c r="GK638" s="6">
        <f t="shared" si="401"/>
        <v>0</v>
      </c>
      <c r="GL638" s="6">
        <f t="shared" si="401"/>
        <v>0</v>
      </c>
      <c r="GM638" s="6">
        <f t="shared" si="401"/>
        <v>0</v>
      </c>
      <c r="GN638" s="6">
        <f t="shared" si="401"/>
        <v>0</v>
      </c>
      <c r="GO638" s="6">
        <f t="shared" si="401"/>
        <v>1177</v>
      </c>
      <c r="GP638" s="6">
        <f t="shared" si="401"/>
        <v>474</v>
      </c>
      <c r="GQ638" s="6">
        <f t="shared" si="401"/>
        <v>1281</v>
      </c>
      <c r="GR638" s="6">
        <f t="shared" si="401"/>
        <v>362</v>
      </c>
    </row>
    <row r="639" spans="1:200">
      <c r="A639" s="6"/>
      <c r="B639" s="16" t="s">
        <v>718</v>
      </c>
      <c r="C639" s="14">
        <f>SUM(C28)+SUM(C31:C32)+SUM(C50:C65)+SUM(C68:C69)+SUM(C71:C88)+SUM(C98:C150)+SUM(C152:C154)+SUM(C156:C188)+SUM(C199:C202)+SUM(C207:C231)+SUM(C247:C255)+SUM(C286:C300)+SUM(C343:C380)+SUM(C393:C417)+SUM(C419:C420)+SUM(C423:C465)+SUM(C469:C473)+SUM(C478:C489)+SUM(C492:C495)+C502+C510+C518+C525+C528+C530+SUM(C535:C536)+SUM(C541:C552)+SUM(C555:C557)</f>
        <v>358172</v>
      </c>
      <c r="D639" s="14">
        <f>SUM(D28)+SUM(D31:D32)+SUM(D50:D65)+SUM(D68:D69)+SUM(D71:D88)+SUM(D98:D150)+SUM(D152:D154)+SUM(D156:D188)+SUM(D199:D202)+SUM(D207:D231)+SUM(D247:D255)+SUM(D286:D300)+SUM(D343:D380)+SUM(D393:D417)+SUM(D419:D420)+SUM(D423:D465)+SUM(D469:D473)+SUM(D478:D489)+SUM(D492:D495)+D502+D510+D518+D525+D528+D530+SUM(D535:D536)+SUM(D541:D552)+SUM(D555:D557)</f>
        <v>249852</v>
      </c>
      <c r="E639" s="15">
        <f t="shared" si="351"/>
        <v>0.69757546653563096</v>
      </c>
      <c r="F639" s="66">
        <f t="shared" ref="F639:AB639" si="402">SUM(F28)+SUM(F31:F32)+SUM(F50:F65)+SUM(F68:F69)+SUM(F71:F88)+SUM(F98:F150)+SUM(F152:F154)+SUM(F156:F188)+SUM(F199:F202)+SUM(F207:F231)+SUM(F247:F255)+SUM(F286:F300)+SUM(F343:F380)+SUM(F393:F417)+SUM(F419:F420)+SUM(F423:F465)+SUM(F469:F473)+SUM(F478:F489)+SUM(F492:F495)+F502+F510+F518+F525+F528+F530+SUM(F535:F536)+SUM(F541:F552)+SUM(F555:F557)</f>
        <v>127258</v>
      </c>
      <c r="G639" s="6">
        <f t="shared" si="402"/>
        <v>761</v>
      </c>
      <c r="H639" s="6">
        <f t="shared" si="402"/>
        <v>6915</v>
      </c>
      <c r="I639" s="6">
        <f t="shared" si="402"/>
        <v>2217</v>
      </c>
      <c r="J639" s="59">
        <f t="shared" si="402"/>
        <v>107382</v>
      </c>
      <c r="K639" s="6">
        <f t="shared" si="402"/>
        <v>0</v>
      </c>
      <c r="L639" s="6">
        <f t="shared" si="402"/>
        <v>0</v>
      </c>
      <c r="M639" s="6">
        <f t="shared" si="402"/>
        <v>50</v>
      </c>
      <c r="N639" s="6">
        <f t="shared" si="402"/>
        <v>0</v>
      </c>
      <c r="O639" s="6">
        <f t="shared" si="402"/>
        <v>2</v>
      </c>
      <c r="P639" s="6">
        <f t="shared" si="402"/>
        <v>7</v>
      </c>
      <c r="Q639" s="6">
        <f t="shared" si="402"/>
        <v>0</v>
      </c>
      <c r="R639" s="6">
        <f t="shared" si="402"/>
        <v>1</v>
      </c>
      <c r="S639" s="6">
        <f t="shared" si="402"/>
        <v>3</v>
      </c>
      <c r="T639" s="6">
        <f t="shared" si="402"/>
        <v>2</v>
      </c>
      <c r="U639" s="6">
        <f t="shared" si="402"/>
        <v>0</v>
      </c>
      <c r="V639" s="6">
        <f t="shared" si="402"/>
        <v>23</v>
      </c>
      <c r="W639" s="6">
        <f t="shared" si="402"/>
        <v>643</v>
      </c>
      <c r="X639" s="6">
        <f t="shared" si="402"/>
        <v>0</v>
      </c>
      <c r="Y639" s="6">
        <f t="shared" si="402"/>
        <v>4</v>
      </c>
      <c r="Z639" s="6">
        <f t="shared" si="402"/>
        <v>1</v>
      </c>
      <c r="AA639" s="6">
        <f t="shared" si="402"/>
        <v>1</v>
      </c>
      <c r="AB639" s="6">
        <f t="shared" si="402"/>
        <v>1</v>
      </c>
      <c r="AC639" s="6">
        <f t="shared" ref="AC639:BZ639" si="403">SUM(AC28)+SUM(AC31:AC32)+SUM(AC50:AC65)+SUM(AC68:AC69)+SUM(AC71:AC88)+SUM(AC98:AC150)+SUM(AC152:AC154)+SUM(AC156:AC188)+SUM(AC199:AC202)+SUM(AC207:AC231)+SUM(AC247:AC255)+SUM(AC286:AC300)+SUM(AC343:AC380)+SUM(AC393:AC417)+SUM(AC419:AC420)+SUM(AC423:AC465)+SUM(AC469:AC473)+SUM(AC478:AC489)+SUM(AC492:AC495)+AC502+AC510+AC518+AC525+AC528+AC530+SUM(AC535:AC536)+SUM(AC541:AC552)+SUM(AC555:AC557)</f>
        <v>3092</v>
      </c>
      <c r="AD639" s="6">
        <f t="shared" si="403"/>
        <v>4144</v>
      </c>
      <c r="AE639" s="6">
        <f t="shared" si="403"/>
        <v>127066</v>
      </c>
      <c r="AF639" s="6">
        <f t="shared" si="403"/>
        <v>2605</v>
      </c>
      <c r="AG639" s="6">
        <f t="shared" si="403"/>
        <v>2</v>
      </c>
      <c r="AH639" s="6">
        <f t="shared" si="403"/>
        <v>103607</v>
      </c>
      <c r="AI639" s="6">
        <f t="shared" si="403"/>
        <v>125612</v>
      </c>
      <c r="AJ639" s="6">
        <f t="shared" si="403"/>
        <v>103</v>
      </c>
      <c r="AK639" s="6">
        <f t="shared" si="403"/>
        <v>9</v>
      </c>
      <c r="AL639" s="6">
        <f t="shared" si="403"/>
        <v>114497</v>
      </c>
      <c r="AM639" s="6">
        <f t="shared" si="403"/>
        <v>0</v>
      </c>
      <c r="AN639" s="6">
        <f t="shared" si="403"/>
        <v>0</v>
      </c>
      <c r="AO639" s="6">
        <f t="shared" si="403"/>
        <v>0</v>
      </c>
      <c r="AP639" s="6">
        <f t="shared" si="403"/>
        <v>51749</v>
      </c>
      <c r="AQ639" s="6">
        <f t="shared" si="403"/>
        <v>89232</v>
      </c>
      <c r="AR639" s="6">
        <f t="shared" si="403"/>
        <v>8134</v>
      </c>
      <c r="AS639" s="6">
        <f t="shared" si="403"/>
        <v>3674</v>
      </c>
      <c r="AT639" s="6">
        <f t="shared" si="403"/>
        <v>17242</v>
      </c>
      <c r="AU639" s="6">
        <f t="shared" si="403"/>
        <v>16932</v>
      </c>
      <c r="AV639" s="6">
        <f t="shared" si="403"/>
        <v>37138</v>
      </c>
      <c r="AW639" s="6">
        <f t="shared" si="403"/>
        <v>14975</v>
      </c>
      <c r="AX639" s="6">
        <f t="shared" si="403"/>
        <v>40718</v>
      </c>
      <c r="AY639" s="6">
        <f t="shared" si="403"/>
        <v>15244</v>
      </c>
      <c r="AZ639" s="6">
        <f t="shared" si="403"/>
        <v>4056</v>
      </c>
      <c r="BA639" s="6">
        <f t="shared" si="403"/>
        <v>31672</v>
      </c>
      <c r="BB639" s="6">
        <f t="shared" si="403"/>
        <v>8218</v>
      </c>
      <c r="BC639" s="6">
        <f t="shared" si="403"/>
        <v>1933</v>
      </c>
      <c r="BD639" s="6">
        <f t="shared" si="403"/>
        <v>16864</v>
      </c>
      <c r="BE639" s="6">
        <f t="shared" si="403"/>
        <v>93907</v>
      </c>
      <c r="BF639" s="6">
        <f t="shared" si="403"/>
        <v>138822</v>
      </c>
      <c r="BG639" s="6">
        <f t="shared" si="403"/>
        <v>115046</v>
      </c>
      <c r="BH639" s="6">
        <f t="shared" si="403"/>
        <v>119753</v>
      </c>
      <c r="BI639" s="6">
        <f t="shared" si="403"/>
        <v>124692</v>
      </c>
      <c r="BJ639" s="6">
        <f t="shared" si="403"/>
        <v>107608</v>
      </c>
      <c r="BK639" s="6">
        <f t="shared" si="403"/>
        <v>120827</v>
      </c>
      <c r="BL639" s="6">
        <f t="shared" si="403"/>
        <v>112328</v>
      </c>
      <c r="BM639" s="6">
        <f t="shared" si="403"/>
        <v>85456</v>
      </c>
      <c r="BN639" s="6">
        <f t="shared" si="403"/>
        <v>146753</v>
      </c>
      <c r="BO639" s="6">
        <f t="shared" si="403"/>
        <v>113597</v>
      </c>
      <c r="BP639" s="6">
        <f t="shared" si="403"/>
        <v>113811</v>
      </c>
      <c r="BQ639" s="6">
        <f t="shared" si="403"/>
        <v>123243</v>
      </c>
      <c r="BR639" s="6">
        <f t="shared" si="403"/>
        <v>105960</v>
      </c>
      <c r="BS639" s="6">
        <f t="shared" si="403"/>
        <v>143901</v>
      </c>
      <c r="BT639" s="6">
        <f t="shared" si="403"/>
        <v>83198</v>
      </c>
      <c r="BU639" s="6">
        <f t="shared" si="403"/>
        <v>144295</v>
      </c>
      <c r="BV639" s="6">
        <f t="shared" si="403"/>
        <v>147566</v>
      </c>
      <c r="BW639" s="6">
        <f t="shared" si="403"/>
        <v>100128</v>
      </c>
      <c r="BX639" s="6">
        <f t="shared" si="403"/>
        <v>88638</v>
      </c>
      <c r="BY639" s="6">
        <f t="shared" si="403"/>
        <v>116359</v>
      </c>
      <c r="BZ639" s="6">
        <f t="shared" si="403"/>
        <v>88643</v>
      </c>
      <c r="CA639" s="6">
        <f t="shared" ref="CA639:CP639" si="404">SUM(CA28)+SUM(CA31:CA32)+SUM(CA50:CA65)+SUM(CA68:CA69)+SUM(CA71:CA88)+SUM(CA98:CA150)+SUM(CA152:CA154)+SUM(CA156:CA188)+SUM(CA199:CA202)+SUM(CA207:CA231)+SUM(CA247:CA255)+SUM(CA286:CA300)+SUM(CA343:CA380)+SUM(CA393:CA417)+SUM(CA419:CA420)+SUM(CA423:CA465)+SUM(CA469:CA473)+SUM(CA478:CA489)+SUM(CA492:CA495)+CA502+CA510+CA518+CA525+CA528+CA530+SUM(CA535:CA536)+SUM(CA541:CA552)+SUM(CA555:CA557)</f>
        <v>133645</v>
      </c>
      <c r="CB639" s="6">
        <f t="shared" si="404"/>
        <v>91107</v>
      </c>
      <c r="CC639" s="6">
        <f t="shared" si="404"/>
        <v>94431</v>
      </c>
      <c r="CD639" s="6">
        <f t="shared" si="404"/>
        <v>137594</v>
      </c>
      <c r="CE639" s="6">
        <f t="shared" si="404"/>
        <v>90966</v>
      </c>
      <c r="CF639" s="6">
        <f t="shared" si="404"/>
        <v>102020</v>
      </c>
      <c r="CG639" s="6">
        <f t="shared" si="404"/>
        <v>95979</v>
      </c>
      <c r="CH639" s="6">
        <f t="shared" si="404"/>
        <v>82573</v>
      </c>
      <c r="CI639" s="6">
        <f t="shared" si="404"/>
        <v>65694</v>
      </c>
      <c r="CJ639" s="6">
        <f t="shared" si="404"/>
        <v>120262</v>
      </c>
      <c r="CK639" s="6">
        <f t="shared" si="404"/>
        <v>104094</v>
      </c>
      <c r="CL639" s="6">
        <f t="shared" si="404"/>
        <v>83331</v>
      </c>
      <c r="CM639" s="6">
        <f t="shared" si="404"/>
        <v>129154</v>
      </c>
      <c r="CN639" s="6">
        <f t="shared" si="404"/>
        <v>131866</v>
      </c>
      <c r="CO639" s="6">
        <f t="shared" si="404"/>
        <v>78496</v>
      </c>
      <c r="CP639" s="6">
        <f t="shared" si="404"/>
        <v>109160</v>
      </c>
      <c r="CQ639" s="6">
        <f t="shared" ref="CQ639:EM639" si="405">SUM(CQ28)+SUM(CQ31:CQ32)+SUM(CQ50:CQ65)+SUM(CQ68:CQ69)+SUM(CQ71:CQ88)+SUM(CQ98:CQ150)+SUM(CQ152:CQ154)+SUM(CQ156:CQ188)+SUM(CQ199:CQ202)+SUM(CQ207:CQ231)+SUM(CQ247:CQ255)+SUM(CQ286:CQ300)+SUM(CQ343:CQ380)+SUM(CQ393:CQ417)+SUM(CQ419:CQ420)+SUM(CQ423:CQ465)+SUM(CQ469:CQ473)+SUM(CQ478:CQ489)+SUM(CQ492:CQ495)+CQ502+CQ510+CQ518+CQ525+CQ528+CQ530+SUM(CQ535:CQ536)+SUM(CQ541:CQ552)+SUM(CQ555:CQ557)</f>
        <v>0</v>
      </c>
      <c r="CR639" s="6">
        <f t="shared" si="405"/>
        <v>0</v>
      </c>
      <c r="CS639" s="6">
        <f t="shared" si="405"/>
        <v>339</v>
      </c>
      <c r="CT639" s="6">
        <f t="shared" si="405"/>
        <v>470</v>
      </c>
      <c r="CU639" s="6">
        <f t="shared" si="405"/>
        <v>0</v>
      </c>
      <c r="CV639" s="6">
        <f t="shared" si="405"/>
        <v>0</v>
      </c>
      <c r="CW639" s="6">
        <f t="shared" si="405"/>
        <v>0</v>
      </c>
      <c r="CX639" s="6">
        <f t="shared" si="405"/>
        <v>0</v>
      </c>
      <c r="CY639" s="6">
        <f t="shared" si="405"/>
        <v>0</v>
      </c>
      <c r="CZ639" s="6">
        <f t="shared" si="405"/>
        <v>0</v>
      </c>
      <c r="DA639" s="6">
        <f t="shared" si="405"/>
        <v>0</v>
      </c>
      <c r="DB639" s="6">
        <f t="shared" si="405"/>
        <v>0</v>
      </c>
      <c r="DC639" s="6">
        <f t="shared" si="405"/>
        <v>2620</v>
      </c>
      <c r="DD639" s="6">
        <f t="shared" si="405"/>
        <v>1309</v>
      </c>
      <c r="DE639" s="6">
        <f t="shared" si="405"/>
        <v>0</v>
      </c>
      <c r="DF639" s="6">
        <f t="shared" si="405"/>
        <v>0</v>
      </c>
      <c r="DG639" s="6">
        <f t="shared" si="405"/>
        <v>191</v>
      </c>
      <c r="DH639" s="6">
        <f t="shared" si="405"/>
        <v>107</v>
      </c>
      <c r="DI639" s="6">
        <f t="shared" si="405"/>
        <v>186</v>
      </c>
      <c r="DJ639" s="6">
        <f t="shared" si="405"/>
        <v>110</v>
      </c>
      <c r="DK639" s="6">
        <f t="shared" si="405"/>
        <v>968</v>
      </c>
      <c r="DL639" s="6">
        <f t="shared" si="405"/>
        <v>485</v>
      </c>
      <c r="DM639" s="6">
        <f t="shared" si="405"/>
        <v>1136</v>
      </c>
      <c r="DN639" s="6">
        <f t="shared" si="405"/>
        <v>612</v>
      </c>
      <c r="DO639" s="6">
        <f t="shared" si="405"/>
        <v>1596</v>
      </c>
      <c r="DP639" s="6">
        <f t="shared" si="405"/>
        <v>192</v>
      </c>
      <c r="DQ639" s="6">
        <f t="shared" si="405"/>
        <v>1407</v>
      </c>
      <c r="DR639" s="6">
        <f t="shared" si="405"/>
        <v>329</v>
      </c>
      <c r="DS639" s="6">
        <f t="shared" si="405"/>
        <v>1409</v>
      </c>
      <c r="DT639" s="6">
        <f t="shared" si="405"/>
        <v>324</v>
      </c>
      <c r="DU639" s="6">
        <f t="shared" si="405"/>
        <v>1398</v>
      </c>
      <c r="DV639" s="6">
        <f t="shared" si="405"/>
        <v>300</v>
      </c>
      <c r="DW639" s="6">
        <f t="shared" si="405"/>
        <v>947</v>
      </c>
      <c r="DX639" s="6">
        <f t="shared" si="405"/>
        <v>791</v>
      </c>
      <c r="DY639" s="6">
        <f t="shared" si="405"/>
        <v>0</v>
      </c>
      <c r="DZ639" s="6">
        <f t="shared" si="405"/>
        <v>0</v>
      </c>
      <c r="EA639" s="6">
        <f t="shared" si="405"/>
        <v>1090</v>
      </c>
      <c r="EB639" s="6">
        <f t="shared" si="405"/>
        <v>461</v>
      </c>
      <c r="EC639" s="6">
        <f t="shared" si="405"/>
        <v>0</v>
      </c>
      <c r="ED639" s="6">
        <f t="shared" si="405"/>
        <v>0</v>
      </c>
      <c r="EE639" s="6">
        <f t="shared" si="405"/>
        <v>0</v>
      </c>
      <c r="EF639" s="6">
        <f t="shared" si="405"/>
        <v>0</v>
      </c>
      <c r="EG639" s="6">
        <f t="shared" si="405"/>
        <v>0</v>
      </c>
      <c r="EH639" s="6">
        <f t="shared" si="405"/>
        <v>0</v>
      </c>
      <c r="EI639" s="6">
        <f t="shared" si="405"/>
        <v>0</v>
      </c>
      <c r="EJ639" s="6">
        <f t="shared" si="405"/>
        <v>0</v>
      </c>
      <c r="EK639" s="6">
        <f t="shared" si="405"/>
        <v>0</v>
      </c>
      <c r="EL639" s="6">
        <f t="shared" si="405"/>
        <v>0</v>
      </c>
      <c r="EM639" s="6">
        <f t="shared" si="405"/>
        <v>0</v>
      </c>
      <c r="EN639" s="6">
        <f t="shared" ref="EN639:GR639" si="406">SUM(EN28)+SUM(EN31:EN32)+SUM(EN50:EN65)+SUM(EN68:EN69)+SUM(EN71:EN88)+SUM(EN98:EN150)+SUM(EN152:EN154)+SUM(EN156:EN188)+SUM(EN199:EN202)+SUM(EN207:EN231)+SUM(EN247:EN255)+SUM(EN286:EN300)+SUM(EN343:EN380)+SUM(EN393:EN417)+SUM(EN419:EN420)+SUM(EN423:EN465)+SUM(EN469:EN473)+SUM(EN478:EN489)+SUM(EN492:EN495)+EN502+EN510+EN518+EN525+EN528+EN530+SUM(EN535:EN536)+SUM(EN541:EN552)+SUM(EN555:EN557)</f>
        <v>0</v>
      </c>
      <c r="EO639" s="6">
        <f t="shared" si="406"/>
        <v>0</v>
      </c>
      <c r="EP639" s="6">
        <f t="shared" si="406"/>
        <v>0</v>
      </c>
      <c r="EQ639" s="6">
        <f t="shared" si="406"/>
        <v>439</v>
      </c>
      <c r="ER639" s="6">
        <f t="shared" si="406"/>
        <v>161</v>
      </c>
      <c r="ES639" s="6">
        <f t="shared" si="406"/>
        <v>0</v>
      </c>
      <c r="ET639" s="6">
        <f t="shared" si="406"/>
        <v>0</v>
      </c>
      <c r="EU639" s="6">
        <f t="shared" si="406"/>
        <v>0</v>
      </c>
      <c r="EV639" s="6">
        <f t="shared" si="406"/>
        <v>0</v>
      </c>
      <c r="EW639" s="6">
        <f t="shared" si="406"/>
        <v>0</v>
      </c>
      <c r="EX639" s="6">
        <f t="shared" si="406"/>
        <v>0</v>
      </c>
      <c r="EY639" s="6">
        <f t="shared" si="406"/>
        <v>0</v>
      </c>
      <c r="EZ639" s="6">
        <f t="shared" si="406"/>
        <v>0</v>
      </c>
      <c r="FA639" s="6">
        <f t="shared" si="406"/>
        <v>0</v>
      </c>
      <c r="FB639" s="6">
        <f t="shared" si="406"/>
        <v>0</v>
      </c>
      <c r="FC639" s="6">
        <f t="shared" si="406"/>
        <v>8405</v>
      </c>
      <c r="FD639" s="6">
        <f t="shared" si="406"/>
        <v>6456</v>
      </c>
      <c r="FE639" s="6">
        <f t="shared" si="406"/>
        <v>25360</v>
      </c>
      <c r="FF639" s="6">
        <f t="shared" si="406"/>
        <v>8281</v>
      </c>
      <c r="FG639" s="6">
        <f t="shared" si="406"/>
        <v>27770</v>
      </c>
      <c r="FH639" s="6">
        <f t="shared" si="406"/>
        <v>6063</v>
      </c>
      <c r="FI639" s="6">
        <f t="shared" si="406"/>
        <v>5682</v>
      </c>
      <c r="FJ639" s="6">
        <f t="shared" si="406"/>
        <v>2867</v>
      </c>
      <c r="FK639" s="6">
        <f t="shared" si="406"/>
        <v>0</v>
      </c>
      <c r="FL639" s="6">
        <f t="shared" si="406"/>
        <v>0</v>
      </c>
      <c r="FM639" s="6">
        <f t="shared" si="406"/>
        <v>53</v>
      </c>
      <c r="FN639" s="6">
        <f t="shared" si="406"/>
        <v>144</v>
      </c>
      <c r="FO639" s="6">
        <f t="shared" si="406"/>
        <v>63</v>
      </c>
      <c r="FP639" s="6">
        <f t="shared" si="406"/>
        <v>132</v>
      </c>
      <c r="FQ639" s="6">
        <f t="shared" si="406"/>
        <v>53</v>
      </c>
      <c r="FR639" s="6">
        <f t="shared" si="406"/>
        <v>143</v>
      </c>
      <c r="FS639" s="6">
        <f t="shared" si="406"/>
        <v>62</v>
      </c>
      <c r="FT639" s="6">
        <f t="shared" si="406"/>
        <v>137</v>
      </c>
      <c r="FU639" s="6">
        <f t="shared" si="406"/>
        <v>64</v>
      </c>
      <c r="FV639" s="6">
        <f t="shared" si="406"/>
        <v>133</v>
      </c>
      <c r="FW639" s="6">
        <f t="shared" si="406"/>
        <v>76</v>
      </c>
      <c r="FX639" s="6">
        <f t="shared" si="406"/>
        <v>123</v>
      </c>
      <c r="FY639" s="6">
        <f t="shared" si="406"/>
        <v>60007</v>
      </c>
      <c r="FZ639" s="6">
        <f t="shared" si="406"/>
        <v>32550</v>
      </c>
      <c r="GA639" s="6">
        <f t="shared" si="406"/>
        <v>0</v>
      </c>
      <c r="GB639" s="6">
        <f t="shared" si="406"/>
        <v>0</v>
      </c>
      <c r="GC639" s="6">
        <f t="shared" si="406"/>
        <v>13</v>
      </c>
      <c r="GD639" s="6">
        <f t="shared" si="406"/>
        <v>26</v>
      </c>
      <c r="GE639" s="6">
        <f t="shared" si="406"/>
        <v>0</v>
      </c>
      <c r="GF639" s="6">
        <f t="shared" si="406"/>
        <v>0</v>
      </c>
      <c r="GG639" s="6">
        <f t="shared" si="406"/>
        <v>1567</v>
      </c>
      <c r="GH639" s="6">
        <f t="shared" si="406"/>
        <v>1140</v>
      </c>
      <c r="GI639" s="6">
        <f t="shared" si="406"/>
        <v>7472</v>
      </c>
      <c r="GJ639" s="6">
        <f t="shared" si="406"/>
        <v>4463</v>
      </c>
      <c r="GK639" s="6">
        <f t="shared" si="406"/>
        <v>5200</v>
      </c>
      <c r="GL639" s="6">
        <f t="shared" si="406"/>
        <v>2997</v>
      </c>
      <c r="GM639" s="6">
        <f t="shared" si="406"/>
        <v>0</v>
      </c>
      <c r="GN639" s="6">
        <f t="shared" si="406"/>
        <v>0</v>
      </c>
      <c r="GO639" s="6">
        <f t="shared" si="406"/>
        <v>160636</v>
      </c>
      <c r="GP639" s="6">
        <f t="shared" si="406"/>
        <v>74507</v>
      </c>
      <c r="GQ639" s="6">
        <f t="shared" si="406"/>
        <v>165613</v>
      </c>
      <c r="GR639" s="6">
        <f t="shared" si="406"/>
        <v>69394</v>
      </c>
    </row>
    <row r="640" spans="1:200">
      <c r="A640" s="6"/>
      <c r="B640" s="16" t="s">
        <v>117</v>
      </c>
      <c r="C640" s="14">
        <f>SUM(C4:C27)+SUM(C29:C30)+SUM(C33:C49)+SUM(C66:C67)+C70+SUM(C89:C97)+C151+C155+SUM(C189:C198)+SUM(C203:C206)+SUM(C232:C246)+SUM(C256:C285)+SUM(C301:C342)+SUM(C381:C392)+C418+SUM(C421:C422)+SUM(C466:C468)+SUM(C474:C477)+SUM(C490:C491)+SUM(C496:C501)+SUM(C503:C509)+SUM(C511:C517)+SUM(C519:C524)+SUM(C526:C527)+C529+SUM(C531:C534)+SUM(C537:C540)+SUM(C553:C554)+SUM(C558:C559)</f>
        <v>222182</v>
      </c>
      <c r="D640" s="14">
        <f>SUM(D4:D27)+SUM(D29:D30)+SUM(D33:D49)+SUM(D66:D67)+D70+SUM(D89:D97)+D151+D155+SUM(D189:D198)+SUM(D203:D206)+SUM(D232:D246)+SUM(D256:D285)+SUM(D301:D342)+SUM(D381:D392)+D418+SUM(D421:D422)+SUM(D466:D468)+SUM(D474:D477)+SUM(D490:D491)+SUM(D496:D501)+SUM(D503:D509)+SUM(D511:D517)+SUM(D519:D524)+SUM(D526:D527)+D529+SUM(D531:D534)+SUM(D537:D540)+SUM(D553:D554)+SUM(D558:D559)</f>
        <v>167604</v>
      </c>
      <c r="E640" s="15">
        <f t="shared" si="351"/>
        <v>0.75435453817140907</v>
      </c>
      <c r="F640" s="66">
        <f>SUM(F4:F27)+SUM(F29:F30)+SUM(F33:F49)+SUM(F66:F67)+F70+SUM(F89:F97)+F151+F155+SUM(F189:F198)+SUM(F203:F206)+SUM(F232:F246)+SUM(F256:F285)+SUM(F301:F342)+SUM(F381:F392)+F418+SUM(F421:F422)+SUM(F466:F468)+SUM(F474:F477)+SUM(F490:F491)+SUM(F496:F501)+SUM(F503:F509)+SUM(F511:F517)+SUM(F519:F524)+SUM(F526:F527)+F529+SUM(F531:F534)+SUM(F537:F540)+SUM(F553:F554)+SUM(F558:F559)</f>
        <v>88461</v>
      </c>
      <c r="G640" s="6">
        <f>SUM(G4:G27)+SUM(G29:G30)+SUM(G33:G49)+SUM(G66:G67)+G70+SUM(G89:G97)+G151+G155+SUM(G189:G198)+SUM(G203:G206)+SUM(G232:G246)+SUM(G256:G285)+SUM(G301:G342)+SUM(G381:G392)+G418+SUM(G421:G422)+SUM(G466:G468)+SUM(G474:G477)+SUM(G490:G491)+SUM(G496:G501)+SUM(G503:G509)+SUM(G511:G517)+SUM(G519:G524)+SUM(G526:G527)+G529+SUM(G531:G534)+SUM(G537:G540)+SUM(G553:G554)+SUM(G558:G559)</f>
        <v>450</v>
      </c>
      <c r="H640" s="6">
        <f>SUM(H4:H27)+SUM(H29:H30)+SUM(H33:H49)+SUM(H66:H67)+H70+SUM(H89:H97)+H151+H155+SUM(H189:H198)+SUM(H203:H206)+SUM(H232:H246)+SUM(H256:H285)+SUM(H301:H342)+SUM(H381:H392)+H418+SUM(H421:H422)+SUM(H466:H468)+SUM(H474:H477)+SUM(H490:H491)+SUM(H496:H501)+SUM(H503:H509)+SUM(H511:H517)+SUM(H519:H524)+SUM(H526:H527)+H529+SUM(H531:H534)+SUM(H537:H540)+SUM(H553:H554)+SUM(H558:H559)</f>
        <v>6285</v>
      </c>
      <c r="I640" s="6">
        <f>SUM(I4:I27)+SUM(I29:I30)+SUM(I33:I49)+SUM(I66:I67)+I70+SUM(I89:I97)+I151+I155+SUM(I189:I198)+SUM(I203:I206)+SUM(I232:I246)+SUM(I256:I285)+SUM(I301:I342)+SUM(I381:I392)+I418+SUM(I421:I422)+SUM(I466:I468)+SUM(I474:I477)+SUM(I490:I491)+SUM(I496:I501)+SUM(I503:I509)+SUM(I511:I517)+SUM(I519:I524)+SUM(I526:I527)+I529+SUM(I531:I534)+SUM(I537:I540)+SUM(I553:I554)+SUM(I558:I559)</f>
        <v>1506</v>
      </c>
      <c r="J640" s="59">
        <f>SUM(J4:J27)+SUM(J29:J30)+SUM(J33:J49)+SUM(J66:J67)+J70+SUM(J89:J97)+J151+J155+SUM(J189:J198)+SUM(J203:J206)+SUM(J232:J246)+SUM(J256:J285)+SUM(J301:J342)+SUM(J381:J392)+J418+SUM(J421:J422)+SUM(J466:J468)+SUM(J474:J477)+SUM(J490:J491)+SUM(J496:J501)+SUM(J503:J509)+SUM(J511:J517)+SUM(J519:J524)+SUM(J526:J527)+J529+SUM(J531:J534)+SUM(J537:J540)+SUM(J553:J554)+SUM(J558:J559)</f>
        <v>66283</v>
      </c>
      <c r="K640" s="6">
        <f t="shared" ref="K640" si="407">SUM(K4:K27)+SUM(K29:K30)+SUM(K33:K49)+SUM(K66:K67)+K70+SUM(K89:K97)+K151+K155+SUM(K189:K198)+SUM(K203:K206)+SUM(K232:K246)+SUM(K256:K285)+SUM(K301:K342)+SUM(K381:K392)+K418+SUM(K421:K422)+SUM(K466:K468)+SUM(K474:K477)+SUM(K490:K491)+SUM(K496:K501)+SUM(K503:K509)+SUM(K511:K517)+SUM(K519:K524)+SUM(K526:K527)+K529+SUM(K531:K534)+SUM(K537:K540)+SUM(K553:K554)+SUM(K558:K559)</f>
        <v>0</v>
      </c>
      <c r="L640" s="6">
        <f t="shared" ref="L640:AB640" si="408">SUM(L4:L27)+SUM(L29:L30)+SUM(L33:L49)+SUM(L66:L67)+L70+SUM(L89:L97)+L151+L155+SUM(L189:L198)+SUM(L203:L206)+SUM(L232:L246)+SUM(L256:L285)+SUM(L301:L342)+SUM(L381:L392)+L418+SUM(L421:L422)+SUM(L466:L468)+SUM(L474:L477)+SUM(L490:L491)+SUM(L496:L501)+SUM(L503:L509)+SUM(L511:L517)+SUM(L519:L524)+SUM(L526:L527)+L529+SUM(L531:L534)+SUM(L537:L540)+SUM(L553:L554)+SUM(L558:L559)</f>
        <v>0</v>
      </c>
      <c r="M640" s="6">
        <f t="shared" si="408"/>
        <v>48</v>
      </c>
      <c r="N640" s="6">
        <f t="shared" si="408"/>
        <v>0</v>
      </c>
      <c r="O640" s="6">
        <f t="shared" si="408"/>
        <v>4</v>
      </c>
      <c r="P640" s="6">
        <f t="shared" si="408"/>
        <v>11</v>
      </c>
      <c r="Q640" s="6">
        <f t="shared" si="408"/>
        <v>0</v>
      </c>
      <c r="R640" s="6">
        <f t="shared" si="408"/>
        <v>1</v>
      </c>
      <c r="S640" s="6">
        <f t="shared" si="408"/>
        <v>7</v>
      </c>
      <c r="T640" s="6">
        <f t="shared" si="408"/>
        <v>4</v>
      </c>
      <c r="U640" s="6">
        <f t="shared" si="408"/>
        <v>0</v>
      </c>
      <c r="V640" s="6">
        <f t="shared" si="408"/>
        <v>41</v>
      </c>
      <c r="W640" s="6">
        <f t="shared" si="408"/>
        <v>734</v>
      </c>
      <c r="X640" s="6">
        <f t="shared" si="408"/>
        <v>1</v>
      </c>
      <c r="Y640" s="6">
        <f t="shared" si="408"/>
        <v>1</v>
      </c>
      <c r="Z640" s="6">
        <f t="shared" si="408"/>
        <v>1</v>
      </c>
      <c r="AA640" s="6">
        <f t="shared" si="408"/>
        <v>0</v>
      </c>
      <c r="AB640" s="6">
        <f t="shared" si="408"/>
        <v>0</v>
      </c>
      <c r="AC640" s="6">
        <f t="shared" ref="AC640:BZ640" si="409">SUM(AC4:AC27)+SUM(AC29:AC30)+SUM(AC33:AC49)+SUM(AC66:AC67)+AC70+SUM(AC89:AC97)+AC151+AC155+SUM(AC189:AC198)+SUM(AC203:AC206)+SUM(AC232:AC246)+SUM(AC256:AC285)+SUM(AC301:AC342)+SUM(AC381:AC392)+AC418+SUM(AC421:AC422)+SUM(AC466:AC468)+SUM(AC474:AC477)+SUM(AC490:AC491)+SUM(AC496:AC501)+SUM(AC503:AC509)+SUM(AC511:AC517)+SUM(AC519:AC524)+SUM(AC526:AC527)+AC529+SUM(AC531:AC534)+SUM(AC537:AC540)+SUM(AC553:AC554)+SUM(AC558:AC559)</f>
        <v>1661</v>
      </c>
      <c r="AD640" s="6">
        <f t="shared" si="409"/>
        <v>2703</v>
      </c>
      <c r="AE640" s="6">
        <f t="shared" si="409"/>
        <v>89232</v>
      </c>
      <c r="AF640" s="6">
        <f t="shared" si="409"/>
        <v>1532</v>
      </c>
      <c r="AG640" s="6">
        <f t="shared" si="409"/>
        <v>6</v>
      </c>
      <c r="AH640" s="6">
        <f t="shared" si="409"/>
        <v>66820</v>
      </c>
      <c r="AI640" s="6">
        <f t="shared" si="409"/>
        <v>0</v>
      </c>
      <c r="AJ640" s="6">
        <f t="shared" si="409"/>
        <v>0</v>
      </c>
      <c r="AK640" s="6">
        <f t="shared" si="409"/>
        <v>0</v>
      </c>
      <c r="AL640" s="6">
        <f t="shared" si="409"/>
        <v>0</v>
      </c>
      <c r="AM640" s="6">
        <f t="shared" si="409"/>
        <v>5848</v>
      </c>
      <c r="AN640" s="6">
        <f t="shared" si="409"/>
        <v>65224</v>
      </c>
      <c r="AO640" s="6">
        <f t="shared" si="409"/>
        <v>85450</v>
      </c>
      <c r="AP640" s="6">
        <f t="shared" si="409"/>
        <v>10944</v>
      </c>
      <c r="AQ640" s="6">
        <f t="shared" si="409"/>
        <v>16983</v>
      </c>
      <c r="AR640" s="6">
        <f t="shared" si="409"/>
        <v>32422</v>
      </c>
      <c r="AS640" s="6">
        <f t="shared" si="409"/>
        <v>18773</v>
      </c>
      <c r="AT640" s="6">
        <f t="shared" si="409"/>
        <v>18856</v>
      </c>
      <c r="AU640" s="6">
        <f t="shared" si="409"/>
        <v>9876</v>
      </c>
      <c r="AV640" s="6">
        <f t="shared" si="409"/>
        <v>0</v>
      </c>
      <c r="AW640" s="6">
        <f t="shared" si="409"/>
        <v>0</v>
      </c>
      <c r="AX640" s="6">
        <f t="shared" si="409"/>
        <v>0</v>
      </c>
      <c r="AY640" s="6">
        <f t="shared" si="409"/>
        <v>19337</v>
      </c>
      <c r="AZ640" s="6">
        <f t="shared" si="409"/>
        <v>12175</v>
      </c>
      <c r="BA640" s="6">
        <f t="shared" si="409"/>
        <v>5923</v>
      </c>
      <c r="BB640" s="6">
        <f t="shared" si="409"/>
        <v>3090</v>
      </c>
      <c r="BC640" s="6">
        <f t="shared" si="409"/>
        <v>12463</v>
      </c>
      <c r="BD640" s="6">
        <f t="shared" si="409"/>
        <v>23141</v>
      </c>
      <c r="BE640" s="6">
        <f t="shared" si="409"/>
        <v>67693</v>
      </c>
      <c r="BF640" s="6">
        <f t="shared" si="409"/>
        <v>88419</v>
      </c>
      <c r="BG640" s="6">
        <f t="shared" si="409"/>
        <v>78344</v>
      </c>
      <c r="BH640" s="6">
        <f t="shared" si="409"/>
        <v>78379</v>
      </c>
      <c r="BI640" s="6">
        <f t="shared" si="409"/>
        <v>86509</v>
      </c>
      <c r="BJ640" s="6">
        <f t="shared" si="409"/>
        <v>68913</v>
      </c>
      <c r="BK640" s="6">
        <f t="shared" si="409"/>
        <v>82715</v>
      </c>
      <c r="BL640" s="6">
        <f t="shared" si="409"/>
        <v>72541</v>
      </c>
      <c r="BM640" s="6">
        <f t="shared" si="409"/>
        <v>62166</v>
      </c>
      <c r="BN640" s="6">
        <f t="shared" si="409"/>
        <v>91417</v>
      </c>
      <c r="BO640" s="6">
        <f t="shared" si="409"/>
        <v>74499</v>
      </c>
      <c r="BP640" s="6">
        <f t="shared" si="409"/>
        <v>76437</v>
      </c>
      <c r="BQ640" s="6">
        <f t="shared" si="409"/>
        <v>85263</v>
      </c>
      <c r="BR640" s="6">
        <f t="shared" si="409"/>
        <v>66712</v>
      </c>
      <c r="BS640" s="6">
        <f t="shared" si="409"/>
        <v>99157</v>
      </c>
      <c r="BT640" s="6">
        <f t="shared" si="409"/>
        <v>57231</v>
      </c>
      <c r="BU640" s="6">
        <f t="shared" si="409"/>
        <v>94490</v>
      </c>
      <c r="BV640" s="6">
        <f t="shared" si="409"/>
        <v>101133</v>
      </c>
      <c r="BW640" s="6">
        <f t="shared" si="409"/>
        <v>67857</v>
      </c>
      <c r="BX640" s="6">
        <f t="shared" si="409"/>
        <v>57026</v>
      </c>
      <c r="BY640" s="6">
        <f t="shared" si="409"/>
        <v>74871</v>
      </c>
      <c r="BZ640" s="6">
        <f t="shared" si="409"/>
        <v>60798</v>
      </c>
      <c r="CA640" s="6">
        <f t="shared" ref="CA640:CP640" si="410">SUM(CA4:CA27)+SUM(CA29:CA30)+SUM(CA33:CA49)+SUM(CA66:CA67)+CA70+SUM(CA89:CA97)+CA151+CA155+SUM(CA189:CA198)+SUM(CA203:CA206)+SUM(CA232:CA246)+SUM(CA256:CA285)+SUM(CA301:CA342)+SUM(CA381:CA392)+CA418+SUM(CA421:CA422)+SUM(CA466:CA468)+SUM(CA474:CA477)+SUM(CA490:CA491)+SUM(CA496:CA501)+SUM(CA503:CA509)+SUM(CA511:CA517)+SUM(CA519:CA524)+SUM(CA526:CA527)+CA529+SUM(CA531:CA534)+SUM(CA537:CA540)+SUM(CA553:CA554)+SUM(CA558:CA559)</f>
        <v>90671</v>
      </c>
      <c r="CB640" s="6">
        <f t="shared" si="410"/>
        <v>62012</v>
      </c>
      <c r="CC640" s="6">
        <f t="shared" si="410"/>
        <v>62256</v>
      </c>
      <c r="CD640" s="6">
        <f t="shared" si="410"/>
        <v>92085</v>
      </c>
      <c r="CE640" s="6">
        <f t="shared" si="410"/>
        <v>62915</v>
      </c>
      <c r="CF640" s="6">
        <f t="shared" si="410"/>
        <v>62489</v>
      </c>
      <c r="CG640" s="6">
        <f t="shared" si="410"/>
        <v>66596</v>
      </c>
      <c r="CH640" s="6">
        <f t="shared" si="410"/>
        <v>52901</v>
      </c>
      <c r="CI640" s="6">
        <f t="shared" si="410"/>
        <v>41330</v>
      </c>
      <c r="CJ640" s="6">
        <f t="shared" si="410"/>
        <v>81429</v>
      </c>
      <c r="CK640" s="6">
        <f t="shared" si="410"/>
        <v>66482</v>
      </c>
      <c r="CL640" s="6">
        <f t="shared" si="410"/>
        <v>54717</v>
      </c>
      <c r="CM640" s="6">
        <f t="shared" si="410"/>
        <v>86069</v>
      </c>
      <c r="CN640" s="6">
        <f t="shared" si="410"/>
        <v>88432</v>
      </c>
      <c r="CO640" s="6">
        <f t="shared" si="410"/>
        <v>50493</v>
      </c>
      <c r="CP640" s="6">
        <f t="shared" si="410"/>
        <v>71763</v>
      </c>
      <c r="CQ640" s="6">
        <f t="shared" ref="CQ640:EM640" si="411">SUM(CQ4:CQ27)+SUM(CQ29:CQ30)+SUM(CQ33:CQ49)+SUM(CQ66:CQ67)+CQ70+SUM(CQ89:CQ97)+CQ151+CQ155+SUM(CQ189:CQ198)+SUM(CQ203:CQ206)+SUM(CQ232:CQ246)+SUM(CQ256:CQ285)+SUM(CQ301:CQ342)+SUM(CQ381:CQ392)+CQ418+SUM(CQ421:CQ422)+SUM(CQ466:CQ468)+SUM(CQ474:CQ477)+SUM(CQ490:CQ491)+SUM(CQ496:CQ501)+SUM(CQ503:CQ509)+SUM(CQ511:CQ517)+SUM(CQ519:CQ524)+SUM(CQ526:CQ527)+CQ529+SUM(CQ531:CQ534)+SUM(CQ537:CQ540)+SUM(CQ553:CQ554)+SUM(CQ558:CQ559)</f>
        <v>4032</v>
      </c>
      <c r="CR640" s="6">
        <f t="shared" si="411"/>
        <v>1834</v>
      </c>
      <c r="CS640" s="6">
        <f t="shared" si="411"/>
        <v>0</v>
      </c>
      <c r="CT640" s="6">
        <f t="shared" si="411"/>
        <v>0</v>
      </c>
      <c r="CU640" s="6">
        <f t="shared" si="411"/>
        <v>1764</v>
      </c>
      <c r="CV640" s="6">
        <f t="shared" si="411"/>
        <v>1053</v>
      </c>
      <c r="CW640" s="6">
        <f t="shared" si="411"/>
        <v>2426</v>
      </c>
      <c r="CX640" s="6">
        <f t="shared" si="411"/>
        <v>1657</v>
      </c>
      <c r="CY640" s="6">
        <f t="shared" si="411"/>
        <v>3628</v>
      </c>
      <c r="CZ640" s="6">
        <f t="shared" si="411"/>
        <v>3383</v>
      </c>
      <c r="DA640" s="6">
        <f t="shared" si="411"/>
        <v>4333</v>
      </c>
      <c r="DB640" s="6">
        <f t="shared" si="411"/>
        <v>3140</v>
      </c>
      <c r="DC640" s="6">
        <f t="shared" si="411"/>
        <v>0</v>
      </c>
      <c r="DD640" s="6">
        <f t="shared" si="411"/>
        <v>0</v>
      </c>
      <c r="DE640" s="6">
        <f t="shared" si="411"/>
        <v>3240</v>
      </c>
      <c r="DF640" s="6">
        <f t="shared" si="411"/>
        <v>1096</v>
      </c>
      <c r="DG640" s="6">
        <f t="shared" si="411"/>
        <v>0</v>
      </c>
      <c r="DH640" s="6">
        <f t="shared" si="411"/>
        <v>0</v>
      </c>
      <c r="DI640" s="6">
        <f t="shared" si="411"/>
        <v>0</v>
      </c>
      <c r="DJ640" s="6">
        <f t="shared" si="411"/>
        <v>0</v>
      </c>
      <c r="DK640" s="6">
        <f t="shared" si="411"/>
        <v>0</v>
      </c>
      <c r="DL640" s="6">
        <f t="shared" si="411"/>
        <v>0</v>
      </c>
      <c r="DM640" s="6">
        <f t="shared" si="411"/>
        <v>0</v>
      </c>
      <c r="DN640" s="6">
        <f t="shared" si="411"/>
        <v>0</v>
      </c>
      <c r="DO640" s="6">
        <f t="shared" si="411"/>
        <v>0</v>
      </c>
      <c r="DP640" s="6">
        <f t="shared" si="411"/>
        <v>0</v>
      </c>
      <c r="DQ640" s="6">
        <f t="shared" si="411"/>
        <v>0</v>
      </c>
      <c r="DR640" s="6">
        <f t="shared" si="411"/>
        <v>0</v>
      </c>
      <c r="DS640" s="6">
        <f t="shared" si="411"/>
        <v>0</v>
      </c>
      <c r="DT640" s="6">
        <f t="shared" si="411"/>
        <v>0</v>
      </c>
      <c r="DU640" s="6">
        <f t="shared" si="411"/>
        <v>0</v>
      </c>
      <c r="DV640" s="6">
        <f t="shared" si="411"/>
        <v>0</v>
      </c>
      <c r="DW640" s="6">
        <f t="shared" si="411"/>
        <v>0</v>
      </c>
      <c r="DX640" s="6">
        <f t="shared" si="411"/>
        <v>0</v>
      </c>
      <c r="DY640" s="6">
        <f t="shared" ref="DY640:DZ640" si="412">SUM(DY4:DY27)+SUM(DY29:DY30)+SUM(DY33:DY49)+SUM(DY66:DY67)+DY70+SUM(DY89:DY97)+DY151+DY155+SUM(DY189:DY198)+SUM(DY203:DY206)+SUM(DY232:DY246)+SUM(DY256:DY285)+SUM(DY301:DY342)+SUM(DY381:DY392)+DY418+SUM(DY421:DY422)+SUM(DY466:DY468)+SUM(DY474:DY477)+SUM(DY490:DY491)+SUM(DY496:DY501)+SUM(DY503:DY509)+SUM(DY511:DY517)+SUM(DY519:DY524)+SUM(DY526:DY527)+DY529+SUM(DY531:DY534)+SUM(DY537:DY540)+SUM(DY553:DY554)+SUM(DY558:DY559)</f>
        <v>448</v>
      </c>
      <c r="DZ640" s="6">
        <f t="shared" si="412"/>
        <v>427</v>
      </c>
      <c r="EA640" s="6">
        <f t="shared" si="411"/>
        <v>0</v>
      </c>
      <c r="EB640" s="6">
        <f t="shared" si="411"/>
        <v>0</v>
      </c>
      <c r="EC640" s="6">
        <f t="shared" si="411"/>
        <v>1214</v>
      </c>
      <c r="ED640" s="6">
        <f t="shared" si="411"/>
        <v>573</v>
      </c>
      <c r="EE640" s="6">
        <f t="shared" si="411"/>
        <v>1298</v>
      </c>
      <c r="EF640" s="6">
        <f t="shared" si="411"/>
        <v>479</v>
      </c>
      <c r="EG640" s="6">
        <f t="shared" si="411"/>
        <v>1204</v>
      </c>
      <c r="EH640" s="6">
        <f t="shared" si="411"/>
        <v>714</v>
      </c>
      <c r="EI640" s="6">
        <f t="shared" si="411"/>
        <v>801</v>
      </c>
      <c r="EJ640" s="6">
        <f t="shared" si="411"/>
        <v>413</v>
      </c>
      <c r="EK640" s="6">
        <f t="shared" si="411"/>
        <v>708</v>
      </c>
      <c r="EL640" s="6">
        <f t="shared" si="411"/>
        <v>509</v>
      </c>
      <c r="EM640" s="6">
        <f t="shared" si="411"/>
        <v>1423</v>
      </c>
      <c r="EN640" s="6">
        <f t="shared" ref="EN640:GR640" si="413">SUM(EN4:EN27)+SUM(EN29:EN30)+SUM(EN33:EN49)+SUM(EN66:EN67)+EN70+SUM(EN89:EN97)+EN151+EN155+SUM(EN189:EN198)+SUM(EN203:EN206)+SUM(EN232:EN246)+SUM(EN256:EN285)+SUM(EN301:EN342)+SUM(EN381:EN392)+EN418+SUM(EN421:EN422)+SUM(EN466:EN468)+SUM(EN474:EN477)+SUM(EN490:EN491)+SUM(EN496:EN501)+SUM(EN503:EN509)+SUM(EN511:EN517)+SUM(EN519:EN524)+SUM(EN526:EN527)+EN529+SUM(EN531:EN534)+SUM(EN537:EN540)+SUM(EN553:EN554)+SUM(EN558:EN559)</f>
        <v>581</v>
      </c>
      <c r="EO640" s="6">
        <f t="shared" si="413"/>
        <v>860</v>
      </c>
      <c r="EP640" s="6">
        <f t="shared" si="413"/>
        <v>1163</v>
      </c>
      <c r="EQ640" s="6">
        <f t="shared" si="413"/>
        <v>0</v>
      </c>
      <c r="ER640" s="6">
        <f t="shared" si="413"/>
        <v>0</v>
      </c>
      <c r="ES640" s="6">
        <f t="shared" si="413"/>
        <v>1124</v>
      </c>
      <c r="ET640" s="6">
        <f t="shared" si="413"/>
        <v>297</v>
      </c>
      <c r="EU640" s="6">
        <f t="shared" si="413"/>
        <v>1026</v>
      </c>
      <c r="EV640" s="6">
        <f t="shared" si="413"/>
        <v>451</v>
      </c>
      <c r="EW640" s="6">
        <f t="shared" si="413"/>
        <v>17117</v>
      </c>
      <c r="EX640" s="6">
        <f t="shared" si="413"/>
        <v>8669</v>
      </c>
      <c r="EY640" s="6">
        <f t="shared" si="413"/>
        <v>14343</v>
      </c>
      <c r="EZ640" s="6">
        <f t="shared" si="413"/>
        <v>9081</v>
      </c>
      <c r="FA640" s="6">
        <f t="shared" si="413"/>
        <v>527</v>
      </c>
      <c r="FB640" s="6">
        <f t="shared" si="413"/>
        <v>157</v>
      </c>
      <c r="FC640" s="6">
        <f t="shared" si="413"/>
        <v>0</v>
      </c>
      <c r="FD640" s="6">
        <f t="shared" si="413"/>
        <v>0</v>
      </c>
      <c r="FE640" s="6">
        <f t="shared" si="413"/>
        <v>0</v>
      </c>
      <c r="FF640" s="6">
        <f t="shared" si="413"/>
        <v>0</v>
      </c>
      <c r="FG640" s="6">
        <f t="shared" si="413"/>
        <v>0</v>
      </c>
      <c r="FH640" s="6">
        <f t="shared" si="413"/>
        <v>0</v>
      </c>
      <c r="FI640" s="6">
        <f t="shared" si="413"/>
        <v>0</v>
      </c>
      <c r="FJ640" s="6">
        <f t="shared" si="413"/>
        <v>0</v>
      </c>
      <c r="FK640" s="6">
        <f t="shared" si="413"/>
        <v>604</v>
      </c>
      <c r="FL640" s="6">
        <f t="shared" si="413"/>
        <v>266</v>
      </c>
      <c r="FM640" s="6">
        <f t="shared" si="413"/>
        <v>0</v>
      </c>
      <c r="FN640" s="6">
        <f t="shared" si="413"/>
        <v>0</v>
      </c>
      <c r="FO640" s="6">
        <f t="shared" si="413"/>
        <v>0</v>
      </c>
      <c r="FP640" s="6">
        <f t="shared" si="413"/>
        <v>0</v>
      </c>
      <c r="FQ640" s="6">
        <f t="shared" si="413"/>
        <v>0</v>
      </c>
      <c r="FR640" s="6">
        <f t="shared" si="413"/>
        <v>0</v>
      </c>
      <c r="FS640" s="6">
        <f t="shared" si="413"/>
        <v>0</v>
      </c>
      <c r="FT640" s="6">
        <f t="shared" si="413"/>
        <v>0</v>
      </c>
      <c r="FU640" s="6">
        <f t="shared" si="413"/>
        <v>0</v>
      </c>
      <c r="FV640" s="6">
        <f t="shared" si="413"/>
        <v>0</v>
      </c>
      <c r="FW640" s="6">
        <f t="shared" si="413"/>
        <v>0</v>
      </c>
      <c r="FX640" s="6">
        <f t="shared" si="413"/>
        <v>0</v>
      </c>
      <c r="FY640" s="6">
        <f t="shared" si="413"/>
        <v>31620</v>
      </c>
      <c r="FZ640" s="6">
        <f t="shared" si="413"/>
        <v>22961</v>
      </c>
      <c r="GA640" s="6">
        <f t="shared" si="413"/>
        <v>3693</v>
      </c>
      <c r="GB640" s="6">
        <f t="shared" si="413"/>
        <v>2397</v>
      </c>
      <c r="GC640" s="6">
        <f t="shared" si="413"/>
        <v>3375</v>
      </c>
      <c r="GD640" s="6">
        <f t="shared" si="413"/>
        <v>2145</v>
      </c>
      <c r="GE640" s="6">
        <f t="shared" si="413"/>
        <v>4432</v>
      </c>
      <c r="GF640" s="6">
        <f t="shared" si="413"/>
        <v>3125</v>
      </c>
      <c r="GG640" s="6">
        <f t="shared" si="413"/>
        <v>0</v>
      </c>
      <c r="GH640" s="6">
        <f t="shared" si="413"/>
        <v>0</v>
      </c>
      <c r="GI640" s="6">
        <f t="shared" si="413"/>
        <v>4314</v>
      </c>
      <c r="GJ640" s="6">
        <f t="shared" si="413"/>
        <v>3121</v>
      </c>
      <c r="GK640" s="6">
        <f t="shared" si="413"/>
        <v>1947</v>
      </c>
      <c r="GL640" s="6">
        <f t="shared" si="413"/>
        <v>3377</v>
      </c>
      <c r="GM640" s="6">
        <f t="shared" si="413"/>
        <v>15849</v>
      </c>
      <c r="GN640" s="6">
        <f t="shared" si="413"/>
        <v>10159</v>
      </c>
      <c r="GO640" s="6">
        <f t="shared" si="413"/>
        <v>113125</v>
      </c>
      <c r="GP640" s="6">
        <f t="shared" si="413"/>
        <v>46129</v>
      </c>
      <c r="GQ640" s="6">
        <f t="shared" si="413"/>
        <v>115983</v>
      </c>
      <c r="GR640" s="6">
        <f t="shared" si="413"/>
        <v>42947</v>
      </c>
    </row>
    <row r="641" spans="1:200">
      <c r="A641" s="6"/>
      <c r="B641" s="16" t="s">
        <v>94</v>
      </c>
      <c r="C641" s="14">
        <f>SUM(C4:C16)+SUM(C41:C49)+SUM(C226:C238)+SUM(C310:C341)+SUM(C387:C391)+C418+SUM(C476:C477)+SUM(C490:C491)+SUM(C541:C554)</f>
        <v>86017</v>
      </c>
      <c r="D641" s="14">
        <f>SUM(D4:D16)+SUM(D41:D49)+SUM(D226:D238)+SUM(D310:D341)+SUM(D387:D391)+D418+SUM(D476:D477)+SUM(D490:D491)+SUM(D541:D554)</f>
        <v>68059</v>
      </c>
      <c r="E641" s="15">
        <f t="shared" si="351"/>
        <v>0.79122731553065095</v>
      </c>
      <c r="F641" s="66">
        <f>SUM(F4:F16)+SUM(F41:F49)+SUM(F226:F238)+SUM(F310:F341)+SUM(F387:F391)+F418+SUM(F476:F477)+SUM(F490:F491)+SUM(F541:F554)</f>
        <v>29071</v>
      </c>
      <c r="G641" s="6">
        <f>SUM(G4:G16)+SUM(G41:G49)+SUM(G226:G238)+SUM(G310:G341)+SUM(G387:G391)+G418+SUM(G476:G477)+SUM(G490:G491)+SUM(G541:G554)</f>
        <v>151</v>
      </c>
      <c r="H641" s="6">
        <f>SUM(H4:H16)+SUM(H41:H49)+SUM(H226:H238)+SUM(H310:H341)+SUM(H387:H391)+H418+SUM(H476:H477)+SUM(H490:H491)+SUM(H541:H554)</f>
        <v>2808</v>
      </c>
      <c r="I641" s="6">
        <f>SUM(I4:I16)+SUM(I41:I49)+SUM(I226:I238)+SUM(I310:I341)+SUM(I387:I391)+I418+SUM(I476:I477)+SUM(I490:I491)+SUM(I541:I554)</f>
        <v>547</v>
      </c>
      <c r="J641" s="59">
        <f>SUM(J4:J16)+SUM(J41:J49)+SUM(J226:J238)+SUM(J310:J341)+SUM(J387:J391)+J418+SUM(J476:J477)+SUM(J490:J491)+SUM(J541:J554)</f>
        <v>33210</v>
      </c>
      <c r="K641" s="6">
        <f t="shared" ref="K641" si="414">SUM(K4:K16)+SUM(K41:K49)+SUM(K226:K238)+SUM(K310:K341)+SUM(K387:K391)+K418+SUM(K476:K477)+SUM(K490:K491)+SUM(K541:K554)</f>
        <v>0</v>
      </c>
      <c r="L641" s="6">
        <f t="shared" ref="L641:AB641" si="415">SUM(L4:L16)+SUM(L41:L49)+SUM(L226:L238)+SUM(L310:L341)+SUM(L387:L391)+L418+SUM(L476:L477)+SUM(L490:L491)+SUM(L541:L554)</f>
        <v>0</v>
      </c>
      <c r="M641" s="6">
        <f t="shared" si="415"/>
        <v>14</v>
      </c>
      <c r="N641" s="6">
        <f t="shared" si="415"/>
        <v>0</v>
      </c>
      <c r="O641" s="6">
        <f t="shared" si="415"/>
        <v>1</v>
      </c>
      <c r="P641" s="6">
        <f t="shared" si="415"/>
        <v>0</v>
      </c>
      <c r="Q641" s="6">
        <f t="shared" si="415"/>
        <v>0</v>
      </c>
      <c r="R641" s="6">
        <f t="shared" si="415"/>
        <v>0</v>
      </c>
      <c r="S641" s="6">
        <f t="shared" si="415"/>
        <v>3</v>
      </c>
      <c r="T641" s="6">
        <f t="shared" si="415"/>
        <v>3</v>
      </c>
      <c r="U641" s="6">
        <f t="shared" si="415"/>
        <v>0</v>
      </c>
      <c r="V641" s="6">
        <f t="shared" si="415"/>
        <v>16</v>
      </c>
      <c r="W641" s="6">
        <f t="shared" si="415"/>
        <v>330</v>
      </c>
      <c r="X641" s="6">
        <f t="shared" si="415"/>
        <v>0</v>
      </c>
      <c r="Y641" s="6">
        <f t="shared" si="415"/>
        <v>2</v>
      </c>
      <c r="Z641" s="6">
        <f t="shared" si="415"/>
        <v>0</v>
      </c>
      <c r="AA641" s="6">
        <f t="shared" si="415"/>
        <v>0</v>
      </c>
      <c r="AB641" s="6">
        <f t="shared" si="415"/>
        <v>0</v>
      </c>
      <c r="AC641" s="6">
        <f t="shared" ref="AC641:BZ641" si="416">SUM(AC4:AC16)+SUM(AC41:AC49)+SUM(AC226:AC238)+SUM(AC310:AC341)+SUM(AC387:AC391)+AC418+SUM(AC476:AC477)+SUM(AC490:AC491)+SUM(AC541:AC554)</f>
        <v>528</v>
      </c>
      <c r="AD641" s="6">
        <f t="shared" si="416"/>
        <v>898</v>
      </c>
      <c r="AE641" s="6">
        <f t="shared" si="416"/>
        <v>44455</v>
      </c>
      <c r="AF641" s="6">
        <f t="shared" si="416"/>
        <v>534</v>
      </c>
      <c r="AG641" s="6">
        <f t="shared" si="416"/>
        <v>2</v>
      </c>
      <c r="AH641" s="6">
        <f t="shared" si="416"/>
        <v>19618</v>
      </c>
      <c r="AI641" s="6">
        <f t="shared" si="416"/>
        <v>8117</v>
      </c>
      <c r="AJ641" s="6">
        <f t="shared" si="416"/>
        <v>0</v>
      </c>
      <c r="AK641" s="6">
        <f t="shared" si="416"/>
        <v>0</v>
      </c>
      <c r="AL641" s="6">
        <f t="shared" si="416"/>
        <v>4075</v>
      </c>
      <c r="AM641" s="6">
        <f t="shared" si="416"/>
        <v>1844</v>
      </c>
      <c r="AN641" s="6">
        <f t="shared" si="416"/>
        <v>15403</v>
      </c>
      <c r="AO641" s="6">
        <f t="shared" si="416"/>
        <v>34850</v>
      </c>
      <c r="AP641" s="6">
        <f t="shared" si="416"/>
        <v>0</v>
      </c>
      <c r="AQ641" s="6">
        <f t="shared" si="416"/>
        <v>0</v>
      </c>
      <c r="AR641" s="6">
        <f t="shared" si="416"/>
        <v>40556</v>
      </c>
      <c r="AS641" s="6">
        <f t="shared" si="416"/>
        <v>22447</v>
      </c>
      <c r="AT641" s="6">
        <f t="shared" si="416"/>
        <v>0</v>
      </c>
      <c r="AU641" s="6">
        <f t="shared" si="416"/>
        <v>0</v>
      </c>
      <c r="AV641" s="6">
        <f t="shared" si="416"/>
        <v>0</v>
      </c>
      <c r="AW641" s="6">
        <f t="shared" si="416"/>
        <v>0</v>
      </c>
      <c r="AX641" s="6">
        <f t="shared" si="416"/>
        <v>0</v>
      </c>
      <c r="AY641" s="6">
        <f t="shared" si="416"/>
        <v>0</v>
      </c>
      <c r="AZ641" s="6">
        <f t="shared" si="416"/>
        <v>0</v>
      </c>
      <c r="BA641" s="6">
        <f t="shared" si="416"/>
        <v>0</v>
      </c>
      <c r="BB641" s="6">
        <f t="shared" si="416"/>
        <v>0</v>
      </c>
      <c r="BC641" s="6">
        <f t="shared" si="416"/>
        <v>0</v>
      </c>
      <c r="BD641" s="6">
        <f t="shared" si="416"/>
        <v>0</v>
      </c>
      <c r="BE641" s="6">
        <f t="shared" si="416"/>
        <v>35867</v>
      </c>
      <c r="BF641" s="6">
        <f t="shared" si="416"/>
        <v>27719</v>
      </c>
      <c r="BG641" s="6">
        <f t="shared" si="416"/>
        <v>39079</v>
      </c>
      <c r="BH641" s="6">
        <f t="shared" si="416"/>
        <v>24500</v>
      </c>
      <c r="BI641" s="6">
        <f t="shared" si="416"/>
        <v>42274</v>
      </c>
      <c r="BJ641" s="6">
        <f t="shared" si="416"/>
        <v>20825</v>
      </c>
      <c r="BK641" s="6">
        <f t="shared" si="416"/>
        <v>27411</v>
      </c>
      <c r="BL641" s="6">
        <f t="shared" si="416"/>
        <v>35446</v>
      </c>
      <c r="BM641" s="6">
        <f t="shared" si="416"/>
        <v>32007</v>
      </c>
      <c r="BN641" s="6">
        <f t="shared" si="416"/>
        <v>30207</v>
      </c>
      <c r="BO641" s="6">
        <f t="shared" si="416"/>
        <v>22723</v>
      </c>
      <c r="BP641" s="6">
        <f t="shared" si="416"/>
        <v>38206</v>
      </c>
      <c r="BQ641" s="6">
        <f t="shared" si="416"/>
        <v>42308</v>
      </c>
      <c r="BR641" s="6">
        <f t="shared" si="416"/>
        <v>19255</v>
      </c>
      <c r="BS641" s="6">
        <f t="shared" si="416"/>
        <v>44923</v>
      </c>
      <c r="BT641" s="6">
        <f t="shared" si="416"/>
        <v>29232</v>
      </c>
      <c r="BU641" s="6">
        <f t="shared" si="416"/>
        <v>32109</v>
      </c>
      <c r="BV641" s="6">
        <f t="shared" si="416"/>
        <v>43868</v>
      </c>
      <c r="BW641" s="6">
        <f t="shared" si="416"/>
        <v>31784</v>
      </c>
      <c r="BX641" s="6">
        <f t="shared" si="416"/>
        <v>18916</v>
      </c>
      <c r="BY641" s="6">
        <f t="shared" si="416"/>
        <v>34651</v>
      </c>
      <c r="BZ641" s="6">
        <f t="shared" si="416"/>
        <v>20399</v>
      </c>
      <c r="CA641" s="6">
        <f t="shared" ref="CA641:CP641" si="417">SUM(CA4:CA16)+SUM(CA41:CA49)+SUM(CA226:CA238)+SUM(CA310:CA341)+SUM(CA387:CA391)+CA418+SUM(CA476:CA477)+SUM(CA490:CA491)+SUM(CA541:CA554)</f>
        <v>39609</v>
      </c>
      <c r="CB641" s="6">
        <f t="shared" si="417"/>
        <v>32304</v>
      </c>
      <c r="CC641" s="6">
        <f t="shared" si="417"/>
        <v>19208</v>
      </c>
      <c r="CD641" s="6">
        <f t="shared" si="417"/>
        <v>36622</v>
      </c>
      <c r="CE641" s="6">
        <f t="shared" si="417"/>
        <v>21160</v>
      </c>
      <c r="CF641" s="6">
        <f t="shared" si="417"/>
        <v>29703</v>
      </c>
      <c r="CG641" s="6">
        <f t="shared" si="417"/>
        <v>32538</v>
      </c>
      <c r="CH641" s="6">
        <f t="shared" si="417"/>
        <v>16580</v>
      </c>
      <c r="CI641" s="6">
        <f t="shared" si="417"/>
        <v>12195</v>
      </c>
      <c r="CJ641" s="6">
        <f t="shared" si="417"/>
        <v>37726</v>
      </c>
      <c r="CK641" s="6">
        <f t="shared" si="417"/>
        <v>30285</v>
      </c>
      <c r="CL641" s="6">
        <f t="shared" si="417"/>
        <v>18375</v>
      </c>
      <c r="CM641" s="6">
        <f t="shared" si="417"/>
        <v>37570</v>
      </c>
      <c r="CN641" s="6">
        <f t="shared" si="417"/>
        <v>37994</v>
      </c>
      <c r="CO641" s="6">
        <f t="shared" si="417"/>
        <v>15784</v>
      </c>
      <c r="CP641" s="6">
        <f t="shared" si="417"/>
        <v>33360</v>
      </c>
      <c r="CQ641" s="6">
        <f t="shared" ref="CQ641:EM641" si="418">SUM(CQ4:CQ16)+SUM(CQ41:CQ49)+SUM(CQ226:CQ238)+SUM(CQ310:CQ341)+SUM(CQ387:CQ391)+CQ418+SUM(CQ476:CQ477)+SUM(CQ490:CQ491)+SUM(CQ541:CQ554)</f>
        <v>0</v>
      </c>
      <c r="CR641" s="6">
        <f t="shared" si="418"/>
        <v>0</v>
      </c>
      <c r="CS641" s="6">
        <f t="shared" si="418"/>
        <v>0</v>
      </c>
      <c r="CT641" s="6">
        <f t="shared" si="418"/>
        <v>0</v>
      </c>
      <c r="CU641" s="6">
        <f t="shared" si="418"/>
        <v>0</v>
      </c>
      <c r="CV641" s="6">
        <f t="shared" si="418"/>
        <v>0</v>
      </c>
      <c r="CW641" s="6">
        <f t="shared" si="418"/>
        <v>0</v>
      </c>
      <c r="CX641" s="6">
        <f t="shared" si="418"/>
        <v>0</v>
      </c>
      <c r="CY641" s="6">
        <f t="shared" si="418"/>
        <v>0</v>
      </c>
      <c r="CZ641" s="6">
        <f t="shared" si="418"/>
        <v>0</v>
      </c>
      <c r="DA641" s="6">
        <f t="shared" si="418"/>
        <v>0</v>
      </c>
      <c r="DB641" s="6">
        <f t="shared" si="418"/>
        <v>0</v>
      </c>
      <c r="DC641" s="6">
        <f t="shared" si="418"/>
        <v>0</v>
      </c>
      <c r="DD641" s="6">
        <f t="shared" si="418"/>
        <v>0</v>
      </c>
      <c r="DE641" s="6">
        <f t="shared" si="418"/>
        <v>0</v>
      </c>
      <c r="DF641" s="6">
        <f t="shared" si="418"/>
        <v>0</v>
      </c>
      <c r="DG641" s="6">
        <f t="shared" si="418"/>
        <v>0</v>
      </c>
      <c r="DH641" s="6">
        <f t="shared" si="418"/>
        <v>0</v>
      </c>
      <c r="DI641" s="6">
        <f t="shared" si="418"/>
        <v>0</v>
      </c>
      <c r="DJ641" s="6">
        <f t="shared" si="418"/>
        <v>0</v>
      </c>
      <c r="DK641" s="6">
        <f t="shared" si="418"/>
        <v>0</v>
      </c>
      <c r="DL641" s="6">
        <f t="shared" si="418"/>
        <v>0</v>
      </c>
      <c r="DM641" s="6">
        <f t="shared" si="418"/>
        <v>0</v>
      </c>
      <c r="DN641" s="6">
        <f t="shared" si="418"/>
        <v>0</v>
      </c>
      <c r="DO641" s="6">
        <f t="shared" si="418"/>
        <v>0</v>
      </c>
      <c r="DP641" s="6">
        <f t="shared" si="418"/>
        <v>0</v>
      </c>
      <c r="DQ641" s="6">
        <f t="shared" si="418"/>
        <v>0</v>
      </c>
      <c r="DR641" s="6">
        <f t="shared" si="418"/>
        <v>0</v>
      </c>
      <c r="DS641" s="6">
        <f t="shared" si="418"/>
        <v>0</v>
      </c>
      <c r="DT641" s="6">
        <f t="shared" si="418"/>
        <v>0</v>
      </c>
      <c r="DU641" s="6">
        <f t="shared" si="418"/>
        <v>0</v>
      </c>
      <c r="DV641" s="6">
        <f t="shared" si="418"/>
        <v>0</v>
      </c>
      <c r="DW641" s="6">
        <f t="shared" si="418"/>
        <v>0</v>
      </c>
      <c r="DX641" s="6">
        <f t="shared" si="418"/>
        <v>0</v>
      </c>
      <c r="DY641" s="6">
        <f t="shared" ref="DY641:DZ641" si="419">SUM(DY4:DY16)+SUM(DY41:DY49)+SUM(DY226:DY238)+SUM(DY310:DY341)+SUM(DY387:DY391)+DY418+SUM(DY476:DY477)+SUM(DY490:DY491)+SUM(DY541:DY554)</f>
        <v>448</v>
      </c>
      <c r="DZ641" s="6">
        <f t="shared" si="419"/>
        <v>427</v>
      </c>
      <c r="EA641" s="6">
        <f t="shared" si="418"/>
        <v>0</v>
      </c>
      <c r="EB641" s="6">
        <f t="shared" si="418"/>
        <v>0</v>
      </c>
      <c r="EC641" s="6">
        <f t="shared" si="418"/>
        <v>0</v>
      </c>
      <c r="ED641" s="6">
        <f t="shared" si="418"/>
        <v>0</v>
      </c>
      <c r="EE641" s="6">
        <f t="shared" si="418"/>
        <v>0</v>
      </c>
      <c r="EF641" s="6">
        <f t="shared" si="418"/>
        <v>0</v>
      </c>
      <c r="EG641" s="6">
        <f t="shared" si="418"/>
        <v>0</v>
      </c>
      <c r="EH641" s="6">
        <f t="shared" si="418"/>
        <v>0</v>
      </c>
      <c r="EI641" s="6">
        <f t="shared" si="418"/>
        <v>0</v>
      </c>
      <c r="EJ641" s="6">
        <f t="shared" si="418"/>
        <v>0</v>
      </c>
      <c r="EK641" s="6">
        <f t="shared" si="418"/>
        <v>0</v>
      </c>
      <c r="EL641" s="6">
        <f t="shared" si="418"/>
        <v>0</v>
      </c>
      <c r="EM641" s="6">
        <f t="shared" si="418"/>
        <v>1423</v>
      </c>
      <c r="EN641" s="6">
        <f t="shared" ref="EN641:GR641" si="420">SUM(EN4:EN16)+SUM(EN41:EN49)+SUM(EN226:EN238)+SUM(EN310:EN341)+SUM(EN387:EN391)+EN418+SUM(EN476:EN477)+SUM(EN490:EN491)+SUM(EN541:EN554)</f>
        <v>581</v>
      </c>
      <c r="EO641" s="6">
        <f t="shared" si="420"/>
        <v>860</v>
      </c>
      <c r="EP641" s="6">
        <f t="shared" si="420"/>
        <v>1163</v>
      </c>
      <c r="EQ641" s="6">
        <f t="shared" si="420"/>
        <v>0</v>
      </c>
      <c r="ER641" s="6">
        <f t="shared" si="420"/>
        <v>0</v>
      </c>
      <c r="ES641" s="6">
        <f t="shared" si="420"/>
        <v>1124</v>
      </c>
      <c r="ET641" s="6">
        <f t="shared" si="420"/>
        <v>297</v>
      </c>
      <c r="EU641" s="6">
        <f t="shared" si="420"/>
        <v>0</v>
      </c>
      <c r="EV641" s="6">
        <f t="shared" si="420"/>
        <v>0</v>
      </c>
      <c r="EW641" s="6">
        <f t="shared" si="420"/>
        <v>17117</v>
      </c>
      <c r="EX641" s="6">
        <f t="shared" si="420"/>
        <v>8669</v>
      </c>
      <c r="EY641" s="6">
        <f t="shared" si="420"/>
        <v>14343</v>
      </c>
      <c r="EZ641" s="6">
        <f t="shared" si="420"/>
        <v>9081</v>
      </c>
      <c r="FA641" s="6">
        <f t="shared" si="420"/>
        <v>0</v>
      </c>
      <c r="FB641" s="6">
        <f t="shared" si="420"/>
        <v>0</v>
      </c>
      <c r="FC641" s="6">
        <f t="shared" si="420"/>
        <v>0</v>
      </c>
      <c r="FD641" s="6">
        <f t="shared" si="420"/>
        <v>0</v>
      </c>
      <c r="FE641" s="6">
        <f t="shared" si="420"/>
        <v>0</v>
      </c>
      <c r="FF641" s="6">
        <f t="shared" si="420"/>
        <v>0</v>
      </c>
      <c r="FG641" s="6">
        <f t="shared" si="420"/>
        <v>0</v>
      </c>
      <c r="FH641" s="6">
        <f t="shared" si="420"/>
        <v>0</v>
      </c>
      <c r="FI641" s="6">
        <f t="shared" si="420"/>
        <v>0</v>
      </c>
      <c r="FJ641" s="6">
        <f t="shared" si="420"/>
        <v>0</v>
      </c>
      <c r="FK641" s="6">
        <f t="shared" si="420"/>
        <v>0</v>
      </c>
      <c r="FL641" s="6">
        <f t="shared" si="420"/>
        <v>0</v>
      </c>
      <c r="FM641" s="6">
        <f t="shared" si="420"/>
        <v>0</v>
      </c>
      <c r="FN641" s="6">
        <f t="shared" si="420"/>
        <v>0</v>
      </c>
      <c r="FO641" s="6">
        <f t="shared" si="420"/>
        <v>0</v>
      </c>
      <c r="FP641" s="6">
        <f t="shared" si="420"/>
        <v>0</v>
      </c>
      <c r="FQ641" s="6">
        <f t="shared" si="420"/>
        <v>0</v>
      </c>
      <c r="FR641" s="6">
        <f t="shared" si="420"/>
        <v>0</v>
      </c>
      <c r="FS641" s="6">
        <f t="shared" si="420"/>
        <v>0</v>
      </c>
      <c r="FT641" s="6">
        <f t="shared" si="420"/>
        <v>0</v>
      </c>
      <c r="FU641" s="6">
        <f t="shared" si="420"/>
        <v>0</v>
      </c>
      <c r="FV641" s="6">
        <f t="shared" si="420"/>
        <v>0</v>
      </c>
      <c r="FW641" s="6">
        <f t="shared" si="420"/>
        <v>0</v>
      </c>
      <c r="FX641" s="6">
        <f t="shared" si="420"/>
        <v>0</v>
      </c>
      <c r="FY641" s="6">
        <f t="shared" si="420"/>
        <v>8355</v>
      </c>
      <c r="FZ641" s="6">
        <f t="shared" si="420"/>
        <v>7787</v>
      </c>
      <c r="GA641" s="6">
        <f t="shared" si="420"/>
        <v>0</v>
      </c>
      <c r="GB641" s="6">
        <f t="shared" si="420"/>
        <v>0</v>
      </c>
      <c r="GC641" s="6">
        <f t="shared" si="420"/>
        <v>13</v>
      </c>
      <c r="GD641" s="6">
        <f t="shared" si="420"/>
        <v>26</v>
      </c>
      <c r="GE641" s="6">
        <f t="shared" si="420"/>
        <v>0</v>
      </c>
      <c r="GF641" s="6">
        <f t="shared" si="420"/>
        <v>0</v>
      </c>
      <c r="GG641" s="6">
        <f t="shared" si="420"/>
        <v>0</v>
      </c>
      <c r="GH641" s="6">
        <f t="shared" si="420"/>
        <v>0</v>
      </c>
      <c r="GI641" s="6">
        <f t="shared" si="420"/>
        <v>2787</v>
      </c>
      <c r="GJ641" s="6">
        <f t="shared" si="420"/>
        <v>1637</v>
      </c>
      <c r="GK641" s="6">
        <f t="shared" si="420"/>
        <v>0</v>
      </c>
      <c r="GL641" s="6">
        <f t="shared" si="420"/>
        <v>0</v>
      </c>
      <c r="GM641" s="6">
        <f t="shared" si="420"/>
        <v>15849</v>
      </c>
      <c r="GN641" s="6">
        <f t="shared" si="420"/>
        <v>10159</v>
      </c>
      <c r="GO641" s="6">
        <f t="shared" si="420"/>
        <v>45600</v>
      </c>
      <c r="GP641" s="6">
        <f t="shared" si="420"/>
        <v>19420</v>
      </c>
      <c r="GQ641" s="6">
        <f t="shared" si="420"/>
        <v>47149</v>
      </c>
      <c r="GR641" s="6">
        <f t="shared" si="420"/>
        <v>17892</v>
      </c>
    </row>
    <row r="642" spans="1:200">
      <c r="A642" s="6"/>
      <c r="B642" s="16" t="s">
        <v>701</v>
      </c>
      <c r="C642" s="14">
        <f>SUM(C114:C122)+SUM(C160:C166)+C168+SUM(C189:C225)+SUM(C239:C255)+SUM(C278:C300)+SUM(C343:C380)+SUM(C393:C413)+SUM(C415:C417)+SUM(C419:C420)+SUM(C423:C471)+SUM(C478:C489)+C502+C518+C525+SUM(C528:C540)+SUM(C555:C557)</f>
        <v>241801</v>
      </c>
      <c r="D642" s="14">
        <f>SUM(D114:D122)+SUM(D160:D166)+D168+SUM(D189:D225)+SUM(D239:D255)+SUM(D278:D300)+SUM(D343:D380)+SUM(D393:D413)+SUM(D415:D417)+SUM(D419:D420)+SUM(D423:D471)+SUM(D478:D489)+D502+D518+D525+SUM(D528:D540)+SUM(D555:D557)</f>
        <v>184590</v>
      </c>
      <c r="E642" s="15">
        <f t="shared" si="351"/>
        <v>0.76339634658252031</v>
      </c>
      <c r="F642" s="66">
        <f t="shared" ref="F642:AB642" si="421">SUM(F114:F122)+SUM(F160:F166)+F168+SUM(F189:F225)+SUM(F239:F255)+SUM(F278:F300)+SUM(F343:F380)+SUM(F393:F413)+SUM(F415:F417)+SUM(F419:F420)+SUM(F423:F471)+SUM(F478:F489)+F502+F518+F525+SUM(F528:F540)+SUM(F555:F557)</f>
        <v>68154</v>
      </c>
      <c r="G642" s="6">
        <f t="shared" si="421"/>
        <v>629</v>
      </c>
      <c r="H642" s="6">
        <f t="shared" si="421"/>
        <v>6104</v>
      </c>
      <c r="I642" s="6">
        <f t="shared" si="421"/>
        <v>1424</v>
      </c>
      <c r="J642" s="59">
        <f t="shared" si="421"/>
        <v>103985</v>
      </c>
      <c r="K642" s="6">
        <f t="shared" si="421"/>
        <v>0</v>
      </c>
      <c r="L642" s="6">
        <f t="shared" si="421"/>
        <v>0</v>
      </c>
      <c r="M642" s="6">
        <f t="shared" si="421"/>
        <v>43</v>
      </c>
      <c r="N642" s="6">
        <f t="shared" si="421"/>
        <v>0</v>
      </c>
      <c r="O642" s="6">
        <f t="shared" si="421"/>
        <v>3</v>
      </c>
      <c r="P642" s="6">
        <f t="shared" si="421"/>
        <v>7</v>
      </c>
      <c r="Q642" s="6">
        <f t="shared" si="421"/>
        <v>0</v>
      </c>
      <c r="R642" s="6">
        <f t="shared" si="421"/>
        <v>2</v>
      </c>
      <c r="S642" s="6">
        <f t="shared" si="421"/>
        <v>0</v>
      </c>
      <c r="T642" s="6">
        <f t="shared" si="421"/>
        <v>2</v>
      </c>
      <c r="U642" s="6">
        <f t="shared" si="421"/>
        <v>0</v>
      </c>
      <c r="V642" s="6">
        <f t="shared" si="421"/>
        <v>27</v>
      </c>
      <c r="W642" s="6">
        <f t="shared" si="421"/>
        <v>580</v>
      </c>
      <c r="X642" s="6">
        <f t="shared" si="421"/>
        <v>0</v>
      </c>
      <c r="Y642" s="6">
        <f t="shared" si="421"/>
        <v>3</v>
      </c>
      <c r="Z642" s="6">
        <f t="shared" si="421"/>
        <v>2</v>
      </c>
      <c r="AA642" s="6">
        <f t="shared" si="421"/>
        <v>1</v>
      </c>
      <c r="AB642" s="6">
        <f t="shared" si="421"/>
        <v>1</v>
      </c>
      <c r="AC642" s="6">
        <f t="shared" ref="AC642:BZ642" si="422">SUM(AC114:AC122)+SUM(AC160:AC166)+AC168+SUM(AC189:AC225)+SUM(AC239:AC255)+SUM(AC278:AC300)+SUM(AC343:AC380)+SUM(AC393:AC413)+SUM(AC415:AC417)+SUM(AC419:AC420)+SUM(AC423:AC471)+SUM(AC478:AC489)+AC502+AC518+AC525+SUM(AC528:AC540)+SUM(AC555:AC557)</f>
        <v>2224</v>
      </c>
      <c r="AD642" s="6">
        <f t="shared" si="422"/>
        <v>2683</v>
      </c>
      <c r="AE642" s="6">
        <f t="shared" si="422"/>
        <v>119113</v>
      </c>
      <c r="AF642" s="6">
        <f t="shared" si="422"/>
        <v>2119</v>
      </c>
      <c r="AG642" s="6">
        <f t="shared" si="422"/>
        <v>2</v>
      </c>
      <c r="AH642" s="6">
        <f t="shared" si="422"/>
        <v>52097</v>
      </c>
      <c r="AI642" s="6">
        <f t="shared" si="422"/>
        <v>99445</v>
      </c>
      <c r="AJ642" s="6">
        <f t="shared" si="422"/>
        <v>31</v>
      </c>
      <c r="AK642" s="6">
        <f t="shared" si="422"/>
        <v>3</v>
      </c>
      <c r="AL642" s="6">
        <f t="shared" si="422"/>
        <v>49036</v>
      </c>
      <c r="AM642" s="6">
        <f t="shared" si="422"/>
        <v>694</v>
      </c>
      <c r="AN642" s="6">
        <f t="shared" si="422"/>
        <v>9143</v>
      </c>
      <c r="AO642" s="6">
        <f t="shared" si="422"/>
        <v>18971</v>
      </c>
      <c r="AP642" s="6">
        <f t="shared" si="422"/>
        <v>62693</v>
      </c>
      <c r="AQ642" s="6">
        <f t="shared" si="422"/>
        <v>106215</v>
      </c>
      <c r="AR642" s="6">
        <f t="shared" si="422"/>
        <v>0</v>
      </c>
      <c r="AS642" s="6">
        <f t="shared" si="422"/>
        <v>0</v>
      </c>
      <c r="AT642" s="6">
        <f t="shared" si="422"/>
        <v>36098</v>
      </c>
      <c r="AU642" s="6">
        <f t="shared" si="422"/>
        <v>26808</v>
      </c>
      <c r="AV642" s="6">
        <f t="shared" si="422"/>
        <v>37138</v>
      </c>
      <c r="AW642" s="6">
        <f t="shared" si="422"/>
        <v>14975</v>
      </c>
      <c r="AX642" s="6">
        <f t="shared" si="422"/>
        <v>40718</v>
      </c>
      <c r="AY642" s="6">
        <f t="shared" si="422"/>
        <v>0</v>
      </c>
      <c r="AZ642" s="6">
        <f t="shared" si="422"/>
        <v>0</v>
      </c>
      <c r="BA642" s="6">
        <f t="shared" si="422"/>
        <v>0</v>
      </c>
      <c r="BB642" s="6">
        <f t="shared" si="422"/>
        <v>0</v>
      </c>
      <c r="BC642" s="6">
        <f t="shared" si="422"/>
        <v>0</v>
      </c>
      <c r="BD642" s="6">
        <f t="shared" si="422"/>
        <v>0</v>
      </c>
      <c r="BE642" s="6">
        <f t="shared" si="422"/>
        <v>89335</v>
      </c>
      <c r="BF642" s="6">
        <f t="shared" si="422"/>
        <v>82153</v>
      </c>
      <c r="BG642" s="6">
        <f t="shared" si="422"/>
        <v>109318</v>
      </c>
      <c r="BH642" s="6">
        <f t="shared" si="422"/>
        <v>64401</v>
      </c>
      <c r="BI642" s="6">
        <f t="shared" si="422"/>
        <v>115470</v>
      </c>
      <c r="BJ642" s="6">
        <f t="shared" si="422"/>
        <v>55783</v>
      </c>
      <c r="BK642" s="6">
        <f t="shared" si="422"/>
        <v>67982</v>
      </c>
      <c r="BL642" s="6">
        <f t="shared" si="422"/>
        <v>104316</v>
      </c>
      <c r="BM642" s="6">
        <f t="shared" si="422"/>
        <v>80607</v>
      </c>
      <c r="BN642" s="6">
        <f t="shared" si="422"/>
        <v>91022</v>
      </c>
      <c r="BO642" s="6">
        <f t="shared" si="422"/>
        <v>60550</v>
      </c>
      <c r="BP642" s="6">
        <f t="shared" si="422"/>
        <v>107119</v>
      </c>
      <c r="BQ642" s="6">
        <f t="shared" si="422"/>
        <v>116064</v>
      </c>
      <c r="BR642" s="6">
        <f t="shared" si="422"/>
        <v>53178</v>
      </c>
      <c r="BS642" s="6">
        <f t="shared" si="422"/>
        <v>122243</v>
      </c>
      <c r="BT642" s="6">
        <f t="shared" si="422"/>
        <v>78525</v>
      </c>
      <c r="BU642" s="6">
        <f t="shared" si="422"/>
        <v>87819</v>
      </c>
      <c r="BV642" s="6">
        <f t="shared" si="422"/>
        <v>116781</v>
      </c>
      <c r="BW642" s="6">
        <f t="shared" si="422"/>
        <v>83836</v>
      </c>
      <c r="BX642" s="6">
        <f t="shared" si="422"/>
        <v>55526</v>
      </c>
      <c r="BY642" s="6">
        <f t="shared" si="422"/>
        <v>102556</v>
      </c>
      <c r="BZ642" s="6">
        <f t="shared" si="422"/>
        <v>49298</v>
      </c>
      <c r="CA642" s="6">
        <f t="shared" ref="CA642:CP642" si="423">SUM(CA114:CA122)+SUM(CA160:CA166)+CA168+SUM(CA189:CA225)+SUM(CA239:CA255)+SUM(CA278:CA300)+SUM(CA343:CA380)+SUM(CA393:CA413)+SUM(CA415:CA417)+SUM(CA419:CA420)+SUM(CA423:CA471)+SUM(CA478:CA489)+CA502+CA518+CA525+SUM(CA528:CA540)+SUM(CA555:CA557)</f>
        <v>106951</v>
      </c>
      <c r="CB642" s="6">
        <f t="shared" si="423"/>
        <v>81540</v>
      </c>
      <c r="CC642" s="6">
        <f t="shared" si="423"/>
        <v>54077</v>
      </c>
      <c r="CD642" s="6">
        <f t="shared" si="423"/>
        <v>102089</v>
      </c>
      <c r="CE642" s="6">
        <f t="shared" si="423"/>
        <v>51673</v>
      </c>
      <c r="CF642" s="6">
        <f t="shared" si="423"/>
        <v>91298</v>
      </c>
      <c r="CG642" s="6">
        <f t="shared" si="423"/>
        <v>83715</v>
      </c>
      <c r="CH642" s="6">
        <f t="shared" si="423"/>
        <v>47813</v>
      </c>
      <c r="CI642" s="6">
        <f t="shared" si="423"/>
        <v>34493</v>
      </c>
      <c r="CJ642" s="6">
        <f t="shared" si="423"/>
        <v>102413</v>
      </c>
      <c r="CK642" s="6">
        <f t="shared" si="423"/>
        <v>85119</v>
      </c>
      <c r="CL642" s="6">
        <f t="shared" si="423"/>
        <v>51278</v>
      </c>
      <c r="CM642" s="6">
        <f t="shared" si="423"/>
        <v>103489</v>
      </c>
      <c r="CN642" s="6">
        <f t="shared" si="423"/>
        <v>102965</v>
      </c>
      <c r="CO642" s="6">
        <f t="shared" si="423"/>
        <v>45548</v>
      </c>
      <c r="CP642" s="6">
        <f t="shared" si="423"/>
        <v>91010</v>
      </c>
      <c r="CQ642" s="6">
        <f t="shared" ref="CQ642:EM642" si="424">SUM(CQ114:CQ122)+SUM(CQ160:CQ166)+CQ168+SUM(CQ189:CQ225)+SUM(CQ239:CQ255)+SUM(CQ278:CQ300)+SUM(CQ343:CQ380)+SUM(CQ393:CQ413)+SUM(CQ415:CQ417)+SUM(CQ419:CQ420)+SUM(CQ423:CQ471)+SUM(CQ478:CQ489)+CQ502+CQ518+CQ525+SUM(CQ528:CQ540)+SUM(CQ555:CQ557)</f>
        <v>4032</v>
      </c>
      <c r="CR642" s="6">
        <f t="shared" si="424"/>
        <v>1834</v>
      </c>
      <c r="CS642" s="6">
        <f t="shared" si="424"/>
        <v>0</v>
      </c>
      <c r="CT642" s="6">
        <f t="shared" si="424"/>
        <v>0</v>
      </c>
      <c r="CU642" s="6">
        <f t="shared" si="424"/>
        <v>1764</v>
      </c>
      <c r="CV642" s="6">
        <f t="shared" si="424"/>
        <v>1053</v>
      </c>
      <c r="CW642" s="6">
        <f t="shared" si="424"/>
        <v>0</v>
      </c>
      <c r="CX642" s="6">
        <f t="shared" si="424"/>
        <v>0</v>
      </c>
      <c r="CY642" s="6">
        <f t="shared" si="424"/>
        <v>0</v>
      </c>
      <c r="CZ642" s="6">
        <f t="shared" si="424"/>
        <v>0</v>
      </c>
      <c r="DA642" s="6">
        <f t="shared" si="424"/>
        <v>0</v>
      </c>
      <c r="DB642" s="6">
        <f t="shared" si="424"/>
        <v>0</v>
      </c>
      <c r="DC642" s="6">
        <f t="shared" si="424"/>
        <v>2620</v>
      </c>
      <c r="DD642" s="6">
        <f t="shared" si="424"/>
        <v>1309</v>
      </c>
      <c r="DE642" s="6">
        <f t="shared" si="424"/>
        <v>0</v>
      </c>
      <c r="DF642" s="6">
        <f t="shared" si="424"/>
        <v>0</v>
      </c>
      <c r="DG642" s="6">
        <f t="shared" si="424"/>
        <v>191</v>
      </c>
      <c r="DH642" s="6">
        <f t="shared" si="424"/>
        <v>107</v>
      </c>
      <c r="DI642" s="6">
        <f t="shared" si="424"/>
        <v>186</v>
      </c>
      <c r="DJ642" s="6">
        <f t="shared" si="424"/>
        <v>110</v>
      </c>
      <c r="DK642" s="6">
        <f t="shared" si="424"/>
        <v>968</v>
      </c>
      <c r="DL642" s="6">
        <f t="shared" si="424"/>
        <v>485</v>
      </c>
      <c r="DM642" s="6">
        <f t="shared" si="424"/>
        <v>1136</v>
      </c>
      <c r="DN642" s="6">
        <f t="shared" si="424"/>
        <v>612</v>
      </c>
      <c r="DO642" s="6">
        <f t="shared" si="424"/>
        <v>1596</v>
      </c>
      <c r="DP642" s="6">
        <f t="shared" si="424"/>
        <v>192</v>
      </c>
      <c r="DQ642" s="6">
        <f t="shared" si="424"/>
        <v>1407</v>
      </c>
      <c r="DR642" s="6">
        <f t="shared" si="424"/>
        <v>329</v>
      </c>
      <c r="DS642" s="6">
        <f t="shared" si="424"/>
        <v>1409</v>
      </c>
      <c r="DT642" s="6">
        <f t="shared" si="424"/>
        <v>324</v>
      </c>
      <c r="DU642" s="6">
        <f t="shared" si="424"/>
        <v>1398</v>
      </c>
      <c r="DV642" s="6">
        <f t="shared" si="424"/>
        <v>300</v>
      </c>
      <c r="DW642" s="6">
        <f t="shared" si="424"/>
        <v>947</v>
      </c>
      <c r="DX642" s="6">
        <f t="shared" si="424"/>
        <v>791</v>
      </c>
      <c r="DY642" s="6">
        <f t="shared" ref="DY642:DZ642" si="425">SUM(DY114:DY122)+SUM(DY160:DY166)+DY168+SUM(DY189:DY225)+SUM(DY239:DY255)+SUM(DY278:DY300)+SUM(DY343:DY380)+SUM(DY393:DY413)+SUM(DY415:DY417)+SUM(DY419:DY420)+SUM(DY423:DY471)+SUM(DY478:DY489)+DY502+DY518+DY525+SUM(DY528:DY540)+SUM(DY555:DY557)</f>
        <v>0</v>
      </c>
      <c r="DZ642" s="6">
        <f t="shared" si="425"/>
        <v>0</v>
      </c>
      <c r="EA642" s="6">
        <f t="shared" si="424"/>
        <v>1090</v>
      </c>
      <c r="EB642" s="6">
        <f t="shared" si="424"/>
        <v>461</v>
      </c>
      <c r="EC642" s="6">
        <f t="shared" si="424"/>
        <v>0</v>
      </c>
      <c r="ED642" s="6">
        <f t="shared" si="424"/>
        <v>0</v>
      </c>
      <c r="EE642" s="6">
        <f t="shared" si="424"/>
        <v>0</v>
      </c>
      <c r="EF642" s="6">
        <f t="shared" si="424"/>
        <v>0</v>
      </c>
      <c r="EG642" s="6">
        <f t="shared" si="424"/>
        <v>1204</v>
      </c>
      <c r="EH642" s="6">
        <f t="shared" si="424"/>
        <v>714</v>
      </c>
      <c r="EI642" s="6">
        <f t="shared" si="424"/>
        <v>0</v>
      </c>
      <c r="EJ642" s="6">
        <f t="shared" si="424"/>
        <v>0</v>
      </c>
      <c r="EK642" s="6">
        <f t="shared" si="424"/>
        <v>0</v>
      </c>
      <c r="EL642" s="6">
        <f t="shared" si="424"/>
        <v>0</v>
      </c>
      <c r="EM642" s="6">
        <f t="shared" si="424"/>
        <v>0</v>
      </c>
      <c r="EN642" s="6">
        <f t="shared" ref="EN642:GR642" si="426">SUM(EN114:EN122)+SUM(EN160:EN166)+EN168+SUM(EN189:EN225)+SUM(EN239:EN255)+SUM(EN278:EN300)+SUM(EN343:EN380)+SUM(EN393:EN413)+SUM(EN415:EN417)+SUM(EN419:EN420)+SUM(EN423:EN471)+SUM(EN478:EN489)+EN502+EN518+EN525+SUM(EN528:EN540)+SUM(EN555:EN557)</f>
        <v>0</v>
      </c>
      <c r="EO642" s="6">
        <f t="shared" si="426"/>
        <v>0</v>
      </c>
      <c r="EP642" s="6">
        <f t="shared" si="426"/>
        <v>0</v>
      </c>
      <c r="EQ642" s="6">
        <f t="shared" si="426"/>
        <v>439</v>
      </c>
      <c r="ER642" s="6">
        <f t="shared" si="426"/>
        <v>161</v>
      </c>
      <c r="ES642" s="6">
        <f t="shared" si="426"/>
        <v>0</v>
      </c>
      <c r="ET642" s="6">
        <f t="shared" si="426"/>
        <v>0</v>
      </c>
      <c r="EU642" s="6">
        <f t="shared" si="426"/>
        <v>0</v>
      </c>
      <c r="EV642" s="6">
        <f t="shared" si="426"/>
        <v>0</v>
      </c>
      <c r="EW642" s="6">
        <f t="shared" si="426"/>
        <v>0</v>
      </c>
      <c r="EX642" s="6">
        <f t="shared" si="426"/>
        <v>0</v>
      </c>
      <c r="EY642" s="6">
        <f t="shared" si="426"/>
        <v>0</v>
      </c>
      <c r="EZ642" s="6">
        <f t="shared" si="426"/>
        <v>0</v>
      </c>
      <c r="FA642" s="6">
        <f t="shared" si="426"/>
        <v>0</v>
      </c>
      <c r="FB642" s="6">
        <f t="shared" si="426"/>
        <v>0</v>
      </c>
      <c r="FC642" s="6">
        <f t="shared" si="426"/>
        <v>8405</v>
      </c>
      <c r="FD642" s="6">
        <f t="shared" si="426"/>
        <v>6456</v>
      </c>
      <c r="FE642" s="6">
        <f t="shared" si="426"/>
        <v>25360</v>
      </c>
      <c r="FF642" s="6">
        <f t="shared" si="426"/>
        <v>8281</v>
      </c>
      <c r="FG642" s="6">
        <f t="shared" si="426"/>
        <v>27770</v>
      </c>
      <c r="FH642" s="6">
        <f t="shared" si="426"/>
        <v>6063</v>
      </c>
      <c r="FI642" s="6">
        <f t="shared" si="426"/>
        <v>5682</v>
      </c>
      <c r="FJ642" s="6">
        <f t="shared" si="426"/>
        <v>2867</v>
      </c>
      <c r="FK642" s="6">
        <f t="shared" si="426"/>
        <v>0</v>
      </c>
      <c r="FL642" s="6">
        <f t="shared" si="426"/>
        <v>0</v>
      </c>
      <c r="FM642" s="6">
        <f t="shared" si="426"/>
        <v>0</v>
      </c>
      <c r="FN642" s="6">
        <f t="shared" si="426"/>
        <v>0</v>
      </c>
      <c r="FO642" s="6">
        <f t="shared" si="426"/>
        <v>0</v>
      </c>
      <c r="FP642" s="6">
        <f t="shared" si="426"/>
        <v>0</v>
      </c>
      <c r="FQ642" s="6">
        <f t="shared" si="426"/>
        <v>0</v>
      </c>
      <c r="FR642" s="6">
        <f t="shared" si="426"/>
        <v>0</v>
      </c>
      <c r="FS642" s="6">
        <f t="shared" si="426"/>
        <v>0</v>
      </c>
      <c r="FT642" s="6">
        <f t="shared" si="426"/>
        <v>0</v>
      </c>
      <c r="FU642" s="6">
        <f t="shared" si="426"/>
        <v>0</v>
      </c>
      <c r="FV642" s="6">
        <f t="shared" si="426"/>
        <v>0</v>
      </c>
      <c r="FW642" s="6">
        <f t="shared" si="426"/>
        <v>0</v>
      </c>
      <c r="FX642" s="6">
        <f t="shared" si="426"/>
        <v>0</v>
      </c>
      <c r="FY642" s="6">
        <f t="shared" si="426"/>
        <v>8417</v>
      </c>
      <c r="FZ642" s="6">
        <f t="shared" si="426"/>
        <v>10660</v>
      </c>
      <c r="GA642" s="6">
        <f t="shared" si="426"/>
        <v>3591</v>
      </c>
      <c r="GB642" s="6">
        <f t="shared" si="426"/>
        <v>2332</v>
      </c>
      <c r="GC642" s="6">
        <f t="shared" si="426"/>
        <v>3375</v>
      </c>
      <c r="GD642" s="6">
        <f t="shared" si="426"/>
        <v>2145</v>
      </c>
      <c r="GE642" s="6">
        <f t="shared" si="426"/>
        <v>0</v>
      </c>
      <c r="GF642" s="6">
        <f t="shared" si="426"/>
        <v>0</v>
      </c>
      <c r="GG642" s="6">
        <f t="shared" si="426"/>
        <v>0</v>
      </c>
      <c r="GH642" s="6">
        <f t="shared" si="426"/>
        <v>0</v>
      </c>
      <c r="GI642" s="6">
        <f t="shared" si="426"/>
        <v>8999</v>
      </c>
      <c r="GJ642" s="6">
        <f t="shared" si="426"/>
        <v>5947</v>
      </c>
      <c r="GK642" s="6">
        <f t="shared" si="426"/>
        <v>5996</v>
      </c>
      <c r="GL642" s="6">
        <f t="shared" si="426"/>
        <v>4156</v>
      </c>
      <c r="GM642" s="6">
        <f t="shared" si="426"/>
        <v>0</v>
      </c>
      <c r="GN642" s="6">
        <f t="shared" si="426"/>
        <v>0</v>
      </c>
      <c r="GO642" s="6">
        <f t="shared" si="426"/>
        <v>117388</v>
      </c>
      <c r="GP642" s="6">
        <f t="shared" si="426"/>
        <v>58503</v>
      </c>
      <c r="GQ642" s="6">
        <f t="shared" si="426"/>
        <v>117218</v>
      </c>
      <c r="GR642" s="6">
        <f t="shared" si="426"/>
        <v>57875</v>
      </c>
    </row>
    <row r="643" spans="1:200">
      <c r="A643" s="6"/>
      <c r="B643" s="16" t="s">
        <v>702</v>
      </c>
      <c r="C643" s="14">
        <f>SUM(C17:C40)+SUM(C50:C113)+SUM(C123:C159)+C167+SUM(C169:C188)+SUM(C256:C277)+SUM(C301:C309)+C342+SUM(C381:C386)+C392+C414+SUM(C421:C422)+SUM(C472:C475)+SUM(C492:C501)+SUM(C503:C517)+SUM(C519:C524)+SUM(C526:C527)+SUM(C558:C559)</f>
        <v>252536</v>
      </c>
      <c r="D643" s="14">
        <f>SUM(D17:D40)+SUM(D50:D113)+SUM(D123:D159)+D167+SUM(D169:D188)+SUM(D256:D277)+SUM(D301:D309)+D342+SUM(D381:D386)+D392+D414+SUM(D421:D422)+SUM(D472:D475)+SUM(D492:D501)+SUM(D503:D517)+SUM(D519:D524)+SUM(D526:D527)+SUM(D558:D559)</f>
        <v>164807</v>
      </c>
      <c r="E643" s="15">
        <f t="shared" si="351"/>
        <v>0.6526079450058605</v>
      </c>
      <c r="F643" s="66">
        <f t="shared" ref="F643:AB643" si="427">SUM(F17:F40)+SUM(F50:F113)+SUM(F123:F159)+F167+SUM(F169:F188)+SUM(F256:F277)+SUM(F301:F309)+F342+SUM(F381:F386)+F392+F414+SUM(F421:F422)+SUM(F472:F475)+SUM(F492:F501)+SUM(F503:F517)+SUM(F519:F524)+SUM(F526:F527)+SUM(F558:F559)</f>
        <v>118494</v>
      </c>
      <c r="G643" s="6">
        <f t="shared" si="427"/>
        <v>431</v>
      </c>
      <c r="H643" s="6">
        <f t="shared" si="427"/>
        <v>4288</v>
      </c>
      <c r="I643" s="6">
        <f t="shared" si="427"/>
        <v>1752</v>
      </c>
      <c r="J643" s="59">
        <f t="shared" si="427"/>
        <v>36470</v>
      </c>
      <c r="K643" s="6">
        <f t="shared" si="427"/>
        <v>0</v>
      </c>
      <c r="L643" s="6">
        <f t="shared" si="427"/>
        <v>0</v>
      </c>
      <c r="M643" s="6">
        <f t="shared" si="427"/>
        <v>41</v>
      </c>
      <c r="N643" s="6">
        <f t="shared" si="427"/>
        <v>0</v>
      </c>
      <c r="O643" s="6">
        <f t="shared" si="427"/>
        <v>2</v>
      </c>
      <c r="P643" s="6">
        <f t="shared" si="427"/>
        <v>11</v>
      </c>
      <c r="Q643" s="6">
        <f t="shared" si="427"/>
        <v>0</v>
      </c>
      <c r="R643" s="6">
        <f t="shared" si="427"/>
        <v>0</v>
      </c>
      <c r="S643" s="6">
        <f t="shared" si="427"/>
        <v>7</v>
      </c>
      <c r="T643" s="6">
        <f t="shared" si="427"/>
        <v>1</v>
      </c>
      <c r="U643" s="6">
        <f t="shared" si="427"/>
        <v>0</v>
      </c>
      <c r="V643" s="6">
        <f t="shared" si="427"/>
        <v>21</v>
      </c>
      <c r="W643" s="6">
        <f t="shared" si="427"/>
        <v>467</v>
      </c>
      <c r="X643" s="6">
        <f t="shared" si="427"/>
        <v>1</v>
      </c>
      <c r="Y643" s="6">
        <f t="shared" si="427"/>
        <v>0</v>
      </c>
      <c r="Z643" s="6">
        <f t="shared" si="427"/>
        <v>0</v>
      </c>
      <c r="AA643" s="6">
        <f t="shared" si="427"/>
        <v>0</v>
      </c>
      <c r="AB643" s="6">
        <f t="shared" si="427"/>
        <v>0</v>
      </c>
      <c r="AC643" s="6">
        <f t="shared" ref="AC643:BZ643" si="428">SUM(AC17:AC40)+SUM(AC50:AC113)+SUM(AC123:AC159)+AC167+SUM(AC169:AC188)+SUM(AC256:AC277)+SUM(AC301:AC309)+AC342+SUM(AC381:AC386)+AC392+AC414+SUM(AC421:AC422)+SUM(AC472:AC475)+SUM(AC492:AC501)+SUM(AC503:AC517)+SUM(AC519:AC524)+SUM(AC526:AC527)+SUM(AC558:AC559)</f>
        <v>2001</v>
      </c>
      <c r="AD643" s="6">
        <f t="shared" si="428"/>
        <v>3266</v>
      </c>
      <c r="AE643" s="6">
        <f t="shared" si="428"/>
        <v>52730</v>
      </c>
      <c r="AF643" s="6">
        <f t="shared" si="428"/>
        <v>1484</v>
      </c>
      <c r="AG643" s="6">
        <f t="shared" si="428"/>
        <v>4</v>
      </c>
      <c r="AH643" s="6">
        <f t="shared" si="428"/>
        <v>98712</v>
      </c>
      <c r="AI643" s="6">
        <f t="shared" si="428"/>
        <v>18050</v>
      </c>
      <c r="AJ643" s="6">
        <f t="shared" si="428"/>
        <v>72</v>
      </c>
      <c r="AK643" s="6">
        <f t="shared" si="428"/>
        <v>6</v>
      </c>
      <c r="AL643" s="6">
        <f t="shared" si="428"/>
        <v>61386</v>
      </c>
      <c r="AM643" s="6">
        <f t="shared" si="428"/>
        <v>3310</v>
      </c>
      <c r="AN643" s="6">
        <f t="shared" si="428"/>
        <v>40678</v>
      </c>
      <c r="AO643" s="6">
        <f t="shared" si="428"/>
        <v>31629</v>
      </c>
      <c r="AP643" s="6">
        <f t="shared" si="428"/>
        <v>0</v>
      </c>
      <c r="AQ643" s="6">
        <f t="shared" si="428"/>
        <v>0</v>
      </c>
      <c r="AR643" s="6">
        <f t="shared" si="428"/>
        <v>0</v>
      </c>
      <c r="AS643" s="6">
        <f t="shared" si="428"/>
        <v>0</v>
      </c>
      <c r="AT643" s="6">
        <f t="shared" si="428"/>
        <v>0</v>
      </c>
      <c r="AU643" s="6">
        <f t="shared" si="428"/>
        <v>0</v>
      </c>
      <c r="AV643" s="6">
        <f t="shared" si="428"/>
        <v>0</v>
      </c>
      <c r="AW643" s="6">
        <f t="shared" si="428"/>
        <v>0</v>
      </c>
      <c r="AX643" s="6">
        <f t="shared" si="428"/>
        <v>0</v>
      </c>
      <c r="AY643" s="6">
        <f t="shared" si="428"/>
        <v>34581</v>
      </c>
      <c r="AZ643" s="6">
        <f t="shared" si="428"/>
        <v>16231</v>
      </c>
      <c r="BA643" s="6">
        <f t="shared" si="428"/>
        <v>37595</v>
      </c>
      <c r="BB643" s="6">
        <f t="shared" si="428"/>
        <v>11308</v>
      </c>
      <c r="BC643" s="6">
        <f t="shared" si="428"/>
        <v>14396</v>
      </c>
      <c r="BD643" s="6">
        <f t="shared" si="428"/>
        <v>40005</v>
      </c>
      <c r="BE643" s="6">
        <f t="shared" si="428"/>
        <v>36398</v>
      </c>
      <c r="BF643" s="6">
        <f t="shared" si="428"/>
        <v>117369</v>
      </c>
      <c r="BG643" s="6">
        <f t="shared" si="428"/>
        <v>44993</v>
      </c>
      <c r="BH643" s="6">
        <f t="shared" si="428"/>
        <v>109231</v>
      </c>
      <c r="BI643" s="6">
        <f t="shared" si="428"/>
        <v>53457</v>
      </c>
      <c r="BJ643" s="6">
        <f t="shared" si="428"/>
        <v>99913</v>
      </c>
      <c r="BK643" s="6">
        <f t="shared" si="428"/>
        <v>108149</v>
      </c>
      <c r="BL643" s="6">
        <f t="shared" si="428"/>
        <v>45107</v>
      </c>
      <c r="BM643" s="6">
        <f t="shared" si="428"/>
        <v>35008</v>
      </c>
      <c r="BN643" s="6">
        <f t="shared" si="428"/>
        <v>116941</v>
      </c>
      <c r="BO643" s="6">
        <f t="shared" si="428"/>
        <v>104823</v>
      </c>
      <c r="BP643" s="6">
        <f t="shared" si="428"/>
        <v>44923</v>
      </c>
      <c r="BQ643" s="6">
        <f t="shared" si="428"/>
        <v>50134</v>
      </c>
      <c r="BR643" s="6">
        <f t="shared" si="428"/>
        <v>100239</v>
      </c>
      <c r="BS643" s="6">
        <f t="shared" si="428"/>
        <v>75892</v>
      </c>
      <c r="BT643" s="6">
        <f t="shared" si="428"/>
        <v>32672</v>
      </c>
      <c r="BU643" s="6">
        <f t="shared" si="428"/>
        <v>118857</v>
      </c>
      <c r="BV643" s="6">
        <f t="shared" si="428"/>
        <v>88050</v>
      </c>
      <c r="BW643" s="6">
        <f t="shared" si="428"/>
        <v>52365</v>
      </c>
      <c r="BX643" s="6">
        <f t="shared" si="428"/>
        <v>71222</v>
      </c>
      <c r="BY643" s="6">
        <f t="shared" si="428"/>
        <v>54023</v>
      </c>
      <c r="BZ643" s="6">
        <f t="shared" si="428"/>
        <v>79744</v>
      </c>
      <c r="CA643" s="6">
        <f t="shared" ref="CA643:CP643" si="429">SUM(CA17:CA40)+SUM(CA50:CA113)+SUM(CA123:CA159)+CA167+SUM(CA169:CA188)+SUM(CA256:CA277)+SUM(CA301:CA309)+CA342+SUM(CA381:CA386)+CA392+CA414+SUM(CA421:CA422)+SUM(CA472:CA475)+SUM(CA492:CA501)+SUM(CA503:CA517)+SUM(CA519:CA524)+SUM(CA526:CA527)+SUM(CA558:CA559)</f>
        <v>77756</v>
      </c>
      <c r="CB643" s="6">
        <f t="shared" si="429"/>
        <v>39275</v>
      </c>
      <c r="CC643" s="6">
        <f t="shared" si="429"/>
        <v>83402</v>
      </c>
      <c r="CD643" s="6">
        <f t="shared" si="429"/>
        <v>90968</v>
      </c>
      <c r="CE643" s="6">
        <f t="shared" si="429"/>
        <v>81048</v>
      </c>
      <c r="CF643" s="6">
        <f t="shared" si="429"/>
        <v>43508</v>
      </c>
      <c r="CG643" s="6">
        <f t="shared" si="429"/>
        <v>46322</v>
      </c>
      <c r="CH643" s="6">
        <f t="shared" si="429"/>
        <v>71081</v>
      </c>
      <c r="CI643" s="6">
        <f t="shared" si="429"/>
        <v>60336</v>
      </c>
      <c r="CJ643" s="6">
        <f t="shared" si="429"/>
        <v>61552</v>
      </c>
      <c r="CK643" s="6">
        <f t="shared" si="429"/>
        <v>55172</v>
      </c>
      <c r="CL643" s="6">
        <f t="shared" si="429"/>
        <v>68395</v>
      </c>
      <c r="CM643" s="6">
        <f t="shared" si="429"/>
        <v>74164</v>
      </c>
      <c r="CN643" s="6">
        <f t="shared" si="429"/>
        <v>79339</v>
      </c>
      <c r="CO643" s="6">
        <f t="shared" si="429"/>
        <v>67657</v>
      </c>
      <c r="CP643" s="6">
        <f t="shared" si="429"/>
        <v>56553</v>
      </c>
      <c r="CQ643" s="6">
        <f t="shared" ref="CQ643:EM643" si="430">SUM(CQ17:CQ40)+SUM(CQ50:CQ113)+SUM(CQ123:CQ159)+CQ167+SUM(CQ169:CQ188)+SUM(CQ256:CQ277)+SUM(CQ301:CQ309)+CQ342+SUM(CQ381:CQ386)+CQ392+CQ414+SUM(CQ421:CQ422)+SUM(CQ472:CQ475)+SUM(CQ492:CQ501)+SUM(CQ503:CQ517)+SUM(CQ519:CQ524)+SUM(CQ526:CQ527)+SUM(CQ558:CQ559)</f>
        <v>0</v>
      </c>
      <c r="CR643" s="6">
        <f t="shared" si="430"/>
        <v>0</v>
      </c>
      <c r="CS643" s="6">
        <f t="shared" si="430"/>
        <v>339</v>
      </c>
      <c r="CT643" s="6">
        <f t="shared" si="430"/>
        <v>470</v>
      </c>
      <c r="CU643" s="6">
        <f t="shared" si="430"/>
        <v>0</v>
      </c>
      <c r="CV643" s="6">
        <f t="shared" si="430"/>
        <v>0</v>
      </c>
      <c r="CW643" s="6">
        <f t="shared" si="430"/>
        <v>2426</v>
      </c>
      <c r="CX643" s="6">
        <f t="shared" si="430"/>
        <v>1657</v>
      </c>
      <c r="CY643" s="6">
        <f t="shared" si="430"/>
        <v>3628</v>
      </c>
      <c r="CZ643" s="6">
        <f t="shared" si="430"/>
        <v>3383</v>
      </c>
      <c r="DA643" s="6">
        <f t="shared" si="430"/>
        <v>4333</v>
      </c>
      <c r="DB643" s="6">
        <f t="shared" si="430"/>
        <v>3140</v>
      </c>
      <c r="DC643" s="6">
        <f t="shared" si="430"/>
        <v>0</v>
      </c>
      <c r="DD643" s="6">
        <f t="shared" si="430"/>
        <v>0</v>
      </c>
      <c r="DE643" s="6">
        <f t="shared" si="430"/>
        <v>3240</v>
      </c>
      <c r="DF643" s="6">
        <f t="shared" si="430"/>
        <v>1096</v>
      </c>
      <c r="DG643" s="6">
        <f t="shared" si="430"/>
        <v>0</v>
      </c>
      <c r="DH643" s="6">
        <f t="shared" si="430"/>
        <v>0</v>
      </c>
      <c r="DI643" s="6">
        <f t="shared" si="430"/>
        <v>0</v>
      </c>
      <c r="DJ643" s="6">
        <f t="shared" si="430"/>
        <v>0</v>
      </c>
      <c r="DK643" s="6">
        <f t="shared" si="430"/>
        <v>0</v>
      </c>
      <c r="DL643" s="6">
        <f t="shared" si="430"/>
        <v>0</v>
      </c>
      <c r="DM643" s="6">
        <f t="shared" si="430"/>
        <v>0</v>
      </c>
      <c r="DN643" s="6">
        <f t="shared" si="430"/>
        <v>0</v>
      </c>
      <c r="DO643" s="6">
        <f t="shared" si="430"/>
        <v>0</v>
      </c>
      <c r="DP643" s="6">
        <f t="shared" si="430"/>
        <v>0</v>
      </c>
      <c r="DQ643" s="6">
        <f t="shared" si="430"/>
        <v>0</v>
      </c>
      <c r="DR643" s="6">
        <f t="shared" si="430"/>
        <v>0</v>
      </c>
      <c r="DS643" s="6">
        <f t="shared" si="430"/>
        <v>0</v>
      </c>
      <c r="DT643" s="6">
        <f t="shared" si="430"/>
        <v>0</v>
      </c>
      <c r="DU643" s="6">
        <f t="shared" si="430"/>
        <v>0</v>
      </c>
      <c r="DV643" s="6">
        <f t="shared" si="430"/>
        <v>0</v>
      </c>
      <c r="DW643" s="6">
        <f t="shared" si="430"/>
        <v>0</v>
      </c>
      <c r="DX643" s="6">
        <f t="shared" si="430"/>
        <v>0</v>
      </c>
      <c r="DY643" s="6">
        <f t="shared" ref="DY643:DZ643" si="431">SUM(DY17:DY40)+SUM(DY50:DY113)+SUM(DY123:DY159)+DY167+SUM(DY169:DY188)+SUM(DY256:DY277)+SUM(DY301:DY309)+DY342+SUM(DY381:DY386)+DY392+DY414+SUM(DY421:DY422)+SUM(DY472:DY475)+SUM(DY492:DY501)+SUM(DY503:DY517)+SUM(DY519:DY524)+SUM(DY526:DY527)+SUM(DY558:DY559)</f>
        <v>0</v>
      </c>
      <c r="DZ643" s="6">
        <f t="shared" si="431"/>
        <v>0</v>
      </c>
      <c r="EA643" s="6">
        <f t="shared" si="430"/>
        <v>0</v>
      </c>
      <c r="EB643" s="6">
        <f t="shared" si="430"/>
        <v>0</v>
      </c>
      <c r="EC643" s="6">
        <f t="shared" si="430"/>
        <v>1214</v>
      </c>
      <c r="ED643" s="6">
        <f t="shared" si="430"/>
        <v>573</v>
      </c>
      <c r="EE643" s="6">
        <f t="shared" si="430"/>
        <v>1298</v>
      </c>
      <c r="EF643" s="6">
        <f t="shared" si="430"/>
        <v>479</v>
      </c>
      <c r="EG643" s="6">
        <f t="shared" si="430"/>
        <v>0</v>
      </c>
      <c r="EH643" s="6">
        <f t="shared" si="430"/>
        <v>0</v>
      </c>
      <c r="EI643" s="6">
        <f t="shared" si="430"/>
        <v>801</v>
      </c>
      <c r="EJ643" s="6">
        <f t="shared" si="430"/>
        <v>413</v>
      </c>
      <c r="EK643" s="6">
        <f t="shared" si="430"/>
        <v>708</v>
      </c>
      <c r="EL643" s="6">
        <f t="shared" si="430"/>
        <v>509</v>
      </c>
      <c r="EM643" s="6">
        <f t="shared" si="430"/>
        <v>0</v>
      </c>
      <c r="EN643" s="6">
        <f t="shared" ref="EN643:GR643" si="432">SUM(EN17:EN40)+SUM(EN50:EN113)+SUM(EN123:EN159)+EN167+SUM(EN169:EN188)+SUM(EN256:EN277)+SUM(EN301:EN309)+EN342+SUM(EN381:EN386)+EN392+EN414+SUM(EN421:EN422)+SUM(EN472:EN475)+SUM(EN492:EN501)+SUM(EN503:EN517)+SUM(EN519:EN524)+SUM(EN526:EN527)+SUM(EN558:EN559)</f>
        <v>0</v>
      </c>
      <c r="EO643" s="6">
        <f t="shared" si="432"/>
        <v>0</v>
      </c>
      <c r="EP643" s="6">
        <f t="shared" si="432"/>
        <v>0</v>
      </c>
      <c r="EQ643" s="6">
        <f t="shared" si="432"/>
        <v>0</v>
      </c>
      <c r="ER643" s="6">
        <f t="shared" si="432"/>
        <v>0</v>
      </c>
      <c r="ES643" s="6">
        <f t="shared" si="432"/>
        <v>0</v>
      </c>
      <c r="ET643" s="6">
        <f t="shared" si="432"/>
        <v>0</v>
      </c>
      <c r="EU643" s="6">
        <f t="shared" si="432"/>
        <v>1026</v>
      </c>
      <c r="EV643" s="6">
        <f t="shared" si="432"/>
        <v>451</v>
      </c>
      <c r="EW643" s="6">
        <f t="shared" si="432"/>
        <v>0</v>
      </c>
      <c r="EX643" s="6">
        <f t="shared" si="432"/>
        <v>0</v>
      </c>
      <c r="EY643" s="6">
        <f t="shared" si="432"/>
        <v>0</v>
      </c>
      <c r="EZ643" s="6">
        <f t="shared" si="432"/>
        <v>0</v>
      </c>
      <c r="FA643" s="6">
        <f t="shared" si="432"/>
        <v>527</v>
      </c>
      <c r="FB643" s="6">
        <f t="shared" si="432"/>
        <v>157</v>
      </c>
      <c r="FC643" s="6">
        <f t="shared" si="432"/>
        <v>0</v>
      </c>
      <c r="FD643" s="6">
        <f t="shared" si="432"/>
        <v>0</v>
      </c>
      <c r="FE643" s="6">
        <f t="shared" si="432"/>
        <v>0</v>
      </c>
      <c r="FF643" s="6">
        <f t="shared" si="432"/>
        <v>0</v>
      </c>
      <c r="FG643" s="6">
        <f t="shared" si="432"/>
        <v>0</v>
      </c>
      <c r="FH643" s="6">
        <f t="shared" si="432"/>
        <v>0</v>
      </c>
      <c r="FI643" s="6">
        <f t="shared" si="432"/>
        <v>0</v>
      </c>
      <c r="FJ643" s="6">
        <f t="shared" si="432"/>
        <v>0</v>
      </c>
      <c r="FK643" s="6">
        <f t="shared" si="432"/>
        <v>604</v>
      </c>
      <c r="FL643" s="6">
        <f t="shared" si="432"/>
        <v>266</v>
      </c>
      <c r="FM643" s="6">
        <f t="shared" si="432"/>
        <v>53</v>
      </c>
      <c r="FN643" s="6">
        <f t="shared" si="432"/>
        <v>144</v>
      </c>
      <c r="FO643" s="6">
        <f t="shared" si="432"/>
        <v>63</v>
      </c>
      <c r="FP643" s="6">
        <f t="shared" si="432"/>
        <v>132</v>
      </c>
      <c r="FQ643" s="6">
        <f t="shared" si="432"/>
        <v>53</v>
      </c>
      <c r="FR643" s="6">
        <f t="shared" si="432"/>
        <v>143</v>
      </c>
      <c r="FS643" s="6">
        <f t="shared" si="432"/>
        <v>62</v>
      </c>
      <c r="FT643" s="6">
        <f t="shared" si="432"/>
        <v>137</v>
      </c>
      <c r="FU643" s="6">
        <f t="shared" si="432"/>
        <v>64</v>
      </c>
      <c r="FV643" s="6">
        <f t="shared" si="432"/>
        <v>133</v>
      </c>
      <c r="FW643" s="6">
        <f t="shared" si="432"/>
        <v>76</v>
      </c>
      <c r="FX643" s="6">
        <f t="shared" si="432"/>
        <v>123</v>
      </c>
      <c r="FY643" s="6">
        <f t="shared" si="432"/>
        <v>74855</v>
      </c>
      <c r="FZ643" s="6">
        <f t="shared" si="432"/>
        <v>37064</v>
      </c>
      <c r="GA643" s="6">
        <f t="shared" si="432"/>
        <v>102</v>
      </c>
      <c r="GB643" s="6">
        <f t="shared" si="432"/>
        <v>65</v>
      </c>
      <c r="GC643" s="6">
        <f t="shared" si="432"/>
        <v>0</v>
      </c>
      <c r="GD643" s="6">
        <f t="shared" si="432"/>
        <v>0</v>
      </c>
      <c r="GE643" s="6">
        <f t="shared" si="432"/>
        <v>4432</v>
      </c>
      <c r="GF643" s="6">
        <f t="shared" si="432"/>
        <v>3125</v>
      </c>
      <c r="GG643" s="6">
        <f t="shared" si="432"/>
        <v>1567</v>
      </c>
      <c r="GH643" s="6">
        <f t="shared" si="432"/>
        <v>1140</v>
      </c>
      <c r="GI643" s="6">
        <f t="shared" si="432"/>
        <v>0</v>
      </c>
      <c r="GJ643" s="6">
        <f t="shared" si="432"/>
        <v>0</v>
      </c>
      <c r="GK643" s="6">
        <f t="shared" si="432"/>
        <v>1151</v>
      </c>
      <c r="GL643" s="6">
        <f t="shared" si="432"/>
        <v>2218</v>
      </c>
      <c r="GM643" s="6">
        <f t="shared" si="432"/>
        <v>0</v>
      </c>
      <c r="GN643" s="6">
        <f t="shared" si="432"/>
        <v>0</v>
      </c>
      <c r="GO643" s="6">
        <f t="shared" si="432"/>
        <v>110773</v>
      </c>
      <c r="GP643" s="6">
        <f t="shared" si="432"/>
        <v>42713</v>
      </c>
      <c r="GQ643" s="6">
        <f t="shared" si="432"/>
        <v>117229</v>
      </c>
      <c r="GR643" s="6">
        <f t="shared" si="432"/>
        <v>36574</v>
      </c>
    </row>
    <row r="644" spans="1:200">
      <c r="A644" s="6"/>
      <c r="B644" s="16" t="s">
        <v>95</v>
      </c>
      <c r="C644" s="14">
        <f>SUM(C4:C16)+SUM(C41:C49)+SUM(C226:C238)+SUM(C310:C341)+SUM(C387:C391)+C418+SUM(C476:C477)+SUM(C490:C491)+SUM(C541:C554)</f>
        <v>86017</v>
      </c>
      <c r="D644" s="14">
        <f>SUM(D4:D16)+SUM(D41:D49)+SUM(D226:D238)+SUM(D310:D341)+SUM(D387:D391)+D418+SUM(D476:D477)+SUM(D490:D491)+SUM(D541:D554)</f>
        <v>68059</v>
      </c>
      <c r="E644" s="15">
        <f t="shared" si="351"/>
        <v>0.79122731553065095</v>
      </c>
      <c r="F644" s="66">
        <f>SUM(F4:F16)+SUM(F41:F49)+SUM(F226:F238)+SUM(F310:F341)+SUM(F387:F391)+F418+SUM(F476:F477)+SUM(F490:F491)+SUM(F541:F554)</f>
        <v>29071</v>
      </c>
      <c r="G644" s="6">
        <f>SUM(G4:G16)+SUM(G41:G49)+SUM(G226:G238)+SUM(G310:G341)+SUM(G387:G391)+G418+SUM(G476:G477)+SUM(G490:G491)+SUM(G541:G554)</f>
        <v>151</v>
      </c>
      <c r="H644" s="6">
        <f>SUM(H4:H16)+SUM(H41:H49)+SUM(H226:H238)+SUM(H310:H341)+SUM(H387:H391)+H418+SUM(H476:H477)+SUM(H490:H491)+SUM(H541:H554)</f>
        <v>2808</v>
      </c>
      <c r="I644" s="6">
        <f>SUM(I4:I16)+SUM(I41:I49)+SUM(I226:I238)+SUM(I310:I341)+SUM(I387:I391)+I418+SUM(I476:I477)+SUM(I490:I491)+SUM(I541:I554)</f>
        <v>547</v>
      </c>
      <c r="J644" s="59">
        <f>SUM(J4:J16)+SUM(J41:J49)+SUM(J226:J238)+SUM(J310:J341)+SUM(J387:J391)+J418+SUM(J476:J477)+SUM(J490:J491)+SUM(J541:J554)</f>
        <v>33210</v>
      </c>
      <c r="K644" s="6">
        <f t="shared" ref="K644" si="433">SUM(K4:K16)+SUM(K41:K49)+SUM(K226:K238)+SUM(K310:K341)+SUM(K387:K391)+K418+SUM(K476:K477)+SUM(K490:K491)+SUM(K541:K554)</f>
        <v>0</v>
      </c>
      <c r="L644" s="6">
        <f t="shared" ref="L644:AB644" si="434">SUM(L4:L16)+SUM(L41:L49)+SUM(L226:L238)+SUM(L310:L341)+SUM(L387:L391)+L418+SUM(L476:L477)+SUM(L490:L491)+SUM(L541:L554)</f>
        <v>0</v>
      </c>
      <c r="M644" s="6">
        <f t="shared" si="434"/>
        <v>14</v>
      </c>
      <c r="N644" s="6">
        <f t="shared" si="434"/>
        <v>0</v>
      </c>
      <c r="O644" s="6">
        <f t="shared" si="434"/>
        <v>1</v>
      </c>
      <c r="P644" s="6">
        <f t="shared" si="434"/>
        <v>0</v>
      </c>
      <c r="Q644" s="6">
        <f t="shared" si="434"/>
        <v>0</v>
      </c>
      <c r="R644" s="6">
        <f t="shared" si="434"/>
        <v>0</v>
      </c>
      <c r="S644" s="6">
        <f t="shared" si="434"/>
        <v>3</v>
      </c>
      <c r="T644" s="6">
        <f t="shared" si="434"/>
        <v>3</v>
      </c>
      <c r="U644" s="6">
        <f t="shared" si="434"/>
        <v>0</v>
      </c>
      <c r="V644" s="6">
        <f t="shared" si="434"/>
        <v>16</v>
      </c>
      <c r="W644" s="6">
        <f t="shared" si="434"/>
        <v>330</v>
      </c>
      <c r="X644" s="6">
        <f t="shared" si="434"/>
        <v>0</v>
      </c>
      <c r="Y644" s="6">
        <f t="shared" si="434"/>
        <v>2</v>
      </c>
      <c r="Z644" s="6">
        <f t="shared" si="434"/>
        <v>0</v>
      </c>
      <c r="AA644" s="6">
        <f t="shared" si="434"/>
        <v>0</v>
      </c>
      <c r="AB644" s="6">
        <f t="shared" si="434"/>
        <v>0</v>
      </c>
      <c r="AC644" s="6">
        <f t="shared" ref="AC644:BZ644" si="435">SUM(AC4:AC16)+SUM(AC41:AC49)+SUM(AC226:AC238)+SUM(AC310:AC341)+SUM(AC387:AC391)+AC418+SUM(AC476:AC477)+SUM(AC490:AC491)+SUM(AC541:AC554)</f>
        <v>528</v>
      </c>
      <c r="AD644" s="6">
        <f t="shared" si="435"/>
        <v>898</v>
      </c>
      <c r="AE644" s="6">
        <f t="shared" si="435"/>
        <v>44455</v>
      </c>
      <c r="AF644" s="6">
        <f t="shared" si="435"/>
        <v>534</v>
      </c>
      <c r="AG644" s="6">
        <f t="shared" si="435"/>
        <v>2</v>
      </c>
      <c r="AH644" s="6">
        <f t="shared" si="435"/>
        <v>19618</v>
      </c>
      <c r="AI644" s="6">
        <f t="shared" si="435"/>
        <v>8117</v>
      </c>
      <c r="AJ644" s="6">
        <f t="shared" si="435"/>
        <v>0</v>
      </c>
      <c r="AK644" s="6">
        <f t="shared" si="435"/>
        <v>0</v>
      </c>
      <c r="AL644" s="6">
        <f t="shared" si="435"/>
        <v>4075</v>
      </c>
      <c r="AM644" s="6">
        <f t="shared" si="435"/>
        <v>1844</v>
      </c>
      <c r="AN644" s="6">
        <f t="shared" si="435"/>
        <v>15403</v>
      </c>
      <c r="AO644" s="6">
        <f t="shared" si="435"/>
        <v>34850</v>
      </c>
      <c r="AP644" s="6">
        <f t="shared" si="435"/>
        <v>0</v>
      </c>
      <c r="AQ644" s="6">
        <f t="shared" si="435"/>
        <v>0</v>
      </c>
      <c r="AR644" s="6">
        <f t="shared" si="435"/>
        <v>40556</v>
      </c>
      <c r="AS644" s="6">
        <f t="shared" si="435"/>
        <v>22447</v>
      </c>
      <c r="AT644" s="6">
        <f t="shared" si="435"/>
        <v>0</v>
      </c>
      <c r="AU644" s="6">
        <f t="shared" si="435"/>
        <v>0</v>
      </c>
      <c r="AV644" s="6">
        <f t="shared" si="435"/>
        <v>0</v>
      </c>
      <c r="AW644" s="6">
        <f t="shared" si="435"/>
        <v>0</v>
      </c>
      <c r="AX644" s="6">
        <f t="shared" si="435"/>
        <v>0</v>
      </c>
      <c r="AY644" s="6">
        <f t="shared" si="435"/>
        <v>0</v>
      </c>
      <c r="AZ644" s="6">
        <f t="shared" si="435"/>
        <v>0</v>
      </c>
      <c r="BA644" s="6">
        <f t="shared" si="435"/>
        <v>0</v>
      </c>
      <c r="BB644" s="6">
        <f t="shared" si="435"/>
        <v>0</v>
      </c>
      <c r="BC644" s="6">
        <f t="shared" si="435"/>
        <v>0</v>
      </c>
      <c r="BD644" s="6">
        <f t="shared" si="435"/>
        <v>0</v>
      </c>
      <c r="BE644" s="6">
        <f t="shared" si="435"/>
        <v>35867</v>
      </c>
      <c r="BF644" s="6">
        <f t="shared" si="435"/>
        <v>27719</v>
      </c>
      <c r="BG644" s="6">
        <f t="shared" si="435"/>
        <v>39079</v>
      </c>
      <c r="BH644" s="6">
        <f t="shared" si="435"/>
        <v>24500</v>
      </c>
      <c r="BI644" s="6">
        <f t="shared" si="435"/>
        <v>42274</v>
      </c>
      <c r="BJ644" s="6">
        <f t="shared" si="435"/>
        <v>20825</v>
      </c>
      <c r="BK644" s="6">
        <f t="shared" si="435"/>
        <v>27411</v>
      </c>
      <c r="BL644" s="6">
        <f t="shared" si="435"/>
        <v>35446</v>
      </c>
      <c r="BM644" s="6">
        <f t="shared" si="435"/>
        <v>32007</v>
      </c>
      <c r="BN644" s="6">
        <f t="shared" si="435"/>
        <v>30207</v>
      </c>
      <c r="BO644" s="6">
        <f t="shared" si="435"/>
        <v>22723</v>
      </c>
      <c r="BP644" s="6">
        <f t="shared" si="435"/>
        <v>38206</v>
      </c>
      <c r="BQ644" s="6">
        <f t="shared" si="435"/>
        <v>42308</v>
      </c>
      <c r="BR644" s="6">
        <f t="shared" si="435"/>
        <v>19255</v>
      </c>
      <c r="BS644" s="6">
        <f t="shared" si="435"/>
        <v>44923</v>
      </c>
      <c r="BT644" s="6">
        <f t="shared" si="435"/>
        <v>29232</v>
      </c>
      <c r="BU644" s="6">
        <f t="shared" si="435"/>
        <v>32109</v>
      </c>
      <c r="BV644" s="6">
        <f t="shared" si="435"/>
        <v>43868</v>
      </c>
      <c r="BW644" s="6">
        <f t="shared" si="435"/>
        <v>31784</v>
      </c>
      <c r="BX644" s="6">
        <f t="shared" si="435"/>
        <v>18916</v>
      </c>
      <c r="BY644" s="6">
        <f t="shared" si="435"/>
        <v>34651</v>
      </c>
      <c r="BZ644" s="6">
        <f t="shared" si="435"/>
        <v>20399</v>
      </c>
      <c r="CA644" s="6">
        <f t="shared" ref="CA644:CP644" si="436">SUM(CA4:CA16)+SUM(CA41:CA49)+SUM(CA226:CA238)+SUM(CA310:CA341)+SUM(CA387:CA391)+CA418+SUM(CA476:CA477)+SUM(CA490:CA491)+SUM(CA541:CA554)</f>
        <v>39609</v>
      </c>
      <c r="CB644" s="6">
        <f t="shared" si="436"/>
        <v>32304</v>
      </c>
      <c r="CC644" s="6">
        <f t="shared" si="436"/>
        <v>19208</v>
      </c>
      <c r="CD644" s="6">
        <f t="shared" si="436"/>
        <v>36622</v>
      </c>
      <c r="CE644" s="6">
        <f t="shared" si="436"/>
        <v>21160</v>
      </c>
      <c r="CF644" s="6">
        <f t="shared" si="436"/>
        <v>29703</v>
      </c>
      <c r="CG644" s="6">
        <f t="shared" si="436"/>
        <v>32538</v>
      </c>
      <c r="CH644" s="6">
        <f t="shared" si="436"/>
        <v>16580</v>
      </c>
      <c r="CI644" s="6">
        <f t="shared" si="436"/>
        <v>12195</v>
      </c>
      <c r="CJ644" s="6">
        <f t="shared" si="436"/>
        <v>37726</v>
      </c>
      <c r="CK644" s="6">
        <f t="shared" si="436"/>
        <v>30285</v>
      </c>
      <c r="CL644" s="6">
        <f t="shared" si="436"/>
        <v>18375</v>
      </c>
      <c r="CM644" s="6">
        <f t="shared" si="436"/>
        <v>37570</v>
      </c>
      <c r="CN644" s="6">
        <f t="shared" si="436"/>
        <v>37994</v>
      </c>
      <c r="CO644" s="6">
        <f t="shared" si="436"/>
        <v>15784</v>
      </c>
      <c r="CP644" s="6">
        <f t="shared" si="436"/>
        <v>33360</v>
      </c>
      <c r="CQ644" s="6">
        <f t="shared" ref="CQ644:EM644" si="437">SUM(CQ4:CQ16)+SUM(CQ41:CQ49)+SUM(CQ226:CQ238)+SUM(CQ310:CQ341)+SUM(CQ387:CQ391)+CQ418+SUM(CQ476:CQ477)+SUM(CQ490:CQ491)+SUM(CQ541:CQ554)</f>
        <v>0</v>
      </c>
      <c r="CR644" s="6">
        <f t="shared" si="437"/>
        <v>0</v>
      </c>
      <c r="CS644" s="6">
        <f t="shared" si="437"/>
        <v>0</v>
      </c>
      <c r="CT644" s="6">
        <f t="shared" si="437"/>
        <v>0</v>
      </c>
      <c r="CU644" s="6">
        <f t="shared" si="437"/>
        <v>0</v>
      </c>
      <c r="CV644" s="6">
        <f t="shared" si="437"/>
        <v>0</v>
      </c>
      <c r="CW644" s="6">
        <f t="shared" si="437"/>
        <v>0</v>
      </c>
      <c r="CX644" s="6">
        <f t="shared" si="437"/>
        <v>0</v>
      </c>
      <c r="CY644" s="6">
        <f t="shared" si="437"/>
        <v>0</v>
      </c>
      <c r="CZ644" s="6">
        <f t="shared" si="437"/>
        <v>0</v>
      </c>
      <c r="DA644" s="6">
        <f t="shared" si="437"/>
        <v>0</v>
      </c>
      <c r="DB644" s="6">
        <f t="shared" si="437"/>
        <v>0</v>
      </c>
      <c r="DC644" s="6">
        <f t="shared" si="437"/>
        <v>0</v>
      </c>
      <c r="DD644" s="6">
        <f t="shared" si="437"/>
        <v>0</v>
      </c>
      <c r="DE644" s="6">
        <f t="shared" si="437"/>
        <v>0</v>
      </c>
      <c r="DF644" s="6">
        <f t="shared" si="437"/>
        <v>0</v>
      </c>
      <c r="DG644" s="6">
        <f t="shared" si="437"/>
        <v>0</v>
      </c>
      <c r="DH644" s="6">
        <f t="shared" si="437"/>
        <v>0</v>
      </c>
      <c r="DI644" s="6">
        <f t="shared" si="437"/>
        <v>0</v>
      </c>
      <c r="DJ644" s="6">
        <f t="shared" si="437"/>
        <v>0</v>
      </c>
      <c r="DK644" s="6">
        <f t="shared" si="437"/>
        <v>0</v>
      </c>
      <c r="DL644" s="6">
        <f t="shared" si="437"/>
        <v>0</v>
      </c>
      <c r="DM644" s="6">
        <f t="shared" si="437"/>
        <v>0</v>
      </c>
      <c r="DN644" s="6">
        <f t="shared" si="437"/>
        <v>0</v>
      </c>
      <c r="DO644" s="6">
        <f t="shared" si="437"/>
        <v>0</v>
      </c>
      <c r="DP644" s="6">
        <f t="shared" si="437"/>
        <v>0</v>
      </c>
      <c r="DQ644" s="6">
        <f t="shared" si="437"/>
        <v>0</v>
      </c>
      <c r="DR644" s="6">
        <f t="shared" si="437"/>
        <v>0</v>
      </c>
      <c r="DS644" s="6">
        <f t="shared" si="437"/>
        <v>0</v>
      </c>
      <c r="DT644" s="6">
        <f t="shared" si="437"/>
        <v>0</v>
      </c>
      <c r="DU644" s="6">
        <f t="shared" si="437"/>
        <v>0</v>
      </c>
      <c r="DV644" s="6">
        <f t="shared" si="437"/>
        <v>0</v>
      </c>
      <c r="DW644" s="6">
        <f t="shared" si="437"/>
        <v>0</v>
      </c>
      <c r="DX644" s="6">
        <f t="shared" si="437"/>
        <v>0</v>
      </c>
      <c r="DY644" s="6">
        <f t="shared" ref="DY644:DZ644" si="438">SUM(DY4:DY16)+SUM(DY41:DY49)+SUM(DY226:DY238)+SUM(DY310:DY341)+SUM(DY387:DY391)+DY418+SUM(DY476:DY477)+SUM(DY490:DY491)+SUM(DY541:DY554)</f>
        <v>448</v>
      </c>
      <c r="DZ644" s="6">
        <f t="shared" si="438"/>
        <v>427</v>
      </c>
      <c r="EA644" s="6">
        <f t="shared" si="437"/>
        <v>0</v>
      </c>
      <c r="EB644" s="6">
        <f t="shared" si="437"/>
        <v>0</v>
      </c>
      <c r="EC644" s="6">
        <f t="shared" si="437"/>
        <v>0</v>
      </c>
      <c r="ED644" s="6">
        <f t="shared" si="437"/>
        <v>0</v>
      </c>
      <c r="EE644" s="6">
        <f t="shared" si="437"/>
        <v>0</v>
      </c>
      <c r="EF644" s="6">
        <f t="shared" si="437"/>
        <v>0</v>
      </c>
      <c r="EG644" s="6">
        <f t="shared" si="437"/>
        <v>0</v>
      </c>
      <c r="EH644" s="6">
        <f t="shared" si="437"/>
        <v>0</v>
      </c>
      <c r="EI644" s="6">
        <f t="shared" si="437"/>
        <v>0</v>
      </c>
      <c r="EJ644" s="6">
        <f t="shared" si="437"/>
        <v>0</v>
      </c>
      <c r="EK644" s="6">
        <f t="shared" si="437"/>
        <v>0</v>
      </c>
      <c r="EL644" s="6">
        <f t="shared" si="437"/>
        <v>0</v>
      </c>
      <c r="EM644" s="6">
        <f t="shared" si="437"/>
        <v>1423</v>
      </c>
      <c r="EN644" s="6">
        <f t="shared" ref="EN644:GR644" si="439">SUM(EN4:EN16)+SUM(EN41:EN49)+SUM(EN226:EN238)+SUM(EN310:EN341)+SUM(EN387:EN391)+EN418+SUM(EN476:EN477)+SUM(EN490:EN491)+SUM(EN541:EN554)</f>
        <v>581</v>
      </c>
      <c r="EO644" s="6">
        <f t="shared" si="439"/>
        <v>860</v>
      </c>
      <c r="EP644" s="6">
        <f t="shared" si="439"/>
        <v>1163</v>
      </c>
      <c r="EQ644" s="6">
        <f t="shared" si="439"/>
        <v>0</v>
      </c>
      <c r="ER644" s="6">
        <f t="shared" si="439"/>
        <v>0</v>
      </c>
      <c r="ES644" s="6">
        <f t="shared" si="439"/>
        <v>1124</v>
      </c>
      <c r="ET644" s="6">
        <f t="shared" si="439"/>
        <v>297</v>
      </c>
      <c r="EU644" s="6">
        <f t="shared" si="439"/>
        <v>0</v>
      </c>
      <c r="EV644" s="6">
        <f t="shared" si="439"/>
        <v>0</v>
      </c>
      <c r="EW644" s="6">
        <f t="shared" si="439"/>
        <v>17117</v>
      </c>
      <c r="EX644" s="6">
        <f t="shared" si="439"/>
        <v>8669</v>
      </c>
      <c r="EY644" s="6">
        <f t="shared" si="439"/>
        <v>14343</v>
      </c>
      <c r="EZ644" s="6">
        <f t="shared" si="439"/>
        <v>9081</v>
      </c>
      <c r="FA644" s="6">
        <f t="shared" si="439"/>
        <v>0</v>
      </c>
      <c r="FB644" s="6">
        <f t="shared" si="439"/>
        <v>0</v>
      </c>
      <c r="FC644" s="6">
        <f t="shared" si="439"/>
        <v>0</v>
      </c>
      <c r="FD644" s="6">
        <f t="shared" si="439"/>
        <v>0</v>
      </c>
      <c r="FE644" s="6">
        <f t="shared" si="439"/>
        <v>0</v>
      </c>
      <c r="FF644" s="6">
        <f t="shared" si="439"/>
        <v>0</v>
      </c>
      <c r="FG644" s="6">
        <f t="shared" si="439"/>
        <v>0</v>
      </c>
      <c r="FH644" s="6">
        <f t="shared" si="439"/>
        <v>0</v>
      </c>
      <c r="FI644" s="6">
        <f t="shared" si="439"/>
        <v>0</v>
      </c>
      <c r="FJ644" s="6">
        <f t="shared" si="439"/>
        <v>0</v>
      </c>
      <c r="FK644" s="6">
        <f t="shared" si="439"/>
        <v>0</v>
      </c>
      <c r="FL644" s="6">
        <f t="shared" si="439"/>
        <v>0</v>
      </c>
      <c r="FM644" s="6">
        <f t="shared" si="439"/>
        <v>0</v>
      </c>
      <c r="FN644" s="6">
        <f t="shared" si="439"/>
        <v>0</v>
      </c>
      <c r="FO644" s="6">
        <f t="shared" si="439"/>
        <v>0</v>
      </c>
      <c r="FP644" s="6">
        <f t="shared" si="439"/>
        <v>0</v>
      </c>
      <c r="FQ644" s="6">
        <f t="shared" si="439"/>
        <v>0</v>
      </c>
      <c r="FR644" s="6">
        <f t="shared" si="439"/>
        <v>0</v>
      </c>
      <c r="FS644" s="6">
        <f t="shared" si="439"/>
        <v>0</v>
      </c>
      <c r="FT644" s="6">
        <f t="shared" si="439"/>
        <v>0</v>
      </c>
      <c r="FU644" s="6">
        <f t="shared" si="439"/>
        <v>0</v>
      </c>
      <c r="FV644" s="6">
        <f t="shared" si="439"/>
        <v>0</v>
      </c>
      <c r="FW644" s="6">
        <f t="shared" si="439"/>
        <v>0</v>
      </c>
      <c r="FX644" s="6">
        <f t="shared" si="439"/>
        <v>0</v>
      </c>
      <c r="FY644" s="6">
        <f t="shared" si="439"/>
        <v>8355</v>
      </c>
      <c r="FZ644" s="6">
        <f t="shared" si="439"/>
        <v>7787</v>
      </c>
      <c r="GA644" s="6">
        <f t="shared" si="439"/>
        <v>0</v>
      </c>
      <c r="GB644" s="6">
        <f t="shared" si="439"/>
        <v>0</v>
      </c>
      <c r="GC644" s="6">
        <f t="shared" si="439"/>
        <v>13</v>
      </c>
      <c r="GD644" s="6">
        <f t="shared" si="439"/>
        <v>26</v>
      </c>
      <c r="GE644" s="6">
        <f t="shared" si="439"/>
        <v>0</v>
      </c>
      <c r="GF644" s="6">
        <f t="shared" si="439"/>
        <v>0</v>
      </c>
      <c r="GG644" s="6">
        <f t="shared" si="439"/>
        <v>0</v>
      </c>
      <c r="GH644" s="6">
        <f t="shared" si="439"/>
        <v>0</v>
      </c>
      <c r="GI644" s="6">
        <f t="shared" si="439"/>
        <v>2787</v>
      </c>
      <c r="GJ644" s="6">
        <f t="shared" si="439"/>
        <v>1637</v>
      </c>
      <c r="GK644" s="6">
        <f t="shared" si="439"/>
        <v>0</v>
      </c>
      <c r="GL644" s="6">
        <f t="shared" si="439"/>
        <v>0</v>
      </c>
      <c r="GM644" s="6">
        <f t="shared" si="439"/>
        <v>15849</v>
      </c>
      <c r="GN644" s="6">
        <f t="shared" si="439"/>
        <v>10159</v>
      </c>
      <c r="GO644" s="6">
        <f t="shared" si="439"/>
        <v>45600</v>
      </c>
      <c r="GP644" s="6">
        <f t="shared" si="439"/>
        <v>19420</v>
      </c>
      <c r="GQ644" s="6">
        <f t="shared" si="439"/>
        <v>47149</v>
      </c>
      <c r="GR644" s="6">
        <f t="shared" si="439"/>
        <v>17892</v>
      </c>
    </row>
    <row r="645" spans="1:200">
      <c r="A645" s="6"/>
      <c r="B645" s="16" t="s">
        <v>703</v>
      </c>
      <c r="C645" s="14">
        <f>SUM(C189:C198)+SUM(C203:C219)+SUM(C239:C255)+SUM(C278:C300)+SUM(C415:C417)+SUM(C419:C420)+SUM(C466:C468)+C502+C518+C525+SUM(C528:C540)</f>
        <v>86937</v>
      </c>
      <c r="D645" s="14">
        <f>SUM(D189:D198)+SUM(D203:D219)+SUM(D239:D255)+SUM(D278:D300)+SUM(D415:D417)+SUM(D419:D420)+SUM(D466:D468)+D502+D518+D525+SUM(D528:D540)</f>
        <v>67212</v>
      </c>
      <c r="E645" s="15">
        <f t="shared" si="351"/>
        <v>0.77311156354601607</v>
      </c>
      <c r="F645" s="66">
        <f>SUM(F189:F198)+SUM(F203:F219)+SUM(F239:F255)+SUM(F278:F300)+SUM(F415:F417)+SUM(F419:F420)+SUM(F466:F468)+F502+F518+F525+SUM(F528:F540)</f>
        <v>32546</v>
      </c>
      <c r="G645" s="6">
        <f>SUM(G189:G198)+SUM(G203:G219)+SUM(G239:G255)+SUM(G278:G300)+SUM(G415:G417)+SUM(G419:G420)+SUM(G466:G468)+G502+G518+G525+SUM(G528:G540)</f>
        <v>231</v>
      </c>
      <c r="H645" s="6">
        <f>SUM(H189:H198)+SUM(H203:H219)+SUM(H239:H255)+SUM(H278:H300)+SUM(H415:H417)+SUM(H419:H420)+SUM(H466:H468)+H502+H518+H525+SUM(H528:H540)</f>
        <v>2318</v>
      </c>
      <c r="I645" s="6">
        <f>SUM(I189:I198)+SUM(I203:I219)+SUM(I239:I255)+SUM(I278:I300)+SUM(I415:I417)+SUM(I419:I420)+SUM(I466:I468)+I502+I518+I525+SUM(I528:I540)</f>
        <v>539</v>
      </c>
      <c r="J645" s="59">
        <f>SUM(J189:J198)+SUM(J203:J219)+SUM(J239:J255)+SUM(J278:J300)+SUM(J415:J417)+SUM(J419:J420)+SUM(J466:J468)+J502+J518+J525+SUM(J528:J540)</f>
        <v>29803</v>
      </c>
      <c r="K645" s="6">
        <f t="shared" ref="K645" si="440">SUM(K189:K198)+SUM(K203:K219)+SUM(K239:K255)+SUM(K278:K300)+SUM(K415:K417)+SUM(K419:K420)+SUM(K466:K468)+K502+K518+K525+SUM(K528:K540)</f>
        <v>0</v>
      </c>
      <c r="L645" s="6">
        <f t="shared" ref="L645:AB645" si="441">SUM(L189:L198)+SUM(L203:L219)+SUM(L239:L255)+SUM(L278:L300)+SUM(L415:L417)+SUM(L419:L420)+SUM(L466:L468)+L502+L518+L525+SUM(L528:L540)</f>
        <v>0</v>
      </c>
      <c r="M645" s="6">
        <f t="shared" si="441"/>
        <v>27</v>
      </c>
      <c r="N645" s="6">
        <f t="shared" si="441"/>
        <v>0</v>
      </c>
      <c r="O645" s="6">
        <f t="shared" si="441"/>
        <v>1</v>
      </c>
      <c r="P645" s="6">
        <f t="shared" si="441"/>
        <v>3</v>
      </c>
      <c r="Q645" s="6">
        <f t="shared" si="441"/>
        <v>0</v>
      </c>
      <c r="R645" s="6">
        <f t="shared" si="441"/>
        <v>1</v>
      </c>
      <c r="S645" s="6">
        <f t="shared" si="441"/>
        <v>0</v>
      </c>
      <c r="T645" s="6">
        <f t="shared" si="441"/>
        <v>1</v>
      </c>
      <c r="U645" s="6">
        <f t="shared" si="441"/>
        <v>0</v>
      </c>
      <c r="V645" s="6">
        <f t="shared" si="441"/>
        <v>13</v>
      </c>
      <c r="W645" s="6">
        <f t="shared" si="441"/>
        <v>275</v>
      </c>
      <c r="X645" s="6">
        <f t="shared" si="441"/>
        <v>0</v>
      </c>
      <c r="Y645" s="6">
        <f t="shared" si="441"/>
        <v>0</v>
      </c>
      <c r="Z645" s="6">
        <f t="shared" si="441"/>
        <v>1</v>
      </c>
      <c r="AA645" s="6">
        <f t="shared" si="441"/>
        <v>0</v>
      </c>
      <c r="AB645" s="6">
        <f t="shared" si="441"/>
        <v>0</v>
      </c>
      <c r="AC645" s="6">
        <f t="shared" ref="AC645:BZ645" si="442">SUM(AC189:AC198)+SUM(AC203:AC219)+SUM(AC239:AC255)+SUM(AC278:AC300)+SUM(AC415:AC417)+SUM(AC419:AC420)+SUM(AC466:AC468)+AC502+AC518+AC525+SUM(AC528:AC540)</f>
        <v>738</v>
      </c>
      <c r="AD645" s="6">
        <f t="shared" si="442"/>
        <v>964</v>
      </c>
      <c r="AE645" s="6">
        <f t="shared" si="442"/>
        <v>37832</v>
      </c>
      <c r="AF645" s="6">
        <f t="shared" si="442"/>
        <v>679</v>
      </c>
      <c r="AG645" s="6">
        <f t="shared" si="442"/>
        <v>1</v>
      </c>
      <c r="AH645" s="6">
        <f t="shared" si="442"/>
        <v>24841</v>
      </c>
      <c r="AI645" s="6">
        <f t="shared" si="442"/>
        <v>17452</v>
      </c>
      <c r="AJ645" s="6">
        <f t="shared" si="442"/>
        <v>10</v>
      </c>
      <c r="AK645" s="6">
        <f t="shared" si="442"/>
        <v>0</v>
      </c>
      <c r="AL645" s="6">
        <f t="shared" si="442"/>
        <v>17521</v>
      </c>
      <c r="AM645" s="6">
        <f t="shared" si="442"/>
        <v>694</v>
      </c>
      <c r="AN645" s="6">
        <f t="shared" si="442"/>
        <v>9143</v>
      </c>
      <c r="AO645" s="6">
        <f t="shared" si="442"/>
        <v>18971</v>
      </c>
      <c r="AP645" s="6">
        <f t="shared" si="442"/>
        <v>28903</v>
      </c>
      <c r="AQ645" s="6">
        <f t="shared" si="442"/>
        <v>32574</v>
      </c>
      <c r="AR645" s="6">
        <f t="shared" si="442"/>
        <v>0</v>
      </c>
      <c r="AS645" s="6">
        <f t="shared" si="442"/>
        <v>0</v>
      </c>
      <c r="AT645" s="6">
        <f t="shared" si="442"/>
        <v>36098</v>
      </c>
      <c r="AU645" s="6">
        <f t="shared" si="442"/>
        <v>26808</v>
      </c>
      <c r="AV645" s="6">
        <f t="shared" si="442"/>
        <v>0</v>
      </c>
      <c r="AW645" s="6">
        <f t="shared" si="442"/>
        <v>0</v>
      </c>
      <c r="AX645" s="6">
        <f t="shared" si="442"/>
        <v>0</v>
      </c>
      <c r="AY645" s="6">
        <f t="shared" si="442"/>
        <v>0</v>
      </c>
      <c r="AZ645" s="6">
        <f t="shared" si="442"/>
        <v>0</v>
      </c>
      <c r="BA645" s="6">
        <f t="shared" si="442"/>
        <v>0</v>
      </c>
      <c r="BB645" s="6">
        <f t="shared" si="442"/>
        <v>0</v>
      </c>
      <c r="BC645" s="6">
        <f t="shared" si="442"/>
        <v>0</v>
      </c>
      <c r="BD645" s="6">
        <f t="shared" si="442"/>
        <v>0</v>
      </c>
      <c r="BE645" s="6">
        <f t="shared" si="442"/>
        <v>28389</v>
      </c>
      <c r="BF645" s="6">
        <f t="shared" si="442"/>
        <v>34172</v>
      </c>
      <c r="BG645" s="6">
        <f t="shared" si="442"/>
        <v>34197</v>
      </c>
      <c r="BH645" s="6">
        <f t="shared" si="442"/>
        <v>28829</v>
      </c>
      <c r="BI645" s="6">
        <f t="shared" si="442"/>
        <v>36929</v>
      </c>
      <c r="BJ645" s="6">
        <f t="shared" si="442"/>
        <v>25388</v>
      </c>
      <c r="BK645" s="6">
        <f t="shared" si="442"/>
        <v>30752</v>
      </c>
      <c r="BL645" s="6">
        <f t="shared" si="442"/>
        <v>31756</v>
      </c>
      <c r="BM645" s="6">
        <f t="shared" si="442"/>
        <v>27542</v>
      </c>
      <c r="BN645" s="6">
        <f t="shared" si="442"/>
        <v>34320</v>
      </c>
      <c r="BO645" s="6">
        <f t="shared" si="442"/>
        <v>28487</v>
      </c>
      <c r="BP645" s="6">
        <f t="shared" si="442"/>
        <v>32710</v>
      </c>
      <c r="BQ645" s="6">
        <f t="shared" si="442"/>
        <v>36650</v>
      </c>
      <c r="BR645" s="6">
        <f t="shared" si="442"/>
        <v>25011</v>
      </c>
      <c r="BS645" s="6">
        <f t="shared" si="442"/>
        <v>41605</v>
      </c>
      <c r="BT645" s="6">
        <f t="shared" si="442"/>
        <v>24782</v>
      </c>
      <c r="BU645" s="6">
        <f t="shared" si="442"/>
        <v>36056</v>
      </c>
      <c r="BV645" s="6">
        <f t="shared" si="442"/>
        <v>41675</v>
      </c>
      <c r="BW645" s="6">
        <f t="shared" si="442"/>
        <v>28214</v>
      </c>
      <c r="BX645" s="6">
        <f t="shared" si="442"/>
        <v>22830</v>
      </c>
      <c r="BY645" s="6">
        <f t="shared" si="442"/>
        <v>32575</v>
      </c>
      <c r="BZ645" s="6">
        <f t="shared" si="442"/>
        <v>22801</v>
      </c>
      <c r="CA645" s="6">
        <f t="shared" ref="CA645:CP645" si="443">SUM(CA189:CA198)+SUM(CA203:CA219)+SUM(CA239:CA255)+SUM(CA278:CA300)+SUM(CA415:CA417)+SUM(CA419:CA420)+SUM(CA466:CA468)+CA502+CA518+CA525+SUM(CA528:CA540)</f>
        <v>38094</v>
      </c>
      <c r="CB645" s="6">
        <f t="shared" si="443"/>
        <v>25329</v>
      </c>
      <c r="CC645" s="6">
        <f t="shared" si="443"/>
        <v>24371</v>
      </c>
      <c r="CD645" s="6">
        <f t="shared" si="443"/>
        <v>37942</v>
      </c>
      <c r="CE645" s="6">
        <f t="shared" si="443"/>
        <v>23894</v>
      </c>
      <c r="CF645" s="6">
        <f t="shared" si="443"/>
        <v>27353</v>
      </c>
      <c r="CG645" s="6">
        <f t="shared" si="443"/>
        <v>27663</v>
      </c>
      <c r="CH645" s="6">
        <f t="shared" si="443"/>
        <v>20770</v>
      </c>
      <c r="CI645" s="6">
        <f t="shared" si="443"/>
        <v>16337</v>
      </c>
      <c r="CJ645" s="6">
        <f t="shared" si="443"/>
        <v>33567</v>
      </c>
      <c r="CK645" s="6">
        <f t="shared" si="443"/>
        <v>28019</v>
      </c>
      <c r="CL645" s="6">
        <f t="shared" si="443"/>
        <v>21645</v>
      </c>
      <c r="CM645" s="6">
        <f t="shared" si="443"/>
        <v>36146</v>
      </c>
      <c r="CN645" s="6">
        <f t="shared" si="443"/>
        <v>36675</v>
      </c>
      <c r="CO645" s="6">
        <f t="shared" si="443"/>
        <v>20334</v>
      </c>
      <c r="CP645" s="6">
        <f t="shared" si="443"/>
        <v>29426</v>
      </c>
      <c r="CQ645" s="6">
        <f t="shared" ref="CQ645:EM645" si="444">SUM(CQ189:CQ198)+SUM(CQ203:CQ219)+SUM(CQ239:CQ255)+SUM(CQ278:CQ300)+SUM(CQ415:CQ417)+SUM(CQ419:CQ420)+SUM(CQ466:CQ468)+CQ502+CQ518+CQ525+SUM(CQ528:CQ540)</f>
        <v>4032</v>
      </c>
      <c r="CR645" s="6">
        <f t="shared" si="444"/>
        <v>1834</v>
      </c>
      <c r="CS645" s="6">
        <f t="shared" si="444"/>
        <v>0</v>
      </c>
      <c r="CT645" s="6">
        <f t="shared" si="444"/>
        <v>0</v>
      </c>
      <c r="CU645" s="6">
        <f t="shared" si="444"/>
        <v>1764</v>
      </c>
      <c r="CV645" s="6">
        <f t="shared" si="444"/>
        <v>1053</v>
      </c>
      <c r="CW645" s="6">
        <f t="shared" si="444"/>
        <v>0</v>
      </c>
      <c r="CX645" s="6">
        <f t="shared" si="444"/>
        <v>0</v>
      </c>
      <c r="CY645" s="6">
        <f t="shared" si="444"/>
        <v>0</v>
      </c>
      <c r="CZ645" s="6">
        <f t="shared" si="444"/>
        <v>0</v>
      </c>
      <c r="DA645" s="6">
        <f t="shared" si="444"/>
        <v>0</v>
      </c>
      <c r="DB645" s="6">
        <f t="shared" si="444"/>
        <v>0</v>
      </c>
      <c r="DC645" s="6">
        <f t="shared" si="444"/>
        <v>2620</v>
      </c>
      <c r="DD645" s="6">
        <f t="shared" si="444"/>
        <v>1309</v>
      </c>
      <c r="DE645" s="6">
        <f t="shared" si="444"/>
        <v>0</v>
      </c>
      <c r="DF645" s="6">
        <f t="shared" si="444"/>
        <v>0</v>
      </c>
      <c r="DG645" s="6">
        <f t="shared" si="444"/>
        <v>0</v>
      </c>
      <c r="DH645" s="6">
        <f t="shared" si="444"/>
        <v>0</v>
      </c>
      <c r="DI645" s="6">
        <f t="shared" si="444"/>
        <v>0</v>
      </c>
      <c r="DJ645" s="6">
        <f t="shared" si="444"/>
        <v>0</v>
      </c>
      <c r="DK645" s="6">
        <f t="shared" si="444"/>
        <v>0</v>
      </c>
      <c r="DL645" s="6">
        <f t="shared" si="444"/>
        <v>0</v>
      </c>
      <c r="DM645" s="6">
        <f t="shared" si="444"/>
        <v>1136</v>
      </c>
      <c r="DN645" s="6">
        <f t="shared" si="444"/>
        <v>612</v>
      </c>
      <c r="DO645" s="6">
        <f t="shared" si="444"/>
        <v>1596</v>
      </c>
      <c r="DP645" s="6">
        <f t="shared" si="444"/>
        <v>192</v>
      </c>
      <c r="DQ645" s="6">
        <f t="shared" si="444"/>
        <v>1407</v>
      </c>
      <c r="DR645" s="6">
        <f t="shared" si="444"/>
        <v>329</v>
      </c>
      <c r="DS645" s="6">
        <f t="shared" si="444"/>
        <v>1409</v>
      </c>
      <c r="DT645" s="6">
        <f t="shared" si="444"/>
        <v>324</v>
      </c>
      <c r="DU645" s="6">
        <f t="shared" si="444"/>
        <v>1398</v>
      </c>
      <c r="DV645" s="6">
        <f t="shared" si="444"/>
        <v>300</v>
      </c>
      <c r="DW645" s="6">
        <f t="shared" si="444"/>
        <v>947</v>
      </c>
      <c r="DX645" s="6">
        <f t="shared" si="444"/>
        <v>791</v>
      </c>
      <c r="DY645" s="6">
        <f t="shared" ref="DY645:DZ645" si="445">SUM(DY189:DY198)+SUM(DY203:DY219)+SUM(DY239:DY255)+SUM(DY278:DY300)+SUM(DY415:DY417)+SUM(DY419:DY420)+SUM(DY466:DY468)+DY502+DY518+DY525+SUM(DY528:DY540)</f>
        <v>0</v>
      </c>
      <c r="DZ645" s="6">
        <f t="shared" si="445"/>
        <v>0</v>
      </c>
      <c r="EA645" s="6">
        <f t="shared" si="444"/>
        <v>1090</v>
      </c>
      <c r="EB645" s="6">
        <f t="shared" si="444"/>
        <v>461</v>
      </c>
      <c r="EC645" s="6">
        <f t="shared" si="444"/>
        <v>0</v>
      </c>
      <c r="ED645" s="6">
        <f t="shared" si="444"/>
        <v>0</v>
      </c>
      <c r="EE645" s="6">
        <f t="shared" si="444"/>
        <v>0</v>
      </c>
      <c r="EF645" s="6">
        <f t="shared" si="444"/>
        <v>0</v>
      </c>
      <c r="EG645" s="6">
        <f t="shared" si="444"/>
        <v>1204</v>
      </c>
      <c r="EH645" s="6">
        <f t="shared" si="444"/>
        <v>714</v>
      </c>
      <c r="EI645" s="6">
        <f t="shared" si="444"/>
        <v>0</v>
      </c>
      <c r="EJ645" s="6">
        <f t="shared" si="444"/>
        <v>0</v>
      </c>
      <c r="EK645" s="6">
        <f t="shared" si="444"/>
        <v>0</v>
      </c>
      <c r="EL645" s="6">
        <f t="shared" si="444"/>
        <v>0</v>
      </c>
      <c r="EM645" s="6">
        <f t="shared" si="444"/>
        <v>0</v>
      </c>
      <c r="EN645" s="6">
        <f t="shared" ref="EN645:GR645" si="446">SUM(EN189:EN198)+SUM(EN203:EN219)+SUM(EN239:EN255)+SUM(EN278:EN300)+SUM(EN415:EN417)+SUM(EN419:EN420)+SUM(EN466:EN468)+EN502+EN518+EN525+SUM(EN528:EN540)</f>
        <v>0</v>
      </c>
      <c r="EO645" s="6">
        <f t="shared" si="446"/>
        <v>0</v>
      </c>
      <c r="EP645" s="6">
        <f t="shared" si="446"/>
        <v>0</v>
      </c>
      <c r="EQ645" s="6">
        <f t="shared" si="446"/>
        <v>0</v>
      </c>
      <c r="ER645" s="6">
        <f t="shared" si="446"/>
        <v>0</v>
      </c>
      <c r="ES645" s="6">
        <f t="shared" si="446"/>
        <v>0</v>
      </c>
      <c r="ET645" s="6">
        <f t="shared" si="446"/>
        <v>0</v>
      </c>
      <c r="EU645" s="6">
        <f t="shared" si="446"/>
        <v>0</v>
      </c>
      <c r="EV645" s="6">
        <f t="shared" si="446"/>
        <v>0</v>
      </c>
      <c r="EW645" s="6">
        <f t="shared" si="446"/>
        <v>0</v>
      </c>
      <c r="EX645" s="6">
        <f t="shared" si="446"/>
        <v>0</v>
      </c>
      <c r="EY645" s="6">
        <f t="shared" si="446"/>
        <v>0</v>
      </c>
      <c r="EZ645" s="6">
        <f t="shared" si="446"/>
        <v>0</v>
      </c>
      <c r="FA645" s="6">
        <f t="shared" si="446"/>
        <v>0</v>
      </c>
      <c r="FB645" s="6">
        <f t="shared" si="446"/>
        <v>0</v>
      </c>
      <c r="FC645" s="6">
        <f t="shared" si="446"/>
        <v>0</v>
      </c>
      <c r="FD645" s="6">
        <f t="shared" si="446"/>
        <v>0</v>
      </c>
      <c r="FE645" s="6">
        <f t="shared" si="446"/>
        <v>0</v>
      </c>
      <c r="FF645" s="6">
        <f t="shared" si="446"/>
        <v>0</v>
      </c>
      <c r="FG645" s="6">
        <f t="shared" si="446"/>
        <v>0</v>
      </c>
      <c r="FH645" s="6">
        <f t="shared" si="446"/>
        <v>0</v>
      </c>
      <c r="FI645" s="6">
        <f t="shared" si="446"/>
        <v>0</v>
      </c>
      <c r="FJ645" s="6">
        <f t="shared" si="446"/>
        <v>0</v>
      </c>
      <c r="FK645" s="6">
        <f t="shared" si="446"/>
        <v>0</v>
      </c>
      <c r="FL645" s="6">
        <f t="shared" si="446"/>
        <v>0</v>
      </c>
      <c r="FM645" s="6">
        <f t="shared" si="446"/>
        <v>0</v>
      </c>
      <c r="FN645" s="6">
        <f t="shared" si="446"/>
        <v>0</v>
      </c>
      <c r="FO645" s="6">
        <f t="shared" si="446"/>
        <v>0</v>
      </c>
      <c r="FP645" s="6">
        <f t="shared" si="446"/>
        <v>0</v>
      </c>
      <c r="FQ645" s="6">
        <f t="shared" si="446"/>
        <v>0</v>
      </c>
      <c r="FR645" s="6">
        <f t="shared" si="446"/>
        <v>0</v>
      </c>
      <c r="FS645" s="6">
        <f t="shared" si="446"/>
        <v>0</v>
      </c>
      <c r="FT645" s="6">
        <f t="shared" si="446"/>
        <v>0</v>
      </c>
      <c r="FU645" s="6">
        <f t="shared" si="446"/>
        <v>0</v>
      </c>
      <c r="FV645" s="6">
        <f t="shared" si="446"/>
        <v>0</v>
      </c>
      <c r="FW645" s="6">
        <f t="shared" si="446"/>
        <v>0</v>
      </c>
      <c r="FX645" s="6">
        <f t="shared" si="446"/>
        <v>0</v>
      </c>
      <c r="FY645" s="6">
        <f t="shared" si="446"/>
        <v>195</v>
      </c>
      <c r="FZ645" s="6">
        <f t="shared" si="446"/>
        <v>179</v>
      </c>
      <c r="GA645" s="6">
        <f t="shared" si="446"/>
        <v>3591</v>
      </c>
      <c r="GB645" s="6">
        <f t="shared" si="446"/>
        <v>2332</v>
      </c>
      <c r="GC645" s="6">
        <f t="shared" si="446"/>
        <v>3375</v>
      </c>
      <c r="GD645" s="6">
        <f t="shared" si="446"/>
        <v>2145</v>
      </c>
      <c r="GE645" s="6">
        <f t="shared" si="446"/>
        <v>0</v>
      </c>
      <c r="GF645" s="6">
        <f t="shared" si="446"/>
        <v>0</v>
      </c>
      <c r="GG645" s="6">
        <f t="shared" si="446"/>
        <v>0</v>
      </c>
      <c r="GH645" s="6">
        <f t="shared" si="446"/>
        <v>0</v>
      </c>
      <c r="GI645" s="6">
        <f t="shared" si="446"/>
        <v>8999</v>
      </c>
      <c r="GJ645" s="6">
        <f t="shared" si="446"/>
        <v>5947</v>
      </c>
      <c r="GK645" s="6">
        <f t="shared" si="446"/>
        <v>5996</v>
      </c>
      <c r="GL645" s="6">
        <f t="shared" si="446"/>
        <v>4156</v>
      </c>
      <c r="GM645" s="6">
        <f t="shared" si="446"/>
        <v>0</v>
      </c>
      <c r="GN645" s="6">
        <f t="shared" si="446"/>
        <v>0</v>
      </c>
      <c r="GO645" s="6">
        <f t="shared" si="446"/>
        <v>45314</v>
      </c>
      <c r="GP645" s="6">
        <f t="shared" si="446"/>
        <v>18613</v>
      </c>
      <c r="GQ645" s="6">
        <f t="shared" si="446"/>
        <v>45717</v>
      </c>
      <c r="GR645" s="6">
        <f t="shared" si="446"/>
        <v>17886</v>
      </c>
    </row>
    <row r="646" spans="1:200">
      <c r="A646" s="6"/>
      <c r="B646" s="16" t="s">
        <v>704</v>
      </c>
      <c r="C646" s="14">
        <f>SUM(C114:C122)+SUM(C220:C225)+SUM(C343:C380)+SUM(C393:C394)+SUM(C469:C471)+SUM(C478:C489)+SUM(C555:C557)</f>
        <v>77483</v>
      </c>
      <c r="D646" s="14">
        <f>SUM(D114:D122)+SUM(D220:D225)+SUM(D343:D380)+SUM(D393:D394)+SUM(D469:D471)+SUM(D478:D489)+SUM(D555:D557)</f>
        <v>56778</v>
      </c>
      <c r="E646" s="15">
        <f t="shared" si="351"/>
        <v>0.73278009369797248</v>
      </c>
      <c r="F646" s="66">
        <f t="shared" ref="F646:AB646" si="447">SUM(F114:F122)+SUM(F220:F225)+SUM(F343:F380)+SUM(F393:F394)+SUM(F469:F471)+SUM(F478:F489)+SUM(F555:F557)</f>
        <v>18165</v>
      </c>
      <c r="G646" s="6">
        <f t="shared" si="447"/>
        <v>196</v>
      </c>
      <c r="H646" s="6">
        <f t="shared" si="447"/>
        <v>1663</v>
      </c>
      <c r="I646" s="6">
        <f t="shared" si="447"/>
        <v>411</v>
      </c>
      <c r="J646" s="59">
        <f t="shared" si="447"/>
        <v>35229</v>
      </c>
      <c r="K646" s="6">
        <f t="shared" si="447"/>
        <v>0</v>
      </c>
      <c r="L646" s="6">
        <f t="shared" si="447"/>
        <v>0</v>
      </c>
      <c r="M646" s="6">
        <f t="shared" si="447"/>
        <v>10</v>
      </c>
      <c r="N646" s="6">
        <f t="shared" si="447"/>
        <v>0</v>
      </c>
      <c r="O646" s="6">
        <f t="shared" si="447"/>
        <v>1</v>
      </c>
      <c r="P646" s="6">
        <f t="shared" si="447"/>
        <v>3</v>
      </c>
      <c r="Q646" s="6">
        <f t="shared" si="447"/>
        <v>0</v>
      </c>
      <c r="R646" s="6">
        <f t="shared" si="447"/>
        <v>0</v>
      </c>
      <c r="S646" s="6">
        <f t="shared" si="447"/>
        <v>0</v>
      </c>
      <c r="T646" s="6">
        <f t="shared" si="447"/>
        <v>1</v>
      </c>
      <c r="U646" s="6">
        <f t="shared" si="447"/>
        <v>0</v>
      </c>
      <c r="V646" s="6">
        <f t="shared" si="447"/>
        <v>5</v>
      </c>
      <c r="W646" s="6">
        <f t="shared" si="447"/>
        <v>141</v>
      </c>
      <c r="X646" s="6">
        <f t="shared" si="447"/>
        <v>0</v>
      </c>
      <c r="Y646" s="6">
        <f t="shared" si="447"/>
        <v>2</v>
      </c>
      <c r="Z646" s="6">
        <f t="shared" si="447"/>
        <v>0</v>
      </c>
      <c r="AA646" s="6">
        <f t="shared" si="447"/>
        <v>0</v>
      </c>
      <c r="AB646" s="6">
        <f t="shared" si="447"/>
        <v>0</v>
      </c>
      <c r="AC646" s="6">
        <f t="shared" ref="AC646:BZ646" si="448">SUM(AC114:AC122)+SUM(AC220:AC225)+SUM(AC343:AC380)+SUM(AC393:AC394)+SUM(AC469:AC471)+SUM(AC478:AC489)+SUM(AC555:AC557)</f>
        <v>828</v>
      </c>
      <c r="AD646" s="6">
        <f t="shared" si="448"/>
        <v>829</v>
      </c>
      <c r="AE646" s="6">
        <f t="shared" si="448"/>
        <v>37944</v>
      </c>
      <c r="AF646" s="6">
        <f t="shared" si="448"/>
        <v>721</v>
      </c>
      <c r="AG646" s="6">
        <f t="shared" si="448"/>
        <v>1</v>
      </c>
      <c r="AH646" s="6">
        <f t="shared" si="448"/>
        <v>14408</v>
      </c>
      <c r="AI646" s="6">
        <f t="shared" si="448"/>
        <v>38254</v>
      </c>
      <c r="AJ646" s="6">
        <f t="shared" si="448"/>
        <v>12</v>
      </c>
      <c r="AK646" s="6">
        <f t="shared" si="448"/>
        <v>2</v>
      </c>
      <c r="AL646" s="6">
        <f t="shared" si="448"/>
        <v>16497</v>
      </c>
      <c r="AM646" s="6">
        <f t="shared" si="448"/>
        <v>0</v>
      </c>
      <c r="AN646" s="6">
        <f t="shared" si="448"/>
        <v>0</v>
      </c>
      <c r="AO646" s="6">
        <f t="shared" si="448"/>
        <v>0</v>
      </c>
      <c r="AP646" s="6">
        <f t="shared" si="448"/>
        <v>17586</v>
      </c>
      <c r="AQ646" s="6">
        <f t="shared" si="448"/>
        <v>34020</v>
      </c>
      <c r="AR646" s="6">
        <f t="shared" si="448"/>
        <v>0</v>
      </c>
      <c r="AS646" s="6">
        <f t="shared" si="448"/>
        <v>0</v>
      </c>
      <c r="AT646" s="6">
        <f t="shared" si="448"/>
        <v>0</v>
      </c>
      <c r="AU646" s="6">
        <f t="shared" si="448"/>
        <v>0</v>
      </c>
      <c r="AV646" s="6">
        <f t="shared" si="448"/>
        <v>37138</v>
      </c>
      <c r="AW646" s="6">
        <f t="shared" si="448"/>
        <v>0</v>
      </c>
      <c r="AX646" s="6">
        <f t="shared" si="448"/>
        <v>0</v>
      </c>
      <c r="AY646" s="6">
        <f t="shared" si="448"/>
        <v>0</v>
      </c>
      <c r="AZ646" s="6">
        <f t="shared" si="448"/>
        <v>0</v>
      </c>
      <c r="BA646" s="6">
        <f t="shared" si="448"/>
        <v>0</v>
      </c>
      <c r="BB646" s="6">
        <f t="shared" si="448"/>
        <v>0</v>
      </c>
      <c r="BC646" s="6">
        <f t="shared" si="448"/>
        <v>0</v>
      </c>
      <c r="BD646" s="6">
        <f t="shared" si="448"/>
        <v>0</v>
      </c>
      <c r="BE646" s="6">
        <f t="shared" si="448"/>
        <v>28920</v>
      </c>
      <c r="BF646" s="6">
        <f t="shared" si="448"/>
        <v>23643</v>
      </c>
      <c r="BG646" s="6">
        <f t="shared" si="448"/>
        <v>35429</v>
      </c>
      <c r="BH646" s="6">
        <f t="shared" si="448"/>
        <v>17910</v>
      </c>
      <c r="BI646" s="6">
        <f t="shared" si="448"/>
        <v>36668</v>
      </c>
      <c r="BJ646" s="6">
        <f t="shared" si="448"/>
        <v>16077</v>
      </c>
      <c r="BK646" s="6">
        <f t="shared" si="448"/>
        <v>18823</v>
      </c>
      <c r="BL646" s="6">
        <f t="shared" si="448"/>
        <v>34153</v>
      </c>
      <c r="BM646" s="6">
        <f t="shared" si="448"/>
        <v>25013</v>
      </c>
      <c r="BN646" s="6">
        <f t="shared" si="448"/>
        <v>28136</v>
      </c>
      <c r="BO646" s="6">
        <f t="shared" si="448"/>
        <v>16617</v>
      </c>
      <c r="BP646" s="6">
        <f t="shared" si="448"/>
        <v>34767</v>
      </c>
      <c r="BQ646" s="6">
        <f t="shared" si="448"/>
        <v>37217</v>
      </c>
      <c r="BR646" s="6">
        <f t="shared" si="448"/>
        <v>14859</v>
      </c>
      <c r="BS646" s="6">
        <f t="shared" si="448"/>
        <v>37875</v>
      </c>
      <c r="BT646" s="6">
        <f t="shared" si="448"/>
        <v>26161</v>
      </c>
      <c r="BU646" s="6">
        <f t="shared" si="448"/>
        <v>24810</v>
      </c>
      <c r="BV646" s="6">
        <f t="shared" si="448"/>
        <v>35540</v>
      </c>
      <c r="BW646" s="6">
        <f t="shared" si="448"/>
        <v>25663</v>
      </c>
      <c r="BX646" s="6">
        <f t="shared" si="448"/>
        <v>16717</v>
      </c>
      <c r="BY646" s="6">
        <f t="shared" si="448"/>
        <v>32853</v>
      </c>
      <c r="BZ646" s="6">
        <f t="shared" si="448"/>
        <v>13580</v>
      </c>
      <c r="CA646" s="6">
        <f t="shared" ref="CA646:CP646" si="449">SUM(CA114:CA122)+SUM(CA220:CA225)+SUM(CA343:CA380)+SUM(CA393:CA394)+SUM(CA469:CA471)+SUM(CA478:CA489)+SUM(CA555:CA557)</f>
        <v>32582</v>
      </c>
      <c r="CB646" s="6">
        <f t="shared" si="449"/>
        <v>25576</v>
      </c>
      <c r="CC646" s="6">
        <f t="shared" si="449"/>
        <v>15567</v>
      </c>
      <c r="CD646" s="6">
        <f t="shared" si="449"/>
        <v>30867</v>
      </c>
      <c r="CE646" s="6">
        <f t="shared" si="449"/>
        <v>14523</v>
      </c>
      <c r="CF646" s="6">
        <f t="shared" si="449"/>
        <v>29363</v>
      </c>
      <c r="CG646" s="6">
        <f t="shared" si="449"/>
        <v>25671</v>
      </c>
      <c r="CH646" s="6">
        <f t="shared" si="449"/>
        <v>14097</v>
      </c>
      <c r="CI646" s="6">
        <f t="shared" si="449"/>
        <v>9694</v>
      </c>
      <c r="CJ646" s="6">
        <f t="shared" si="449"/>
        <v>32082</v>
      </c>
      <c r="CK646" s="6">
        <f t="shared" si="449"/>
        <v>26696</v>
      </c>
      <c r="CL646" s="6">
        <f t="shared" si="449"/>
        <v>15133</v>
      </c>
      <c r="CM646" s="6">
        <f t="shared" si="449"/>
        <v>31622</v>
      </c>
      <c r="CN646" s="6">
        <f t="shared" si="449"/>
        <v>31565</v>
      </c>
      <c r="CO646" s="6">
        <f t="shared" si="449"/>
        <v>13415</v>
      </c>
      <c r="CP646" s="6">
        <f t="shared" si="449"/>
        <v>28396</v>
      </c>
      <c r="CQ646" s="6">
        <f t="shared" ref="CQ646:EM646" si="450">SUM(CQ114:CQ122)+SUM(CQ220:CQ225)+SUM(CQ343:CQ380)+SUM(CQ393:CQ394)+SUM(CQ469:CQ471)+SUM(CQ478:CQ489)+SUM(CQ555:CQ557)</f>
        <v>0</v>
      </c>
      <c r="CR646" s="6">
        <f t="shared" si="450"/>
        <v>0</v>
      </c>
      <c r="CS646" s="6">
        <f t="shared" si="450"/>
        <v>0</v>
      </c>
      <c r="CT646" s="6">
        <f t="shared" si="450"/>
        <v>0</v>
      </c>
      <c r="CU646" s="6">
        <f t="shared" si="450"/>
        <v>0</v>
      </c>
      <c r="CV646" s="6">
        <f t="shared" si="450"/>
        <v>0</v>
      </c>
      <c r="CW646" s="6">
        <f t="shared" si="450"/>
        <v>0</v>
      </c>
      <c r="CX646" s="6">
        <f t="shared" si="450"/>
        <v>0</v>
      </c>
      <c r="CY646" s="6">
        <f t="shared" si="450"/>
        <v>0</v>
      </c>
      <c r="CZ646" s="6">
        <f t="shared" si="450"/>
        <v>0</v>
      </c>
      <c r="DA646" s="6">
        <f t="shared" si="450"/>
        <v>0</v>
      </c>
      <c r="DB646" s="6">
        <f t="shared" si="450"/>
        <v>0</v>
      </c>
      <c r="DC646" s="6">
        <f t="shared" si="450"/>
        <v>0</v>
      </c>
      <c r="DD646" s="6">
        <f t="shared" si="450"/>
        <v>0</v>
      </c>
      <c r="DE646" s="6">
        <f t="shared" si="450"/>
        <v>0</v>
      </c>
      <c r="DF646" s="6">
        <f t="shared" si="450"/>
        <v>0</v>
      </c>
      <c r="DG646" s="6">
        <f t="shared" si="450"/>
        <v>191</v>
      </c>
      <c r="DH646" s="6">
        <f t="shared" si="450"/>
        <v>107</v>
      </c>
      <c r="DI646" s="6">
        <f t="shared" si="450"/>
        <v>186</v>
      </c>
      <c r="DJ646" s="6">
        <f t="shared" si="450"/>
        <v>110</v>
      </c>
      <c r="DK646" s="6">
        <f t="shared" si="450"/>
        <v>968</v>
      </c>
      <c r="DL646" s="6">
        <f t="shared" si="450"/>
        <v>485</v>
      </c>
      <c r="DM646" s="6">
        <f t="shared" si="450"/>
        <v>0</v>
      </c>
      <c r="DN646" s="6">
        <f t="shared" si="450"/>
        <v>0</v>
      </c>
      <c r="DO646" s="6">
        <f t="shared" si="450"/>
        <v>0</v>
      </c>
      <c r="DP646" s="6">
        <f t="shared" si="450"/>
        <v>0</v>
      </c>
      <c r="DQ646" s="6">
        <f t="shared" si="450"/>
        <v>0</v>
      </c>
      <c r="DR646" s="6">
        <f t="shared" si="450"/>
        <v>0</v>
      </c>
      <c r="DS646" s="6">
        <f t="shared" si="450"/>
        <v>0</v>
      </c>
      <c r="DT646" s="6">
        <f t="shared" si="450"/>
        <v>0</v>
      </c>
      <c r="DU646" s="6">
        <f t="shared" si="450"/>
        <v>0</v>
      </c>
      <c r="DV646" s="6">
        <f t="shared" si="450"/>
        <v>0</v>
      </c>
      <c r="DW646" s="6">
        <f t="shared" si="450"/>
        <v>0</v>
      </c>
      <c r="DX646" s="6">
        <f t="shared" si="450"/>
        <v>0</v>
      </c>
      <c r="DY646" s="6">
        <f t="shared" ref="DY646:DZ646" si="451">SUM(DY114:DY122)+SUM(DY220:DY225)+SUM(DY343:DY380)+SUM(DY393:DY394)+SUM(DY469:DY471)+SUM(DY478:DY489)+SUM(DY555:DY557)</f>
        <v>0</v>
      </c>
      <c r="DZ646" s="6">
        <f t="shared" si="451"/>
        <v>0</v>
      </c>
      <c r="EA646" s="6">
        <f t="shared" si="450"/>
        <v>0</v>
      </c>
      <c r="EB646" s="6">
        <f t="shared" si="450"/>
        <v>0</v>
      </c>
      <c r="EC646" s="6">
        <f t="shared" si="450"/>
        <v>0</v>
      </c>
      <c r="ED646" s="6">
        <f t="shared" si="450"/>
        <v>0</v>
      </c>
      <c r="EE646" s="6">
        <f t="shared" si="450"/>
        <v>0</v>
      </c>
      <c r="EF646" s="6">
        <f t="shared" si="450"/>
        <v>0</v>
      </c>
      <c r="EG646" s="6">
        <f t="shared" si="450"/>
        <v>0</v>
      </c>
      <c r="EH646" s="6">
        <f t="shared" si="450"/>
        <v>0</v>
      </c>
      <c r="EI646" s="6">
        <f t="shared" si="450"/>
        <v>0</v>
      </c>
      <c r="EJ646" s="6">
        <f t="shared" si="450"/>
        <v>0</v>
      </c>
      <c r="EK646" s="6">
        <f t="shared" si="450"/>
        <v>0</v>
      </c>
      <c r="EL646" s="6">
        <f t="shared" si="450"/>
        <v>0</v>
      </c>
      <c r="EM646" s="6">
        <f t="shared" si="450"/>
        <v>0</v>
      </c>
      <c r="EN646" s="6">
        <f t="shared" ref="EN646:GR646" si="452">SUM(EN114:EN122)+SUM(EN220:EN225)+SUM(EN343:EN380)+SUM(EN393:EN394)+SUM(EN469:EN471)+SUM(EN478:EN489)+SUM(EN555:EN557)</f>
        <v>0</v>
      </c>
      <c r="EO646" s="6">
        <f t="shared" si="452"/>
        <v>0</v>
      </c>
      <c r="EP646" s="6">
        <f t="shared" si="452"/>
        <v>0</v>
      </c>
      <c r="EQ646" s="6">
        <f t="shared" si="452"/>
        <v>439</v>
      </c>
      <c r="ER646" s="6">
        <f t="shared" si="452"/>
        <v>161</v>
      </c>
      <c r="ES646" s="6">
        <f t="shared" si="452"/>
        <v>0</v>
      </c>
      <c r="ET646" s="6">
        <f t="shared" si="452"/>
        <v>0</v>
      </c>
      <c r="EU646" s="6">
        <f t="shared" si="452"/>
        <v>0</v>
      </c>
      <c r="EV646" s="6">
        <f t="shared" si="452"/>
        <v>0</v>
      </c>
      <c r="EW646" s="6">
        <f t="shared" si="452"/>
        <v>0</v>
      </c>
      <c r="EX646" s="6">
        <f t="shared" si="452"/>
        <v>0</v>
      </c>
      <c r="EY646" s="6">
        <f t="shared" si="452"/>
        <v>0</v>
      </c>
      <c r="EZ646" s="6">
        <f t="shared" si="452"/>
        <v>0</v>
      </c>
      <c r="FA646" s="6">
        <f t="shared" si="452"/>
        <v>0</v>
      </c>
      <c r="FB646" s="6">
        <f t="shared" si="452"/>
        <v>0</v>
      </c>
      <c r="FC646" s="6">
        <f t="shared" si="452"/>
        <v>0</v>
      </c>
      <c r="FD646" s="6">
        <f t="shared" si="452"/>
        <v>0</v>
      </c>
      <c r="FE646" s="6">
        <f t="shared" si="452"/>
        <v>0</v>
      </c>
      <c r="FF646" s="6">
        <f t="shared" si="452"/>
        <v>0</v>
      </c>
      <c r="FG646" s="6">
        <f t="shared" si="452"/>
        <v>0</v>
      </c>
      <c r="FH646" s="6">
        <f t="shared" si="452"/>
        <v>0</v>
      </c>
      <c r="FI646" s="6">
        <f t="shared" si="452"/>
        <v>5682</v>
      </c>
      <c r="FJ646" s="6">
        <f t="shared" si="452"/>
        <v>2867</v>
      </c>
      <c r="FK646" s="6">
        <f t="shared" si="452"/>
        <v>0</v>
      </c>
      <c r="FL646" s="6">
        <f t="shared" si="452"/>
        <v>0</v>
      </c>
      <c r="FM646" s="6">
        <f t="shared" si="452"/>
        <v>0</v>
      </c>
      <c r="FN646" s="6">
        <f t="shared" si="452"/>
        <v>0</v>
      </c>
      <c r="FO646" s="6">
        <f t="shared" si="452"/>
        <v>0</v>
      </c>
      <c r="FP646" s="6">
        <f t="shared" si="452"/>
        <v>0</v>
      </c>
      <c r="FQ646" s="6">
        <f t="shared" si="452"/>
        <v>0</v>
      </c>
      <c r="FR646" s="6">
        <f t="shared" si="452"/>
        <v>0</v>
      </c>
      <c r="FS646" s="6">
        <f t="shared" si="452"/>
        <v>0</v>
      </c>
      <c r="FT646" s="6">
        <f t="shared" si="452"/>
        <v>0</v>
      </c>
      <c r="FU646" s="6">
        <f t="shared" si="452"/>
        <v>0</v>
      </c>
      <c r="FV646" s="6">
        <f t="shared" si="452"/>
        <v>0</v>
      </c>
      <c r="FW646" s="6">
        <f t="shared" si="452"/>
        <v>0</v>
      </c>
      <c r="FX646" s="6">
        <f t="shared" si="452"/>
        <v>0</v>
      </c>
      <c r="FY646" s="6">
        <f t="shared" si="452"/>
        <v>2661</v>
      </c>
      <c r="FZ646" s="6">
        <f t="shared" si="452"/>
        <v>2684</v>
      </c>
      <c r="GA646" s="6">
        <f t="shared" si="452"/>
        <v>0</v>
      </c>
      <c r="GB646" s="6">
        <f t="shared" si="452"/>
        <v>0</v>
      </c>
      <c r="GC646" s="6">
        <f t="shared" si="452"/>
        <v>0</v>
      </c>
      <c r="GD646" s="6">
        <f t="shared" si="452"/>
        <v>0</v>
      </c>
      <c r="GE646" s="6">
        <f t="shared" si="452"/>
        <v>0</v>
      </c>
      <c r="GF646" s="6">
        <f t="shared" si="452"/>
        <v>0</v>
      </c>
      <c r="GG646" s="6">
        <f t="shared" si="452"/>
        <v>0</v>
      </c>
      <c r="GH646" s="6">
        <f t="shared" si="452"/>
        <v>0</v>
      </c>
      <c r="GI646" s="6">
        <f t="shared" si="452"/>
        <v>0</v>
      </c>
      <c r="GJ646" s="6">
        <f t="shared" si="452"/>
        <v>0</v>
      </c>
      <c r="GK646" s="6">
        <f t="shared" si="452"/>
        <v>0</v>
      </c>
      <c r="GL646" s="6">
        <f t="shared" si="452"/>
        <v>0</v>
      </c>
      <c r="GM646" s="6">
        <f t="shared" si="452"/>
        <v>0</v>
      </c>
      <c r="GN646" s="6">
        <f t="shared" si="452"/>
        <v>0</v>
      </c>
      <c r="GO646" s="6">
        <f t="shared" si="452"/>
        <v>34737</v>
      </c>
      <c r="GP646" s="6">
        <f t="shared" si="452"/>
        <v>19485</v>
      </c>
      <c r="GQ646" s="6">
        <f t="shared" si="452"/>
        <v>33656</v>
      </c>
      <c r="GR646" s="6">
        <f t="shared" si="452"/>
        <v>20291</v>
      </c>
    </row>
    <row r="647" spans="1:200">
      <c r="A647" s="6"/>
      <c r="B647" s="16" t="s">
        <v>96</v>
      </c>
      <c r="C647" s="14">
        <f>SUM(C160:C166)+C168+SUM(C199:C202)+SUM(C395:C413)+SUM(C423:C465)</f>
        <v>77381</v>
      </c>
      <c r="D647" s="14">
        <f>SUM(D160:D166)+D168+SUM(D199:D202)+SUM(D395:D413)+SUM(D423:D465)</f>
        <v>60600</v>
      </c>
      <c r="E647" s="15">
        <f t="shared" si="351"/>
        <v>0.78313797960739717</v>
      </c>
      <c r="F647" s="66">
        <f>SUM(F160:F166)+F168+SUM(F199:F202)+SUM(F395:F413)+SUM(F423:F465)</f>
        <v>17443</v>
      </c>
      <c r="G647" s="6">
        <f>SUM(G160:G166)+G168+SUM(G199:G202)+SUM(G395:G413)+SUM(G423:G465)</f>
        <v>202</v>
      </c>
      <c r="H647" s="6">
        <f>SUM(H160:H166)+H168+SUM(H199:H202)+SUM(H395:H413)+SUM(H423:H465)</f>
        <v>2123</v>
      </c>
      <c r="I647" s="6">
        <f>SUM(I160:I166)+I168+SUM(I199:I202)+SUM(I395:I413)+SUM(I423:I465)</f>
        <v>474</v>
      </c>
      <c r="J647" s="59">
        <f>SUM(J160:J166)+J168+SUM(J199:J202)+SUM(J395:J413)+SUM(J423:J465)</f>
        <v>38953</v>
      </c>
      <c r="K647" s="6">
        <f t="shared" ref="K647" si="453">SUM(K160:K166)+K168+SUM(K199:K202)+SUM(K395:K413)+SUM(K423:K465)</f>
        <v>0</v>
      </c>
      <c r="L647" s="6">
        <f t="shared" ref="L647:AB647" si="454">SUM(L160:L166)+L168+SUM(L199:L202)+SUM(L395:L413)+SUM(L423:L465)</f>
        <v>0</v>
      </c>
      <c r="M647" s="6">
        <f t="shared" si="454"/>
        <v>6</v>
      </c>
      <c r="N647" s="6">
        <f t="shared" si="454"/>
        <v>0</v>
      </c>
      <c r="O647" s="6">
        <f t="shared" si="454"/>
        <v>1</v>
      </c>
      <c r="P647" s="6">
        <f t="shared" si="454"/>
        <v>1</v>
      </c>
      <c r="Q647" s="6">
        <f t="shared" si="454"/>
        <v>0</v>
      </c>
      <c r="R647" s="6">
        <f t="shared" si="454"/>
        <v>1</v>
      </c>
      <c r="S647" s="6">
        <f t="shared" si="454"/>
        <v>0</v>
      </c>
      <c r="T647" s="6">
        <f t="shared" si="454"/>
        <v>0</v>
      </c>
      <c r="U647" s="6">
        <f t="shared" si="454"/>
        <v>0</v>
      </c>
      <c r="V647" s="6">
        <f t="shared" si="454"/>
        <v>9</v>
      </c>
      <c r="W647" s="6">
        <f t="shared" si="454"/>
        <v>164</v>
      </c>
      <c r="X647" s="6">
        <f t="shared" si="454"/>
        <v>0</v>
      </c>
      <c r="Y647" s="6">
        <f t="shared" si="454"/>
        <v>1</v>
      </c>
      <c r="Z647" s="6">
        <f t="shared" si="454"/>
        <v>1</v>
      </c>
      <c r="AA647" s="6">
        <f t="shared" si="454"/>
        <v>1</v>
      </c>
      <c r="AB647" s="6">
        <f t="shared" si="454"/>
        <v>1</v>
      </c>
      <c r="AC647" s="6">
        <f t="shared" ref="AC647:BZ647" si="455">SUM(AC160:AC166)+AC168+SUM(AC199:AC202)+SUM(AC395:AC413)+SUM(AC423:AC465)</f>
        <v>658</v>
      </c>
      <c r="AD647" s="6">
        <f t="shared" si="455"/>
        <v>890</v>
      </c>
      <c r="AE647" s="6">
        <f t="shared" si="455"/>
        <v>43337</v>
      </c>
      <c r="AF647" s="6">
        <f t="shared" si="455"/>
        <v>719</v>
      </c>
      <c r="AG647" s="6">
        <f t="shared" si="455"/>
        <v>0</v>
      </c>
      <c r="AH647" s="6">
        <f t="shared" si="455"/>
        <v>12848</v>
      </c>
      <c r="AI647" s="6">
        <f t="shared" si="455"/>
        <v>43739</v>
      </c>
      <c r="AJ647" s="6">
        <f t="shared" si="455"/>
        <v>9</v>
      </c>
      <c r="AK647" s="6">
        <f t="shared" si="455"/>
        <v>1</v>
      </c>
      <c r="AL647" s="6">
        <f t="shared" si="455"/>
        <v>15018</v>
      </c>
      <c r="AM647" s="6">
        <f t="shared" si="455"/>
        <v>0</v>
      </c>
      <c r="AN647" s="6">
        <f t="shared" si="455"/>
        <v>0</v>
      </c>
      <c r="AO647" s="6">
        <f t="shared" si="455"/>
        <v>0</v>
      </c>
      <c r="AP647" s="6">
        <f t="shared" si="455"/>
        <v>16204</v>
      </c>
      <c r="AQ647" s="6">
        <f t="shared" si="455"/>
        <v>39621</v>
      </c>
      <c r="AR647" s="6">
        <f t="shared" si="455"/>
        <v>0</v>
      </c>
      <c r="AS647" s="6">
        <f t="shared" si="455"/>
        <v>0</v>
      </c>
      <c r="AT647" s="6">
        <f t="shared" si="455"/>
        <v>0</v>
      </c>
      <c r="AU647" s="6">
        <f t="shared" si="455"/>
        <v>0</v>
      </c>
      <c r="AV647" s="6">
        <f t="shared" si="455"/>
        <v>0</v>
      </c>
      <c r="AW647" s="6">
        <f t="shared" si="455"/>
        <v>14975</v>
      </c>
      <c r="AX647" s="6">
        <f t="shared" si="455"/>
        <v>40718</v>
      </c>
      <c r="AY647" s="6">
        <f t="shared" si="455"/>
        <v>0</v>
      </c>
      <c r="AZ647" s="6">
        <f t="shared" si="455"/>
        <v>0</v>
      </c>
      <c r="BA647" s="6">
        <f t="shared" si="455"/>
        <v>0</v>
      </c>
      <c r="BB647" s="6">
        <f t="shared" si="455"/>
        <v>0</v>
      </c>
      <c r="BC647" s="6">
        <f t="shared" si="455"/>
        <v>0</v>
      </c>
      <c r="BD647" s="6">
        <f t="shared" si="455"/>
        <v>0</v>
      </c>
      <c r="BE647" s="6">
        <f t="shared" si="455"/>
        <v>32026</v>
      </c>
      <c r="BF647" s="6">
        <f t="shared" si="455"/>
        <v>24338</v>
      </c>
      <c r="BG647" s="6">
        <f t="shared" si="455"/>
        <v>39692</v>
      </c>
      <c r="BH647" s="6">
        <f t="shared" si="455"/>
        <v>17662</v>
      </c>
      <c r="BI647" s="6">
        <f t="shared" si="455"/>
        <v>41873</v>
      </c>
      <c r="BJ647" s="6">
        <f t="shared" si="455"/>
        <v>14318</v>
      </c>
      <c r="BK647" s="6">
        <f t="shared" si="455"/>
        <v>18407</v>
      </c>
      <c r="BL647" s="6">
        <f t="shared" si="455"/>
        <v>38407</v>
      </c>
      <c r="BM647" s="6">
        <f t="shared" si="455"/>
        <v>28052</v>
      </c>
      <c r="BN647" s="6">
        <f t="shared" si="455"/>
        <v>28566</v>
      </c>
      <c r="BO647" s="6">
        <f t="shared" si="455"/>
        <v>15446</v>
      </c>
      <c r="BP647" s="6">
        <f t="shared" si="455"/>
        <v>39642</v>
      </c>
      <c r="BQ647" s="6">
        <f t="shared" si="455"/>
        <v>42197</v>
      </c>
      <c r="BR647" s="6">
        <f t="shared" si="455"/>
        <v>13308</v>
      </c>
      <c r="BS647" s="6">
        <f t="shared" si="455"/>
        <v>42763</v>
      </c>
      <c r="BT647" s="6">
        <f t="shared" si="455"/>
        <v>27582</v>
      </c>
      <c r="BU647" s="6">
        <f t="shared" si="455"/>
        <v>26953</v>
      </c>
      <c r="BV647" s="6">
        <f t="shared" si="455"/>
        <v>39566</v>
      </c>
      <c r="BW647" s="6">
        <f t="shared" si="455"/>
        <v>29959</v>
      </c>
      <c r="BX647" s="6">
        <f t="shared" si="455"/>
        <v>15979</v>
      </c>
      <c r="BY647" s="6">
        <f t="shared" si="455"/>
        <v>37128</v>
      </c>
      <c r="BZ647" s="6">
        <f t="shared" si="455"/>
        <v>12917</v>
      </c>
      <c r="CA647" s="6">
        <f t="shared" ref="CA647:CP647" si="456">SUM(CA160:CA166)+CA168+SUM(CA199:CA202)+SUM(CA395:CA413)+SUM(CA423:CA465)</f>
        <v>36275</v>
      </c>
      <c r="CB647" s="6">
        <f t="shared" si="456"/>
        <v>30635</v>
      </c>
      <c r="CC647" s="6">
        <f t="shared" si="456"/>
        <v>14139</v>
      </c>
      <c r="CD647" s="6">
        <f t="shared" si="456"/>
        <v>33280</v>
      </c>
      <c r="CE647" s="6">
        <f t="shared" si="456"/>
        <v>13256</v>
      </c>
      <c r="CF647" s="6">
        <f t="shared" si="456"/>
        <v>34582</v>
      </c>
      <c r="CG647" s="6">
        <f t="shared" si="456"/>
        <v>30381</v>
      </c>
      <c r="CH647" s="6">
        <f t="shared" si="456"/>
        <v>12946</v>
      </c>
      <c r="CI647" s="6">
        <f t="shared" si="456"/>
        <v>8462</v>
      </c>
      <c r="CJ647" s="6">
        <f t="shared" si="456"/>
        <v>36764</v>
      </c>
      <c r="CK647" s="6">
        <f t="shared" si="456"/>
        <v>30404</v>
      </c>
      <c r="CL647" s="6">
        <f t="shared" si="456"/>
        <v>14500</v>
      </c>
      <c r="CM647" s="6">
        <f t="shared" si="456"/>
        <v>35721</v>
      </c>
      <c r="CN647" s="6">
        <f t="shared" si="456"/>
        <v>34725</v>
      </c>
      <c r="CO647" s="6">
        <f t="shared" si="456"/>
        <v>11799</v>
      </c>
      <c r="CP647" s="6">
        <f t="shared" si="456"/>
        <v>33188</v>
      </c>
      <c r="CQ647" s="6">
        <f t="shared" ref="CQ647:EM647" si="457">SUM(CQ160:CQ166)+CQ168+SUM(CQ199:CQ202)+SUM(CQ395:CQ413)+SUM(CQ423:CQ465)</f>
        <v>0</v>
      </c>
      <c r="CR647" s="6">
        <f t="shared" si="457"/>
        <v>0</v>
      </c>
      <c r="CS647" s="6">
        <f t="shared" si="457"/>
        <v>0</v>
      </c>
      <c r="CT647" s="6">
        <f t="shared" si="457"/>
        <v>0</v>
      </c>
      <c r="CU647" s="6">
        <f t="shared" si="457"/>
        <v>0</v>
      </c>
      <c r="CV647" s="6">
        <f t="shared" si="457"/>
        <v>0</v>
      </c>
      <c r="CW647" s="6">
        <f t="shared" si="457"/>
        <v>0</v>
      </c>
      <c r="CX647" s="6">
        <f t="shared" si="457"/>
        <v>0</v>
      </c>
      <c r="CY647" s="6">
        <f t="shared" si="457"/>
        <v>0</v>
      </c>
      <c r="CZ647" s="6">
        <f t="shared" si="457"/>
        <v>0</v>
      </c>
      <c r="DA647" s="6">
        <f t="shared" si="457"/>
        <v>0</v>
      </c>
      <c r="DB647" s="6">
        <f t="shared" si="457"/>
        <v>0</v>
      </c>
      <c r="DC647" s="6">
        <f t="shared" si="457"/>
        <v>0</v>
      </c>
      <c r="DD647" s="6">
        <f t="shared" si="457"/>
        <v>0</v>
      </c>
      <c r="DE647" s="6">
        <f t="shared" si="457"/>
        <v>0</v>
      </c>
      <c r="DF647" s="6">
        <f t="shared" si="457"/>
        <v>0</v>
      </c>
      <c r="DG647" s="6">
        <f t="shared" si="457"/>
        <v>0</v>
      </c>
      <c r="DH647" s="6">
        <f t="shared" si="457"/>
        <v>0</v>
      </c>
      <c r="DI647" s="6">
        <f t="shared" si="457"/>
        <v>0</v>
      </c>
      <c r="DJ647" s="6">
        <f t="shared" si="457"/>
        <v>0</v>
      </c>
      <c r="DK647" s="6">
        <f t="shared" si="457"/>
        <v>0</v>
      </c>
      <c r="DL647" s="6">
        <f t="shared" si="457"/>
        <v>0</v>
      </c>
      <c r="DM647" s="6">
        <f t="shared" si="457"/>
        <v>0</v>
      </c>
      <c r="DN647" s="6">
        <f t="shared" si="457"/>
        <v>0</v>
      </c>
      <c r="DO647" s="6">
        <f t="shared" si="457"/>
        <v>0</v>
      </c>
      <c r="DP647" s="6">
        <f t="shared" si="457"/>
        <v>0</v>
      </c>
      <c r="DQ647" s="6">
        <f t="shared" si="457"/>
        <v>0</v>
      </c>
      <c r="DR647" s="6">
        <f t="shared" si="457"/>
        <v>0</v>
      </c>
      <c r="DS647" s="6">
        <f t="shared" si="457"/>
        <v>0</v>
      </c>
      <c r="DT647" s="6">
        <f t="shared" si="457"/>
        <v>0</v>
      </c>
      <c r="DU647" s="6">
        <f t="shared" si="457"/>
        <v>0</v>
      </c>
      <c r="DV647" s="6">
        <f t="shared" si="457"/>
        <v>0</v>
      </c>
      <c r="DW647" s="6">
        <f t="shared" si="457"/>
        <v>0</v>
      </c>
      <c r="DX647" s="6">
        <f t="shared" si="457"/>
        <v>0</v>
      </c>
      <c r="DY647" s="6">
        <f t="shared" ref="DY647:DZ647" si="458">SUM(DY160:DY166)+DY168+SUM(DY199:DY202)+SUM(DY395:DY413)+SUM(DY423:DY465)</f>
        <v>0</v>
      </c>
      <c r="DZ647" s="6">
        <f t="shared" si="458"/>
        <v>0</v>
      </c>
      <c r="EA647" s="6">
        <f t="shared" si="457"/>
        <v>0</v>
      </c>
      <c r="EB647" s="6">
        <f t="shared" si="457"/>
        <v>0</v>
      </c>
      <c r="EC647" s="6">
        <f t="shared" si="457"/>
        <v>0</v>
      </c>
      <c r="ED647" s="6">
        <f t="shared" si="457"/>
        <v>0</v>
      </c>
      <c r="EE647" s="6">
        <f t="shared" si="457"/>
        <v>0</v>
      </c>
      <c r="EF647" s="6">
        <f t="shared" si="457"/>
        <v>0</v>
      </c>
      <c r="EG647" s="6">
        <f t="shared" si="457"/>
        <v>0</v>
      </c>
      <c r="EH647" s="6">
        <f t="shared" si="457"/>
        <v>0</v>
      </c>
      <c r="EI647" s="6">
        <f t="shared" si="457"/>
        <v>0</v>
      </c>
      <c r="EJ647" s="6">
        <f t="shared" si="457"/>
        <v>0</v>
      </c>
      <c r="EK647" s="6">
        <f t="shared" si="457"/>
        <v>0</v>
      </c>
      <c r="EL647" s="6">
        <f t="shared" si="457"/>
        <v>0</v>
      </c>
      <c r="EM647" s="6">
        <f t="shared" si="457"/>
        <v>0</v>
      </c>
      <c r="EN647" s="6">
        <f t="shared" ref="EN647:GR647" si="459">SUM(EN160:EN166)+EN168+SUM(EN199:EN202)+SUM(EN395:EN413)+SUM(EN423:EN465)</f>
        <v>0</v>
      </c>
      <c r="EO647" s="6">
        <f t="shared" si="459"/>
        <v>0</v>
      </c>
      <c r="EP647" s="6">
        <f t="shared" si="459"/>
        <v>0</v>
      </c>
      <c r="EQ647" s="6">
        <f t="shared" si="459"/>
        <v>0</v>
      </c>
      <c r="ER647" s="6">
        <f t="shared" si="459"/>
        <v>0</v>
      </c>
      <c r="ES647" s="6">
        <f t="shared" si="459"/>
        <v>0</v>
      </c>
      <c r="ET647" s="6">
        <f t="shared" si="459"/>
        <v>0</v>
      </c>
      <c r="EU647" s="6">
        <f t="shared" si="459"/>
        <v>0</v>
      </c>
      <c r="EV647" s="6">
        <f t="shared" si="459"/>
        <v>0</v>
      </c>
      <c r="EW647" s="6">
        <f t="shared" si="459"/>
        <v>0</v>
      </c>
      <c r="EX647" s="6">
        <f t="shared" si="459"/>
        <v>0</v>
      </c>
      <c r="EY647" s="6">
        <f t="shared" si="459"/>
        <v>0</v>
      </c>
      <c r="EZ647" s="6">
        <f t="shared" si="459"/>
        <v>0</v>
      </c>
      <c r="FA647" s="6">
        <f t="shared" si="459"/>
        <v>0</v>
      </c>
      <c r="FB647" s="6">
        <f t="shared" si="459"/>
        <v>0</v>
      </c>
      <c r="FC647" s="6">
        <f t="shared" si="459"/>
        <v>8405</v>
      </c>
      <c r="FD647" s="6">
        <f t="shared" si="459"/>
        <v>6456</v>
      </c>
      <c r="FE647" s="6">
        <f t="shared" si="459"/>
        <v>25360</v>
      </c>
      <c r="FF647" s="6">
        <f t="shared" si="459"/>
        <v>8281</v>
      </c>
      <c r="FG647" s="6">
        <f t="shared" si="459"/>
        <v>27770</v>
      </c>
      <c r="FH647" s="6">
        <f t="shared" si="459"/>
        <v>6063</v>
      </c>
      <c r="FI647" s="6">
        <f t="shared" si="459"/>
        <v>0</v>
      </c>
      <c r="FJ647" s="6">
        <f t="shared" si="459"/>
        <v>0</v>
      </c>
      <c r="FK647" s="6">
        <f t="shared" si="459"/>
        <v>0</v>
      </c>
      <c r="FL647" s="6">
        <f t="shared" si="459"/>
        <v>0</v>
      </c>
      <c r="FM647" s="6">
        <f t="shared" si="459"/>
        <v>0</v>
      </c>
      <c r="FN647" s="6">
        <f t="shared" si="459"/>
        <v>0</v>
      </c>
      <c r="FO647" s="6">
        <f t="shared" si="459"/>
        <v>0</v>
      </c>
      <c r="FP647" s="6">
        <f t="shared" si="459"/>
        <v>0</v>
      </c>
      <c r="FQ647" s="6">
        <f t="shared" si="459"/>
        <v>0</v>
      </c>
      <c r="FR647" s="6">
        <f t="shared" si="459"/>
        <v>0</v>
      </c>
      <c r="FS647" s="6">
        <f t="shared" si="459"/>
        <v>0</v>
      </c>
      <c r="FT647" s="6">
        <f t="shared" si="459"/>
        <v>0</v>
      </c>
      <c r="FU647" s="6">
        <f t="shared" si="459"/>
        <v>0</v>
      </c>
      <c r="FV647" s="6">
        <f t="shared" si="459"/>
        <v>0</v>
      </c>
      <c r="FW647" s="6">
        <f t="shared" si="459"/>
        <v>0</v>
      </c>
      <c r="FX647" s="6">
        <f t="shared" si="459"/>
        <v>0</v>
      </c>
      <c r="FY647" s="6">
        <f t="shared" si="459"/>
        <v>5561</v>
      </c>
      <c r="FZ647" s="6">
        <f t="shared" si="459"/>
        <v>7797</v>
      </c>
      <c r="GA647" s="6">
        <f t="shared" si="459"/>
        <v>0</v>
      </c>
      <c r="GB647" s="6">
        <f t="shared" si="459"/>
        <v>0</v>
      </c>
      <c r="GC647" s="6">
        <f t="shared" si="459"/>
        <v>0</v>
      </c>
      <c r="GD647" s="6">
        <f t="shared" si="459"/>
        <v>0</v>
      </c>
      <c r="GE647" s="6">
        <f t="shared" si="459"/>
        <v>0</v>
      </c>
      <c r="GF647" s="6">
        <f t="shared" si="459"/>
        <v>0</v>
      </c>
      <c r="GG647" s="6">
        <f t="shared" si="459"/>
        <v>0</v>
      </c>
      <c r="GH647" s="6">
        <f t="shared" si="459"/>
        <v>0</v>
      </c>
      <c r="GI647" s="6">
        <f t="shared" si="459"/>
        <v>0</v>
      </c>
      <c r="GJ647" s="6">
        <f t="shared" si="459"/>
        <v>0</v>
      </c>
      <c r="GK647" s="6">
        <f t="shared" si="459"/>
        <v>0</v>
      </c>
      <c r="GL647" s="6">
        <f t="shared" si="459"/>
        <v>0</v>
      </c>
      <c r="GM647" s="6">
        <f t="shared" si="459"/>
        <v>0</v>
      </c>
      <c r="GN647" s="6">
        <f t="shared" si="459"/>
        <v>0</v>
      </c>
      <c r="GO647" s="6">
        <f t="shared" si="459"/>
        <v>37337</v>
      </c>
      <c r="GP647" s="6">
        <f t="shared" si="459"/>
        <v>20405</v>
      </c>
      <c r="GQ647" s="6">
        <f t="shared" si="459"/>
        <v>37845</v>
      </c>
      <c r="GR647" s="6">
        <f t="shared" si="459"/>
        <v>19698</v>
      </c>
    </row>
    <row r="648" spans="1:200">
      <c r="A648" s="6"/>
      <c r="B648" s="16" t="s">
        <v>705</v>
      </c>
      <c r="C648" s="14">
        <f>SUM(C17:C40)+SUM(C69:C72)+SUM(C76:C81)+SUM(C98:C107)+SUM(C267:C277)+SUM(C306:C309)+SUM(C381:C386)+C392+SUM(C492:C498)</f>
        <v>82958</v>
      </c>
      <c r="D648" s="14">
        <f>SUM(D17:D40)+SUM(D69:D72)+SUM(D76:D81)+SUM(D98:D107)+SUM(D267:D277)+SUM(D306:D309)+SUM(D381:D386)+D392+SUM(D492:D498)</f>
        <v>55298</v>
      </c>
      <c r="E648" s="15">
        <f t="shared" si="351"/>
        <v>0.66657826852142044</v>
      </c>
      <c r="F648" s="66">
        <f t="shared" ref="F648:AB648" si="460">SUM(F17:F40)+SUM(F69:F72)+SUM(F76:F81)+SUM(F98:F107)+SUM(F267:F277)+SUM(F306:F309)+SUM(F381:F386)+F392+SUM(F492:F498)</f>
        <v>37276</v>
      </c>
      <c r="G648" s="6">
        <f t="shared" si="460"/>
        <v>124</v>
      </c>
      <c r="H648" s="6">
        <f t="shared" si="460"/>
        <v>1906</v>
      </c>
      <c r="I648" s="6">
        <f t="shared" si="460"/>
        <v>656</v>
      </c>
      <c r="J648" s="59">
        <f t="shared" si="460"/>
        <v>14050</v>
      </c>
      <c r="K648" s="6">
        <f t="shared" si="460"/>
        <v>0</v>
      </c>
      <c r="L648" s="6">
        <f t="shared" si="460"/>
        <v>0</v>
      </c>
      <c r="M648" s="6">
        <f t="shared" si="460"/>
        <v>10</v>
      </c>
      <c r="N648" s="6">
        <f t="shared" si="460"/>
        <v>0</v>
      </c>
      <c r="O648" s="6">
        <f t="shared" si="460"/>
        <v>1</v>
      </c>
      <c r="P648" s="6">
        <f t="shared" si="460"/>
        <v>7</v>
      </c>
      <c r="Q648" s="6">
        <f t="shared" si="460"/>
        <v>0</v>
      </c>
      <c r="R648" s="6">
        <f t="shared" si="460"/>
        <v>0</v>
      </c>
      <c r="S648" s="6">
        <f t="shared" si="460"/>
        <v>2</v>
      </c>
      <c r="T648" s="6">
        <f t="shared" si="460"/>
        <v>1</v>
      </c>
      <c r="U648" s="6">
        <f t="shared" si="460"/>
        <v>0</v>
      </c>
      <c r="V648" s="6">
        <f t="shared" si="460"/>
        <v>12</v>
      </c>
      <c r="W648" s="6">
        <f t="shared" si="460"/>
        <v>218</v>
      </c>
      <c r="X648" s="6">
        <f t="shared" si="460"/>
        <v>0</v>
      </c>
      <c r="Y648" s="6">
        <f t="shared" si="460"/>
        <v>0</v>
      </c>
      <c r="Z648" s="6">
        <f t="shared" si="460"/>
        <v>0</v>
      </c>
      <c r="AA648" s="6">
        <f t="shared" si="460"/>
        <v>0</v>
      </c>
      <c r="AB648" s="6">
        <f t="shared" si="460"/>
        <v>0</v>
      </c>
      <c r="AC648" s="6">
        <f t="shared" ref="AC648:BZ648" si="461">SUM(AC17:AC40)+SUM(AC69:AC72)+SUM(AC76:AC81)+SUM(AC98:AC107)+SUM(AC267:AC277)+SUM(AC306:AC309)+SUM(AC381:AC386)+AC392+SUM(AC492:AC498)</f>
        <v>594</v>
      </c>
      <c r="AD648" s="6">
        <f t="shared" si="461"/>
        <v>1311</v>
      </c>
      <c r="AE648" s="6">
        <f t="shared" si="461"/>
        <v>20503</v>
      </c>
      <c r="AF648" s="6">
        <f t="shared" si="461"/>
        <v>499</v>
      </c>
      <c r="AG648" s="6">
        <f t="shared" si="461"/>
        <v>0</v>
      </c>
      <c r="AH648" s="6">
        <f t="shared" si="461"/>
        <v>30094</v>
      </c>
      <c r="AI648" s="6">
        <f t="shared" si="461"/>
        <v>4645</v>
      </c>
      <c r="AJ648" s="6">
        <f t="shared" si="461"/>
        <v>26</v>
      </c>
      <c r="AK648" s="6">
        <f t="shared" si="461"/>
        <v>3</v>
      </c>
      <c r="AL648" s="6">
        <f t="shared" si="461"/>
        <v>15180</v>
      </c>
      <c r="AM648" s="6">
        <f t="shared" si="461"/>
        <v>1527</v>
      </c>
      <c r="AN648" s="6">
        <f t="shared" si="461"/>
        <v>15534</v>
      </c>
      <c r="AO648" s="6">
        <f t="shared" si="461"/>
        <v>14608</v>
      </c>
      <c r="AP648" s="6">
        <f t="shared" si="461"/>
        <v>0</v>
      </c>
      <c r="AQ648" s="6">
        <f t="shared" si="461"/>
        <v>0</v>
      </c>
      <c r="AR648" s="6">
        <f t="shared" si="461"/>
        <v>0</v>
      </c>
      <c r="AS648" s="6">
        <f t="shared" si="461"/>
        <v>0</v>
      </c>
      <c r="AT648" s="6">
        <f t="shared" si="461"/>
        <v>0</v>
      </c>
      <c r="AU648" s="6">
        <f t="shared" si="461"/>
        <v>0</v>
      </c>
      <c r="AV648" s="6">
        <f t="shared" si="461"/>
        <v>0</v>
      </c>
      <c r="AW648" s="6">
        <f t="shared" si="461"/>
        <v>0</v>
      </c>
      <c r="AX648" s="6">
        <f t="shared" si="461"/>
        <v>0</v>
      </c>
      <c r="AY648" s="6">
        <f t="shared" si="461"/>
        <v>34581</v>
      </c>
      <c r="AZ648" s="6">
        <f t="shared" si="461"/>
        <v>16231</v>
      </c>
      <c r="BA648" s="6">
        <f t="shared" si="461"/>
        <v>0</v>
      </c>
      <c r="BB648" s="6">
        <f t="shared" si="461"/>
        <v>0</v>
      </c>
      <c r="BC648" s="6">
        <f t="shared" si="461"/>
        <v>0</v>
      </c>
      <c r="BD648" s="6">
        <f t="shared" si="461"/>
        <v>0</v>
      </c>
      <c r="BE648" s="6">
        <f t="shared" si="461"/>
        <v>14618</v>
      </c>
      <c r="BF648" s="6">
        <f t="shared" si="461"/>
        <v>36110</v>
      </c>
      <c r="BG648" s="6">
        <f t="shared" si="461"/>
        <v>17338</v>
      </c>
      <c r="BH648" s="6">
        <f t="shared" si="461"/>
        <v>33703</v>
      </c>
      <c r="BI648" s="6">
        <f t="shared" si="461"/>
        <v>20244</v>
      </c>
      <c r="BJ648" s="6">
        <f t="shared" si="461"/>
        <v>30337</v>
      </c>
      <c r="BK648" s="6">
        <f t="shared" si="461"/>
        <v>33980</v>
      </c>
      <c r="BL648" s="6">
        <f t="shared" si="461"/>
        <v>16610</v>
      </c>
      <c r="BM648" s="6">
        <f t="shared" si="461"/>
        <v>13966</v>
      </c>
      <c r="BN648" s="6">
        <f t="shared" si="461"/>
        <v>36070</v>
      </c>
      <c r="BO648" s="6">
        <f t="shared" si="461"/>
        <v>31788</v>
      </c>
      <c r="BP648" s="6">
        <f t="shared" si="461"/>
        <v>17268</v>
      </c>
      <c r="BQ648" s="6">
        <f t="shared" si="461"/>
        <v>19338</v>
      </c>
      <c r="BR648" s="6">
        <f t="shared" si="461"/>
        <v>30032</v>
      </c>
      <c r="BS648" s="6">
        <f t="shared" si="461"/>
        <v>27807</v>
      </c>
      <c r="BT648" s="6">
        <f t="shared" si="461"/>
        <v>12975</v>
      </c>
      <c r="BU648" s="6">
        <f t="shared" si="461"/>
        <v>36859</v>
      </c>
      <c r="BV648" s="6">
        <f t="shared" si="461"/>
        <v>30512</v>
      </c>
      <c r="BW648" s="6">
        <f t="shared" si="461"/>
        <v>18042</v>
      </c>
      <c r="BX648" s="6">
        <f t="shared" si="461"/>
        <v>21983</v>
      </c>
      <c r="BY648" s="6">
        <f t="shared" si="461"/>
        <v>18166</v>
      </c>
      <c r="BZ648" s="6">
        <f t="shared" si="461"/>
        <v>25064</v>
      </c>
      <c r="CA648" s="6">
        <f t="shared" ref="CA648:CP648" si="462">SUM(CA17:CA40)+SUM(CA69:CA72)+SUM(CA76:CA81)+SUM(CA98:CA107)+SUM(CA267:CA277)+SUM(CA306:CA309)+SUM(CA381:CA386)+CA392+SUM(CA492:CA498)</f>
        <v>27100</v>
      </c>
      <c r="CB648" s="6">
        <f t="shared" si="462"/>
        <v>14179</v>
      </c>
      <c r="CC648" s="6">
        <f t="shared" si="462"/>
        <v>25239</v>
      </c>
      <c r="CD648" s="6">
        <f t="shared" si="462"/>
        <v>30244</v>
      </c>
      <c r="CE648" s="6">
        <f t="shared" si="462"/>
        <v>25037</v>
      </c>
      <c r="CF648" s="6">
        <f t="shared" si="462"/>
        <v>14805</v>
      </c>
      <c r="CG648" s="6">
        <f t="shared" si="462"/>
        <v>16503</v>
      </c>
      <c r="CH648" s="6">
        <f t="shared" si="462"/>
        <v>21513</v>
      </c>
      <c r="CI648" s="6">
        <f t="shared" si="462"/>
        <v>17595</v>
      </c>
      <c r="CJ648" s="6">
        <f t="shared" si="462"/>
        <v>21571</v>
      </c>
      <c r="CK648" s="6">
        <f t="shared" si="462"/>
        <v>18044</v>
      </c>
      <c r="CL648" s="6">
        <f t="shared" si="462"/>
        <v>21299</v>
      </c>
      <c r="CM648" s="6">
        <f t="shared" si="462"/>
        <v>25656</v>
      </c>
      <c r="CN648" s="6">
        <f t="shared" si="462"/>
        <v>26836</v>
      </c>
      <c r="CO648" s="6">
        <f t="shared" si="462"/>
        <v>20295</v>
      </c>
      <c r="CP648" s="6">
        <f t="shared" si="462"/>
        <v>19127</v>
      </c>
      <c r="CQ648" s="6">
        <f t="shared" ref="CQ648:EM648" si="463">SUM(CQ17:CQ40)+SUM(CQ69:CQ72)+SUM(CQ76:CQ81)+SUM(CQ98:CQ107)+SUM(CQ267:CQ277)+SUM(CQ306:CQ309)+SUM(CQ381:CQ386)+CQ392+SUM(CQ492:CQ498)</f>
        <v>0</v>
      </c>
      <c r="CR648" s="6">
        <f t="shared" si="463"/>
        <v>0</v>
      </c>
      <c r="CS648" s="6">
        <f t="shared" si="463"/>
        <v>0</v>
      </c>
      <c r="CT648" s="6">
        <f t="shared" si="463"/>
        <v>0</v>
      </c>
      <c r="CU648" s="6">
        <f t="shared" si="463"/>
        <v>0</v>
      </c>
      <c r="CV648" s="6">
        <f t="shared" si="463"/>
        <v>0</v>
      </c>
      <c r="CW648" s="6">
        <f t="shared" si="463"/>
        <v>0</v>
      </c>
      <c r="CX648" s="6">
        <f t="shared" si="463"/>
        <v>0</v>
      </c>
      <c r="CY648" s="6">
        <f t="shared" si="463"/>
        <v>3628</v>
      </c>
      <c r="CZ648" s="6">
        <f t="shared" si="463"/>
        <v>3383</v>
      </c>
      <c r="DA648" s="6">
        <f t="shared" si="463"/>
        <v>4333</v>
      </c>
      <c r="DB648" s="6">
        <f t="shared" si="463"/>
        <v>3140</v>
      </c>
      <c r="DC648" s="6">
        <f t="shared" si="463"/>
        <v>0</v>
      </c>
      <c r="DD648" s="6">
        <f t="shared" si="463"/>
        <v>0</v>
      </c>
      <c r="DE648" s="6">
        <f t="shared" si="463"/>
        <v>0</v>
      </c>
      <c r="DF648" s="6">
        <f t="shared" si="463"/>
        <v>0</v>
      </c>
      <c r="DG648" s="6">
        <f t="shared" si="463"/>
        <v>0</v>
      </c>
      <c r="DH648" s="6">
        <f t="shared" si="463"/>
        <v>0</v>
      </c>
      <c r="DI648" s="6">
        <f t="shared" si="463"/>
        <v>0</v>
      </c>
      <c r="DJ648" s="6">
        <f t="shared" si="463"/>
        <v>0</v>
      </c>
      <c r="DK648" s="6">
        <f t="shared" si="463"/>
        <v>0</v>
      </c>
      <c r="DL648" s="6">
        <f t="shared" si="463"/>
        <v>0</v>
      </c>
      <c r="DM648" s="6">
        <f t="shared" si="463"/>
        <v>0</v>
      </c>
      <c r="DN648" s="6">
        <f t="shared" si="463"/>
        <v>0</v>
      </c>
      <c r="DO648" s="6">
        <f t="shared" si="463"/>
        <v>0</v>
      </c>
      <c r="DP648" s="6">
        <f t="shared" si="463"/>
        <v>0</v>
      </c>
      <c r="DQ648" s="6">
        <f t="shared" si="463"/>
        <v>0</v>
      </c>
      <c r="DR648" s="6">
        <f t="shared" si="463"/>
        <v>0</v>
      </c>
      <c r="DS648" s="6">
        <f t="shared" si="463"/>
        <v>0</v>
      </c>
      <c r="DT648" s="6">
        <f t="shared" si="463"/>
        <v>0</v>
      </c>
      <c r="DU648" s="6">
        <f t="shared" si="463"/>
        <v>0</v>
      </c>
      <c r="DV648" s="6">
        <f t="shared" si="463"/>
        <v>0</v>
      </c>
      <c r="DW648" s="6">
        <f t="shared" si="463"/>
        <v>0</v>
      </c>
      <c r="DX648" s="6">
        <f t="shared" si="463"/>
        <v>0</v>
      </c>
      <c r="DY648" s="6">
        <f t="shared" ref="DY648:DZ648" si="464">SUM(DY17:DY40)+SUM(DY69:DY72)+SUM(DY76:DY81)+SUM(DY98:DY107)+SUM(DY267:DY277)+SUM(DY306:DY309)+SUM(DY381:DY386)+DY392+SUM(DY492:DY498)</f>
        <v>0</v>
      </c>
      <c r="DZ648" s="6">
        <f t="shared" si="464"/>
        <v>0</v>
      </c>
      <c r="EA648" s="6">
        <f t="shared" si="463"/>
        <v>0</v>
      </c>
      <c r="EB648" s="6">
        <f t="shared" si="463"/>
        <v>0</v>
      </c>
      <c r="EC648" s="6">
        <f t="shared" si="463"/>
        <v>0</v>
      </c>
      <c r="ED648" s="6">
        <f t="shared" si="463"/>
        <v>0</v>
      </c>
      <c r="EE648" s="6">
        <f t="shared" si="463"/>
        <v>0</v>
      </c>
      <c r="EF648" s="6">
        <f t="shared" si="463"/>
        <v>0</v>
      </c>
      <c r="EG648" s="6">
        <f t="shared" si="463"/>
        <v>0</v>
      </c>
      <c r="EH648" s="6">
        <f t="shared" si="463"/>
        <v>0</v>
      </c>
      <c r="EI648" s="6">
        <f t="shared" si="463"/>
        <v>0</v>
      </c>
      <c r="EJ648" s="6">
        <f t="shared" si="463"/>
        <v>0</v>
      </c>
      <c r="EK648" s="6">
        <f t="shared" si="463"/>
        <v>0</v>
      </c>
      <c r="EL648" s="6">
        <f t="shared" si="463"/>
        <v>0</v>
      </c>
      <c r="EM648" s="6">
        <f t="shared" si="463"/>
        <v>0</v>
      </c>
      <c r="EN648" s="6">
        <f t="shared" ref="EN648:GR648" si="465">SUM(EN17:EN40)+SUM(EN69:EN72)+SUM(EN76:EN81)+SUM(EN98:EN107)+SUM(EN267:EN277)+SUM(EN306:EN309)+SUM(EN381:EN386)+EN392+SUM(EN492:EN498)</f>
        <v>0</v>
      </c>
      <c r="EO648" s="6">
        <f t="shared" si="465"/>
        <v>0</v>
      </c>
      <c r="EP648" s="6">
        <f t="shared" si="465"/>
        <v>0</v>
      </c>
      <c r="EQ648" s="6">
        <f t="shared" si="465"/>
        <v>0</v>
      </c>
      <c r="ER648" s="6">
        <f t="shared" si="465"/>
        <v>0</v>
      </c>
      <c r="ES648" s="6">
        <f t="shared" si="465"/>
        <v>0</v>
      </c>
      <c r="ET648" s="6">
        <f t="shared" si="465"/>
        <v>0</v>
      </c>
      <c r="EU648" s="6">
        <f t="shared" si="465"/>
        <v>0</v>
      </c>
      <c r="EV648" s="6">
        <f t="shared" si="465"/>
        <v>0</v>
      </c>
      <c r="EW648" s="6">
        <f t="shared" si="465"/>
        <v>0</v>
      </c>
      <c r="EX648" s="6">
        <f t="shared" si="465"/>
        <v>0</v>
      </c>
      <c r="EY648" s="6">
        <f t="shared" si="465"/>
        <v>0</v>
      </c>
      <c r="EZ648" s="6">
        <f t="shared" si="465"/>
        <v>0</v>
      </c>
      <c r="FA648" s="6">
        <f t="shared" si="465"/>
        <v>527</v>
      </c>
      <c r="FB648" s="6">
        <f t="shared" si="465"/>
        <v>157</v>
      </c>
      <c r="FC648" s="6">
        <f t="shared" si="465"/>
        <v>0</v>
      </c>
      <c r="FD648" s="6">
        <f t="shared" si="465"/>
        <v>0</v>
      </c>
      <c r="FE648" s="6">
        <f t="shared" si="465"/>
        <v>0</v>
      </c>
      <c r="FF648" s="6">
        <f t="shared" si="465"/>
        <v>0</v>
      </c>
      <c r="FG648" s="6">
        <f t="shared" si="465"/>
        <v>0</v>
      </c>
      <c r="FH648" s="6">
        <f t="shared" si="465"/>
        <v>0</v>
      </c>
      <c r="FI648" s="6">
        <f t="shared" si="465"/>
        <v>0</v>
      </c>
      <c r="FJ648" s="6">
        <f t="shared" si="465"/>
        <v>0</v>
      </c>
      <c r="FK648" s="6">
        <f t="shared" si="465"/>
        <v>0</v>
      </c>
      <c r="FL648" s="6">
        <f t="shared" si="465"/>
        <v>0</v>
      </c>
      <c r="FM648" s="6">
        <f t="shared" si="465"/>
        <v>0</v>
      </c>
      <c r="FN648" s="6">
        <f t="shared" si="465"/>
        <v>0</v>
      </c>
      <c r="FO648" s="6">
        <f t="shared" si="465"/>
        <v>0</v>
      </c>
      <c r="FP648" s="6">
        <f t="shared" si="465"/>
        <v>0</v>
      </c>
      <c r="FQ648" s="6">
        <f t="shared" si="465"/>
        <v>0</v>
      </c>
      <c r="FR648" s="6">
        <f t="shared" si="465"/>
        <v>0</v>
      </c>
      <c r="FS648" s="6">
        <f t="shared" si="465"/>
        <v>0</v>
      </c>
      <c r="FT648" s="6">
        <f t="shared" si="465"/>
        <v>0</v>
      </c>
      <c r="FU648" s="6">
        <f t="shared" si="465"/>
        <v>0</v>
      </c>
      <c r="FV648" s="6">
        <f t="shared" si="465"/>
        <v>0</v>
      </c>
      <c r="FW648" s="6">
        <f t="shared" si="465"/>
        <v>0</v>
      </c>
      <c r="FX648" s="6">
        <f t="shared" si="465"/>
        <v>0</v>
      </c>
      <c r="FY648" s="6">
        <f t="shared" si="465"/>
        <v>27336</v>
      </c>
      <c r="FZ648" s="6">
        <f t="shared" si="465"/>
        <v>14458</v>
      </c>
      <c r="GA648" s="6">
        <f t="shared" si="465"/>
        <v>102</v>
      </c>
      <c r="GB648" s="6">
        <f t="shared" si="465"/>
        <v>65</v>
      </c>
      <c r="GC648" s="6">
        <f t="shared" si="465"/>
        <v>0</v>
      </c>
      <c r="GD648" s="6">
        <f t="shared" si="465"/>
        <v>0</v>
      </c>
      <c r="GE648" s="6">
        <f t="shared" si="465"/>
        <v>4432</v>
      </c>
      <c r="GF648" s="6">
        <f t="shared" si="465"/>
        <v>3125</v>
      </c>
      <c r="GG648" s="6">
        <f t="shared" si="465"/>
        <v>1224</v>
      </c>
      <c r="GH648" s="6">
        <f t="shared" si="465"/>
        <v>891</v>
      </c>
      <c r="GI648" s="6">
        <f t="shared" si="465"/>
        <v>0</v>
      </c>
      <c r="GJ648" s="6">
        <f t="shared" si="465"/>
        <v>0</v>
      </c>
      <c r="GK648" s="6">
        <f t="shared" si="465"/>
        <v>0</v>
      </c>
      <c r="GL648" s="6">
        <f t="shared" si="465"/>
        <v>0</v>
      </c>
      <c r="GM648" s="6">
        <f t="shared" si="465"/>
        <v>0</v>
      </c>
      <c r="GN648" s="6">
        <f t="shared" si="465"/>
        <v>0</v>
      </c>
      <c r="GO648" s="6">
        <f t="shared" si="465"/>
        <v>37974</v>
      </c>
      <c r="GP648" s="6">
        <f t="shared" si="465"/>
        <v>13511</v>
      </c>
      <c r="GQ648" s="6">
        <f t="shared" si="465"/>
        <v>39353</v>
      </c>
      <c r="GR648" s="6">
        <f t="shared" si="465"/>
        <v>12039</v>
      </c>
    </row>
    <row r="649" spans="1:200">
      <c r="A649" s="6"/>
      <c r="B649" s="16" t="s">
        <v>706</v>
      </c>
      <c r="C649" s="14">
        <f>SUM(C50:C53)+SUM(C65:C68)+SUM(C73:C75)+SUM(C108:C113)+SUM(C123:C148)+SUM(C158:C159)+C167+SUM(C169:C188)+SUM(C256:C266)+C509</f>
        <v>87106</v>
      </c>
      <c r="D649" s="14">
        <f>SUM(D50:D53)+SUM(D65:D68)+SUM(D73:D75)+SUM(D108:D113)+SUM(D123:D148)+SUM(D158:D159)+D167+SUM(D169:D188)+SUM(D256:D266)+D509</f>
        <v>52634</v>
      </c>
      <c r="E649" s="15">
        <f t="shared" si="351"/>
        <v>0.60425229031295202</v>
      </c>
      <c r="F649" s="66">
        <f t="shared" ref="F649:AB649" si="466">SUM(F50:F53)+SUM(F65:F68)+SUM(F73:F75)+SUM(F108:F113)+SUM(F123:F148)+SUM(F158:F159)+F167+SUM(F169:F188)+SUM(F256:F266)+F509</f>
        <v>39752</v>
      </c>
      <c r="G649" s="6">
        <f t="shared" si="466"/>
        <v>152</v>
      </c>
      <c r="H649" s="6">
        <f t="shared" si="466"/>
        <v>1134</v>
      </c>
      <c r="I649" s="6">
        <f t="shared" si="466"/>
        <v>586</v>
      </c>
      <c r="J649" s="59">
        <f t="shared" si="466"/>
        <v>10016</v>
      </c>
      <c r="K649" s="6">
        <f t="shared" si="466"/>
        <v>0</v>
      </c>
      <c r="L649" s="6">
        <f t="shared" si="466"/>
        <v>0</v>
      </c>
      <c r="M649" s="6">
        <f t="shared" si="466"/>
        <v>19</v>
      </c>
      <c r="N649" s="6">
        <f t="shared" si="466"/>
        <v>0</v>
      </c>
      <c r="O649" s="6">
        <f t="shared" si="466"/>
        <v>0</v>
      </c>
      <c r="P649" s="6">
        <f t="shared" si="466"/>
        <v>2</v>
      </c>
      <c r="Q649" s="6">
        <f t="shared" si="466"/>
        <v>0</v>
      </c>
      <c r="R649" s="6">
        <f t="shared" si="466"/>
        <v>0</v>
      </c>
      <c r="S649" s="6">
        <f t="shared" si="466"/>
        <v>0</v>
      </c>
      <c r="T649" s="6">
        <f t="shared" si="466"/>
        <v>0</v>
      </c>
      <c r="U649" s="6">
        <f t="shared" si="466"/>
        <v>0</v>
      </c>
      <c r="V649" s="6">
        <f t="shared" si="466"/>
        <v>4</v>
      </c>
      <c r="W649" s="6">
        <f t="shared" si="466"/>
        <v>112</v>
      </c>
      <c r="X649" s="6">
        <f t="shared" si="466"/>
        <v>0</v>
      </c>
      <c r="Y649" s="6">
        <f t="shared" si="466"/>
        <v>0</v>
      </c>
      <c r="Z649" s="6">
        <f t="shared" si="466"/>
        <v>0</v>
      </c>
      <c r="AA649" s="6">
        <f t="shared" si="466"/>
        <v>0</v>
      </c>
      <c r="AB649" s="6">
        <f t="shared" si="466"/>
        <v>0</v>
      </c>
      <c r="AC649" s="6">
        <f t="shared" ref="AC649:BZ649" si="467">SUM(AC50:AC53)+SUM(AC65:AC68)+SUM(AC73:AC75)+SUM(AC108:AC113)+SUM(AC123:AC148)+SUM(AC158:AC159)+AC167+SUM(AC169:AC188)+SUM(AC256:AC266)+AC509</f>
        <v>752</v>
      </c>
      <c r="AD649" s="6">
        <f t="shared" si="467"/>
        <v>1071</v>
      </c>
      <c r="AE649" s="6">
        <f t="shared" si="467"/>
        <v>14538</v>
      </c>
      <c r="AF649" s="6">
        <f t="shared" si="467"/>
        <v>489</v>
      </c>
      <c r="AG649" s="6">
        <f t="shared" si="467"/>
        <v>1</v>
      </c>
      <c r="AH649" s="6">
        <f t="shared" si="467"/>
        <v>33700</v>
      </c>
      <c r="AI649" s="6">
        <f t="shared" si="467"/>
        <v>10644</v>
      </c>
      <c r="AJ649" s="6">
        <f t="shared" si="467"/>
        <v>38</v>
      </c>
      <c r="AK649" s="6">
        <f t="shared" si="467"/>
        <v>3</v>
      </c>
      <c r="AL649" s="6">
        <f t="shared" si="467"/>
        <v>30469</v>
      </c>
      <c r="AM649" s="6">
        <f t="shared" si="467"/>
        <v>232</v>
      </c>
      <c r="AN649" s="6">
        <f t="shared" si="467"/>
        <v>5346</v>
      </c>
      <c r="AO649" s="6">
        <f t="shared" si="467"/>
        <v>3447</v>
      </c>
      <c r="AP649" s="6">
        <f t="shared" si="467"/>
        <v>0</v>
      </c>
      <c r="AQ649" s="6">
        <f t="shared" si="467"/>
        <v>0</v>
      </c>
      <c r="AR649" s="6">
        <f t="shared" si="467"/>
        <v>0</v>
      </c>
      <c r="AS649" s="6">
        <f t="shared" si="467"/>
        <v>0</v>
      </c>
      <c r="AT649" s="6">
        <f t="shared" si="467"/>
        <v>0</v>
      </c>
      <c r="AU649" s="6">
        <f t="shared" si="467"/>
        <v>0</v>
      </c>
      <c r="AV649" s="6">
        <f t="shared" si="467"/>
        <v>0</v>
      </c>
      <c r="AW649" s="6">
        <f t="shared" si="467"/>
        <v>0</v>
      </c>
      <c r="AX649" s="6">
        <f t="shared" si="467"/>
        <v>0</v>
      </c>
      <c r="AY649" s="6">
        <f t="shared" si="467"/>
        <v>0</v>
      </c>
      <c r="AZ649" s="6">
        <f t="shared" si="467"/>
        <v>0</v>
      </c>
      <c r="BA649" s="6">
        <f t="shared" si="467"/>
        <v>37595</v>
      </c>
      <c r="BB649" s="6">
        <f t="shared" si="467"/>
        <v>11308</v>
      </c>
      <c r="BC649" s="6">
        <f t="shared" si="467"/>
        <v>0</v>
      </c>
      <c r="BD649" s="6">
        <f t="shared" si="467"/>
        <v>0</v>
      </c>
      <c r="BE649" s="6">
        <f t="shared" si="467"/>
        <v>9592</v>
      </c>
      <c r="BF649" s="6">
        <f t="shared" si="467"/>
        <v>39795</v>
      </c>
      <c r="BG649" s="6">
        <f t="shared" si="467"/>
        <v>12431</v>
      </c>
      <c r="BH649" s="6">
        <f t="shared" si="467"/>
        <v>37034</v>
      </c>
      <c r="BI649" s="6">
        <f t="shared" si="467"/>
        <v>15388</v>
      </c>
      <c r="BJ649" s="6">
        <f t="shared" si="467"/>
        <v>33803</v>
      </c>
      <c r="BK649" s="6">
        <f t="shared" si="467"/>
        <v>36173</v>
      </c>
      <c r="BL649" s="6">
        <f t="shared" si="467"/>
        <v>13140</v>
      </c>
      <c r="BM649" s="6">
        <f t="shared" si="467"/>
        <v>9394</v>
      </c>
      <c r="BN649" s="6">
        <f t="shared" si="467"/>
        <v>39520</v>
      </c>
      <c r="BO649" s="6">
        <f t="shared" si="467"/>
        <v>35506</v>
      </c>
      <c r="BP649" s="6">
        <f t="shared" si="467"/>
        <v>12700</v>
      </c>
      <c r="BQ649" s="6">
        <f t="shared" si="467"/>
        <v>13725</v>
      </c>
      <c r="BR649" s="6">
        <f t="shared" si="467"/>
        <v>34689</v>
      </c>
      <c r="BS649" s="6">
        <f t="shared" si="467"/>
        <v>22740</v>
      </c>
      <c r="BT649" s="6">
        <f t="shared" si="467"/>
        <v>8741</v>
      </c>
      <c r="BU649" s="6">
        <f t="shared" si="467"/>
        <v>40042</v>
      </c>
      <c r="BV649" s="6">
        <f t="shared" si="467"/>
        <v>27617</v>
      </c>
      <c r="BW649" s="6">
        <f t="shared" si="467"/>
        <v>16490</v>
      </c>
      <c r="BX649" s="6">
        <f t="shared" si="467"/>
        <v>23386</v>
      </c>
      <c r="BY649" s="6">
        <f t="shared" si="467"/>
        <v>17078</v>
      </c>
      <c r="BZ649" s="6">
        <f t="shared" si="467"/>
        <v>26099</v>
      </c>
      <c r="CA649" s="6">
        <f t="shared" ref="CA649:CP649" si="468">SUM(CA50:CA53)+SUM(CA65:CA68)+SUM(CA73:CA75)+SUM(CA108:CA113)+SUM(CA123:CA148)+SUM(CA158:CA159)+CA167+SUM(CA169:CA188)+SUM(CA256:CA266)+CA509</f>
        <v>24310</v>
      </c>
      <c r="CB649" s="6">
        <f t="shared" si="468"/>
        <v>11883</v>
      </c>
      <c r="CC649" s="6">
        <f t="shared" si="468"/>
        <v>27843</v>
      </c>
      <c r="CD649" s="6">
        <f t="shared" si="468"/>
        <v>28933</v>
      </c>
      <c r="CE649" s="6">
        <f t="shared" si="468"/>
        <v>26795</v>
      </c>
      <c r="CF649" s="6">
        <f t="shared" si="468"/>
        <v>13666</v>
      </c>
      <c r="CG649" s="6">
        <f t="shared" si="468"/>
        <v>14108</v>
      </c>
      <c r="CH649" s="6">
        <f t="shared" si="468"/>
        <v>23792</v>
      </c>
      <c r="CI649" s="6">
        <f t="shared" si="468"/>
        <v>20150</v>
      </c>
      <c r="CJ649" s="6">
        <f t="shared" si="468"/>
        <v>19316</v>
      </c>
      <c r="CK649" s="6">
        <f t="shared" si="468"/>
        <v>18143</v>
      </c>
      <c r="CL649" s="6">
        <f t="shared" si="468"/>
        <v>22170</v>
      </c>
      <c r="CM649" s="6">
        <f t="shared" si="468"/>
        <v>23393</v>
      </c>
      <c r="CN649" s="6">
        <f t="shared" si="468"/>
        <v>25358</v>
      </c>
      <c r="CO649" s="6">
        <f t="shared" si="468"/>
        <v>22093</v>
      </c>
      <c r="CP649" s="6">
        <f t="shared" si="468"/>
        <v>18429</v>
      </c>
      <c r="CQ649" s="6">
        <f t="shared" ref="CQ649:EM649" si="469">SUM(CQ50:CQ53)+SUM(CQ65:CQ68)+SUM(CQ73:CQ75)+SUM(CQ108:CQ113)+SUM(CQ123:CQ148)+SUM(CQ158:CQ159)+CQ167+SUM(CQ169:CQ188)+SUM(CQ256:CQ266)+CQ509</f>
        <v>0</v>
      </c>
      <c r="CR649" s="6">
        <f t="shared" si="469"/>
        <v>0</v>
      </c>
      <c r="CS649" s="6">
        <f t="shared" si="469"/>
        <v>339</v>
      </c>
      <c r="CT649" s="6">
        <f t="shared" si="469"/>
        <v>470</v>
      </c>
      <c r="CU649" s="6">
        <f t="shared" si="469"/>
        <v>0</v>
      </c>
      <c r="CV649" s="6">
        <f t="shared" si="469"/>
        <v>0</v>
      </c>
      <c r="CW649" s="6">
        <f t="shared" si="469"/>
        <v>2426</v>
      </c>
      <c r="CX649" s="6">
        <f t="shared" si="469"/>
        <v>1657</v>
      </c>
      <c r="CY649" s="6">
        <f t="shared" si="469"/>
        <v>0</v>
      </c>
      <c r="CZ649" s="6">
        <f t="shared" si="469"/>
        <v>0</v>
      </c>
      <c r="DA649" s="6">
        <f t="shared" si="469"/>
        <v>0</v>
      </c>
      <c r="DB649" s="6">
        <f t="shared" si="469"/>
        <v>0</v>
      </c>
      <c r="DC649" s="6">
        <f t="shared" si="469"/>
        <v>0</v>
      </c>
      <c r="DD649" s="6">
        <f t="shared" si="469"/>
        <v>0</v>
      </c>
      <c r="DE649" s="6">
        <f t="shared" si="469"/>
        <v>0</v>
      </c>
      <c r="DF649" s="6">
        <f t="shared" si="469"/>
        <v>0</v>
      </c>
      <c r="DG649" s="6">
        <f t="shared" si="469"/>
        <v>0</v>
      </c>
      <c r="DH649" s="6">
        <f t="shared" si="469"/>
        <v>0</v>
      </c>
      <c r="DI649" s="6">
        <f t="shared" si="469"/>
        <v>0</v>
      </c>
      <c r="DJ649" s="6">
        <f t="shared" si="469"/>
        <v>0</v>
      </c>
      <c r="DK649" s="6">
        <f t="shared" si="469"/>
        <v>0</v>
      </c>
      <c r="DL649" s="6">
        <f t="shared" si="469"/>
        <v>0</v>
      </c>
      <c r="DM649" s="6">
        <f t="shared" si="469"/>
        <v>0</v>
      </c>
      <c r="DN649" s="6">
        <f t="shared" si="469"/>
        <v>0</v>
      </c>
      <c r="DO649" s="6">
        <f t="shared" si="469"/>
        <v>0</v>
      </c>
      <c r="DP649" s="6">
        <f t="shared" si="469"/>
        <v>0</v>
      </c>
      <c r="DQ649" s="6">
        <f t="shared" si="469"/>
        <v>0</v>
      </c>
      <c r="DR649" s="6">
        <f t="shared" si="469"/>
        <v>0</v>
      </c>
      <c r="DS649" s="6">
        <f t="shared" si="469"/>
        <v>0</v>
      </c>
      <c r="DT649" s="6">
        <f t="shared" si="469"/>
        <v>0</v>
      </c>
      <c r="DU649" s="6">
        <f t="shared" si="469"/>
        <v>0</v>
      </c>
      <c r="DV649" s="6">
        <f t="shared" si="469"/>
        <v>0</v>
      </c>
      <c r="DW649" s="6">
        <f t="shared" si="469"/>
        <v>0</v>
      </c>
      <c r="DX649" s="6">
        <f t="shared" si="469"/>
        <v>0</v>
      </c>
      <c r="DY649" s="6">
        <f t="shared" ref="DY649:DZ649" si="470">SUM(DY50:DY53)+SUM(DY65:DY68)+SUM(DY73:DY75)+SUM(DY108:DY113)+SUM(DY123:DY148)+SUM(DY158:DY159)+DY167+SUM(DY169:DY188)+SUM(DY256:DY266)+DY509</f>
        <v>0</v>
      </c>
      <c r="DZ649" s="6">
        <f t="shared" si="470"/>
        <v>0</v>
      </c>
      <c r="EA649" s="6">
        <f t="shared" si="469"/>
        <v>0</v>
      </c>
      <c r="EB649" s="6">
        <f t="shared" si="469"/>
        <v>0</v>
      </c>
      <c r="EC649" s="6">
        <f t="shared" si="469"/>
        <v>0</v>
      </c>
      <c r="ED649" s="6">
        <f t="shared" si="469"/>
        <v>0</v>
      </c>
      <c r="EE649" s="6">
        <f t="shared" si="469"/>
        <v>0</v>
      </c>
      <c r="EF649" s="6">
        <f t="shared" si="469"/>
        <v>0</v>
      </c>
      <c r="EG649" s="6">
        <f t="shared" si="469"/>
        <v>0</v>
      </c>
      <c r="EH649" s="6">
        <f t="shared" si="469"/>
        <v>0</v>
      </c>
      <c r="EI649" s="6">
        <f t="shared" si="469"/>
        <v>0</v>
      </c>
      <c r="EJ649" s="6">
        <f t="shared" si="469"/>
        <v>0</v>
      </c>
      <c r="EK649" s="6">
        <f t="shared" si="469"/>
        <v>0</v>
      </c>
      <c r="EL649" s="6">
        <f t="shared" si="469"/>
        <v>0</v>
      </c>
      <c r="EM649" s="6">
        <f t="shared" si="469"/>
        <v>0</v>
      </c>
      <c r="EN649" s="6">
        <f t="shared" ref="EN649:GR649" si="471">SUM(EN50:EN53)+SUM(EN65:EN68)+SUM(EN73:EN75)+SUM(EN108:EN113)+SUM(EN123:EN148)+SUM(EN158:EN159)+EN167+SUM(EN169:EN188)+SUM(EN256:EN266)+EN509</f>
        <v>0</v>
      </c>
      <c r="EO649" s="6">
        <f t="shared" si="471"/>
        <v>0</v>
      </c>
      <c r="EP649" s="6">
        <f t="shared" si="471"/>
        <v>0</v>
      </c>
      <c r="EQ649" s="6">
        <f t="shared" si="471"/>
        <v>0</v>
      </c>
      <c r="ER649" s="6">
        <f t="shared" si="471"/>
        <v>0</v>
      </c>
      <c r="ES649" s="6">
        <f t="shared" si="471"/>
        <v>0</v>
      </c>
      <c r="ET649" s="6">
        <f t="shared" si="471"/>
        <v>0</v>
      </c>
      <c r="EU649" s="6">
        <f t="shared" si="471"/>
        <v>0</v>
      </c>
      <c r="EV649" s="6">
        <f t="shared" si="471"/>
        <v>0</v>
      </c>
      <c r="EW649" s="6">
        <f t="shared" si="471"/>
        <v>0</v>
      </c>
      <c r="EX649" s="6">
        <f t="shared" si="471"/>
        <v>0</v>
      </c>
      <c r="EY649" s="6">
        <f t="shared" si="471"/>
        <v>0</v>
      </c>
      <c r="EZ649" s="6">
        <f t="shared" si="471"/>
        <v>0</v>
      </c>
      <c r="FA649" s="6">
        <f t="shared" si="471"/>
        <v>0</v>
      </c>
      <c r="FB649" s="6">
        <f t="shared" si="471"/>
        <v>0</v>
      </c>
      <c r="FC649" s="6">
        <f t="shared" si="471"/>
        <v>0</v>
      </c>
      <c r="FD649" s="6">
        <f t="shared" si="471"/>
        <v>0</v>
      </c>
      <c r="FE649" s="6">
        <f t="shared" si="471"/>
        <v>0</v>
      </c>
      <c r="FF649" s="6">
        <f t="shared" si="471"/>
        <v>0</v>
      </c>
      <c r="FG649" s="6">
        <f t="shared" si="471"/>
        <v>0</v>
      </c>
      <c r="FH649" s="6">
        <f t="shared" si="471"/>
        <v>0</v>
      </c>
      <c r="FI649" s="6">
        <f t="shared" si="471"/>
        <v>0</v>
      </c>
      <c r="FJ649" s="6">
        <f t="shared" si="471"/>
        <v>0</v>
      </c>
      <c r="FK649" s="6">
        <f t="shared" si="471"/>
        <v>0</v>
      </c>
      <c r="FL649" s="6">
        <f t="shared" si="471"/>
        <v>0</v>
      </c>
      <c r="FM649" s="6">
        <f t="shared" si="471"/>
        <v>0</v>
      </c>
      <c r="FN649" s="6">
        <f t="shared" si="471"/>
        <v>0</v>
      </c>
      <c r="FO649" s="6">
        <f t="shared" si="471"/>
        <v>0</v>
      </c>
      <c r="FP649" s="6">
        <f t="shared" si="471"/>
        <v>0</v>
      </c>
      <c r="FQ649" s="6">
        <f t="shared" si="471"/>
        <v>0</v>
      </c>
      <c r="FR649" s="6">
        <f t="shared" si="471"/>
        <v>0</v>
      </c>
      <c r="FS649" s="6">
        <f t="shared" si="471"/>
        <v>0</v>
      </c>
      <c r="FT649" s="6">
        <f t="shared" si="471"/>
        <v>0</v>
      </c>
      <c r="FU649" s="6">
        <f t="shared" si="471"/>
        <v>0</v>
      </c>
      <c r="FV649" s="6">
        <f t="shared" si="471"/>
        <v>0</v>
      </c>
      <c r="FW649" s="6">
        <f t="shared" si="471"/>
        <v>0</v>
      </c>
      <c r="FX649" s="6">
        <f t="shared" si="471"/>
        <v>0</v>
      </c>
      <c r="FY649" s="6">
        <f t="shared" si="471"/>
        <v>28046</v>
      </c>
      <c r="FZ649" s="6">
        <f t="shared" si="471"/>
        <v>13928</v>
      </c>
      <c r="GA649" s="6">
        <f t="shared" si="471"/>
        <v>0</v>
      </c>
      <c r="GB649" s="6">
        <f t="shared" si="471"/>
        <v>0</v>
      </c>
      <c r="GC649" s="6">
        <f t="shared" si="471"/>
        <v>0</v>
      </c>
      <c r="GD649" s="6">
        <f t="shared" si="471"/>
        <v>0</v>
      </c>
      <c r="GE649" s="6">
        <f t="shared" si="471"/>
        <v>0</v>
      </c>
      <c r="GF649" s="6">
        <f t="shared" si="471"/>
        <v>0</v>
      </c>
      <c r="GG649" s="6">
        <f t="shared" si="471"/>
        <v>0</v>
      </c>
      <c r="GH649" s="6">
        <f t="shared" si="471"/>
        <v>0</v>
      </c>
      <c r="GI649" s="6">
        <f t="shared" si="471"/>
        <v>0</v>
      </c>
      <c r="GJ649" s="6">
        <f t="shared" si="471"/>
        <v>0</v>
      </c>
      <c r="GK649" s="6">
        <f t="shared" si="471"/>
        <v>0</v>
      </c>
      <c r="GL649" s="6">
        <f t="shared" si="471"/>
        <v>0</v>
      </c>
      <c r="GM649" s="6">
        <f t="shared" si="471"/>
        <v>0</v>
      </c>
      <c r="GN649" s="6">
        <f t="shared" si="471"/>
        <v>0</v>
      </c>
      <c r="GO649" s="6">
        <f t="shared" si="471"/>
        <v>34983</v>
      </c>
      <c r="GP649" s="6">
        <f t="shared" si="471"/>
        <v>13757</v>
      </c>
      <c r="GQ649" s="6">
        <f t="shared" si="471"/>
        <v>37431</v>
      </c>
      <c r="GR649" s="6">
        <f t="shared" si="471"/>
        <v>11612</v>
      </c>
    </row>
    <row r="650" spans="1:200">
      <c r="A650" s="6"/>
      <c r="B650" s="16" t="s">
        <v>707</v>
      </c>
      <c r="C650" s="14">
        <f>SUM(C54:C64)+SUM(C82:C97)+SUM(C149:C157)+SUM(C301:C305)+C342+C414+SUM(C421:C422)+SUM(C472:C475)+SUM(C499:C501)+SUM(C503:C508)+SUM(C510:C517)+SUM(C519:C524)+SUM(C526:C527)+SUM(C558:C559)</f>
        <v>82472</v>
      </c>
      <c r="D650" s="14">
        <f>SUM(D54:D64)+SUM(D82:D97)+SUM(D149:D157)+SUM(D301:D305)+D342+D414+SUM(D421:D422)+SUM(D472:D475)+SUM(D499:D501)+SUM(D503:D508)+SUM(D510:D517)+SUM(D519:D524)+SUM(D526:D527)+SUM(D558:D559)</f>
        <v>56875</v>
      </c>
      <c r="E650" s="15">
        <f t="shared" si="351"/>
        <v>0.6896279949558638</v>
      </c>
      <c r="F650" s="66">
        <f t="shared" ref="F650:AB650" si="472">SUM(F54:F64)+SUM(F82:F97)+SUM(F149:F157)+SUM(F301:F305)+F342+F414+SUM(F421:F422)+SUM(F472:F475)+SUM(F499:F501)+SUM(F503:F508)+SUM(F510:F517)+SUM(F519:F524)+SUM(F526:F527)+SUM(F558:F559)</f>
        <v>41466</v>
      </c>
      <c r="G650" s="6">
        <f t="shared" si="472"/>
        <v>155</v>
      </c>
      <c r="H650" s="6">
        <f t="shared" si="472"/>
        <v>1248</v>
      </c>
      <c r="I650" s="6">
        <f t="shared" si="472"/>
        <v>510</v>
      </c>
      <c r="J650" s="59">
        <f t="shared" si="472"/>
        <v>12404</v>
      </c>
      <c r="K650" s="6">
        <f t="shared" si="472"/>
        <v>0</v>
      </c>
      <c r="L650" s="6">
        <f t="shared" si="472"/>
        <v>0</v>
      </c>
      <c r="M650" s="6">
        <f t="shared" si="472"/>
        <v>12</v>
      </c>
      <c r="N650" s="6">
        <f t="shared" si="472"/>
        <v>0</v>
      </c>
      <c r="O650" s="6">
        <f t="shared" si="472"/>
        <v>1</v>
      </c>
      <c r="P650" s="6">
        <f t="shared" si="472"/>
        <v>2</v>
      </c>
      <c r="Q650" s="6">
        <f t="shared" si="472"/>
        <v>0</v>
      </c>
      <c r="R650" s="6">
        <f t="shared" si="472"/>
        <v>0</v>
      </c>
      <c r="S650" s="6">
        <f t="shared" si="472"/>
        <v>5</v>
      </c>
      <c r="T650" s="6">
        <f t="shared" si="472"/>
        <v>0</v>
      </c>
      <c r="U650" s="6">
        <f t="shared" si="472"/>
        <v>0</v>
      </c>
      <c r="V650" s="6">
        <f t="shared" si="472"/>
        <v>5</v>
      </c>
      <c r="W650" s="6">
        <f t="shared" si="472"/>
        <v>137</v>
      </c>
      <c r="X650" s="6">
        <f t="shared" si="472"/>
        <v>1</v>
      </c>
      <c r="Y650" s="6">
        <f t="shared" si="472"/>
        <v>0</v>
      </c>
      <c r="Z650" s="6">
        <f t="shared" si="472"/>
        <v>0</v>
      </c>
      <c r="AA650" s="6">
        <f t="shared" si="472"/>
        <v>0</v>
      </c>
      <c r="AB650" s="6">
        <f t="shared" si="472"/>
        <v>0</v>
      </c>
      <c r="AC650" s="6">
        <f t="shared" ref="AC650:BZ650" si="473">SUM(AC54:AC64)+SUM(AC82:AC97)+SUM(AC149:AC157)+SUM(AC301:AC305)+AC342+AC414+SUM(AC421:AC422)+SUM(AC472:AC475)+SUM(AC499:AC501)+SUM(AC503:AC508)+SUM(AC510:AC517)+SUM(AC519:AC524)+SUM(AC526:AC527)+SUM(AC558:AC559)</f>
        <v>655</v>
      </c>
      <c r="AD650" s="6">
        <f t="shared" si="473"/>
        <v>884</v>
      </c>
      <c r="AE650" s="6">
        <f t="shared" si="473"/>
        <v>17689</v>
      </c>
      <c r="AF650" s="6">
        <f t="shared" si="473"/>
        <v>496</v>
      </c>
      <c r="AG650" s="6">
        <f t="shared" si="473"/>
        <v>3</v>
      </c>
      <c r="AH650" s="6">
        <f t="shared" si="473"/>
        <v>34918</v>
      </c>
      <c r="AI650" s="6">
        <f t="shared" si="473"/>
        <v>2761</v>
      </c>
      <c r="AJ650" s="6">
        <f t="shared" si="473"/>
        <v>8</v>
      </c>
      <c r="AK650" s="6">
        <f t="shared" si="473"/>
        <v>0</v>
      </c>
      <c r="AL650" s="6">
        <f t="shared" si="473"/>
        <v>15737</v>
      </c>
      <c r="AM650" s="6">
        <f t="shared" si="473"/>
        <v>1551</v>
      </c>
      <c r="AN650" s="6">
        <f t="shared" si="473"/>
        <v>19798</v>
      </c>
      <c r="AO650" s="6">
        <f t="shared" si="473"/>
        <v>13574</v>
      </c>
      <c r="AP650" s="6">
        <f t="shared" si="473"/>
        <v>0</v>
      </c>
      <c r="AQ650" s="6">
        <f t="shared" si="473"/>
        <v>0</v>
      </c>
      <c r="AR650" s="6">
        <f t="shared" si="473"/>
        <v>0</v>
      </c>
      <c r="AS650" s="6">
        <f t="shared" si="473"/>
        <v>0</v>
      </c>
      <c r="AT650" s="6">
        <f t="shared" si="473"/>
        <v>0</v>
      </c>
      <c r="AU650" s="6">
        <f t="shared" si="473"/>
        <v>0</v>
      </c>
      <c r="AV650" s="6">
        <f t="shared" si="473"/>
        <v>0</v>
      </c>
      <c r="AW650" s="6">
        <f t="shared" si="473"/>
        <v>0</v>
      </c>
      <c r="AX650" s="6">
        <f t="shared" si="473"/>
        <v>0</v>
      </c>
      <c r="AY650" s="6">
        <f t="shared" si="473"/>
        <v>0</v>
      </c>
      <c r="AZ650" s="6">
        <f t="shared" si="473"/>
        <v>0</v>
      </c>
      <c r="BA650" s="6">
        <f t="shared" si="473"/>
        <v>0</v>
      </c>
      <c r="BB650" s="6">
        <f t="shared" si="473"/>
        <v>0</v>
      </c>
      <c r="BC650" s="6">
        <f t="shared" si="473"/>
        <v>14396</v>
      </c>
      <c r="BD650" s="6">
        <f t="shared" si="473"/>
        <v>40005</v>
      </c>
      <c r="BE650" s="6">
        <f t="shared" si="473"/>
        <v>12188</v>
      </c>
      <c r="BF650" s="6">
        <f t="shared" si="473"/>
        <v>41464</v>
      </c>
      <c r="BG650" s="6">
        <f t="shared" si="473"/>
        <v>15224</v>
      </c>
      <c r="BH650" s="6">
        <f t="shared" si="473"/>
        <v>38494</v>
      </c>
      <c r="BI650" s="6">
        <f t="shared" si="473"/>
        <v>17825</v>
      </c>
      <c r="BJ650" s="6">
        <f t="shared" si="473"/>
        <v>35773</v>
      </c>
      <c r="BK650" s="6">
        <f t="shared" si="473"/>
        <v>37996</v>
      </c>
      <c r="BL650" s="6">
        <f t="shared" si="473"/>
        <v>15357</v>
      </c>
      <c r="BM650" s="6">
        <f t="shared" si="473"/>
        <v>11648</v>
      </c>
      <c r="BN650" s="6">
        <f t="shared" si="473"/>
        <v>41351</v>
      </c>
      <c r="BO650" s="6">
        <f t="shared" si="473"/>
        <v>37529</v>
      </c>
      <c r="BP650" s="6">
        <f t="shared" si="473"/>
        <v>14955</v>
      </c>
      <c r="BQ650" s="6">
        <f t="shared" si="473"/>
        <v>17071</v>
      </c>
      <c r="BR650" s="6">
        <f t="shared" si="473"/>
        <v>35518</v>
      </c>
      <c r="BS650" s="6">
        <f t="shared" si="473"/>
        <v>25345</v>
      </c>
      <c r="BT650" s="6">
        <f t="shared" si="473"/>
        <v>10956</v>
      </c>
      <c r="BU650" s="6">
        <f t="shared" si="473"/>
        <v>41956</v>
      </c>
      <c r="BV650" s="6">
        <f t="shared" si="473"/>
        <v>29921</v>
      </c>
      <c r="BW650" s="6">
        <f t="shared" si="473"/>
        <v>17833</v>
      </c>
      <c r="BX650" s="6">
        <f t="shared" si="473"/>
        <v>25853</v>
      </c>
      <c r="BY650" s="6">
        <f t="shared" si="473"/>
        <v>18779</v>
      </c>
      <c r="BZ650" s="6">
        <f t="shared" si="473"/>
        <v>28581</v>
      </c>
      <c r="CA650" s="6">
        <f t="shared" ref="CA650:CP650" si="474">SUM(CA54:CA64)+SUM(CA82:CA97)+SUM(CA149:CA157)+SUM(CA301:CA305)+CA342+CA414+SUM(CA421:CA422)+SUM(CA472:CA475)+SUM(CA499:CA501)+SUM(CA503:CA508)+SUM(CA510:CA517)+SUM(CA519:CA524)+SUM(CA526:CA527)+SUM(CA558:CA559)</f>
        <v>26346</v>
      </c>
      <c r="CB650" s="6">
        <f t="shared" si="474"/>
        <v>13213</v>
      </c>
      <c r="CC650" s="6">
        <f t="shared" si="474"/>
        <v>30320</v>
      </c>
      <c r="CD650" s="6">
        <f t="shared" si="474"/>
        <v>31791</v>
      </c>
      <c r="CE650" s="6">
        <f t="shared" si="474"/>
        <v>29216</v>
      </c>
      <c r="CF650" s="6">
        <f t="shared" si="474"/>
        <v>15037</v>
      </c>
      <c r="CG650" s="6">
        <f t="shared" si="474"/>
        <v>15711</v>
      </c>
      <c r="CH650" s="6">
        <f t="shared" si="474"/>
        <v>25776</v>
      </c>
      <c r="CI650" s="6">
        <f t="shared" si="474"/>
        <v>22591</v>
      </c>
      <c r="CJ650" s="6">
        <f t="shared" si="474"/>
        <v>20665</v>
      </c>
      <c r="CK650" s="6">
        <f t="shared" si="474"/>
        <v>18985</v>
      </c>
      <c r="CL650" s="6">
        <f t="shared" si="474"/>
        <v>24926</v>
      </c>
      <c r="CM650" s="6">
        <f t="shared" si="474"/>
        <v>25115</v>
      </c>
      <c r="CN650" s="6">
        <f t="shared" si="474"/>
        <v>27145</v>
      </c>
      <c r="CO650" s="6">
        <f t="shared" si="474"/>
        <v>25269</v>
      </c>
      <c r="CP650" s="6">
        <f t="shared" si="474"/>
        <v>18997</v>
      </c>
      <c r="CQ650" s="6">
        <f t="shared" ref="CQ650:EM650" si="475">SUM(CQ54:CQ64)+SUM(CQ82:CQ97)+SUM(CQ149:CQ157)+SUM(CQ301:CQ305)+CQ342+CQ414+SUM(CQ421:CQ422)+SUM(CQ472:CQ475)+SUM(CQ499:CQ501)+SUM(CQ503:CQ508)+SUM(CQ510:CQ517)+SUM(CQ519:CQ524)+SUM(CQ526:CQ527)+SUM(CQ558:CQ559)</f>
        <v>0</v>
      </c>
      <c r="CR650" s="6">
        <f t="shared" si="475"/>
        <v>0</v>
      </c>
      <c r="CS650" s="6">
        <f t="shared" si="475"/>
        <v>0</v>
      </c>
      <c r="CT650" s="6">
        <f t="shared" si="475"/>
        <v>0</v>
      </c>
      <c r="CU650" s="6">
        <f t="shared" si="475"/>
        <v>0</v>
      </c>
      <c r="CV650" s="6">
        <f t="shared" si="475"/>
        <v>0</v>
      </c>
      <c r="CW650" s="6">
        <f t="shared" si="475"/>
        <v>0</v>
      </c>
      <c r="CX650" s="6">
        <f t="shared" si="475"/>
        <v>0</v>
      </c>
      <c r="CY650" s="6">
        <f t="shared" si="475"/>
        <v>0</v>
      </c>
      <c r="CZ650" s="6">
        <f t="shared" si="475"/>
        <v>0</v>
      </c>
      <c r="DA650" s="6">
        <f t="shared" si="475"/>
        <v>0</v>
      </c>
      <c r="DB650" s="6">
        <f t="shared" si="475"/>
        <v>0</v>
      </c>
      <c r="DC650" s="6">
        <f t="shared" si="475"/>
        <v>0</v>
      </c>
      <c r="DD650" s="6">
        <f t="shared" si="475"/>
        <v>0</v>
      </c>
      <c r="DE650" s="6">
        <f t="shared" si="475"/>
        <v>3240</v>
      </c>
      <c r="DF650" s="6">
        <f t="shared" si="475"/>
        <v>1096</v>
      </c>
      <c r="DG650" s="6">
        <f t="shared" si="475"/>
        <v>0</v>
      </c>
      <c r="DH650" s="6">
        <f t="shared" si="475"/>
        <v>0</v>
      </c>
      <c r="DI650" s="6">
        <f t="shared" si="475"/>
        <v>0</v>
      </c>
      <c r="DJ650" s="6">
        <f t="shared" si="475"/>
        <v>0</v>
      </c>
      <c r="DK650" s="6">
        <f t="shared" si="475"/>
        <v>0</v>
      </c>
      <c r="DL650" s="6">
        <f t="shared" si="475"/>
        <v>0</v>
      </c>
      <c r="DM650" s="6">
        <f t="shared" si="475"/>
        <v>0</v>
      </c>
      <c r="DN650" s="6">
        <f t="shared" si="475"/>
        <v>0</v>
      </c>
      <c r="DO650" s="6">
        <f t="shared" si="475"/>
        <v>0</v>
      </c>
      <c r="DP650" s="6">
        <f t="shared" si="475"/>
        <v>0</v>
      </c>
      <c r="DQ650" s="6">
        <f t="shared" si="475"/>
        <v>0</v>
      </c>
      <c r="DR650" s="6">
        <f t="shared" si="475"/>
        <v>0</v>
      </c>
      <c r="DS650" s="6">
        <f t="shared" si="475"/>
        <v>0</v>
      </c>
      <c r="DT650" s="6">
        <f t="shared" si="475"/>
        <v>0</v>
      </c>
      <c r="DU650" s="6">
        <f t="shared" si="475"/>
        <v>0</v>
      </c>
      <c r="DV650" s="6">
        <f t="shared" si="475"/>
        <v>0</v>
      </c>
      <c r="DW650" s="6">
        <f t="shared" si="475"/>
        <v>0</v>
      </c>
      <c r="DX650" s="6">
        <f t="shared" si="475"/>
        <v>0</v>
      </c>
      <c r="DY650" s="6">
        <f t="shared" ref="DY650:DZ650" si="476">SUM(DY54:DY64)+SUM(DY82:DY97)+SUM(DY149:DY157)+SUM(DY301:DY305)+DY342+DY414+SUM(DY421:DY422)+SUM(DY472:DY475)+SUM(DY499:DY501)+SUM(DY503:DY508)+SUM(DY510:DY517)+SUM(DY519:DY524)+SUM(DY526:DY527)+SUM(DY558:DY559)</f>
        <v>0</v>
      </c>
      <c r="DZ650" s="6">
        <f t="shared" si="476"/>
        <v>0</v>
      </c>
      <c r="EA650" s="6">
        <f t="shared" si="475"/>
        <v>0</v>
      </c>
      <c r="EB650" s="6">
        <f t="shared" si="475"/>
        <v>0</v>
      </c>
      <c r="EC650" s="6">
        <f t="shared" si="475"/>
        <v>1214</v>
      </c>
      <c r="ED650" s="6">
        <f t="shared" si="475"/>
        <v>573</v>
      </c>
      <c r="EE650" s="6">
        <f t="shared" si="475"/>
        <v>1298</v>
      </c>
      <c r="EF650" s="6">
        <f t="shared" si="475"/>
        <v>479</v>
      </c>
      <c r="EG650" s="6">
        <f t="shared" si="475"/>
        <v>0</v>
      </c>
      <c r="EH650" s="6">
        <f t="shared" si="475"/>
        <v>0</v>
      </c>
      <c r="EI650" s="6">
        <f t="shared" si="475"/>
        <v>801</v>
      </c>
      <c r="EJ650" s="6">
        <f t="shared" si="475"/>
        <v>413</v>
      </c>
      <c r="EK650" s="6">
        <f t="shared" si="475"/>
        <v>708</v>
      </c>
      <c r="EL650" s="6">
        <f t="shared" si="475"/>
        <v>509</v>
      </c>
      <c r="EM650" s="6">
        <f t="shared" si="475"/>
        <v>0</v>
      </c>
      <c r="EN650" s="6">
        <f t="shared" ref="EN650:GR650" si="477">SUM(EN54:EN64)+SUM(EN82:EN97)+SUM(EN149:EN157)+SUM(EN301:EN305)+EN342+EN414+SUM(EN421:EN422)+SUM(EN472:EN475)+SUM(EN499:EN501)+SUM(EN503:EN508)+SUM(EN510:EN517)+SUM(EN519:EN524)+SUM(EN526:EN527)+SUM(EN558:EN559)</f>
        <v>0</v>
      </c>
      <c r="EO650" s="6">
        <f t="shared" si="477"/>
        <v>0</v>
      </c>
      <c r="EP650" s="6">
        <f t="shared" si="477"/>
        <v>0</v>
      </c>
      <c r="EQ650" s="6">
        <f t="shared" si="477"/>
        <v>0</v>
      </c>
      <c r="ER650" s="6">
        <f t="shared" si="477"/>
        <v>0</v>
      </c>
      <c r="ES650" s="6">
        <f t="shared" si="477"/>
        <v>0</v>
      </c>
      <c r="ET650" s="6">
        <f t="shared" si="477"/>
        <v>0</v>
      </c>
      <c r="EU650" s="6">
        <f t="shared" si="477"/>
        <v>1026</v>
      </c>
      <c r="EV650" s="6">
        <f t="shared" si="477"/>
        <v>451</v>
      </c>
      <c r="EW650" s="6">
        <f t="shared" si="477"/>
        <v>0</v>
      </c>
      <c r="EX650" s="6">
        <f t="shared" si="477"/>
        <v>0</v>
      </c>
      <c r="EY650" s="6">
        <f t="shared" si="477"/>
        <v>0</v>
      </c>
      <c r="EZ650" s="6">
        <f t="shared" si="477"/>
        <v>0</v>
      </c>
      <c r="FA650" s="6">
        <f t="shared" si="477"/>
        <v>0</v>
      </c>
      <c r="FB650" s="6">
        <f t="shared" si="477"/>
        <v>0</v>
      </c>
      <c r="FC650" s="6">
        <f t="shared" si="477"/>
        <v>0</v>
      </c>
      <c r="FD650" s="6">
        <f t="shared" si="477"/>
        <v>0</v>
      </c>
      <c r="FE650" s="6">
        <f t="shared" si="477"/>
        <v>0</v>
      </c>
      <c r="FF650" s="6">
        <f t="shared" si="477"/>
        <v>0</v>
      </c>
      <c r="FG650" s="6">
        <f t="shared" si="477"/>
        <v>0</v>
      </c>
      <c r="FH650" s="6">
        <f t="shared" si="477"/>
        <v>0</v>
      </c>
      <c r="FI650" s="6">
        <f t="shared" si="477"/>
        <v>0</v>
      </c>
      <c r="FJ650" s="6">
        <f t="shared" si="477"/>
        <v>0</v>
      </c>
      <c r="FK650" s="6">
        <f t="shared" si="477"/>
        <v>604</v>
      </c>
      <c r="FL650" s="6">
        <f t="shared" si="477"/>
        <v>266</v>
      </c>
      <c r="FM650" s="6">
        <f t="shared" si="477"/>
        <v>53</v>
      </c>
      <c r="FN650" s="6">
        <f t="shared" si="477"/>
        <v>144</v>
      </c>
      <c r="FO650" s="6">
        <f t="shared" si="477"/>
        <v>63</v>
      </c>
      <c r="FP650" s="6">
        <f t="shared" si="477"/>
        <v>132</v>
      </c>
      <c r="FQ650" s="6">
        <f t="shared" si="477"/>
        <v>53</v>
      </c>
      <c r="FR650" s="6">
        <f t="shared" si="477"/>
        <v>143</v>
      </c>
      <c r="FS650" s="6">
        <f t="shared" si="477"/>
        <v>62</v>
      </c>
      <c r="FT650" s="6">
        <f t="shared" si="477"/>
        <v>137</v>
      </c>
      <c r="FU650" s="6">
        <f t="shared" si="477"/>
        <v>64</v>
      </c>
      <c r="FV650" s="6">
        <f t="shared" si="477"/>
        <v>133</v>
      </c>
      <c r="FW650" s="6">
        <f t="shared" si="477"/>
        <v>76</v>
      </c>
      <c r="FX650" s="6">
        <f t="shared" si="477"/>
        <v>123</v>
      </c>
      <c r="FY650" s="6">
        <f t="shared" si="477"/>
        <v>19473</v>
      </c>
      <c r="FZ650" s="6">
        <f t="shared" si="477"/>
        <v>8678</v>
      </c>
      <c r="GA650" s="6">
        <f t="shared" si="477"/>
        <v>0</v>
      </c>
      <c r="GB650" s="6">
        <f t="shared" si="477"/>
        <v>0</v>
      </c>
      <c r="GC650" s="6">
        <f t="shared" si="477"/>
        <v>0</v>
      </c>
      <c r="GD650" s="6">
        <f t="shared" si="477"/>
        <v>0</v>
      </c>
      <c r="GE650" s="6">
        <f t="shared" si="477"/>
        <v>0</v>
      </c>
      <c r="GF650" s="6">
        <f t="shared" si="477"/>
        <v>0</v>
      </c>
      <c r="GG650" s="6">
        <f t="shared" si="477"/>
        <v>343</v>
      </c>
      <c r="GH650" s="6">
        <f t="shared" si="477"/>
        <v>249</v>
      </c>
      <c r="GI650" s="6">
        <f t="shared" si="477"/>
        <v>0</v>
      </c>
      <c r="GJ650" s="6">
        <f t="shared" si="477"/>
        <v>0</v>
      </c>
      <c r="GK650" s="6">
        <f t="shared" si="477"/>
        <v>1151</v>
      </c>
      <c r="GL650" s="6">
        <f t="shared" si="477"/>
        <v>2218</v>
      </c>
      <c r="GM650" s="6">
        <f t="shared" si="477"/>
        <v>0</v>
      </c>
      <c r="GN650" s="6">
        <f t="shared" si="477"/>
        <v>0</v>
      </c>
      <c r="GO650" s="6">
        <f t="shared" si="477"/>
        <v>37816</v>
      </c>
      <c r="GP650" s="6">
        <f t="shared" si="477"/>
        <v>15445</v>
      </c>
      <c r="GQ650" s="6">
        <f t="shared" si="477"/>
        <v>40445</v>
      </c>
      <c r="GR650" s="6">
        <f t="shared" si="477"/>
        <v>12923</v>
      </c>
    </row>
    <row r="651" spans="1:200">
      <c r="A651" s="6"/>
      <c r="B651" s="12" t="s">
        <v>708</v>
      </c>
      <c r="C651" s="14">
        <f>SUM(C28:C32)+C43+C48+SUM(C52:C53)+SUM(C65:C66)+SUM(C68:C82)+SUM(C84:C85)+C88+SUM(C100:C101)+SUM(C107:C113)+C117+C124+C127+SUM(C129:C130)+C171+SUM(C173:C174)+C177+SUM(C182:C183)+SUM(C186:C187)</f>
        <v>66533</v>
      </c>
      <c r="D651" s="14">
        <f>SUM(D28:D32)+D43+D48+SUM(D52:D53)+SUM(D65:D66)+SUM(D68:D82)+SUM(D84:D85)+D88+SUM(D100:D101)+SUM(D107:D113)+D117+D124+D127+SUM(D129:D130)+D171+SUM(D173:D174)+D177+SUM(D182:D183)+SUM(D186:D187)</f>
        <v>35863</v>
      </c>
      <c r="E651" s="15">
        <f t="shared" si="351"/>
        <v>0.53902574662197711</v>
      </c>
      <c r="F651" s="66">
        <f t="shared" ref="F651:AB651" si="478">SUM(F28:F32)+F43+F48+SUM(F52:F53)+SUM(F65:F66)+SUM(F68:F82)+SUM(F84:F85)+F88+SUM(F100:F101)+SUM(F107:F113)+F117+F124+F127+SUM(F129:F130)+F171+SUM(F173:F174)+F177+SUM(F182:F183)+SUM(F186:F187)</f>
        <v>29600</v>
      </c>
      <c r="G651" s="6">
        <f t="shared" si="478"/>
        <v>84</v>
      </c>
      <c r="H651" s="6">
        <f t="shared" si="478"/>
        <v>836</v>
      </c>
      <c r="I651" s="6">
        <f t="shared" si="478"/>
        <v>426</v>
      </c>
      <c r="J651" s="59">
        <f t="shared" si="478"/>
        <v>4235</v>
      </c>
      <c r="K651" s="6">
        <f t="shared" si="478"/>
        <v>0</v>
      </c>
      <c r="L651" s="6">
        <f t="shared" si="478"/>
        <v>0</v>
      </c>
      <c r="M651" s="6">
        <f t="shared" si="478"/>
        <v>2</v>
      </c>
      <c r="N651" s="6">
        <f t="shared" si="478"/>
        <v>0</v>
      </c>
      <c r="O651" s="6">
        <f t="shared" si="478"/>
        <v>0</v>
      </c>
      <c r="P651" s="6">
        <f t="shared" si="478"/>
        <v>2</v>
      </c>
      <c r="Q651" s="6">
        <f t="shared" si="478"/>
        <v>0</v>
      </c>
      <c r="R651" s="6">
        <f t="shared" si="478"/>
        <v>0</v>
      </c>
      <c r="S651" s="6">
        <f t="shared" si="478"/>
        <v>1</v>
      </c>
      <c r="T651" s="6">
        <f t="shared" si="478"/>
        <v>0</v>
      </c>
      <c r="U651" s="6">
        <f t="shared" si="478"/>
        <v>0</v>
      </c>
      <c r="V651" s="6">
        <f t="shared" si="478"/>
        <v>3</v>
      </c>
      <c r="W651" s="6">
        <f t="shared" si="478"/>
        <v>78</v>
      </c>
      <c r="X651" s="6">
        <f t="shared" si="478"/>
        <v>0</v>
      </c>
      <c r="Y651" s="6">
        <f t="shared" si="478"/>
        <v>0</v>
      </c>
      <c r="Z651" s="6">
        <f t="shared" si="478"/>
        <v>0</v>
      </c>
      <c r="AA651" s="6">
        <f t="shared" si="478"/>
        <v>0</v>
      </c>
      <c r="AB651" s="6">
        <f t="shared" si="478"/>
        <v>0</v>
      </c>
      <c r="AC651" s="6">
        <f t="shared" ref="AC651:BZ651" si="479">SUM(AC28:AC32)+AC43+AC48+SUM(AC52:AC53)+SUM(AC65:AC66)+SUM(AC68:AC82)+SUM(AC84:AC85)+AC88+SUM(AC100:AC101)+SUM(AC107:AC113)+AC117+AC124+AC127+SUM(AC129:AC130)+AC171+SUM(AC173:AC174)+AC177+SUM(AC182:AC183)+SUM(AC186:AC187)</f>
        <v>469</v>
      </c>
      <c r="AD651" s="6">
        <f t="shared" si="479"/>
        <v>851</v>
      </c>
      <c r="AE651" s="6">
        <f t="shared" si="479"/>
        <v>7250</v>
      </c>
      <c r="AF651" s="6">
        <f t="shared" si="479"/>
        <v>344</v>
      </c>
      <c r="AG651" s="6">
        <f t="shared" si="479"/>
        <v>1</v>
      </c>
      <c r="AH651" s="6">
        <f t="shared" si="479"/>
        <v>25117</v>
      </c>
      <c r="AI651" s="6">
        <f t="shared" si="479"/>
        <v>5355</v>
      </c>
      <c r="AJ651" s="6">
        <f t="shared" si="479"/>
        <v>29</v>
      </c>
      <c r="AK651" s="6">
        <f t="shared" si="479"/>
        <v>4</v>
      </c>
      <c r="AL651" s="6">
        <f t="shared" si="479"/>
        <v>24080</v>
      </c>
      <c r="AM651" s="6">
        <f t="shared" si="479"/>
        <v>236</v>
      </c>
      <c r="AN651" s="6">
        <f t="shared" si="479"/>
        <v>2476</v>
      </c>
      <c r="AO651" s="6">
        <f t="shared" si="479"/>
        <v>1427</v>
      </c>
      <c r="AP651" s="6">
        <f t="shared" si="479"/>
        <v>79</v>
      </c>
      <c r="AQ651" s="6">
        <f t="shared" si="479"/>
        <v>36</v>
      </c>
      <c r="AR651" s="6">
        <f t="shared" si="479"/>
        <v>343</v>
      </c>
      <c r="AS651" s="6">
        <f t="shared" si="479"/>
        <v>809</v>
      </c>
      <c r="AT651" s="6">
        <f t="shared" si="479"/>
        <v>0</v>
      </c>
      <c r="AU651" s="6">
        <f t="shared" si="479"/>
        <v>0</v>
      </c>
      <c r="AV651" s="6">
        <f t="shared" si="479"/>
        <v>52</v>
      </c>
      <c r="AW651" s="6">
        <f t="shared" si="479"/>
        <v>0</v>
      </c>
      <c r="AX651" s="6">
        <f t="shared" si="479"/>
        <v>0</v>
      </c>
      <c r="AY651" s="6">
        <f t="shared" si="479"/>
        <v>11506</v>
      </c>
      <c r="AZ651" s="6">
        <f t="shared" si="479"/>
        <v>2755</v>
      </c>
      <c r="BA651" s="6">
        <f t="shared" si="479"/>
        <v>12667</v>
      </c>
      <c r="BB651" s="6">
        <f t="shared" si="479"/>
        <v>2207</v>
      </c>
      <c r="BC651" s="6">
        <f t="shared" si="479"/>
        <v>96</v>
      </c>
      <c r="BD651" s="6">
        <f t="shared" si="479"/>
        <v>2499</v>
      </c>
      <c r="BE651" s="6">
        <f t="shared" si="479"/>
        <v>4844</v>
      </c>
      <c r="BF651" s="6">
        <f t="shared" si="479"/>
        <v>28014</v>
      </c>
      <c r="BG651" s="6">
        <f t="shared" si="479"/>
        <v>5822</v>
      </c>
      <c r="BH651" s="6">
        <f t="shared" si="479"/>
        <v>27039</v>
      </c>
      <c r="BI651" s="6">
        <f t="shared" si="479"/>
        <v>7576</v>
      </c>
      <c r="BJ651" s="6">
        <f t="shared" si="479"/>
        <v>25180</v>
      </c>
      <c r="BK651" s="6">
        <f t="shared" si="479"/>
        <v>26245</v>
      </c>
      <c r="BL651" s="6">
        <f t="shared" si="479"/>
        <v>6540</v>
      </c>
      <c r="BM651" s="6">
        <f t="shared" si="479"/>
        <v>4952</v>
      </c>
      <c r="BN651" s="6">
        <f t="shared" si="479"/>
        <v>27484</v>
      </c>
      <c r="BO651" s="6">
        <f t="shared" si="479"/>
        <v>25914</v>
      </c>
      <c r="BP651" s="6">
        <f t="shared" si="479"/>
        <v>6022</v>
      </c>
      <c r="BQ651" s="6">
        <f t="shared" si="479"/>
        <v>6584</v>
      </c>
      <c r="BR651" s="6">
        <f t="shared" si="479"/>
        <v>25549</v>
      </c>
      <c r="BS651" s="6">
        <f t="shared" si="479"/>
        <v>13965</v>
      </c>
      <c r="BT651" s="6">
        <f t="shared" si="479"/>
        <v>4484</v>
      </c>
      <c r="BU651" s="6">
        <f t="shared" si="479"/>
        <v>28043</v>
      </c>
      <c r="BV651" s="6">
        <f t="shared" si="479"/>
        <v>18007</v>
      </c>
      <c r="BW651" s="6">
        <f t="shared" si="479"/>
        <v>9665</v>
      </c>
      <c r="BX651" s="6">
        <f t="shared" si="479"/>
        <v>16435</v>
      </c>
      <c r="BY651" s="6">
        <f t="shared" si="479"/>
        <v>8965</v>
      </c>
      <c r="BZ651" s="6">
        <f t="shared" si="479"/>
        <v>19172</v>
      </c>
      <c r="CA651" s="6">
        <f t="shared" ref="CA651:CP651" si="480">SUM(CA28:CA32)+CA43+CA48+SUM(CA52:CA53)+SUM(CA65:CA66)+SUM(CA68:CA82)+SUM(CA84:CA85)+CA88+SUM(CA100:CA101)+SUM(CA107:CA113)+CA117+CA124+CA127+SUM(CA129:CA130)+CA171+SUM(CA173:CA174)+CA177+SUM(CA182:CA183)+SUM(CA186:CA187)</f>
        <v>15723</v>
      </c>
      <c r="CB651" s="6">
        <f t="shared" si="480"/>
        <v>6613</v>
      </c>
      <c r="CC651" s="6">
        <f t="shared" si="480"/>
        <v>19497</v>
      </c>
      <c r="CD651" s="6">
        <f t="shared" si="480"/>
        <v>19204</v>
      </c>
      <c r="CE651" s="6">
        <f t="shared" si="480"/>
        <v>19080</v>
      </c>
      <c r="CF651" s="6">
        <f t="shared" si="480"/>
        <v>7121</v>
      </c>
      <c r="CG651" s="6">
        <f t="shared" si="480"/>
        <v>8143</v>
      </c>
      <c r="CH651" s="6">
        <f t="shared" si="480"/>
        <v>16577</v>
      </c>
      <c r="CI651" s="6">
        <f t="shared" si="480"/>
        <v>14539</v>
      </c>
      <c r="CJ651" s="6">
        <f t="shared" si="480"/>
        <v>11155</v>
      </c>
      <c r="CK651" s="6">
        <f t="shared" si="480"/>
        <v>11008</v>
      </c>
      <c r="CL651" s="6">
        <f t="shared" si="480"/>
        <v>15413</v>
      </c>
      <c r="CM651" s="6">
        <f t="shared" si="480"/>
        <v>15029</v>
      </c>
      <c r="CN651" s="6">
        <f t="shared" si="480"/>
        <v>16526</v>
      </c>
      <c r="CO651" s="6">
        <f t="shared" si="480"/>
        <v>15755</v>
      </c>
      <c r="CP651" s="6">
        <f t="shared" si="480"/>
        <v>10813</v>
      </c>
      <c r="CQ651" s="6">
        <f t="shared" ref="CQ651:EM651" si="481">SUM(CQ28:CQ32)+CQ43+CQ48+SUM(CQ52:CQ53)+SUM(CQ65:CQ66)+SUM(CQ68:CQ82)+SUM(CQ84:CQ85)+CQ88+SUM(CQ100:CQ101)+SUM(CQ107:CQ113)+CQ117+CQ124+CQ127+SUM(CQ129:CQ130)+CQ171+SUM(CQ173:CQ174)+CQ177+SUM(CQ182:CQ183)+SUM(CQ186:CQ187)</f>
        <v>0</v>
      </c>
      <c r="CR651" s="6">
        <f t="shared" si="481"/>
        <v>0</v>
      </c>
      <c r="CS651" s="6">
        <f t="shared" si="481"/>
        <v>0</v>
      </c>
      <c r="CT651" s="6">
        <f t="shared" si="481"/>
        <v>0</v>
      </c>
      <c r="CU651" s="6">
        <f t="shared" si="481"/>
        <v>0</v>
      </c>
      <c r="CV651" s="6">
        <f t="shared" si="481"/>
        <v>0</v>
      </c>
      <c r="CW651" s="6">
        <f t="shared" si="481"/>
        <v>0</v>
      </c>
      <c r="CX651" s="6">
        <f t="shared" si="481"/>
        <v>0</v>
      </c>
      <c r="CY651" s="6">
        <f t="shared" si="481"/>
        <v>0</v>
      </c>
      <c r="CZ651" s="6">
        <f t="shared" si="481"/>
        <v>0</v>
      </c>
      <c r="DA651" s="6">
        <f t="shared" si="481"/>
        <v>0</v>
      </c>
      <c r="DB651" s="6">
        <f t="shared" si="481"/>
        <v>0</v>
      </c>
      <c r="DC651" s="6">
        <f t="shared" si="481"/>
        <v>0</v>
      </c>
      <c r="DD651" s="6">
        <f t="shared" si="481"/>
        <v>0</v>
      </c>
      <c r="DE651" s="6">
        <f t="shared" si="481"/>
        <v>0</v>
      </c>
      <c r="DF651" s="6">
        <f t="shared" si="481"/>
        <v>0</v>
      </c>
      <c r="DG651" s="6">
        <f t="shared" si="481"/>
        <v>0</v>
      </c>
      <c r="DH651" s="6">
        <f t="shared" si="481"/>
        <v>0</v>
      </c>
      <c r="DI651" s="6">
        <f t="shared" si="481"/>
        <v>0</v>
      </c>
      <c r="DJ651" s="6">
        <f t="shared" si="481"/>
        <v>0</v>
      </c>
      <c r="DK651" s="6">
        <f t="shared" si="481"/>
        <v>0</v>
      </c>
      <c r="DL651" s="6">
        <f t="shared" si="481"/>
        <v>0</v>
      </c>
      <c r="DM651" s="6">
        <f t="shared" si="481"/>
        <v>0</v>
      </c>
      <c r="DN651" s="6">
        <f t="shared" si="481"/>
        <v>0</v>
      </c>
      <c r="DO651" s="6">
        <f t="shared" si="481"/>
        <v>0</v>
      </c>
      <c r="DP651" s="6">
        <f t="shared" si="481"/>
        <v>0</v>
      </c>
      <c r="DQ651" s="6">
        <f t="shared" si="481"/>
        <v>0</v>
      </c>
      <c r="DR651" s="6">
        <f t="shared" si="481"/>
        <v>0</v>
      </c>
      <c r="DS651" s="6">
        <f t="shared" si="481"/>
        <v>0</v>
      </c>
      <c r="DT651" s="6">
        <f t="shared" si="481"/>
        <v>0</v>
      </c>
      <c r="DU651" s="6">
        <f t="shared" si="481"/>
        <v>0</v>
      </c>
      <c r="DV651" s="6">
        <f t="shared" si="481"/>
        <v>0</v>
      </c>
      <c r="DW651" s="6">
        <f t="shared" si="481"/>
        <v>0</v>
      </c>
      <c r="DX651" s="6">
        <f t="shared" si="481"/>
        <v>0</v>
      </c>
      <c r="DY651" s="6">
        <f t="shared" ref="DY651:DZ651" si="482">SUM(DY28:DY32)+DY43+DY48+SUM(DY52:DY53)+SUM(DY65:DY66)+SUM(DY68:DY82)+SUM(DY84:DY85)+DY88+SUM(DY100:DY101)+SUM(DY107:DY113)+DY117+DY124+DY127+SUM(DY129:DY130)+DY171+SUM(DY173:DY174)+DY177+SUM(DY182:DY183)+SUM(DY186:DY187)</f>
        <v>0</v>
      </c>
      <c r="DZ651" s="6">
        <f t="shared" si="482"/>
        <v>0</v>
      </c>
      <c r="EA651" s="6">
        <f t="shared" si="481"/>
        <v>0</v>
      </c>
      <c r="EB651" s="6">
        <f t="shared" si="481"/>
        <v>0</v>
      </c>
      <c r="EC651" s="6">
        <f t="shared" si="481"/>
        <v>0</v>
      </c>
      <c r="ED651" s="6">
        <f t="shared" si="481"/>
        <v>0</v>
      </c>
      <c r="EE651" s="6">
        <f t="shared" si="481"/>
        <v>0</v>
      </c>
      <c r="EF651" s="6">
        <f t="shared" si="481"/>
        <v>0</v>
      </c>
      <c r="EG651" s="6">
        <f t="shared" si="481"/>
        <v>0</v>
      </c>
      <c r="EH651" s="6">
        <f t="shared" si="481"/>
        <v>0</v>
      </c>
      <c r="EI651" s="6">
        <f t="shared" si="481"/>
        <v>0</v>
      </c>
      <c r="EJ651" s="6">
        <f t="shared" si="481"/>
        <v>0</v>
      </c>
      <c r="EK651" s="6">
        <f t="shared" si="481"/>
        <v>0</v>
      </c>
      <c r="EL651" s="6">
        <f t="shared" si="481"/>
        <v>0</v>
      </c>
      <c r="EM651" s="6">
        <f t="shared" si="481"/>
        <v>0</v>
      </c>
      <c r="EN651" s="6">
        <f t="shared" ref="EN651:GR651" si="483">SUM(EN28:EN32)+EN43+EN48+SUM(EN52:EN53)+SUM(EN65:EN66)+SUM(EN68:EN82)+SUM(EN84:EN85)+EN88+SUM(EN100:EN101)+SUM(EN107:EN113)+EN117+EN124+EN127+SUM(EN129:EN130)+EN171+SUM(EN173:EN174)+EN177+SUM(EN182:EN183)+SUM(EN186:EN187)</f>
        <v>0</v>
      </c>
      <c r="EO651" s="6">
        <f t="shared" si="483"/>
        <v>0</v>
      </c>
      <c r="EP651" s="6">
        <f t="shared" si="483"/>
        <v>0</v>
      </c>
      <c r="EQ651" s="6">
        <f t="shared" si="483"/>
        <v>0</v>
      </c>
      <c r="ER651" s="6">
        <f t="shared" si="483"/>
        <v>0</v>
      </c>
      <c r="ES651" s="6">
        <f t="shared" si="483"/>
        <v>0</v>
      </c>
      <c r="ET651" s="6">
        <f t="shared" si="483"/>
        <v>0</v>
      </c>
      <c r="EU651" s="6">
        <f t="shared" si="483"/>
        <v>0</v>
      </c>
      <c r="EV651" s="6">
        <f t="shared" si="483"/>
        <v>0</v>
      </c>
      <c r="EW651" s="6">
        <f t="shared" si="483"/>
        <v>0</v>
      </c>
      <c r="EX651" s="6">
        <f t="shared" si="483"/>
        <v>0</v>
      </c>
      <c r="EY651" s="6">
        <f t="shared" si="483"/>
        <v>0</v>
      </c>
      <c r="EZ651" s="6">
        <f t="shared" si="483"/>
        <v>0</v>
      </c>
      <c r="FA651" s="6">
        <f t="shared" si="483"/>
        <v>0</v>
      </c>
      <c r="FB651" s="6">
        <f t="shared" si="483"/>
        <v>0</v>
      </c>
      <c r="FC651" s="6">
        <f t="shared" si="483"/>
        <v>0</v>
      </c>
      <c r="FD651" s="6">
        <f t="shared" si="483"/>
        <v>0</v>
      </c>
      <c r="FE651" s="6">
        <f t="shared" si="483"/>
        <v>0</v>
      </c>
      <c r="FF651" s="6">
        <f t="shared" si="483"/>
        <v>0</v>
      </c>
      <c r="FG651" s="6">
        <f t="shared" si="483"/>
        <v>0</v>
      </c>
      <c r="FH651" s="6">
        <f t="shared" si="483"/>
        <v>0</v>
      </c>
      <c r="FI651" s="6">
        <f t="shared" si="483"/>
        <v>0</v>
      </c>
      <c r="FJ651" s="6">
        <f t="shared" si="483"/>
        <v>0</v>
      </c>
      <c r="FK651" s="6">
        <f t="shared" si="483"/>
        <v>0</v>
      </c>
      <c r="FL651" s="6">
        <f t="shared" si="483"/>
        <v>0</v>
      </c>
      <c r="FM651" s="6">
        <f t="shared" si="483"/>
        <v>0</v>
      </c>
      <c r="FN651" s="6">
        <f t="shared" si="483"/>
        <v>0</v>
      </c>
      <c r="FO651" s="6">
        <f t="shared" si="483"/>
        <v>0</v>
      </c>
      <c r="FP651" s="6">
        <f t="shared" si="483"/>
        <v>0</v>
      </c>
      <c r="FQ651" s="6">
        <f t="shared" si="483"/>
        <v>0</v>
      </c>
      <c r="FR651" s="6">
        <f t="shared" si="483"/>
        <v>0</v>
      </c>
      <c r="FS651" s="6">
        <f t="shared" si="483"/>
        <v>0</v>
      </c>
      <c r="FT651" s="6">
        <f t="shared" si="483"/>
        <v>0</v>
      </c>
      <c r="FU651" s="6">
        <f t="shared" si="483"/>
        <v>0</v>
      </c>
      <c r="FV651" s="6">
        <f t="shared" si="483"/>
        <v>0</v>
      </c>
      <c r="FW651" s="6">
        <f t="shared" si="483"/>
        <v>0</v>
      </c>
      <c r="FX651" s="6">
        <f t="shared" si="483"/>
        <v>0</v>
      </c>
      <c r="FY651" s="6">
        <f t="shared" si="483"/>
        <v>24376</v>
      </c>
      <c r="FZ651" s="6">
        <f t="shared" si="483"/>
        <v>8593</v>
      </c>
      <c r="GA651" s="6">
        <f t="shared" si="483"/>
        <v>0</v>
      </c>
      <c r="GB651" s="6">
        <f t="shared" si="483"/>
        <v>0</v>
      </c>
      <c r="GC651" s="6">
        <f t="shared" si="483"/>
        <v>0</v>
      </c>
      <c r="GD651" s="6">
        <f t="shared" si="483"/>
        <v>0</v>
      </c>
      <c r="GE651" s="6">
        <f t="shared" si="483"/>
        <v>0</v>
      </c>
      <c r="GF651" s="6">
        <f t="shared" si="483"/>
        <v>0</v>
      </c>
      <c r="GG651" s="6">
        <f t="shared" si="483"/>
        <v>0</v>
      </c>
      <c r="GH651" s="6">
        <f t="shared" si="483"/>
        <v>0</v>
      </c>
      <c r="GI651" s="6">
        <f t="shared" si="483"/>
        <v>0</v>
      </c>
      <c r="GJ651" s="6">
        <f t="shared" si="483"/>
        <v>0</v>
      </c>
      <c r="GK651" s="6">
        <f t="shared" si="483"/>
        <v>0</v>
      </c>
      <c r="GL651" s="6">
        <f t="shared" si="483"/>
        <v>0</v>
      </c>
      <c r="GM651" s="6">
        <f t="shared" si="483"/>
        <v>0</v>
      </c>
      <c r="GN651" s="6">
        <f t="shared" si="483"/>
        <v>0</v>
      </c>
      <c r="GO651" s="6">
        <f t="shared" si="483"/>
        <v>24341</v>
      </c>
      <c r="GP651" s="6">
        <f t="shared" si="483"/>
        <v>8053</v>
      </c>
      <c r="GQ651" s="6">
        <f t="shared" si="483"/>
        <v>26202</v>
      </c>
      <c r="GR651" s="6">
        <f t="shared" si="483"/>
        <v>6424</v>
      </c>
    </row>
    <row r="652" spans="1:200">
      <c r="A652" s="6"/>
      <c r="B652" s="12" t="s">
        <v>97</v>
      </c>
      <c r="C652" s="14">
        <f>SUM(C17:C18)+C20+C22+SUM(C24:C25)+SUM(C54:C60)+C63+C83+SUM(C86:C87)+SUM(C89:C99)++SUM(C102:C106)+SUM(C128)+SUM(C131:C136)+SUM(C139:C144)+SUM(C146:C150)+SUM(C153:C154)+SUM(C156:C157)+C170+C172+SUM(C175:C176)+SUM(C178:C180)+C184+SUM(C382:C386)+C414+SUM(C492:C495)</f>
        <v>77423</v>
      </c>
      <c r="D652" s="14">
        <f>SUM(D17:D18)+D20+D22+SUM(D24:D25)+SUM(D54:D60)+D63+D83+SUM(D86:D87)+SUM(D89:D99)++SUM(D102:D106)+SUM(D128)+SUM(D131:D136)+SUM(D139:D144)+SUM(D146:D150)+SUM(D153:D154)+SUM(D156:D157)+D170+D172+SUM(D175:D176)+SUM(D178:D180)+D184+SUM(D382:D386)+D414+SUM(D492:D495)</f>
        <v>52339</v>
      </c>
      <c r="E652" s="15">
        <f t="shared" si="351"/>
        <v>0.67601358769357944</v>
      </c>
      <c r="F652" s="66">
        <f t="shared" ref="F652:AB652" si="484">SUM(F17:F18)+F20+F22+SUM(F24:F25)+SUM(F54:F60)+F63+F83+SUM(F86:F87)+SUM(F89:F99)++SUM(F102:F106)+SUM(F128)+SUM(F131:F136)+SUM(F139:F144)+SUM(F146:F150)+SUM(F153:F154)+SUM(F156:F157)+F170+F172+SUM(F175:F176)+SUM(F178:F180)+F184+SUM(F382:F386)+F414+SUM(F492:F495)</f>
        <v>40496</v>
      </c>
      <c r="G652" s="6">
        <f t="shared" si="484"/>
        <v>144</v>
      </c>
      <c r="H652" s="6">
        <f t="shared" si="484"/>
        <v>1096</v>
      </c>
      <c r="I652" s="6">
        <f t="shared" si="484"/>
        <v>638</v>
      </c>
      <c r="J652" s="59">
        <f t="shared" si="484"/>
        <v>8955</v>
      </c>
      <c r="K652" s="6">
        <f t="shared" si="484"/>
        <v>0</v>
      </c>
      <c r="L652" s="6">
        <f t="shared" si="484"/>
        <v>0</v>
      </c>
      <c r="M652" s="6">
        <f t="shared" si="484"/>
        <v>17</v>
      </c>
      <c r="N652" s="6">
        <f t="shared" si="484"/>
        <v>0</v>
      </c>
      <c r="O652" s="6">
        <f t="shared" si="484"/>
        <v>0</v>
      </c>
      <c r="P652" s="6">
        <f t="shared" si="484"/>
        <v>3</v>
      </c>
      <c r="Q652" s="6">
        <f t="shared" si="484"/>
        <v>0</v>
      </c>
      <c r="R652" s="6">
        <f t="shared" si="484"/>
        <v>0</v>
      </c>
      <c r="S652" s="6">
        <f t="shared" si="484"/>
        <v>2</v>
      </c>
      <c r="T652" s="6">
        <f t="shared" si="484"/>
        <v>0</v>
      </c>
      <c r="U652" s="6">
        <f t="shared" si="484"/>
        <v>0</v>
      </c>
      <c r="V652" s="6">
        <f t="shared" si="484"/>
        <v>7</v>
      </c>
      <c r="W652" s="6">
        <f t="shared" si="484"/>
        <v>146</v>
      </c>
      <c r="X652" s="6">
        <f t="shared" si="484"/>
        <v>1</v>
      </c>
      <c r="Y652" s="6">
        <f t="shared" si="484"/>
        <v>0</v>
      </c>
      <c r="Z652" s="6">
        <f t="shared" si="484"/>
        <v>0</v>
      </c>
      <c r="AA652" s="6">
        <f t="shared" si="484"/>
        <v>0</v>
      </c>
      <c r="AB652" s="6">
        <f t="shared" si="484"/>
        <v>0</v>
      </c>
      <c r="AC652" s="6">
        <f t="shared" ref="AC652:BZ652" si="485">SUM(AC17:AC18)+AC20+AC22+SUM(AC24:AC25)+SUM(AC54:AC60)+AC63+AC83+SUM(AC86:AC87)+SUM(AC89:AC99)++SUM(AC102:AC106)+SUM(AC128)+SUM(AC131:AC136)+SUM(AC139:AC144)+SUM(AC146:AC150)+SUM(AC153:AC154)+SUM(AC156:AC157)+AC170+AC172+SUM(AC175:AC176)+SUM(AC178:AC180)+AC184+SUM(AC382:AC386)+AC414+SUM(AC492:AC495)</f>
        <v>638</v>
      </c>
      <c r="AD652" s="6">
        <f t="shared" si="485"/>
        <v>1143</v>
      </c>
      <c r="AE652" s="6">
        <f t="shared" si="485"/>
        <v>13578</v>
      </c>
      <c r="AF652" s="6">
        <f t="shared" si="485"/>
        <v>410</v>
      </c>
      <c r="AG652" s="6">
        <f t="shared" si="485"/>
        <v>0</v>
      </c>
      <c r="AH652" s="6">
        <f t="shared" si="485"/>
        <v>34576</v>
      </c>
      <c r="AI652" s="6">
        <f t="shared" si="485"/>
        <v>9140</v>
      </c>
      <c r="AJ652" s="6">
        <f t="shared" si="485"/>
        <v>35</v>
      </c>
      <c r="AK652" s="6">
        <f t="shared" si="485"/>
        <v>1</v>
      </c>
      <c r="AL652" s="6">
        <f t="shared" si="485"/>
        <v>27101</v>
      </c>
      <c r="AM652" s="6">
        <f t="shared" si="485"/>
        <v>785</v>
      </c>
      <c r="AN652" s="6">
        <f t="shared" si="485"/>
        <v>9016</v>
      </c>
      <c r="AO652" s="6">
        <f t="shared" si="485"/>
        <v>3686</v>
      </c>
      <c r="AP652" s="6">
        <f t="shared" si="485"/>
        <v>0</v>
      </c>
      <c r="AQ652" s="6">
        <f t="shared" si="485"/>
        <v>0</v>
      </c>
      <c r="AR652" s="6">
        <f t="shared" si="485"/>
        <v>0</v>
      </c>
      <c r="AS652" s="6">
        <f t="shared" si="485"/>
        <v>0</v>
      </c>
      <c r="AT652" s="6">
        <f t="shared" si="485"/>
        <v>0</v>
      </c>
      <c r="AU652" s="6">
        <f t="shared" si="485"/>
        <v>0</v>
      </c>
      <c r="AV652" s="6">
        <f t="shared" si="485"/>
        <v>0</v>
      </c>
      <c r="AW652" s="6">
        <f t="shared" si="485"/>
        <v>0</v>
      </c>
      <c r="AX652" s="6">
        <f t="shared" si="485"/>
        <v>0</v>
      </c>
      <c r="AY652" s="6">
        <f t="shared" si="485"/>
        <v>10103</v>
      </c>
      <c r="AZ652" s="6">
        <f t="shared" si="485"/>
        <v>3558</v>
      </c>
      <c r="BA652" s="6">
        <f t="shared" si="485"/>
        <v>12705</v>
      </c>
      <c r="BB652" s="6">
        <f t="shared" si="485"/>
        <v>3889</v>
      </c>
      <c r="BC652" s="6">
        <f t="shared" si="485"/>
        <v>2796</v>
      </c>
      <c r="BD652" s="6">
        <f t="shared" si="485"/>
        <v>16217</v>
      </c>
      <c r="BE652" s="6">
        <f t="shared" si="485"/>
        <v>8653</v>
      </c>
      <c r="BF652" s="6">
        <f t="shared" si="485"/>
        <v>40671</v>
      </c>
      <c r="BG652" s="6">
        <f t="shared" si="485"/>
        <v>11270</v>
      </c>
      <c r="BH652" s="6">
        <f t="shared" si="485"/>
        <v>38119</v>
      </c>
      <c r="BI652" s="6">
        <f t="shared" si="485"/>
        <v>13990</v>
      </c>
      <c r="BJ652" s="6">
        <f t="shared" si="485"/>
        <v>35108</v>
      </c>
      <c r="BK652" s="6">
        <f t="shared" si="485"/>
        <v>37222</v>
      </c>
      <c r="BL652" s="6">
        <f t="shared" si="485"/>
        <v>11787</v>
      </c>
      <c r="BM652" s="6">
        <f t="shared" si="485"/>
        <v>8456</v>
      </c>
      <c r="BN652" s="6">
        <f t="shared" si="485"/>
        <v>40263</v>
      </c>
      <c r="BO652" s="6">
        <f t="shared" si="485"/>
        <v>36454</v>
      </c>
      <c r="BP652" s="6">
        <f t="shared" si="485"/>
        <v>11554</v>
      </c>
      <c r="BQ652" s="6">
        <f t="shared" si="485"/>
        <v>13063</v>
      </c>
      <c r="BR652" s="6">
        <f t="shared" si="485"/>
        <v>35089</v>
      </c>
      <c r="BS652" s="6">
        <f t="shared" si="485"/>
        <v>21678</v>
      </c>
      <c r="BT652" s="6">
        <f t="shared" si="485"/>
        <v>7811</v>
      </c>
      <c r="BU652" s="6">
        <f t="shared" si="485"/>
        <v>40918</v>
      </c>
      <c r="BV652" s="6">
        <f t="shared" si="485"/>
        <v>26464</v>
      </c>
      <c r="BW652" s="6">
        <f t="shared" si="485"/>
        <v>15298</v>
      </c>
      <c r="BX652" s="6">
        <f t="shared" si="485"/>
        <v>24487</v>
      </c>
      <c r="BY652" s="6">
        <f t="shared" si="485"/>
        <v>15334</v>
      </c>
      <c r="BZ652" s="6">
        <f t="shared" si="485"/>
        <v>27788</v>
      </c>
      <c r="CA652" s="6">
        <f t="shared" ref="CA652:CP652" si="486">SUM(CA17:CA18)+CA20+CA22+SUM(CA24:CA25)+SUM(CA54:CA60)+CA63+CA83+SUM(CA86:CA87)+SUM(CA89:CA99)++SUM(CA102:CA106)+SUM(CA128)+SUM(CA131:CA136)+SUM(CA139:CA144)+SUM(CA146:CA150)+SUM(CA153:CA154)+SUM(CA156:CA157)+CA170+CA172+SUM(CA175:CA176)+SUM(CA178:CA180)+CA184+SUM(CA382:CA386)+CA414+SUM(CA492:CA495)</f>
        <v>23178</v>
      </c>
      <c r="CB652" s="6">
        <f t="shared" si="486"/>
        <v>10591</v>
      </c>
      <c r="CC652" s="6">
        <f t="shared" si="486"/>
        <v>29009</v>
      </c>
      <c r="CD652" s="6">
        <f t="shared" si="486"/>
        <v>28994</v>
      </c>
      <c r="CE652" s="6">
        <f t="shared" si="486"/>
        <v>28132</v>
      </c>
      <c r="CF652" s="6">
        <f t="shared" si="486"/>
        <v>12152</v>
      </c>
      <c r="CG652" s="6">
        <f t="shared" si="486"/>
        <v>13022</v>
      </c>
      <c r="CH652" s="6">
        <f t="shared" si="486"/>
        <v>24950</v>
      </c>
      <c r="CI652" s="6">
        <f t="shared" si="486"/>
        <v>21645</v>
      </c>
      <c r="CJ652" s="6">
        <f t="shared" si="486"/>
        <v>17787</v>
      </c>
      <c r="CK652" s="6">
        <f t="shared" si="486"/>
        <v>16294</v>
      </c>
      <c r="CL652" s="6">
        <f t="shared" si="486"/>
        <v>24165</v>
      </c>
      <c r="CM652" s="6">
        <f t="shared" si="486"/>
        <v>22049</v>
      </c>
      <c r="CN652" s="6">
        <f t="shared" si="486"/>
        <v>23826</v>
      </c>
      <c r="CO652" s="6">
        <f t="shared" si="486"/>
        <v>23763</v>
      </c>
      <c r="CP652" s="6">
        <f t="shared" si="486"/>
        <v>16550</v>
      </c>
      <c r="CQ652" s="6">
        <f t="shared" ref="CQ652:EM652" si="487">SUM(CQ17:CQ18)+CQ20+CQ22+SUM(CQ24:CQ25)+SUM(CQ54:CQ60)+CQ63+CQ83+SUM(CQ86:CQ87)+SUM(CQ89:CQ99)++SUM(CQ102:CQ106)+SUM(CQ128)+SUM(CQ131:CQ136)+SUM(CQ139:CQ144)+SUM(CQ146:CQ150)+SUM(CQ153:CQ154)+SUM(CQ156:CQ157)+CQ170+CQ172+SUM(CQ175:CQ176)+SUM(CQ178:CQ180)+CQ184+SUM(CQ382:CQ386)+CQ414+SUM(CQ492:CQ495)</f>
        <v>0</v>
      </c>
      <c r="CR652" s="6">
        <f t="shared" si="487"/>
        <v>0</v>
      </c>
      <c r="CS652" s="6">
        <f t="shared" si="487"/>
        <v>339</v>
      </c>
      <c r="CT652" s="6">
        <f t="shared" si="487"/>
        <v>470</v>
      </c>
      <c r="CU652" s="6">
        <f t="shared" si="487"/>
        <v>0</v>
      </c>
      <c r="CV652" s="6">
        <f t="shared" si="487"/>
        <v>0</v>
      </c>
      <c r="CW652" s="6">
        <f t="shared" si="487"/>
        <v>0</v>
      </c>
      <c r="CX652" s="6">
        <f t="shared" si="487"/>
        <v>0</v>
      </c>
      <c r="CY652" s="6">
        <f t="shared" si="487"/>
        <v>0</v>
      </c>
      <c r="CZ652" s="6">
        <f t="shared" si="487"/>
        <v>0</v>
      </c>
      <c r="DA652" s="6">
        <f t="shared" si="487"/>
        <v>0</v>
      </c>
      <c r="DB652" s="6">
        <f t="shared" si="487"/>
        <v>0</v>
      </c>
      <c r="DC652" s="6">
        <f t="shared" si="487"/>
        <v>0</v>
      </c>
      <c r="DD652" s="6">
        <f t="shared" si="487"/>
        <v>0</v>
      </c>
      <c r="DE652" s="6">
        <f t="shared" si="487"/>
        <v>0</v>
      </c>
      <c r="DF652" s="6">
        <f t="shared" si="487"/>
        <v>0</v>
      </c>
      <c r="DG652" s="6">
        <f t="shared" si="487"/>
        <v>0</v>
      </c>
      <c r="DH652" s="6">
        <f t="shared" si="487"/>
        <v>0</v>
      </c>
      <c r="DI652" s="6">
        <f t="shared" si="487"/>
        <v>0</v>
      </c>
      <c r="DJ652" s="6">
        <f t="shared" si="487"/>
        <v>0</v>
      </c>
      <c r="DK652" s="6">
        <f t="shared" si="487"/>
        <v>0</v>
      </c>
      <c r="DL652" s="6">
        <f t="shared" si="487"/>
        <v>0</v>
      </c>
      <c r="DM652" s="6">
        <f t="shared" si="487"/>
        <v>0</v>
      </c>
      <c r="DN652" s="6">
        <f t="shared" si="487"/>
        <v>0</v>
      </c>
      <c r="DO652" s="6">
        <f t="shared" si="487"/>
        <v>0</v>
      </c>
      <c r="DP652" s="6">
        <f t="shared" si="487"/>
        <v>0</v>
      </c>
      <c r="DQ652" s="6">
        <f t="shared" si="487"/>
        <v>0</v>
      </c>
      <c r="DR652" s="6">
        <f t="shared" si="487"/>
        <v>0</v>
      </c>
      <c r="DS652" s="6">
        <f t="shared" si="487"/>
        <v>0</v>
      </c>
      <c r="DT652" s="6">
        <f t="shared" si="487"/>
        <v>0</v>
      </c>
      <c r="DU652" s="6">
        <f t="shared" si="487"/>
        <v>0</v>
      </c>
      <c r="DV652" s="6">
        <f t="shared" si="487"/>
        <v>0</v>
      </c>
      <c r="DW652" s="6">
        <f t="shared" si="487"/>
        <v>0</v>
      </c>
      <c r="DX652" s="6">
        <f t="shared" si="487"/>
        <v>0</v>
      </c>
      <c r="DY652" s="6">
        <f t="shared" ref="DY652:DZ652" si="488">SUM(DY17:DY18)+DY20+DY22+SUM(DY24:DY25)+SUM(DY54:DY60)+DY63+DY83+SUM(DY86:DY87)+SUM(DY89:DY99)++SUM(DY102:DY106)+SUM(DY128)+SUM(DY131:DY136)+SUM(DY139:DY144)+SUM(DY146:DY150)+SUM(DY153:DY154)+SUM(DY156:DY157)+DY170+DY172+SUM(DY175:DY176)+SUM(DY178:DY180)+DY184+SUM(DY382:DY386)+DY414+SUM(DY492:DY495)</f>
        <v>0</v>
      </c>
      <c r="DZ652" s="6">
        <f t="shared" si="488"/>
        <v>0</v>
      </c>
      <c r="EA652" s="6">
        <f t="shared" si="487"/>
        <v>0</v>
      </c>
      <c r="EB652" s="6">
        <f t="shared" si="487"/>
        <v>0</v>
      </c>
      <c r="EC652" s="6">
        <f t="shared" si="487"/>
        <v>0</v>
      </c>
      <c r="ED652" s="6">
        <f t="shared" si="487"/>
        <v>0</v>
      </c>
      <c r="EE652" s="6">
        <f t="shared" si="487"/>
        <v>0</v>
      </c>
      <c r="EF652" s="6">
        <f t="shared" si="487"/>
        <v>0</v>
      </c>
      <c r="EG652" s="6">
        <f t="shared" si="487"/>
        <v>0</v>
      </c>
      <c r="EH652" s="6">
        <f t="shared" si="487"/>
        <v>0</v>
      </c>
      <c r="EI652" s="6">
        <f t="shared" si="487"/>
        <v>0</v>
      </c>
      <c r="EJ652" s="6">
        <f t="shared" si="487"/>
        <v>0</v>
      </c>
      <c r="EK652" s="6">
        <f t="shared" si="487"/>
        <v>0</v>
      </c>
      <c r="EL652" s="6">
        <f t="shared" si="487"/>
        <v>0</v>
      </c>
      <c r="EM652" s="6">
        <f t="shared" si="487"/>
        <v>0</v>
      </c>
      <c r="EN652" s="6">
        <f t="shared" ref="EN652:GR652" si="489">SUM(EN17:EN18)+EN20+EN22+SUM(EN24:EN25)+SUM(EN54:EN60)+EN63+EN83+SUM(EN86:EN87)+SUM(EN89:EN99)++SUM(EN102:EN106)+SUM(EN128)+SUM(EN131:EN136)+SUM(EN139:EN144)+SUM(EN146:EN150)+SUM(EN153:EN154)+SUM(EN156:EN157)+EN170+EN172+SUM(EN175:EN176)+SUM(EN178:EN180)+EN184+SUM(EN382:EN386)+EN414+SUM(EN492:EN495)</f>
        <v>0</v>
      </c>
      <c r="EO652" s="6">
        <f t="shared" si="489"/>
        <v>0</v>
      </c>
      <c r="EP652" s="6">
        <f t="shared" si="489"/>
        <v>0</v>
      </c>
      <c r="EQ652" s="6">
        <f t="shared" si="489"/>
        <v>0</v>
      </c>
      <c r="ER652" s="6">
        <f t="shared" si="489"/>
        <v>0</v>
      </c>
      <c r="ES652" s="6">
        <f t="shared" si="489"/>
        <v>0</v>
      </c>
      <c r="ET652" s="6">
        <f t="shared" si="489"/>
        <v>0</v>
      </c>
      <c r="EU652" s="6">
        <f t="shared" si="489"/>
        <v>0</v>
      </c>
      <c r="EV652" s="6">
        <f t="shared" si="489"/>
        <v>0</v>
      </c>
      <c r="EW652" s="6">
        <f t="shared" si="489"/>
        <v>0</v>
      </c>
      <c r="EX652" s="6">
        <f t="shared" si="489"/>
        <v>0</v>
      </c>
      <c r="EY652" s="6">
        <f t="shared" si="489"/>
        <v>0</v>
      </c>
      <c r="EZ652" s="6">
        <f t="shared" si="489"/>
        <v>0</v>
      </c>
      <c r="FA652" s="6">
        <f t="shared" si="489"/>
        <v>527</v>
      </c>
      <c r="FB652" s="6">
        <f t="shared" si="489"/>
        <v>157</v>
      </c>
      <c r="FC652" s="6">
        <f t="shared" si="489"/>
        <v>0</v>
      </c>
      <c r="FD652" s="6">
        <f t="shared" si="489"/>
        <v>0</v>
      </c>
      <c r="FE652" s="6">
        <f t="shared" si="489"/>
        <v>0</v>
      </c>
      <c r="FF652" s="6">
        <f t="shared" si="489"/>
        <v>0</v>
      </c>
      <c r="FG652" s="6">
        <f t="shared" si="489"/>
        <v>0</v>
      </c>
      <c r="FH652" s="6">
        <f t="shared" si="489"/>
        <v>0</v>
      </c>
      <c r="FI652" s="6">
        <f t="shared" si="489"/>
        <v>0</v>
      </c>
      <c r="FJ652" s="6">
        <f t="shared" si="489"/>
        <v>0</v>
      </c>
      <c r="FK652" s="6">
        <f t="shared" si="489"/>
        <v>0</v>
      </c>
      <c r="FL652" s="6">
        <f t="shared" si="489"/>
        <v>0</v>
      </c>
      <c r="FM652" s="6">
        <f t="shared" si="489"/>
        <v>0</v>
      </c>
      <c r="FN652" s="6">
        <f t="shared" si="489"/>
        <v>0</v>
      </c>
      <c r="FO652" s="6">
        <f t="shared" si="489"/>
        <v>0</v>
      </c>
      <c r="FP652" s="6">
        <f t="shared" si="489"/>
        <v>0</v>
      </c>
      <c r="FQ652" s="6">
        <f t="shared" si="489"/>
        <v>0</v>
      </c>
      <c r="FR652" s="6">
        <f t="shared" si="489"/>
        <v>0</v>
      </c>
      <c r="FS652" s="6">
        <f t="shared" si="489"/>
        <v>0</v>
      </c>
      <c r="FT652" s="6">
        <f t="shared" si="489"/>
        <v>0</v>
      </c>
      <c r="FU652" s="6">
        <f t="shared" si="489"/>
        <v>0</v>
      </c>
      <c r="FV652" s="6">
        <f t="shared" si="489"/>
        <v>0</v>
      </c>
      <c r="FW652" s="6">
        <f t="shared" si="489"/>
        <v>0</v>
      </c>
      <c r="FX652" s="6">
        <f t="shared" si="489"/>
        <v>0</v>
      </c>
      <c r="FY652" s="6">
        <f t="shared" si="489"/>
        <v>31468</v>
      </c>
      <c r="FZ652" s="6">
        <f t="shared" si="489"/>
        <v>15420</v>
      </c>
      <c r="GA652" s="6">
        <f t="shared" si="489"/>
        <v>0</v>
      </c>
      <c r="GB652" s="6">
        <f t="shared" si="489"/>
        <v>0</v>
      </c>
      <c r="GC652" s="6">
        <f t="shared" si="489"/>
        <v>0</v>
      </c>
      <c r="GD652" s="6">
        <f t="shared" si="489"/>
        <v>0</v>
      </c>
      <c r="GE652" s="6">
        <f t="shared" si="489"/>
        <v>0</v>
      </c>
      <c r="GF652" s="6">
        <f t="shared" si="489"/>
        <v>0</v>
      </c>
      <c r="GG652" s="6">
        <f t="shared" si="489"/>
        <v>1567</v>
      </c>
      <c r="GH652" s="6">
        <f t="shared" si="489"/>
        <v>1140</v>
      </c>
      <c r="GI652" s="6">
        <f t="shared" si="489"/>
        <v>0</v>
      </c>
      <c r="GJ652" s="6">
        <f t="shared" si="489"/>
        <v>0</v>
      </c>
      <c r="GK652" s="6">
        <f t="shared" si="489"/>
        <v>0</v>
      </c>
      <c r="GL652" s="6">
        <f t="shared" si="489"/>
        <v>0</v>
      </c>
      <c r="GM652" s="6">
        <f t="shared" si="489"/>
        <v>0</v>
      </c>
      <c r="GN652" s="6">
        <f t="shared" si="489"/>
        <v>0</v>
      </c>
      <c r="GO652" s="6">
        <f t="shared" si="489"/>
        <v>35555</v>
      </c>
      <c r="GP652" s="6">
        <f t="shared" si="489"/>
        <v>13408</v>
      </c>
      <c r="GQ652" s="6">
        <f t="shared" si="489"/>
        <v>38454</v>
      </c>
      <c r="GR652" s="6">
        <f t="shared" si="489"/>
        <v>10713</v>
      </c>
    </row>
    <row r="653" spans="1:200">
      <c r="A653" s="6"/>
      <c r="B653" s="12" t="s">
        <v>709</v>
      </c>
      <c r="C653" s="14">
        <f>SUM(C61:C62)+C64+SUM(C137:C138)+C145+SUM(C151:C152)+C155+SUM(C207:C219)+SUM(C256:C266)+SUM(C301:C309)+C342+SUM(C421:C422)+SUM(C466:C468)+SUM(C472:C475)+SUM(C496:C501)+SUM(C503:C517)+SUM(C519:C526)+SUM(C558:C559)</f>
        <v>83904</v>
      </c>
      <c r="D653" s="14">
        <f>SUM(D61:D62)+D64+SUM(D137:D138)+D145+SUM(D151:D152)+D155+SUM(D207:D219)+SUM(D256:D266)+SUM(D301:D309)+D342+SUM(D421:D422)+SUM(D466:D468)+SUM(D472:D475)+SUM(D496:D501)+SUM(D503:D517)+SUM(D519:D526)+SUM(D558:D559)</f>
        <v>61175</v>
      </c>
      <c r="E653" s="15">
        <f t="shared" si="351"/>
        <v>0.72910707475209768</v>
      </c>
      <c r="F653" s="66">
        <f t="shared" ref="F653:AB653" si="490">SUM(F61:F62)+F64+SUM(F137:F138)+F145+SUM(F151:F152)+F155+SUM(F207:F219)+SUM(F256:F266)+SUM(F301:F309)+F342+SUM(F421:F422)+SUM(F466:F468)+SUM(F472:F475)+SUM(F496:F501)+SUM(F503:F517)+SUM(F519:F526)+SUM(F558:F559)</f>
        <v>40782</v>
      </c>
      <c r="G653" s="6">
        <f t="shared" si="490"/>
        <v>177</v>
      </c>
      <c r="H653" s="6">
        <f t="shared" si="490"/>
        <v>1544</v>
      </c>
      <c r="I653" s="6">
        <f t="shared" si="490"/>
        <v>556</v>
      </c>
      <c r="J653" s="59">
        <f t="shared" si="490"/>
        <v>16944</v>
      </c>
      <c r="K653" s="6">
        <f t="shared" si="490"/>
        <v>0</v>
      </c>
      <c r="L653" s="6">
        <f t="shared" si="490"/>
        <v>0</v>
      </c>
      <c r="M653" s="6">
        <f t="shared" si="490"/>
        <v>13</v>
      </c>
      <c r="N653" s="6">
        <f t="shared" si="490"/>
        <v>0</v>
      </c>
      <c r="O653" s="6">
        <f t="shared" si="490"/>
        <v>1</v>
      </c>
      <c r="P653" s="6">
        <f t="shared" si="490"/>
        <v>5</v>
      </c>
      <c r="Q653" s="6">
        <f t="shared" si="490"/>
        <v>0</v>
      </c>
      <c r="R653" s="6">
        <f t="shared" si="490"/>
        <v>0</v>
      </c>
      <c r="S653" s="6">
        <f t="shared" si="490"/>
        <v>3</v>
      </c>
      <c r="T653" s="6">
        <f t="shared" si="490"/>
        <v>0</v>
      </c>
      <c r="U653" s="6">
        <f t="shared" si="490"/>
        <v>0</v>
      </c>
      <c r="V653" s="6">
        <f t="shared" si="490"/>
        <v>7</v>
      </c>
      <c r="W653" s="6">
        <f t="shared" si="490"/>
        <v>145</v>
      </c>
      <c r="X653" s="6">
        <f t="shared" si="490"/>
        <v>0</v>
      </c>
      <c r="Y653" s="6">
        <f t="shared" si="490"/>
        <v>0</v>
      </c>
      <c r="Z653" s="6">
        <f t="shared" si="490"/>
        <v>0</v>
      </c>
      <c r="AA653" s="6">
        <f t="shared" si="490"/>
        <v>0</v>
      </c>
      <c r="AB653" s="6">
        <f t="shared" si="490"/>
        <v>0</v>
      </c>
      <c r="AC653" s="6">
        <f t="shared" ref="AC653:BZ653" si="491">SUM(AC61:AC62)+AC64+SUM(AC137:AC138)+AC145+SUM(AC151:AC152)+AC155+SUM(AC207:AC219)+SUM(AC256:AC266)+SUM(AC301:AC309)+AC342+SUM(AC421:AC422)+SUM(AC466:AC468)+SUM(AC472:AC475)+SUM(AC496:AC501)+SUM(AC503:AC517)+SUM(AC519:AC526)+SUM(AC558:AC559)</f>
        <v>713</v>
      </c>
      <c r="AD653" s="6">
        <f t="shared" si="491"/>
        <v>968</v>
      </c>
      <c r="AE653" s="6">
        <f t="shared" si="491"/>
        <v>22628</v>
      </c>
      <c r="AF653" s="6">
        <f t="shared" si="491"/>
        <v>576</v>
      </c>
      <c r="AG653" s="6">
        <f t="shared" si="491"/>
        <v>3</v>
      </c>
      <c r="AH653" s="6">
        <f t="shared" si="491"/>
        <v>34207</v>
      </c>
      <c r="AI653" s="6">
        <f t="shared" si="491"/>
        <v>3585</v>
      </c>
      <c r="AJ653" s="6">
        <f t="shared" si="491"/>
        <v>4</v>
      </c>
      <c r="AK653" s="6">
        <f t="shared" si="491"/>
        <v>0</v>
      </c>
      <c r="AL653" s="6">
        <f t="shared" si="491"/>
        <v>12490</v>
      </c>
      <c r="AM653" s="6">
        <f t="shared" si="491"/>
        <v>1701</v>
      </c>
      <c r="AN653" s="6">
        <f t="shared" si="491"/>
        <v>22293</v>
      </c>
      <c r="AO653" s="6">
        <f t="shared" si="491"/>
        <v>17619</v>
      </c>
      <c r="AP653" s="6">
        <f t="shared" si="491"/>
        <v>8224</v>
      </c>
      <c r="AQ653" s="6">
        <f t="shared" si="491"/>
        <v>2894</v>
      </c>
      <c r="AR653" s="6">
        <f t="shared" si="491"/>
        <v>0</v>
      </c>
      <c r="AS653" s="6">
        <f t="shared" si="491"/>
        <v>0</v>
      </c>
      <c r="AT653" s="6">
        <f t="shared" si="491"/>
        <v>3392</v>
      </c>
      <c r="AU653" s="6">
        <f t="shared" si="491"/>
        <v>7863</v>
      </c>
      <c r="AV653" s="6">
        <f t="shared" si="491"/>
        <v>0</v>
      </c>
      <c r="AW653" s="6">
        <f t="shared" si="491"/>
        <v>0</v>
      </c>
      <c r="AX653" s="6">
        <f t="shared" si="491"/>
        <v>0</v>
      </c>
      <c r="AY653" s="6">
        <f t="shared" si="491"/>
        <v>3038</v>
      </c>
      <c r="AZ653" s="6">
        <f t="shared" si="491"/>
        <v>1716</v>
      </c>
      <c r="BA653" s="6">
        <f t="shared" si="491"/>
        <v>6502</v>
      </c>
      <c r="BB653" s="6">
        <f t="shared" si="491"/>
        <v>2818</v>
      </c>
      <c r="BC653" s="6">
        <f t="shared" si="491"/>
        <v>11496</v>
      </c>
      <c r="BD653" s="6">
        <f t="shared" si="491"/>
        <v>21202</v>
      </c>
      <c r="BE653" s="6">
        <f t="shared" si="491"/>
        <v>15997</v>
      </c>
      <c r="BF653" s="6">
        <f t="shared" si="491"/>
        <v>41752</v>
      </c>
      <c r="BG653" s="6">
        <f t="shared" si="491"/>
        <v>20000</v>
      </c>
      <c r="BH653" s="6">
        <f t="shared" si="491"/>
        <v>37940</v>
      </c>
      <c r="BI653" s="6">
        <f t="shared" si="491"/>
        <v>22769</v>
      </c>
      <c r="BJ653" s="6">
        <f t="shared" si="491"/>
        <v>34983</v>
      </c>
      <c r="BK653" s="6">
        <f t="shared" si="491"/>
        <v>37928</v>
      </c>
      <c r="BL653" s="6">
        <f t="shared" si="491"/>
        <v>19707</v>
      </c>
      <c r="BM653" s="6">
        <f t="shared" si="491"/>
        <v>15262</v>
      </c>
      <c r="BN653" s="6">
        <f t="shared" si="491"/>
        <v>42043</v>
      </c>
      <c r="BO653" s="6">
        <f t="shared" si="491"/>
        <v>37469</v>
      </c>
      <c r="BP653" s="6">
        <f t="shared" si="491"/>
        <v>19306</v>
      </c>
      <c r="BQ653" s="6">
        <f t="shared" si="491"/>
        <v>21893</v>
      </c>
      <c r="BR653" s="6">
        <f t="shared" si="491"/>
        <v>34999</v>
      </c>
      <c r="BS653" s="6">
        <f t="shared" si="491"/>
        <v>30114</v>
      </c>
      <c r="BT653" s="6">
        <f t="shared" si="491"/>
        <v>14384</v>
      </c>
      <c r="BU653" s="6">
        <f t="shared" si="491"/>
        <v>42505</v>
      </c>
      <c r="BV653" s="6">
        <f t="shared" si="491"/>
        <v>33970</v>
      </c>
      <c r="BW653" s="6">
        <f t="shared" si="491"/>
        <v>21002</v>
      </c>
      <c r="BX653" s="6">
        <f t="shared" si="491"/>
        <v>26401</v>
      </c>
      <c r="BY653" s="6">
        <f t="shared" si="491"/>
        <v>23025</v>
      </c>
      <c r="BZ653" s="6">
        <f t="shared" si="491"/>
        <v>28272</v>
      </c>
      <c r="CA653" s="6">
        <f t="shared" ref="CA653:CP653" si="492">SUM(CA61:CA62)+CA64+SUM(CA137:CA138)+CA145+SUM(CA151:CA152)+CA155+SUM(CA207:CA219)+SUM(CA256:CA266)+SUM(CA301:CA309)+CA342+SUM(CA421:CA422)+SUM(CA466:CA468)+SUM(CA472:CA475)+SUM(CA496:CA501)+SUM(CA503:CA517)+SUM(CA519:CA526)+SUM(CA558:CA559)</f>
        <v>30360</v>
      </c>
      <c r="CB653" s="6">
        <f t="shared" si="492"/>
        <v>16330</v>
      </c>
      <c r="CC653" s="6">
        <f t="shared" si="492"/>
        <v>30724</v>
      </c>
      <c r="CD653" s="6">
        <f t="shared" si="492"/>
        <v>34853</v>
      </c>
      <c r="CE653" s="6">
        <f t="shared" si="492"/>
        <v>29193</v>
      </c>
      <c r="CF653" s="6">
        <f t="shared" si="492"/>
        <v>18633</v>
      </c>
      <c r="CG653" s="6">
        <f t="shared" si="492"/>
        <v>18881</v>
      </c>
      <c r="CH653" s="6">
        <f t="shared" si="492"/>
        <v>26066</v>
      </c>
      <c r="CI653" s="6">
        <f t="shared" si="492"/>
        <v>22333</v>
      </c>
      <c r="CJ653" s="6">
        <f t="shared" si="492"/>
        <v>24602</v>
      </c>
      <c r="CK653" s="6">
        <f t="shared" si="492"/>
        <v>22012</v>
      </c>
      <c r="CL653" s="6">
        <f t="shared" si="492"/>
        <v>25181</v>
      </c>
      <c r="CM653" s="6">
        <f t="shared" si="492"/>
        <v>29069</v>
      </c>
      <c r="CN653" s="6">
        <f t="shared" si="492"/>
        <v>30774</v>
      </c>
      <c r="CO653" s="6">
        <f t="shared" si="492"/>
        <v>25222</v>
      </c>
      <c r="CP653" s="6">
        <f t="shared" si="492"/>
        <v>22351</v>
      </c>
      <c r="CQ653" s="6">
        <f t="shared" ref="CQ653:EM653" si="493">SUM(CQ61:CQ62)+CQ64+SUM(CQ137:CQ138)+CQ145+SUM(CQ151:CQ152)+CQ155+SUM(CQ207:CQ219)+SUM(CQ256:CQ266)+SUM(CQ301:CQ309)+CQ342+SUM(CQ421:CQ422)+SUM(CQ466:CQ468)+SUM(CQ472:CQ475)+SUM(CQ496:CQ501)+SUM(CQ503:CQ517)+SUM(CQ519:CQ526)+SUM(CQ558:CQ559)</f>
        <v>0</v>
      </c>
      <c r="CR653" s="6">
        <f t="shared" si="493"/>
        <v>0</v>
      </c>
      <c r="CS653" s="6">
        <f t="shared" si="493"/>
        <v>0</v>
      </c>
      <c r="CT653" s="6">
        <f t="shared" si="493"/>
        <v>0</v>
      </c>
      <c r="CU653" s="6">
        <f t="shared" si="493"/>
        <v>0</v>
      </c>
      <c r="CV653" s="6">
        <f t="shared" si="493"/>
        <v>0</v>
      </c>
      <c r="CW653" s="6">
        <f t="shared" si="493"/>
        <v>2426</v>
      </c>
      <c r="CX653" s="6">
        <f t="shared" si="493"/>
        <v>1657</v>
      </c>
      <c r="CY653" s="6">
        <f t="shared" si="493"/>
        <v>0</v>
      </c>
      <c r="CZ653" s="6">
        <f t="shared" si="493"/>
        <v>0</v>
      </c>
      <c r="DA653" s="6">
        <f t="shared" si="493"/>
        <v>0</v>
      </c>
      <c r="DB653" s="6">
        <f t="shared" si="493"/>
        <v>0</v>
      </c>
      <c r="DC653" s="6">
        <f t="shared" si="493"/>
        <v>0</v>
      </c>
      <c r="DD653" s="6">
        <f t="shared" si="493"/>
        <v>0</v>
      </c>
      <c r="DE653" s="6">
        <f t="shared" si="493"/>
        <v>3240</v>
      </c>
      <c r="DF653" s="6">
        <f t="shared" si="493"/>
        <v>1096</v>
      </c>
      <c r="DG653" s="6">
        <f t="shared" si="493"/>
        <v>0</v>
      </c>
      <c r="DH653" s="6">
        <f t="shared" si="493"/>
        <v>0</v>
      </c>
      <c r="DI653" s="6">
        <f t="shared" si="493"/>
        <v>0</v>
      </c>
      <c r="DJ653" s="6">
        <f t="shared" si="493"/>
        <v>0</v>
      </c>
      <c r="DK653" s="6">
        <f t="shared" si="493"/>
        <v>0</v>
      </c>
      <c r="DL653" s="6">
        <f t="shared" si="493"/>
        <v>0</v>
      </c>
      <c r="DM653" s="6">
        <f t="shared" si="493"/>
        <v>0</v>
      </c>
      <c r="DN653" s="6">
        <f t="shared" si="493"/>
        <v>0</v>
      </c>
      <c r="DO653" s="6">
        <f t="shared" si="493"/>
        <v>0</v>
      </c>
      <c r="DP653" s="6">
        <f t="shared" si="493"/>
        <v>0</v>
      </c>
      <c r="DQ653" s="6">
        <f t="shared" si="493"/>
        <v>0</v>
      </c>
      <c r="DR653" s="6">
        <f t="shared" si="493"/>
        <v>0</v>
      </c>
      <c r="DS653" s="6">
        <f t="shared" si="493"/>
        <v>0</v>
      </c>
      <c r="DT653" s="6">
        <f t="shared" si="493"/>
        <v>0</v>
      </c>
      <c r="DU653" s="6">
        <f t="shared" si="493"/>
        <v>0</v>
      </c>
      <c r="DV653" s="6">
        <f t="shared" si="493"/>
        <v>0</v>
      </c>
      <c r="DW653" s="6">
        <f t="shared" si="493"/>
        <v>0</v>
      </c>
      <c r="DX653" s="6">
        <f t="shared" si="493"/>
        <v>0</v>
      </c>
      <c r="DY653" s="6">
        <f t="shared" ref="DY653:DZ653" si="494">SUM(DY61:DY62)+DY64+SUM(DY137:DY138)+DY145+SUM(DY151:DY152)+DY155+SUM(DY207:DY219)+SUM(DY256:DY266)+SUM(DY301:DY309)+DY342+SUM(DY421:DY422)+SUM(DY466:DY468)+SUM(DY472:DY475)+SUM(DY496:DY501)+SUM(DY503:DY517)+SUM(DY519:DY526)+SUM(DY558:DY559)</f>
        <v>0</v>
      </c>
      <c r="DZ653" s="6">
        <f t="shared" si="494"/>
        <v>0</v>
      </c>
      <c r="EA653" s="6">
        <f t="shared" si="493"/>
        <v>0</v>
      </c>
      <c r="EB653" s="6">
        <f t="shared" si="493"/>
        <v>0</v>
      </c>
      <c r="EC653" s="6">
        <f t="shared" si="493"/>
        <v>1214</v>
      </c>
      <c r="ED653" s="6">
        <f t="shared" si="493"/>
        <v>573</v>
      </c>
      <c r="EE653" s="6">
        <f t="shared" si="493"/>
        <v>1298</v>
      </c>
      <c r="EF653" s="6">
        <f t="shared" si="493"/>
        <v>479</v>
      </c>
      <c r="EG653" s="6">
        <f t="shared" si="493"/>
        <v>1204</v>
      </c>
      <c r="EH653" s="6">
        <f t="shared" si="493"/>
        <v>714</v>
      </c>
      <c r="EI653" s="6">
        <f t="shared" si="493"/>
        <v>801</v>
      </c>
      <c r="EJ653" s="6">
        <f t="shared" si="493"/>
        <v>413</v>
      </c>
      <c r="EK653" s="6">
        <f t="shared" si="493"/>
        <v>708</v>
      </c>
      <c r="EL653" s="6">
        <f t="shared" si="493"/>
        <v>509</v>
      </c>
      <c r="EM653" s="6">
        <f t="shared" si="493"/>
        <v>0</v>
      </c>
      <c r="EN653" s="6">
        <f t="shared" ref="EN653:GR653" si="495">SUM(EN61:EN62)+EN64+SUM(EN137:EN138)+EN145+SUM(EN151:EN152)+EN155+SUM(EN207:EN219)+SUM(EN256:EN266)+SUM(EN301:EN309)+EN342+SUM(EN421:EN422)+SUM(EN466:EN468)+SUM(EN472:EN475)+SUM(EN496:EN501)+SUM(EN503:EN517)+SUM(EN519:EN526)+SUM(EN558:EN559)</f>
        <v>0</v>
      </c>
      <c r="EO653" s="6">
        <f t="shared" si="495"/>
        <v>0</v>
      </c>
      <c r="EP653" s="6">
        <f t="shared" si="495"/>
        <v>0</v>
      </c>
      <c r="EQ653" s="6">
        <f t="shared" si="495"/>
        <v>0</v>
      </c>
      <c r="ER653" s="6">
        <f t="shared" si="495"/>
        <v>0</v>
      </c>
      <c r="ES653" s="6">
        <f t="shared" si="495"/>
        <v>0</v>
      </c>
      <c r="ET653" s="6">
        <f t="shared" si="495"/>
        <v>0</v>
      </c>
      <c r="EU653" s="6">
        <f t="shared" si="495"/>
        <v>1026</v>
      </c>
      <c r="EV653" s="6">
        <f t="shared" si="495"/>
        <v>451</v>
      </c>
      <c r="EW653" s="6">
        <f t="shared" si="495"/>
        <v>0</v>
      </c>
      <c r="EX653" s="6">
        <f t="shared" si="495"/>
        <v>0</v>
      </c>
      <c r="EY653" s="6">
        <f t="shared" si="495"/>
        <v>0</v>
      </c>
      <c r="EZ653" s="6">
        <f t="shared" si="495"/>
        <v>0</v>
      </c>
      <c r="FA653" s="6">
        <f t="shared" si="495"/>
        <v>0</v>
      </c>
      <c r="FB653" s="6">
        <f t="shared" si="495"/>
        <v>0</v>
      </c>
      <c r="FC653" s="6">
        <f t="shared" si="495"/>
        <v>0</v>
      </c>
      <c r="FD653" s="6">
        <f t="shared" si="495"/>
        <v>0</v>
      </c>
      <c r="FE653" s="6">
        <f t="shared" si="495"/>
        <v>0</v>
      </c>
      <c r="FF653" s="6">
        <f t="shared" si="495"/>
        <v>0</v>
      </c>
      <c r="FG653" s="6">
        <f t="shared" si="495"/>
        <v>0</v>
      </c>
      <c r="FH653" s="6">
        <f t="shared" si="495"/>
        <v>0</v>
      </c>
      <c r="FI653" s="6">
        <f t="shared" si="495"/>
        <v>0</v>
      </c>
      <c r="FJ653" s="6">
        <f t="shared" si="495"/>
        <v>0</v>
      </c>
      <c r="FK653" s="6">
        <f t="shared" si="495"/>
        <v>604</v>
      </c>
      <c r="FL653" s="6">
        <f t="shared" si="495"/>
        <v>266</v>
      </c>
      <c r="FM653" s="6">
        <f t="shared" si="495"/>
        <v>53</v>
      </c>
      <c r="FN653" s="6">
        <f t="shared" si="495"/>
        <v>144</v>
      </c>
      <c r="FO653" s="6">
        <f t="shared" si="495"/>
        <v>63</v>
      </c>
      <c r="FP653" s="6">
        <f t="shared" si="495"/>
        <v>132</v>
      </c>
      <c r="FQ653" s="6">
        <f t="shared" si="495"/>
        <v>53</v>
      </c>
      <c r="FR653" s="6">
        <f t="shared" si="495"/>
        <v>143</v>
      </c>
      <c r="FS653" s="6">
        <f t="shared" si="495"/>
        <v>62</v>
      </c>
      <c r="FT653" s="6">
        <f t="shared" si="495"/>
        <v>137</v>
      </c>
      <c r="FU653" s="6">
        <f t="shared" si="495"/>
        <v>64</v>
      </c>
      <c r="FV653" s="6">
        <f t="shared" si="495"/>
        <v>133</v>
      </c>
      <c r="FW653" s="6">
        <f t="shared" si="495"/>
        <v>76</v>
      </c>
      <c r="FX653" s="6">
        <f t="shared" si="495"/>
        <v>123</v>
      </c>
      <c r="FY653" s="6">
        <f t="shared" si="495"/>
        <v>8603</v>
      </c>
      <c r="FZ653" s="6">
        <f t="shared" si="495"/>
        <v>5612</v>
      </c>
      <c r="GA653" s="6">
        <f t="shared" si="495"/>
        <v>102</v>
      </c>
      <c r="GB653" s="6">
        <f t="shared" si="495"/>
        <v>65</v>
      </c>
      <c r="GC653" s="6">
        <f t="shared" si="495"/>
        <v>0</v>
      </c>
      <c r="GD653" s="6">
        <f t="shared" si="495"/>
        <v>0</v>
      </c>
      <c r="GE653" s="6">
        <f t="shared" si="495"/>
        <v>0</v>
      </c>
      <c r="GF653" s="6">
        <f t="shared" si="495"/>
        <v>0</v>
      </c>
      <c r="GG653" s="6">
        <f t="shared" si="495"/>
        <v>0</v>
      </c>
      <c r="GH653" s="6">
        <f t="shared" si="495"/>
        <v>0</v>
      </c>
      <c r="GI653" s="6">
        <f t="shared" si="495"/>
        <v>0</v>
      </c>
      <c r="GJ653" s="6">
        <f t="shared" si="495"/>
        <v>0</v>
      </c>
      <c r="GK653" s="6">
        <f t="shared" si="495"/>
        <v>7147</v>
      </c>
      <c r="GL653" s="6">
        <f t="shared" si="495"/>
        <v>6374</v>
      </c>
      <c r="GM653" s="6">
        <f t="shared" si="495"/>
        <v>0</v>
      </c>
      <c r="GN653" s="6">
        <f t="shared" si="495"/>
        <v>0</v>
      </c>
      <c r="GO653" s="6">
        <f t="shared" si="495"/>
        <v>39901</v>
      </c>
      <c r="GP653" s="6">
        <f t="shared" si="495"/>
        <v>17894</v>
      </c>
      <c r="GQ653" s="6">
        <f t="shared" si="495"/>
        <v>41919</v>
      </c>
      <c r="GR653" s="6">
        <f t="shared" si="495"/>
        <v>15848</v>
      </c>
    </row>
    <row r="654" spans="1:200">
      <c r="A654" s="6"/>
      <c r="B654" s="12" t="s">
        <v>710</v>
      </c>
      <c r="C654" s="14">
        <f>SUM(C4:C16)+C19+C21+C23+SUM(C26:C27)+SUM(C33:C42)+SUM(C44:C47)+SUM(C49:C51)+C67+SUM(C267:C277)+SUM(C310:C341)+C387+C418+SUM(C476:C477)+SUM(C490:C491)</f>
        <v>92509</v>
      </c>
      <c r="D654" s="14">
        <f>SUM(D4:D16)+D19+D21+D23+SUM(D26:D27)+SUM(D33:D42)+SUM(D44:D47)+SUM(D49:D51)+D67+SUM(D267:D277)+SUM(D310:D341)+D387+D418+SUM(D476:D477)+SUM(D490:D491)</f>
        <v>70405</v>
      </c>
      <c r="E654" s="15">
        <f t="shared" si="351"/>
        <v>0.76106108594839417</v>
      </c>
      <c r="F654" s="66">
        <f t="shared" ref="F654:AB654" si="496">SUM(F4:F16)+F19+F21+F23+SUM(F26:F27)+SUM(F33:F42)+SUM(F44:F47)+SUM(F49:F51)+F67+SUM(F267:F277)+SUM(F310:F341)+F387+F418+SUM(F476:F477)+SUM(F490:F491)</f>
        <v>33333</v>
      </c>
      <c r="G654" s="6">
        <f t="shared" si="496"/>
        <v>159</v>
      </c>
      <c r="H654" s="6">
        <f t="shared" si="496"/>
        <v>3092</v>
      </c>
      <c r="I654" s="6">
        <f t="shared" si="496"/>
        <v>610</v>
      </c>
      <c r="J654" s="59">
        <f t="shared" si="496"/>
        <v>30982</v>
      </c>
      <c r="K654" s="6">
        <f t="shared" si="496"/>
        <v>0</v>
      </c>
      <c r="L654" s="6">
        <f t="shared" si="496"/>
        <v>0</v>
      </c>
      <c r="M654" s="6">
        <f t="shared" si="496"/>
        <v>19</v>
      </c>
      <c r="N654" s="6">
        <f t="shared" si="496"/>
        <v>0</v>
      </c>
      <c r="O654" s="6">
        <f t="shared" si="496"/>
        <v>2</v>
      </c>
      <c r="P654" s="6">
        <f t="shared" si="496"/>
        <v>3</v>
      </c>
      <c r="Q654" s="6">
        <f t="shared" si="496"/>
        <v>0</v>
      </c>
      <c r="R654" s="6">
        <f t="shared" si="496"/>
        <v>0</v>
      </c>
      <c r="S654" s="6">
        <f t="shared" si="496"/>
        <v>4</v>
      </c>
      <c r="T654" s="6">
        <f t="shared" si="496"/>
        <v>4</v>
      </c>
      <c r="U654" s="6">
        <f t="shared" si="496"/>
        <v>0</v>
      </c>
      <c r="V654" s="6">
        <f t="shared" si="496"/>
        <v>19</v>
      </c>
      <c r="W654" s="6">
        <f t="shared" si="496"/>
        <v>344</v>
      </c>
      <c r="X654" s="6">
        <f t="shared" si="496"/>
        <v>0</v>
      </c>
      <c r="Y654" s="6">
        <f t="shared" si="496"/>
        <v>1</v>
      </c>
      <c r="Z654" s="6">
        <f t="shared" si="496"/>
        <v>0</v>
      </c>
      <c r="AA654" s="6">
        <f t="shared" si="496"/>
        <v>0</v>
      </c>
      <c r="AB654" s="6">
        <f t="shared" si="496"/>
        <v>0</v>
      </c>
      <c r="AC654" s="6">
        <f t="shared" ref="AC654:BZ654" si="497">SUM(AC4:AC16)+AC19+AC21+AC23+SUM(AC26:AC27)+SUM(AC33:AC42)+SUM(AC44:AC47)+SUM(AC49:AC51)+AC67+SUM(AC267:AC277)+SUM(AC310:AC341)+AC387+AC418+SUM(AC476:AC477)+SUM(AC490:AC491)</f>
        <v>625</v>
      </c>
      <c r="AD654" s="6">
        <f t="shared" si="497"/>
        <v>1088</v>
      </c>
      <c r="AE654" s="6">
        <f t="shared" si="497"/>
        <v>42451</v>
      </c>
      <c r="AF654" s="6">
        <f t="shared" si="497"/>
        <v>604</v>
      </c>
      <c r="AG654" s="6">
        <f t="shared" si="497"/>
        <v>2</v>
      </c>
      <c r="AH654" s="6">
        <f t="shared" si="497"/>
        <v>23245</v>
      </c>
      <c r="AI654" s="6">
        <f t="shared" si="497"/>
        <v>765</v>
      </c>
      <c r="AJ654" s="6">
        <f t="shared" si="497"/>
        <v>2</v>
      </c>
      <c r="AK654" s="6">
        <f t="shared" si="497"/>
        <v>0</v>
      </c>
      <c r="AL654" s="6">
        <f t="shared" si="497"/>
        <v>1041</v>
      </c>
      <c r="AM654" s="6">
        <f t="shared" si="497"/>
        <v>2322</v>
      </c>
      <c r="AN654" s="6">
        <f t="shared" si="497"/>
        <v>21095</v>
      </c>
      <c r="AO654" s="6">
        <f t="shared" si="497"/>
        <v>40674</v>
      </c>
      <c r="AP654" s="6">
        <f t="shared" si="497"/>
        <v>0</v>
      </c>
      <c r="AQ654" s="6">
        <f t="shared" si="497"/>
        <v>0</v>
      </c>
      <c r="AR654" s="6">
        <f t="shared" si="497"/>
        <v>28088</v>
      </c>
      <c r="AS654" s="6">
        <f t="shared" si="497"/>
        <v>16082</v>
      </c>
      <c r="AT654" s="6">
        <f t="shared" si="497"/>
        <v>0</v>
      </c>
      <c r="AU654" s="6">
        <f t="shared" si="497"/>
        <v>0</v>
      </c>
      <c r="AV654" s="6">
        <f t="shared" si="497"/>
        <v>0</v>
      </c>
      <c r="AW654" s="6">
        <f t="shared" si="497"/>
        <v>0</v>
      </c>
      <c r="AX654" s="6">
        <f t="shared" si="497"/>
        <v>0</v>
      </c>
      <c r="AY654" s="6">
        <f t="shared" si="497"/>
        <v>9816</v>
      </c>
      <c r="AZ654" s="6">
        <f t="shared" si="497"/>
        <v>8146</v>
      </c>
      <c r="BA654" s="6">
        <f t="shared" si="497"/>
        <v>1515</v>
      </c>
      <c r="BB654" s="6">
        <f t="shared" si="497"/>
        <v>1177</v>
      </c>
      <c r="BC654" s="6">
        <f t="shared" si="497"/>
        <v>0</v>
      </c>
      <c r="BD654" s="6">
        <f t="shared" si="497"/>
        <v>0</v>
      </c>
      <c r="BE654" s="6">
        <f t="shared" si="497"/>
        <v>33867</v>
      </c>
      <c r="BF654" s="6">
        <f t="shared" si="497"/>
        <v>31467</v>
      </c>
      <c r="BG654" s="6">
        <f t="shared" si="497"/>
        <v>37058</v>
      </c>
      <c r="BH654" s="6">
        <f t="shared" si="497"/>
        <v>28353</v>
      </c>
      <c r="BI654" s="6">
        <f t="shared" si="497"/>
        <v>40701</v>
      </c>
      <c r="BJ654" s="6">
        <f t="shared" si="497"/>
        <v>24056</v>
      </c>
      <c r="BK654" s="6">
        <f t="shared" si="497"/>
        <v>31218</v>
      </c>
      <c r="BL654" s="6">
        <f t="shared" si="497"/>
        <v>33474</v>
      </c>
      <c r="BM654" s="6">
        <f t="shared" si="497"/>
        <v>29704</v>
      </c>
      <c r="BN654" s="6">
        <f t="shared" si="497"/>
        <v>34165</v>
      </c>
      <c r="BO654" s="6">
        <f t="shared" si="497"/>
        <v>26220</v>
      </c>
      <c r="BP654" s="6">
        <f t="shared" si="497"/>
        <v>36133</v>
      </c>
      <c r="BQ654" s="6">
        <f t="shared" si="497"/>
        <v>40178</v>
      </c>
      <c r="BR654" s="6">
        <f t="shared" si="497"/>
        <v>22809</v>
      </c>
      <c r="BS654" s="6">
        <f t="shared" si="497"/>
        <v>44623</v>
      </c>
      <c r="BT654" s="6">
        <f t="shared" si="497"/>
        <v>27586</v>
      </c>
      <c r="BU654" s="6">
        <f t="shared" si="497"/>
        <v>35325</v>
      </c>
      <c r="BV654" s="6">
        <f t="shared" si="497"/>
        <v>43819</v>
      </c>
      <c r="BW654" s="6">
        <f t="shared" si="497"/>
        <v>30473</v>
      </c>
      <c r="BX654" s="6">
        <f t="shared" si="497"/>
        <v>20801</v>
      </c>
      <c r="BY654" s="6">
        <f t="shared" si="497"/>
        <v>33055</v>
      </c>
      <c r="BZ654" s="6">
        <f t="shared" si="497"/>
        <v>22731</v>
      </c>
      <c r="CA654" s="6">
        <f t="shared" ref="CA654:CP654" si="498">SUM(CA4:CA16)+CA19+CA21+CA23+SUM(CA26:CA27)+SUM(CA33:CA42)+SUM(CA44:CA47)+SUM(CA49:CA51)+CA67+SUM(CA267:CA277)+SUM(CA310:CA341)+CA387+CA418+SUM(CA476:CA477)+SUM(CA490:CA491)</f>
        <v>39286</v>
      </c>
      <c r="CB654" s="6">
        <f t="shared" si="498"/>
        <v>30129</v>
      </c>
      <c r="CC654" s="6">
        <f t="shared" si="498"/>
        <v>21684</v>
      </c>
      <c r="CD654" s="6">
        <f t="shared" si="498"/>
        <v>37754</v>
      </c>
      <c r="CE654" s="6">
        <f t="shared" si="498"/>
        <v>23390</v>
      </c>
      <c r="CF654" s="6">
        <f t="shared" si="498"/>
        <v>27906</v>
      </c>
      <c r="CG654" s="6">
        <f t="shared" si="498"/>
        <v>31014</v>
      </c>
      <c r="CH654" s="6">
        <f t="shared" si="498"/>
        <v>18681</v>
      </c>
      <c r="CI654" s="6">
        <f t="shared" si="498"/>
        <v>13581</v>
      </c>
      <c r="CJ654" s="6">
        <f t="shared" si="498"/>
        <v>36934</v>
      </c>
      <c r="CK654" s="6">
        <f t="shared" si="498"/>
        <v>28954</v>
      </c>
      <c r="CL654" s="6">
        <f t="shared" si="498"/>
        <v>20233</v>
      </c>
      <c r="CM654" s="6">
        <f t="shared" si="498"/>
        <v>37248</v>
      </c>
      <c r="CN654" s="6">
        <f t="shared" si="498"/>
        <v>37755</v>
      </c>
      <c r="CO654" s="6">
        <f t="shared" si="498"/>
        <v>17456</v>
      </c>
      <c r="CP654" s="6">
        <f t="shared" si="498"/>
        <v>32138</v>
      </c>
      <c r="CQ654" s="6">
        <f t="shared" ref="CQ654:EM654" si="499">SUM(CQ4:CQ16)+CQ19+CQ21+CQ23+SUM(CQ26:CQ27)+SUM(CQ33:CQ42)+SUM(CQ44:CQ47)+SUM(CQ49:CQ51)+CQ67+SUM(CQ267:CQ277)+SUM(CQ310:CQ341)+CQ387+CQ418+SUM(CQ476:CQ477)+SUM(CQ490:CQ491)</f>
        <v>0</v>
      </c>
      <c r="CR654" s="6">
        <f t="shared" si="499"/>
        <v>0</v>
      </c>
      <c r="CS654" s="6">
        <f t="shared" si="499"/>
        <v>0</v>
      </c>
      <c r="CT654" s="6">
        <f t="shared" si="499"/>
        <v>0</v>
      </c>
      <c r="CU654" s="6">
        <f t="shared" si="499"/>
        <v>0</v>
      </c>
      <c r="CV654" s="6">
        <f t="shared" si="499"/>
        <v>0</v>
      </c>
      <c r="CW654" s="6">
        <f t="shared" si="499"/>
        <v>0</v>
      </c>
      <c r="CX654" s="6">
        <f t="shared" si="499"/>
        <v>0</v>
      </c>
      <c r="CY654" s="6">
        <f t="shared" si="499"/>
        <v>3628</v>
      </c>
      <c r="CZ654" s="6">
        <f t="shared" si="499"/>
        <v>3383</v>
      </c>
      <c r="DA654" s="6">
        <f t="shared" si="499"/>
        <v>4333</v>
      </c>
      <c r="DB654" s="6">
        <f t="shared" si="499"/>
        <v>3140</v>
      </c>
      <c r="DC654" s="6">
        <f t="shared" si="499"/>
        <v>0</v>
      </c>
      <c r="DD654" s="6">
        <f t="shared" si="499"/>
        <v>0</v>
      </c>
      <c r="DE654" s="6">
        <f t="shared" si="499"/>
        <v>0</v>
      </c>
      <c r="DF654" s="6">
        <f t="shared" si="499"/>
        <v>0</v>
      </c>
      <c r="DG654" s="6">
        <f t="shared" si="499"/>
        <v>0</v>
      </c>
      <c r="DH654" s="6">
        <f t="shared" si="499"/>
        <v>0</v>
      </c>
      <c r="DI654" s="6">
        <f t="shared" si="499"/>
        <v>0</v>
      </c>
      <c r="DJ654" s="6">
        <f t="shared" si="499"/>
        <v>0</v>
      </c>
      <c r="DK654" s="6">
        <f t="shared" si="499"/>
        <v>0</v>
      </c>
      <c r="DL654" s="6">
        <f t="shared" si="499"/>
        <v>0</v>
      </c>
      <c r="DM654" s="6">
        <f t="shared" si="499"/>
        <v>0</v>
      </c>
      <c r="DN654" s="6">
        <f t="shared" si="499"/>
        <v>0</v>
      </c>
      <c r="DO654" s="6">
        <f t="shared" si="499"/>
        <v>0</v>
      </c>
      <c r="DP654" s="6">
        <f t="shared" si="499"/>
        <v>0</v>
      </c>
      <c r="DQ654" s="6">
        <f t="shared" si="499"/>
        <v>0</v>
      </c>
      <c r="DR654" s="6">
        <f t="shared" si="499"/>
        <v>0</v>
      </c>
      <c r="DS654" s="6">
        <f t="shared" si="499"/>
        <v>0</v>
      </c>
      <c r="DT654" s="6">
        <f t="shared" si="499"/>
        <v>0</v>
      </c>
      <c r="DU654" s="6">
        <f t="shared" si="499"/>
        <v>0</v>
      </c>
      <c r="DV654" s="6">
        <f t="shared" si="499"/>
        <v>0</v>
      </c>
      <c r="DW654" s="6">
        <f t="shared" si="499"/>
        <v>0</v>
      </c>
      <c r="DX654" s="6">
        <f t="shared" si="499"/>
        <v>0</v>
      </c>
      <c r="DY654" s="6">
        <f t="shared" ref="DY654:DZ654" si="500">SUM(DY4:DY16)+DY19+DY21+DY23+SUM(DY26:DY27)+SUM(DY33:DY42)+SUM(DY44:DY47)+SUM(DY49:DY51)+DY67+SUM(DY267:DY277)+SUM(DY310:DY341)+DY387+DY418+SUM(DY476:DY477)+SUM(DY490:DY491)</f>
        <v>448</v>
      </c>
      <c r="DZ654" s="6">
        <f t="shared" si="500"/>
        <v>427</v>
      </c>
      <c r="EA654" s="6">
        <f t="shared" si="499"/>
        <v>0</v>
      </c>
      <c r="EB654" s="6">
        <f t="shared" si="499"/>
        <v>0</v>
      </c>
      <c r="EC654" s="6">
        <f t="shared" si="499"/>
        <v>0</v>
      </c>
      <c r="ED654" s="6">
        <f t="shared" si="499"/>
        <v>0</v>
      </c>
      <c r="EE654" s="6">
        <f t="shared" si="499"/>
        <v>0</v>
      </c>
      <c r="EF654" s="6">
        <f t="shared" si="499"/>
        <v>0</v>
      </c>
      <c r="EG654" s="6">
        <f t="shared" si="499"/>
        <v>0</v>
      </c>
      <c r="EH654" s="6">
        <f t="shared" si="499"/>
        <v>0</v>
      </c>
      <c r="EI654" s="6">
        <f t="shared" si="499"/>
        <v>0</v>
      </c>
      <c r="EJ654" s="6">
        <f t="shared" si="499"/>
        <v>0</v>
      </c>
      <c r="EK654" s="6">
        <f t="shared" si="499"/>
        <v>0</v>
      </c>
      <c r="EL654" s="6">
        <f t="shared" si="499"/>
        <v>0</v>
      </c>
      <c r="EM654" s="6">
        <f t="shared" si="499"/>
        <v>1423</v>
      </c>
      <c r="EN654" s="6">
        <f t="shared" ref="EN654:GR654" si="501">SUM(EN4:EN16)+EN19+EN21+EN23+SUM(EN26:EN27)+SUM(EN33:EN42)+SUM(EN44:EN47)+SUM(EN49:EN51)+EN67+SUM(EN267:EN277)+SUM(EN310:EN341)+EN387+EN418+SUM(EN476:EN477)+SUM(EN490:EN491)</f>
        <v>581</v>
      </c>
      <c r="EO654" s="6">
        <f t="shared" si="501"/>
        <v>860</v>
      </c>
      <c r="EP654" s="6">
        <f t="shared" si="501"/>
        <v>1163</v>
      </c>
      <c r="EQ654" s="6">
        <f t="shared" si="501"/>
        <v>0</v>
      </c>
      <c r="ER654" s="6">
        <f t="shared" si="501"/>
        <v>0</v>
      </c>
      <c r="ES654" s="6">
        <f t="shared" si="501"/>
        <v>0</v>
      </c>
      <c r="ET654" s="6">
        <f t="shared" si="501"/>
        <v>0</v>
      </c>
      <c r="EU654" s="6">
        <f t="shared" si="501"/>
        <v>0</v>
      </c>
      <c r="EV654" s="6">
        <f t="shared" si="501"/>
        <v>0</v>
      </c>
      <c r="EW654" s="6">
        <f t="shared" si="501"/>
        <v>17117</v>
      </c>
      <c r="EX654" s="6">
        <f t="shared" si="501"/>
        <v>8669</v>
      </c>
      <c r="EY654" s="6">
        <f t="shared" si="501"/>
        <v>14343</v>
      </c>
      <c r="EZ654" s="6">
        <f t="shared" si="501"/>
        <v>9081</v>
      </c>
      <c r="FA654" s="6">
        <f t="shared" si="501"/>
        <v>0</v>
      </c>
      <c r="FB654" s="6">
        <f t="shared" si="501"/>
        <v>0</v>
      </c>
      <c r="FC654" s="6">
        <f t="shared" si="501"/>
        <v>0</v>
      </c>
      <c r="FD654" s="6">
        <f t="shared" si="501"/>
        <v>0</v>
      </c>
      <c r="FE654" s="6">
        <f t="shared" si="501"/>
        <v>0</v>
      </c>
      <c r="FF654" s="6">
        <f t="shared" si="501"/>
        <v>0</v>
      </c>
      <c r="FG654" s="6">
        <f t="shared" si="501"/>
        <v>0</v>
      </c>
      <c r="FH654" s="6">
        <f t="shared" si="501"/>
        <v>0</v>
      </c>
      <c r="FI654" s="6">
        <f t="shared" si="501"/>
        <v>0</v>
      </c>
      <c r="FJ654" s="6">
        <f t="shared" si="501"/>
        <v>0</v>
      </c>
      <c r="FK654" s="6">
        <f t="shared" si="501"/>
        <v>0</v>
      </c>
      <c r="FL654" s="6">
        <f t="shared" si="501"/>
        <v>0</v>
      </c>
      <c r="FM654" s="6">
        <f t="shared" si="501"/>
        <v>0</v>
      </c>
      <c r="FN654" s="6">
        <f t="shared" si="501"/>
        <v>0</v>
      </c>
      <c r="FO654" s="6">
        <f t="shared" si="501"/>
        <v>0</v>
      </c>
      <c r="FP654" s="6">
        <f t="shared" si="501"/>
        <v>0</v>
      </c>
      <c r="FQ654" s="6">
        <f t="shared" si="501"/>
        <v>0</v>
      </c>
      <c r="FR654" s="6">
        <f t="shared" si="501"/>
        <v>0</v>
      </c>
      <c r="FS654" s="6">
        <f t="shared" si="501"/>
        <v>0</v>
      </c>
      <c r="FT654" s="6">
        <f t="shared" si="501"/>
        <v>0</v>
      </c>
      <c r="FU654" s="6">
        <f t="shared" si="501"/>
        <v>0</v>
      </c>
      <c r="FV654" s="6">
        <f t="shared" si="501"/>
        <v>0</v>
      </c>
      <c r="FW654" s="6">
        <f t="shared" si="501"/>
        <v>0</v>
      </c>
      <c r="FX654" s="6">
        <f t="shared" si="501"/>
        <v>0</v>
      </c>
      <c r="FY654" s="6">
        <f t="shared" si="501"/>
        <v>15250</v>
      </c>
      <c r="FZ654" s="6">
        <f t="shared" si="501"/>
        <v>13260</v>
      </c>
      <c r="GA654" s="6">
        <f t="shared" si="501"/>
        <v>0</v>
      </c>
      <c r="GB654" s="6">
        <f t="shared" si="501"/>
        <v>0</v>
      </c>
      <c r="GC654" s="6">
        <f t="shared" si="501"/>
        <v>0</v>
      </c>
      <c r="GD654" s="6">
        <f t="shared" si="501"/>
        <v>0</v>
      </c>
      <c r="GE654" s="6">
        <f t="shared" si="501"/>
        <v>4432</v>
      </c>
      <c r="GF654" s="6">
        <f t="shared" si="501"/>
        <v>3125</v>
      </c>
      <c r="GG654" s="6">
        <f t="shared" si="501"/>
        <v>0</v>
      </c>
      <c r="GH654" s="6">
        <f t="shared" si="501"/>
        <v>0</v>
      </c>
      <c r="GI654" s="6">
        <f t="shared" si="501"/>
        <v>0</v>
      </c>
      <c r="GJ654" s="6">
        <f t="shared" si="501"/>
        <v>0</v>
      </c>
      <c r="GK654" s="6">
        <f t="shared" si="501"/>
        <v>0</v>
      </c>
      <c r="GL654" s="6">
        <f t="shared" si="501"/>
        <v>0</v>
      </c>
      <c r="GM654" s="6">
        <f t="shared" si="501"/>
        <v>15849</v>
      </c>
      <c r="GN654" s="6">
        <f t="shared" si="501"/>
        <v>10159</v>
      </c>
      <c r="GO654" s="6">
        <f t="shared" si="501"/>
        <v>47017</v>
      </c>
      <c r="GP654" s="6">
        <f t="shared" si="501"/>
        <v>20057</v>
      </c>
      <c r="GQ654" s="6">
        <f t="shared" si="501"/>
        <v>48315</v>
      </c>
      <c r="GR654" s="6">
        <f t="shared" si="501"/>
        <v>18639</v>
      </c>
    </row>
    <row r="655" spans="1:200">
      <c r="A655" s="6"/>
      <c r="B655" s="12" t="s">
        <v>711</v>
      </c>
      <c r="C655" s="14">
        <f>SUM(C189:C198)+SUM(C203:C206)+SUM(C226:C255)+SUM(C278:C300)+C381+SUM(C388:C392)+SUM(C415:C417)+SUM(C419:C420)+SUM(C527:C554)</f>
        <v>93165</v>
      </c>
      <c r="D655" s="14">
        <f>SUM(D189:D198)+SUM(D203:D206)+SUM(D226:D255)+SUM(D278:D300)+D381+SUM(D388:D392)+SUM(D415:D417)+SUM(D419:D420)+SUM(D527:D554)</f>
        <v>72890</v>
      </c>
      <c r="E655" s="15">
        <f t="shared" si="351"/>
        <v>0.78237535555197768</v>
      </c>
      <c r="F655" s="66">
        <f>SUM(F189:F198)+SUM(F203:F206)+SUM(F226:F255)+SUM(F278:F300)+F381+SUM(F388:F392)+SUM(F415:F417)+SUM(F419:F420)+SUM(F527:F554)</f>
        <v>30604</v>
      </c>
      <c r="G655" s="6">
        <f>SUM(G189:G198)+SUM(G203:G206)+SUM(G226:G255)+SUM(G278:G300)+G381+SUM(G388:G392)+SUM(G415:G417)+SUM(G419:G420)+SUM(G527:G554)</f>
        <v>222</v>
      </c>
      <c r="H655" s="6">
        <f>SUM(H189:H198)+SUM(H203:H206)+SUM(H226:H255)+SUM(H278:H300)+H381+SUM(H388:H392)+SUM(H415:H417)+SUM(H419:H420)+SUM(H527:H554)</f>
        <v>2725</v>
      </c>
      <c r="I655" s="6">
        <f>SUM(I189:I198)+SUM(I203:I206)+SUM(I226:I255)+SUM(I278:I300)+I381+SUM(I388:I392)+SUM(I415:I417)+SUM(I419:I420)+SUM(I527:I554)</f>
        <v>538</v>
      </c>
      <c r="J655" s="59">
        <f>SUM(J189:J198)+SUM(J203:J206)+SUM(J226:J255)+SUM(J278:J300)+J381+SUM(J388:J392)+SUM(J415:J417)+SUM(J419:J420)+SUM(J527:J554)</f>
        <v>36605</v>
      </c>
      <c r="K655" s="6">
        <f t="shared" ref="K655" si="502">SUM(K189:K198)+SUM(K203:K206)+SUM(K226:K255)+SUM(K278:K300)+K381+SUM(K388:K392)+SUM(K415:K417)+SUM(K419:K420)+SUM(K527:K554)</f>
        <v>0</v>
      </c>
      <c r="L655" s="6">
        <f t="shared" ref="L655:AB655" si="503">SUM(L189:L198)+SUM(L203:L206)+SUM(L226:L255)+SUM(L278:L300)+L381+SUM(L388:L392)+SUM(L415:L417)+SUM(L419:L420)+SUM(L527:L554)</f>
        <v>0</v>
      </c>
      <c r="M655" s="6">
        <f t="shared" si="503"/>
        <v>30</v>
      </c>
      <c r="N655" s="6">
        <f t="shared" si="503"/>
        <v>0</v>
      </c>
      <c r="O655" s="6">
        <f t="shared" si="503"/>
        <v>1</v>
      </c>
      <c r="P655" s="6">
        <f t="shared" si="503"/>
        <v>1</v>
      </c>
      <c r="Q655" s="6">
        <f t="shared" si="503"/>
        <v>0</v>
      </c>
      <c r="R655" s="6">
        <f t="shared" si="503"/>
        <v>1</v>
      </c>
      <c r="S655" s="6">
        <f t="shared" si="503"/>
        <v>0</v>
      </c>
      <c r="T655" s="6">
        <f t="shared" si="503"/>
        <v>1</v>
      </c>
      <c r="U655" s="6">
        <f t="shared" si="503"/>
        <v>0</v>
      </c>
      <c r="V655" s="6">
        <f t="shared" si="503"/>
        <v>13</v>
      </c>
      <c r="W655" s="6">
        <f t="shared" si="503"/>
        <v>351</v>
      </c>
      <c r="X655" s="6">
        <f t="shared" si="503"/>
        <v>0</v>
      </c>
      <c r="Y655" s="6">
        <f t="shared" si="503"/>
        <v>1</v>
      </c>
      <c r="Z655" s="6">
        <f t="shared" si="503"/>
        <v>1</v>
      </c>
      <c r="AA655" s="6">
        <f t="shared" si="503"/>
        <v>0</v>
      </c>
      <c r="AB655" s="6">
        <f t="shared" si="503"/>
        <v>0</v>
      </c>
      <c r="AC655" s="6">
        <f t="shared" ref="AC655:BZ655" si="504">SUM(AC189:AC198)+SUM(AC203:AC206)+SUM(AC226:AC255)+SUM(AC278:AC300)+AC381+SUM(AC388:AC392)+SUM(AC415:AC417)+SUM(AC419:AC420)+SUM(AC527:AC554)</f>
        <v>699</v>
      </c>
      <c r="AD655" s="6">
        <f t="shared" si="504"/>
        <v>950</v>
      </c>
      <c r="AE655" s="6">
        <f t="shared" si="504"/>
        <v>46870</v>
      </c>
      <c r="AF655" s="6">
        <f t="shared" si="504"/>
        <v>668</v>
      </c>
      <c r="AG655" s="6">
        <f t="shared" si="504"/>
        <v>1</v>
      </c>
      <c r="AH655" s="6">
        <f t="shared" si="504"/>
        <v>21506</v>
      </c>
      <c r="AI655" s="6">
        <f t="shared" si="504"/>
        <v>22487</v>
      </c>
      <c r="AJ655" s="6">
        <f t="shared" si="504"/>
        <v>8</v>
      </c>
      <c r="AK655" s="6">
        <f t="shared" si="504"/>
        <v>0</v>
      </c>
      <c r="AL655" s="6">
        <f t="shared" si="504"/>
        <v>13454</v>
      </c>
      <c r="AM655" s="6">
        <f t="shared" si="504"/>
        <v>804</v>
      </c>
      <c r="AN655" s="6">
        <f t="shared" si="504"/>
        <v>10344</v>
      </c>
      <c r="AO655" s="6">
        <f t="shared" si="504"/>
        <v>22044</v>
      </c>
      <c r="AP655" s="6">
        <f t="shared" si="504"/>
        <v>19711</v>
      </c>
      <c r="AQ655" s="6">
        <f t="shared" si="504"/>
        <v>29060</v>
      </c>
      <c r="AR655" s="6">
        <f t="shared" si="504"/>
        <v>12125</v>
      </c>
      <c r="AS655" s="6">
        <f t="shared" si="504"/>
        <v>5556</v>
      </c>
      <c r="AT655" s="6">
        <f t="shared" si="504"/>
        <v>32032</v>
      </c>
      <c r="AU655" s="6">
        <f t="shared" si="504"/>
        <v>18016</v>
      </c>
      <c r="AV655" s="6">
        <f t="shared" si="504"/>
        <v>0</v>
      </c>
      <c r="AW655" s="6">
        <f t="shared" si="504"/>
        <v>0</v>
      </c>
      <c r="AX655" s="6">
        <f t="shared" si="504"/>
        <v>0</v>
      </c>
      <c r="AY655" s="6">
        <f t="shared" si="504"/>
        <v>118</v>
      </c>
      <c r="AZ655" s="6">
        <f t="shared" si="504"/>
        <v>56</v>
      </c>
      <c r="BA655" s="6">
        <f t="shared" si="504"/>
        <v>0</v>
      </c>
      <c r="BB655" s="6">
        <f t="shared" si="504"/>
        <v>0</v>
      </c>
      <c r="BC655" s="6">
        <f t="shared" si="504"/>
        <v>8</v>
      </c>
      <c r="BD655" s="6">
        <f t="shared" si="504"/>
        <v>87</v>
      </c>
      <c r="BE655" s="6">
        <f t="shared" si="504"/>
        <v>35775</v>
      </c>
      <c r="BF655" s="6">
        <f t="shared" si="504"/>
        <v>31883</v>
      </c>
      <c r="BG655" s="6">
        <f t="shared" si="504"/>
        <v>42107</v>
      </c>
      <c r="BH655" s="6">
        <f t="shared" si="504"/>
        <v>26118</v>
      </c>
      <c r="BI655" s="6">
        <f t="shared" si="504"/>
        <v>45170</v>
      </c>
      <c r="BJ655" s="6">
        <f t="shared" si="504"/>
        <v>22281</v>
      </c>
      <c r="BK655" s="6">
        <f t="shared" si="504"/>
        <v>28898</v>
      </c>
      <c r="BL655" s="6">
        <f t="shared" si="504"/>
        <v>38633</v>
      </c>
      <c r="BM655" s="6">
        <f t="shared" si="504"/>
        <v>34687</v>
      </c>
      <c r="BN655" s="6">
        <f t="shared" si="504"/>
        <v>32070</v>
      </c>
      <c r="BO655" s="6">
        <f t="shared" si="504"/>
        <v>25196</v>
      </c>
      <c r="BP655" s="6">
        <f t="shared" si="504"/>
        <v>40760</v>
      </c>
      <c r="BQ655" s="6">
        <f t="shared" si="504"/>
        <v>45179</v>
      </c>
      <c r="BR655" s="6">
        <f t="shared" si="504"/>
        <v>21394</v>
      </c>
      <c r="BS655" s="6">
        <f t="shared" si="504"/>
        <v>48595</v>
      </c>
      <c r="BT655" s="6">
        <f t="shared" si="504"/>
        <v>30932</v>
      </c>
      <c r="BU655" s="6">
        <f t="shared" si="504"/>
        <v>34842</v>
      </c>
      <c r="BV655" s="6">
        <f t="shared" si="504"/>
        <v>47245</v>
      </c>
      <c r="BW655" s="6">
        <f t="shared" si="504"/>
        <v>33438</v>
      </c>
      <c r="BX655" s="6">
        <f t="shared" si="504"/>
        <v>21542</v>
      </c>
      <c r="BY655" s="6">
        <f t="shared" si="504"/>
        <v>38156</v>
      </c>
      <c r="BZ655" s="6">
        <f t="shared" si="504"/>
        <v>21497</v>
      </c>
      <c r="CA655" s="6">
        <f t="shared" ref="CA655:CP655" si="505">SUM(CA189:CA198)+SUM(CA203:CA206)+SUM(CA226:CA255)+SUM(CA278:CA300)+CA381+SUM(CA388:CA392)+SUM(CA415:CA417)+SUM(CA419:CA420)+SUM(CA527:CA554)</f>
        <v>43257</v>
      </c>
      <c r="CB655" s="6">
        <f t="shared" si="505"/>
        <v>31362</v>
      </c>
      <c r="CC655" s="6">
        <f t="shared" si="505"/>
        <v>22249</v>
      </c>
      <c r="CD655" s="6">
        <f t="shared" si="505"/>
        <v>40453</v>
      </c>
      <c r="CE655" s="6">
        <f t="shared" si="505"/>
        <v>22689</v>
      </c>
      <c r="CF655" s="6">
        <f t="shared" si="505"/>
        <v>32496</v>
      </c>
      <c r="CG655" s="6">
        <f t="shared" si="505"/>
        <v>33176</v>
      </c>
      <c r="CH655" s="6">
        <f t="shared" si="505"/>
        <v>19023</v>
      </c>
      <c r="CI655" s="6">
        <f t="shared" si="505"/>
        <v>14033</v>
      </c>
      <c r="CJ655" s="6">
        <f t="shared" si="505"/>
        <v>39438</v>
      </c>
      <c r="CK655" s="6">
        <f t="shared" si="505"/>
        <v>32408</v>
      </c>
      <c r="CL655" s="6">
        <f t="shared" si="505"/>
        <v>20409</v>
      </c>
      <c r="CM655" s="6">
        <f t="shared" si="505"/>
        <v>40904</v>
      </c>
      <c r="CN655" s="6">
        <f t="shared" si="505"/>
        <v>41297</v>
      </c>
      <c r="CO655" s="6">
        <f t="shared" si="505"/>
        <v>18493</v>
      </c>
      <c r="CP655" s="6">
        <f t="shared" si="505"/>
        <v>34731</v>
      </c>
      <c r="CQ655" s="6">
        <f t="shared" ref="CQ655:EM655" si="506">SUM(CQ189:CQ198)+SUM(CQ203:CQ206)+SUM(CQ226:CQ255)+SUM(CQ278:CQ300)+CQ381+SUM(CQ388:CQ392)+SUM(CQ415:CQ417)+SUM(CQ419:CQ420)+SUM(CQ527:CQ554)</f>
        <v>4032</v>
      </c>
      <c r="CR655" s="6">
        <f t="shared" si="506"/>
        <v>1834</v>
      </c>
      <c r="CS655" s="6">
        <f t="shared" si="506"/>
        <v>0</v>
      </c>
      <c r="CT655" s="6">
        <f t="shared" si="506"/>
        <v>0</v>
      </c>
      <c r="CU655" s="6">
        <f t="shared" si="506"/>
        <v>1764</v>
      </c>
      <c r="CV655" s="6">
        <f t="shared" si="506"/>
        <v>1053</v>
      </c>
      <c r="CW655" s="6">
        <f t="shared" si="506"/>
        <v>0</v>
      </c>
      <c r="CX655" s="6">
        <f t="shared" si="506"/>
        <v>0</v>
      </c>
      <c r="CY655" s="6">
        <f t="shared" si="506"/>
        <v>0</v>
      </c>
      <c r="CZ655" s="6">
        <f t="shared" si="506"/>
        <v>0</v>
      </c>
      <c r="DA655" s="6">
        <f t="shared" si="506"/>
        <v>0</v>
      </c>
      <c r="DB655" s="6">
        <f t="shared" si="506"/>
        <v>0</v>
      </c>
      <c r="DC655" s="6">
        <f t="shared" si="506"/>
        <v>2620</v>
      </c>
      <c r="DD655" s="6">
        <f t="shared" si="506"/>
        <v>1309</v>
      </c>
      <c r="DE655" s="6">
        <f t="shared" si="506"/>
        <v>0</v>
      </c>
      <c r="DF655" s="6">
        <f t="shared" si="506"/>
        <v>0</v>
      </c>
      <c r="DG655" s="6">
        <f t="shared" si="506"/>
        <v>0</v>
      </c>
      <c r="DH655" s="6">
        <f t="shared" si="506"/>
        <v>0</v>
      </c>
      <c r="DI655" s="6">
        <f t="shared" si="506"/>
        <v>0</v>
      </c>
      <c r="DJ655" s="6">
        <f t="shared" si="506"/>
        <v>0</v>
      </c>
      <c r="DK655" s="6">
        <f t="shared" si="506"/>
        <v>0</v>
      </c>
      <c r="DL655" s="6">
        <f t="shared" si="506"/>
        <v>0</v>
      </c>
      <c r="DM655" s="6">
        <f t="shared" si="506"/>
        <v>1136</v>
      </c>
      <c r="DN655" s="6">
        <f t="shared" si="506"/>
        <v>612</v>
      </c>
      <c r="DO655" s="6">
        <f t="shared" si="506"/>
        <v>1596</v>
      </c>
      <c r="DP655" s="6">
        <f t="shared" si="506"/>
        <v>192</v>
      </c>
      <c r="DQ655" s="6">
        <f t="shared" si="506"/>
        <v>1407</v>
      </c>
      <c r="DR655" s="6">
        <f t="shared" si="506"/>
        <v>329</v>
      </c>
      <c r="DS655" s="6">
        <f t="shared" si="506"/>
        <v>1409</v>
      </c>
      <c r="DT655" s="6">
        <f t="shared" si="506"/>
        <v>324</v>
      </c>
      <c r="DU655" s="6">
        <f t="shared" si="506"/>
        <v>1398</v>
      </c>
      <c r="DV655" s="6">
        <f t="shared" si="506"/>
        <v>300</v>
      </c>
      <c r="DW655" s="6">
        <f t="shared" si="506"/>
        <v>947</v>
      </c>
      <c r="DX655" s="6">
        <f t="shared" si="506"/>
        <v>791</v>
      </c>
      <c r="DY655" s="6">
        <f t="shared" ref="DY655:DZ655" si="507">SUM(DY189:DY198)+SUM(DY203:DY206)+SUM(DY226:DY255)+SUM(DY278:DY300)+DY381+SUM(DY388:DY392)+SUM(DY415:DY417)+SUM(DY419:DY420)+SUM(DY527:DY554)</f>
        <v>0</v>
      </c>
      <c r="DZ655" s="6">
        <f t="shared" si="507"/>
        <v>0</v>
      </c>
      <c r="EA655" s="6">
        <f t="shared" si="506"/>
        <v>1090</v>
      </c>
      <c r="EB655" s="6">
        <f t="shared" si="506"/>
        <v>461</v>
      </c>
      <c r="EC655" s="6">
        <f t="shared" si="506"/>
        <v>0</v>
      </c>
      <c r="ED655" s="6">
        <f t="shared" si="506"/>
        <v>0</v>
      </c>
      <c r="EE655" s="6">
        <f t="shared" si="506"/>
        <v>0</v>
      </c>
      <c r="EF655" s="6">
        <f t="shared" si="506"/>
        <v>0</v>
      </c>
      <c r="EG655" s="6">
        <f t="shared" si="506"/>
        <v>0</v>
      </c>
      <c r="EH655" s="6">
        <f t="shared" si="506"/>
        <v>0</v>
      </c>
      <c r="EI655" s="6">
        <f t="shared" si="506"/>
        <v>0</v>
      </c>
      <c r="EJ655" s="6">
        <f t="shared" si="506"/>
        <v>0</v>
      </c>
      <c r="EK655" s="6">
        <f t="shared" si="506"/>
        <v>0</v>
      </c>
      <c r="EL655" s="6">
        <f t="shared" si="506"/>
        <v>0</v>
      </c>
      <c r="EM655" s="6">
        <f t="shared" si="506"/>
        <v>0</v>
      </c>
      <c r="EN655" s="6">
        <f t="shared" ref="EN655:GR655" si="508">SUM(EN189:EN198)+SUM(EN203:EN206)+SUM(EN226:EN255)+SUM(EN278:EN300)+EN381+SUM(EN388:EN392)+SUM(EN415:EN417)+SUM(EN419:EN420)+SUM(EN527:EN554)</f>
        <v>0</v>
      </c>
      <c r="EO655" s="6">
        <f t="shared" si="508"/>
        <v>0</v>
      </c>
      <c r="EP655" s="6">
        <f t="shared" si="508"/>
        <v>0</v>
      </c>
      <c r="EQ655" s="6">
        <f t="shared" si="508"/>
        <v>0</v>
      </c>
      <c r="ER655" s="6">
        <f t="shared" si="508"/>
        <v>0</v>
      </c>
      <c r="ES655" s="6">
        <f t="shared" si="508"/>
        <v>1124</v>
      </c>
      <c r="ET655" s="6">
        <f t="shared" si="508"/>
        <v>297</v>
      </c>
      <c r="EU655" s="6">
        <f t="shared" si="508"/>
        <v>0</v>
      </c>
      <c r="EV655" s="6">
        <f t="shared" si="508"/>
        <v>0</v>
      </c>
      <c r="EW655" s="6">
        <f t="shared" si="508"/>
        <v>0</v>
      </c>
      <c r="EX655" s="6">
        <f t="shared" si="508"/>
        <v>0</v>
      </c>
      <c r="EY655" s="6">
        <f t="shared" si="508"/>
        <v>0</v>
      </c>
      <c r="EZ655" s="6">
        <f t="shared" si="508"/>
        <v>0</v>
      </c>
      <c r="FA655" s="6">
        <f t="shared" si="508"/>
        <v>0</v>
      </c>
      <c r="FB655" s="6">
        <f t="shared" si="508"/>
        <v>0</v>
      </c>
      <c r="FC655" s="6">
        <f t="shared" si="508"/>
        <v>0</v>
      </c>
      <c r="FD655" s="6">
        <f t="shared" si="508"/>
        <v>0</v>
      </c>
      <c r="FE655" s="6">
        <f t="shared" si="508"/>
        <v>0</v>
      </c>
      <c r="FF655" s="6">
        <f t="shared" si="508"/>
        <v>0</v>
      </c>
      <c r="FG655" s="6">
        <f t="shared" si="508"/>
        <v>0</v>
      </c>
      <c r="FH655" s="6">
        <f t="shared" si="508"/>
        <v>0</v>
      </c>
      <c r="FI655" s="6">
        <f t="shared" si="508"/>
        <v>0</v>
      </c>
      <c r="FJ655" s="6">
        <f t="shared" si="508"/>
        <v>0</v>
      </c>
      <c r="FK655" s="6">
        <f t="shared" si="508"/>
        <v>0</v>
      </c>
      <c r="FL655" s="6">
        <f t="shared" si="508"/>
        <v>0</v>
      </c>
      <c r="FM655" s="6">
        <f t="shared" si="508"/>
        <v>0</v>
      </c>
      <c r="FN655" s="6">
        <f t="shared" si="508"/>
        <v>0</v>
      </c>
      <c r="FO655" s="6">
        <f t="shared" si="508"/>
        <v>0</v>
      </c>
      <c r="FP655" s="6">
        <f t="shared" si="508"/>
        <v>0</v>
      </c>
      <c r="FQ655" s="6">
        <f t="shared" si="508"/>
        <v>0</v>
      </c>
      <c r="FR655" s="6">
        <f t="shared" si="508"/>
        <v>0</v>
      </c>
      <c r="FS655" s="6">
        <f t="shared" si="508"/>
        <v>0</v>
      </c>
      <c r="FT655" s="6">
        <f t="shared" si="508"/>
        <v>0</v>
      </c>
      <c r="FU655" s="6">
        <f t="shared" si="508"/>
        <v>0</v>
      </c>
      <c r="FV655" s="6">
        <f t="shared" si="508"/>
        <v>0</v>
      </c>
      <c r="FW655" s="6">
        <f t="shared" si="508"/>
        <v>0</v>
      </c>
      <c r="FX655" s="6">
        <f t="shared" si="508"/>
        <v>0</v>
      </c>
      <c r="FY655" s="6">
        <f t="shared" si="508"/>
        <v>281</v>
      </c>
      <c r="FZ655" s="6">
        <f t="shared" si="508"/>
        <v>262</v>
      </c>
      <c r="GA655" s="6">
        <f t="shared" si="508"/>
        <v>3591</v>
      </c>
      <c r="GB655" s="6">
        <f t="shared" si="508"/>
        <v>2332</v>
      </c>
      <c r="GC655" s="6">
        <f t="shared" si="508"/>
        <v>3388</v>
      </c>
      <c r="GD655" s="6">
        <f t="shared" si="508"/>
        <v>2171</v>
      </c>
      <c r="GE655" s="6">
        <f t="shared" si="508"/>
        <v>0</v>
      </c>
      <c r="GF655" s="6">
        <f t="shared" si="508"/>
        <v>0</v>
      </c>
      <c r="GG655" s="6">
        <f t="shared" si="508"/>
        <v>0</v>
      </c>
      <c r="GH655" s="6">
        <f t="shared" si="508"/>
        <v>0</v>
      </c>
      <c r="GI655" s="6">
        <f t="shared" si="508"/>
        <v>11786</v>
      </c>
      <c r="GJ655" s="6">
        <f t="shared" si="508"/>
        <v>7584</v>
      </c>
      <c r="GK655" s="6">
        <f t="shared" si="508"/>
        <v>0</v>
      </c>
      <c r="GL655" s="6">
        <f t="shared" si="508"/>
        <v>0</v>
      </c>
      <c r="GM655" s="6">
        <f t="shared" si="508"/>
        <v>0</v>
      </c>
      <c r="GN655" s="6">
        <f t="shared" si="508"/>
        <v>0</v>
      </c>
      <c r="GO655" s="6">
        <f t="shared" si="508"/>
        <v>50185</v>
      </c>
      <c r="GP655" s="6">
        <f t="shared" si="508"/>
        <v>19190</v>
      </c>
      <c r="GQ655" s="6">
        <f t="shared" si="508"/>
        <v>50152</v>
      </c>
      <c r="GR655" s="6">
        <f t="shared" si="508"/>
        <v>18895</v>
      </c>
    </row>
    <row r="656" spans="1:200">
      <c r="A656" s="6"/>
      <c r="B656" s="12" t="s">
        <v>98</v>
      </c>
      <c r="C656" s="14">
        <f>SUM(C199:C202)+SUM(C343:C380)+SUM(C423:C465)+C502+C518</f>
        <v>90750</v>
      </c>
      <c r="D656" s="14">
        <f>SUM(D199:D202)+SUM(D343:D380)+SUM(D423:D465)+D502+D518</f>
        <v>71149</v>
      </c>
      <c r="E656" s="15">
        <f t="shared" si="351"/>
        <v>0.7840110192837465</v>
      </c>
      <c r="F656" s="66">
        <f>SUM(F199:F202)+SUM(F343:F380)+SUM(F423:F465)+F502+F518</f>
        <v>22686</v>
      </c>
      <c r="G656" s="6">
        <f>SUM(G199:G202)+SUM(G343:G380)+SUM(G423:G465)+G502+G518</f>
        <v>237</v>
      </c>
      <c r="H656" s="6">
        <f>SUM(H199:H202)+SUM(H343:H380)+SUM(H423:H465)+H502+H518</f>
        <v>2303</v>
      </c>
      <c r="I656" s="6">
        <f>SUM(I199:I202)+SUM(I343:I380)+SUM(I423:I465)+I502+I518</f>
        <v>526</v>
      </c>
      <c r="J656" s="59">
        <f>SUM(J199:J202)+SUM(J343:J380)+SUM(J423:J465)+J502+J518</f>
        <v>43849</v>
      </c>
      <c r="K656" s="6">
        <f t="shared" ref="K656" si="509">SUM(K199:K202)+SUM(K343:K380)+SUM(K423:K465)+K502+K518</f>
        <v>0</v>
      </c>
      <c r="L656" s="6">
        <f t="shared" ref="L656:AB656" si="510">SUM(L199:L202)+SUM(L343:L380)+SUM(L423:L465)+L502+L518</f>
        <v>0</v>
      </c>
      <c r="M656" s="6">
        <f t="shared" si="510"/>
        <v>12</v>
      </c>
      <c r="N656" s="6">
        <f t="shared" si="510"/>
        <v>0</v>
      </c>
      <c r="O656" s="6">
        <f t="shared" si="510"/>
        <v>1</v>
      </c>
      <c r="P656" s="6">
        <f t="shared" si="510"/>
        <v>1</v>
      </c>
      <c r="Q656" s="6">
        <f t="shared" si="510"/>
        <v>0</v>
      </c>
      <c r="R656" s="6">
        <f t="shared" si="510"/>
        <v>0</v>
      </c>
      <c r="S656" s="6">
        <f t="shared" si="510"/>
        <v>0</v>
      </c>
      <c r="T656" s="6">
        <f t="shared" si="510"/>
        <v>1</v>
      </c>
      <c r="U656" s="6">
        <f t="shared" si="510"/>
        <v>0</v>
      </c>
      <c r="V656" s="6">
        <f t="shared" si="510"/>
        <v>8</v>
      </c>
      <c r="W656" s="6">
        <f t="shared" si="510"/>
        <v>197</v>
      </c>
      <c r="X656" s="6">
        <f t="shared" si="510"/>
        <v>0</v>
      </c>
      <c r="Y656" s="6">
        <f t="shared" si="510"/>
        <v>2</v>
      </c>
      <c r="Z656" s="6">
        <f t="shared" si="510"/>
        <v>0</v>
      </c>
      <c r="AA656" s="6">
        <f t="shared" si="510"/>
        <v>1</v>
      </c>
      <c r="AB656" s="6">
        <f t="shared" si="510"/>
        <v>1</v>
      </c>
      <c r="AC656" s="6">
        <f t="shared" ref="AC656:BZ656" si="511">SUM(AC199:AC202)+SUM(AC343:AC380)+SUM(AC423:AC465)+AC502+AC518</f>
        <v>830</v>
      </c>
      <c r="AD656" s="6">
        <f t="shared" si="511"/>
        <v>973</v>
      </c>
      <c r="AE656" s="6">
        <f t="shared" si="511"/>
        <v>48600</v>
      </c>
      <c r="AF656" s="6">
        <f t="shared" si="511"/>
        <v>859</v>
      </c>
      <c r="AG656" s="6">
        <f t="shared" si="511"/>
        <v>0</v>
      </c>
      <c r="AH656" s="6">
        <f t="shared" si="511"/>
        <v>17402</v>
      </c>
      <c r="AI656" s="6">
        <f t="shared" si="511"/>
        <v>49040</v>
      </c>
      <c r="AJ656" s="6">
        <f t="shared" si="511"/>
        <v>12</v>
      </c>
      <c r="AK656" s="6">
        <f t="shared" si="511"/>
        <v>2</v>
      </c>
      <c r="AL656" s="6">
        <f t="shared" si="511"/>
        <v>19879</v>
      </c>
      <c r="AM656" s="6">
        <f t="shared" si="511"/>
        <v>0</v>
      </c>
      <c r="AN656" s="6">
        <f t="shared" si="511"/>
        <v>0</v>
      </c>
      <c r="AO656" s="6">
        <f t="shared" si="511"/>
        <v>0</v>
      </c>
      <c r="AP656" s="6">
        <f t="shared" si="511"/>
        <v>21196</v>
      </c>
      <c r="AQ656" s="6">
        <f t="shared" si="511"/>
        <v>44035</v>
      </c>
      <c r="AR656" s="6">
        <f t="shared" si="511"/>
        <v>0</v>
      </c>
      <c r="AS656" s="6">
        <f t="shared" si="511"/>
        <v>0</v>
      </c>
      <c r="AT656" s="6">
        <f t="shared" si="511"/>
        <v>674</v>
      </c>
      <c r="AU656" s="6">
        <f t="shared" si="511"/>
        <v>929</v>
      </c>
      <c r="AV656" s="6">
        <f t="shared" si="511"/>
        <v>19628</v>
      </c>
      <c r="AW656" s="6">
        <f t="shared" si="511"/>
        <v>8681</v>
      </c>
      <c r="AX656" s="6">
        <f t="shared" si="511"/>
        <v>27291</v>
      </c>
      <c r="AY656" s="6">
        <f t="shared" si="511"/>
        <v>0</v>
      </c>
      <c r="AZ656" s="6">
        <f t="shared" si="511"/>
        <v>0</v>
      </c>
      <c r="BA656" s="6">
        <f t="shared" si="511"/>
        <v>0</v>
      </c>
      <c r="BB656" s="6">
        <f t="shared" si="511"/>
        <v>0</v>
      </c>
      <c r="BC656" s="6">
        <f t="shared" si="511"/>
        <v>0</v>
      </c>
      <c r="BD656" s="6">
        <f t="shared" si="511"/>
        <v>0</v>
      </c>
      <c r="BE656" s="6">
        <f t="shared" si="511"/>
        <v>36236</v>
      </c>
      <c r="BF656" s="6">
        <f t="shared" si="511"/>
        <v>29872</v>
      </c>
      <c r="BG656" s="6">
        <f t="shared" si="511"/>
        <v>45007</v>
      </c>
      <c r="BH656" s="6">
        <f t="shared" si="511"/>
        <v>22128</v>
      </c>
      <c r="BI656" s="6">
        <f t="shared" si="511"/>
        <v>46748</v>
      </c>
      <c r="BJ656" s="6">
        <f t="shared" si="511"/>
        <v>19339</v>
      </c>
      <c r="BK656" s="6">
        <f t="shared" si="511"/>
        <v>23429</v>
      </c>
      <c r="BL656" s="6">
        <f t="shared" si="511"/>
        <v>43267</v>
      </c>
      <c r="BM656" s="6">
        <f t="shared" si="511"/>
        <v>32555</v>
      </c>
      <c r="BN656" s="6">
        <f t="shared" si="511"/>
        <v>34055</v>
      </c>
      <c r="BO656" s="6">
        <f t="shared" si="511"/>
        <v>20349</v>
      </c>
      <c r="BP656" s="6">
        <f t="shared" si="511"/>
        <v>44380</v>
      </c>
      <c r="BQ656" s="6">
        <f t="shared" si="511"/>
        <v>47396</v>
      </c>
      <c r="BR656" s="6">
        <f t="shared" si="511"/>
        <v>17936</v>
      </c>
      <c r="BS656" s="6">
        <f t="shared" si="511"/>
        <v>48900</v>
      </c>
      <c r="BT656" s="6">
        <f t="shared" si="511"/>
        <v>32107</v>
      </c>
      <c r="BU656" s="6">
        <f t="shared" si="511"/>
        <v>32058</v>
      </c>
      <c r="BV656" s="6">
        <f t="shared" si="511"/>
        <v>45872</v>
      </c>
      <c r="BW656" s="6">
        <f t="shared" si="511"/>
        <v>34212</v>
      </c>
      <c r="BX656" s="6">
        <f t="shared" si="511"/>
        <v>19804</v>
      </c>
      <c r="BY656" s="6">
        <f t="shared" si="511"/>
        <v>42205</v>
      </c>
      <c r="BZ656" s="6">
        <f t="shared" si="511"/>
        <v>16609</v>
      </c>
      <c r="CA656" s="6">
        <f t="shared" ref="CA656:CP656" si="512">SUM(CA199:CA202)+SUM(CA343:CA380)+SUM(CA423:CA465)+CA502+CA518</f>
        <v>42070</v>
      </c>
      <c r="CB656" s="6">
        <f t="shared" si="512"/>
        <v>33935</v>
      </c>
      <c r="CC656" s="6">
        <f t="shared" si="512"/>
        <v>18746</v>
      </c>
      <c r="CD656" s="6">
        <f t="shared" si="512"/>
        <v>39130</v>
      </c>
      <c r="CE656" s="6">
        <f t="shared" si="512"/>
        <v>17627</v>
      </c>
      <c r="CF656" s="6">
        <f t="shared" si="512"/>
        <v>37754</v>
      </c>
      <c r="CG656" s="6">
        <f t="shared" si="512"/>
        <v>33914</v>
      </c>
      <c r="CH656" s="6">
        <f t="shared" si="512"/>
        <v>16743</v>
      </c>
      <c r="CI656" s="6">
        <f t="shared" si="512"/>
        <v>11370</v>
      </c>
      <c r="CJ656" s="6">
        <f t="shared" si="512"/>
        <v>41642</v>
      </c>
      <c r="CK656" s="6">
        <f t="shared" si="512"/>
        <v>34168</v>
      </c>
      <c r="CL656" s="6">
        <f t="shared" si="512"/>
        <v>18477</v>
      </c>
      <c r="CM656" s="6">
        <f t="shared" si="512"/>
        <v>41072</v>
      </c>
      <c r="CN656" s="6">
        <f t="shared" si="512"/>
        <v>40644</v>
      </c>
      <c r="CO656" s="6">
        <f t="shared" si="512"/>
        <v>15580</v>
      </c>
      <c r="CP656" s="6">
        <f t="shared" si="512"/>
        <v>37578</v>
      </c>
      <c r="CQ656" s="6">
        <f t="shared" ref="CQ656:EM656" si="513">SUM(CQ199:CQ202)+SUM(CQ343:CQ380)+SUM(CQ423:CQ465)+CQ502+CQ518</f>
        <v>0</v>
      </c>
      <c r="CR656" s="6">
        <f t="shared" si="513"/>
        <v>0</v>
      </c>
      <c r="CS656" s="6">
        <f t="shared" si="513"/>
        <v>0</v>
      </c>
      <c r="CT656" s="6">
        <f t="shared" si="513"/>
        <v>0</v>
      </c>
      <c r="CU656" s="6">
        <f t="shared" si="513"/>
        <v>0</v>
      </c>
      <c r="CV656" s="6">
        <f t="shared" si="513"/>
        <v>0</v>
      </c>
      <c r="CW656" s="6">
        <f t="shared" si="513"/>
        <v>0</v>
      </c>
      <c r="CX656" s="6">
        <f t="shared" si="513"/>
        <v>0</v>
      </c>
      <c r="CY656" s="6">
        <f t="shared" si="513"/>
        <v>0</v>
      </c>
      <c r="CZ656" s="6">
        <f t="shared" si="513"/>
        <v>0</v>
      </c>
      <c r="DA656" s="6">
        <f t="shared" si="513"/>
        <v>0</v>
      </c>
      <c r="DB656" s="6">
        <f t="shared" si="513"/>
        <v>0</v>
      </c>
      <c r="DC656" s="6">
        <f t="shared" si="513"/>
        <v>0</v>
      </c>
      <c r="DD656" s="6">
        <f t="shared" si="513"/>
        <v>0</v>
      </c>
      <c r="DE656" s="6">
        <f t="shared" si="513"/>
        <v>0</v>
      </c>
      <c r="DF656" s="6">
        <f t="shared" si="513"/>
        <v>0</v>
      </c>
      <c r="DG656" s="6">
        <f t="shared" si="513"/>
        <v>0</v>
      </c>
      <c r="DH656" s="6">
        <f t="shared" si="513"/>
        <v>0</v>
      </c>
      <c r="DI656" s="6">
        <f t="shared" si="513"/>
        <v>0</v>
      </c>
      <c r="DJ656" s="6">
        <f t="shared" si="513"/>
        <v>0</v>
      </c>
      <c r="DK656" s="6">
        <f t="shared" si="513"/>
        <v>0</v>
      </c>
      <c r="DL656" s="6">
        <f t="shared" si="513"/>
        <v>0</v>
      </c>
      <c r="DM656" s="6">
        <f t="shared" si="513"/>
        <v>0</v>
      </c>
      <c r="DN656" s="6">
        <f t="shared" si="513"/>
        <v>0</v>
      </c>
      <c r="DO656" s="6">
        <f t="shared" si="513"/>
        <v>0</v>
      </c>
      <c r="DP656" s="6">
        <f t="shared" si="513"/>
        <v>0</v>
      </c>
      <c r="DQ656" s="6">
        <f t="shared" si="513"/>
        <v>0</v>
      </c>
      <c r="DR656" s="6">
        <f t="shared" si="513"/>
        <v>0</v>
      </c>
      <c r="DS656" s="6">
        <f t="shared" si="513"/>
        <v>0</v>
      </c>
      <c r="DT656" s="6">
        <f t="shared" si="513"/>
        <v>0</v>
      </c>
      <c r="DU656" s="6">
        <f t="shared" si="513"/>
        <v>0</v>
      </c>
      <c r="DV656" s="6">
        <f t="shared" si="513"/>
        <v>0</v>
      </c>
      <c r="DW656" s="6">
        <f t="shared" si="513"/>
        <v>0</v>
      </c>
      <c r="DX656" s="6">
        <f t="shared" si="513"/>
        <v>0</v>
      </c>
      <c r="DY656" s="6">
        <f t="shared" ref="DY656:DZ656" si="514">SUM(DY199:DY202)+SUM(DY343:DY380)+SUM(DY423:DY465)+DY502+DY518</f>
        <v>0</v>
      </c>
      <c r="DZ656" s="6">
        <f t="shared" si="514"/>
        <v>0</v>
      </c>
      <c r="EA656" s="6">
        <f t="shared" si="513"/>
        <v>0</v>
      </c>
      <c r="EB656" s="6">
        <f t="shared" si="513"/>
        <v>0</v>
      </c>
      <c r="EC656" s="6">
        <f t="shared" si="513"/>
        <v>0</v>
      </c>
      <c r="ED656" s="6">
        <f t="shared" si="513"/>
        <v>0</v>
      </c>
      <c r="EE656" s="6">
        <f t="shared" si="513"/>
        <v>0</v>
      </c>
      <c r="EF656" s="6">
        <f t="shared" si="513"/>
        <v>0</v>
      </c>
      <c r="EG656" s="6">
        <f t="shared" si="513"/>
        <v>0</v>
      </c>
      <c r="EH656" s="6">
        <f t="shared" si="513"/>
        <v>0</v>
      </c>
      <c r="EI656" s="6">
        <f t="shared" si="513"/>
        <v>0</v>
      </c>
      <c r="EJ656" s="6">
        <f t="shared" si="513"/>
        <v>0</v>
      </c>
      <c r="EK656" s="6">
        <f t="shared" si="513"/>
        <v>0</v>
      </c>
      <c r="EL656" s="6">
        <f t="shared" si="513"/>
        <v>0</v>
      </c>
      <c r="EM656" s="6">
        <f t="shared" si="513"/>
        <v>0</v>
      </c>
      <c r="EN656" s="6">
        <f t="shared" ref="EN656:GR656" si="515">SUM(EN199:EN202)+SUM(EN343:EN380)+SUM(EN423:EN465)+EN502+EN518</f>
        <v>0</v>
      </c>
      <c r="EO656" s="6">
        <f t="shared" si="515"/>
        <v>0</v>
      </c>
      <c r="EP656" s="6">
        <f t="shared" si="515"/>
        <v>0</v>
      </c>
      <c r="EQ656" s="6">
        <f t="shared" si="515"/>
        <v>0</v>
      </c>
      <c r="ER656" s="6">
        <f t="shared" si="515"/>
        <v>0</v>
      </c>
      <c r="ES656" s="6">
        <f t="shared" si="515"/>
        <v>0</v>
      </c>
      <c r="ET656" s="6">
        <f t="shared" si="515"/>
        <v>0</v>
      </c>
      <c r="EU656" s="6">
        <f t="shared" si="515"/>
        <v>0</v>
      </c>
      <c r="EV656" s="6">
        <f t="shared" si="515"/>
        <v>0</v>
      </c>
      <c r="EW656" s="6">
        <f t="shared" si="515"/>
        <v>0</v>
      </c>
      <c r="EX656" s="6">
        <f t="shared" si="515"/>
        <v>0</v>
      </c>
      <c r="EY656" s="6">
        <f t="shared" si="515"/>
        <v>0</v>
      </c>
      <c r="EZ656" s="6">
        <f t="shared" si="515"/>
        <v>0</v>
      </c>
      <c r="FA656" s="6">
        <f t="shared" si="515"/>
        <v>0</v>
      </c>
      <c r="FB656" s="6">
        <f t="shared" si="515"/>
        <v>0</v>
      </c>
      <c r="FC656" s="6">
        <f t="shared" si="515"/>
        <v>0</v>
      </c>
      <c r="FD656" s="6">
        <f t="shared" si="515"/>
        <v>0</v>
      </c>
      <c r="FE656" s="6">
        <f t="shared" si="515"/>
        <v>25360</v>
      </c>
      <c r="FF656" s="6">
        <f t="shared" si="515"/>
        <v>8281</v>
      </c>
      <c r="FG656" s="6">
        <f t="shared" si="515"/>
        <v>27770</v>
      </c>
      <c r="FH656" s="6">
        <f t="shared" si="515"/>
        <v>6063</v>
      </c>
      <c r="FI656" s="6">
        <f t="shared" si="515"/>
        <v>0</v>
      </c>
      <c r="FJ656" s="6">
        <f t="shared" si="515"/>
        <v>0</v>
      </c>
      <c r="FK656" s="6">
        <f t="shared" si="515"/>
        <v>0</v>
      </c>
      <c r="FL656" s="6">
        <f t="shared" si="515"/>
        <v>0</v>
      </c>
      <c r="FM656" s="6">
        <f t="shared" si="515"/>
        <v>0</v>
      </c>
      <c r="FN656" s="6">
        <f t="shared" si="515"/>
        <v>0</v>
      </c>
      <c r="FO656" s="6">
        <f t="shared" si="515"/>
        <v>0</v>
      </c>
      <c r="FP656" s="6">
        <f t="shared" si="515"/>
        <v>0</v>
      </c>
      <c r="FQ656" s="6">
        <f t="shared" si="515"/>
        <v>0</v>
      </c>
      <c r="FR656" s="6">
        <f t="shared" si="515"/>
        <v>0</v>
      </c>
      <c r="FS656" s="6">
        <f t="shared" si="515"/>
        <v>0</v>
      </c>
      <c r="FT656" s="6">
        <f t="shared" si="515"/>
        <v>0</v>
      </c>
      <c r="FU656" s="6">
        <f t="shared" si="515"/>
        <v>0</v>
      </c>
      <c r="FV656" s="6">
        <f t="shared" si="515"/>
        <v>0</v>
      </c>
      <c r="FW656" s="6">
        <f t="shared" si="515"/>
        <v>0</v>
      </c>
      <c r="FX656" s="6">
        <f t="shared" si="515"/>
        <v>0</v>
      </c>
      <c r="FY656" s="6">
        <f t="shared" si="515"/>
        <v>2697</v>
      </c>
      <c r="FZ656" s="6">
        <f t="shared" si="515"/>
        <v>4871</v>
      </c>
      <c r="GA656" s="6">
        <f t="shared" si="515"/>
        <v>0</v>
      </c>
      <c r="GB656" s="6">
        <f t="shared" si="515"/>
        <v>0</v>
      </c>
      <c r="GC656" s="6">
        <f t="shared" si="515"/>
        <v>0</v>
      </c>
      <c r="GD656" s="6">
        <f t="shared" si="515"/>
        <v>0</v>
      </c>
      <c r="GE656" s="6">
        <f t="shared" si="515"/>
        <v>0</v>
      </c>
      <c r="GF656" s="6">
        <f t="shared" si="515"/>
        <v>0</v>
      </c>
      <c r="GG656" s="6">
        <f t="shared" si="515"/>
        <v>0</v>
      </c>
      <c r="GH656" s="6">
        <f t="shared" si="515"/>
        <v>0</v>
      </c>
      <c r="GI656" s="6">
        <f t="shared" si="515"/>
        <v>0</v>
      </c>
      <c r="GJ656" s="6">
        <f t="shared" si="515"/>
        <v>0</v>
      </c>
      <c r="GK656" s="6">
        <f t="shared" si="515"/>
        <v>0</v>
      </c>
      <c r="GL656" s="6">
        <f t="shared" si="515"/>
        <v>0</v>
      </c>
      <c r="GM656" s="6">
        <f t="shared" si="515"/>
        <v>0</v>
      </c>
      <c r="GN656" s="6">
        <f t="shared" si="515"/>
        <v>0</v>
      </c>
      <c r="GO656" s="6">
        <f t="shared" si="515"/>
        <v>44241</v>
      </c>
      <c r="GP656" s="6">
        <f t="shared" si="515"/>
        <v>23588</v>
      </c>
      <c r="GQ656" s="6">
        <f t="shared" si="515"/>
        <v>44289</v>
      </c>
      <c r="GR656" s="6">
        <f t="shared" si="515"/>
        <v>23378</v>
      </c>
    </row>
    <row r="657" spans="1:200">
      <c r="A657" s="6"/>
      <c r="B657" s="12" t="s">
        <v>712</v>
      </c>
      <c r="C657" s="14">
        <f>SUM(C114:C116)+SUM(C118:C123)+SUM(C125:C126)+SUM(C158:C169)+C181+C185+C188+SUM(C220:C225)+SUM(C393:C413)+SUM(C469:C471)+SUM(C478:C489)+SUM(C555:C557)</f>
        <v>76070</v>
      </c>
      <c r="D657" s="14">
        <f>SUM(D114:D116)+SUM(D118:D123)+SUM(D125:D126)+SUM(D158:D169)+D181+D185+D188+SUM(D220:D225)+SUM(D393:D413)+SUM(D469:D471)+SUM(D478:D489)+SUM(D555:D557)</f>
        <v>53635</v>
      </c>
      <c r="E657" s="15">
        <f t="shared" si="351"/>
        <v>0.70507427369528064</v>
      </c>
      <c r="F657" s="66">
        <f t="shared" ref="F657:AB657" si="516">SUM(F114:F116)+SUM(F118:F123)+SUM(F125:F126)+SUM(F158:F169)+F181+F185+F188+SUM(F220:F225)+SUM(F393:F413)+SUM(F469:F471)+SUM(F478:F489)+SUM(F555:F557)</f>
        <v>18218</v>
      </c>
      <c r="G657" s="6">
        <f t="shared" si="516"/>
        <v>188</v>
      </c>
      <c r="H657" s="6">
        <f t="shared" si="516"/>
        <v>1604</v>
      </c>
      <c r="I657" s="6">
        <f t="shared" si="516"/>
        <v>429</v>
      </c>
      <c r="J657" s="59">
        <f t="shared" si="516"/>
        <v>32095</v>
      </c>
      <c r="K657" s="6">
        <f t="shared" si="516"/>
        <v>0</v>
      </c>
      <c r="L657" s="6">
        <f t="shared" si="516"/>
        <v>0</v>
      </c>
      <c r="M657" s="6">
        <f t="shared" si="516"/>
        <v>5</v>
      </c>
      <c r="N657" s="6">
        <f t="shared" si="516"/>
        <v>0</v>
      </c>
      <c r="O657" s="6">
        <f t="shared" si="516"/>
        <v>1</v>
      </c>
      <c r="P657" s="6">
        <f t="shared" si="516"/>
        <v>3</v>
      </c>
      <c r="Q657" s="6">
        <f t="shared" si="516"/>
        <v>0</v>
      </c>
      <c r="R657" s="6">
        <f t="shared" si="516"/>
        <v>1</v>
      </c>
      <c r="S657" s="6">
        <f t="shared" si="516"/>
        <v>0</v>
      </c>
      <c r="T657" s="6">
        <f t="shared" si="516"/>
        <v>0</v>
      </c>
      <c r="U657" s="6">
        <f t="shared" si="516"/>
        <v>0</v>
      </c>
      <c r="V657" s="6">
        <f t="shared" si="516"/>
        <v>7</v>
      </c>
      <c r="W657" s="6">
        <f t="shared" si="516"/>
        <v>116</v>
      </c>
      <c r="X657" s="6">
        <f t="shared" si="516"/>
        <v>0</v>
      </c>
      <c r="Y657" s="6">
        <f t="shared" si="516"/>
        <v>1</v>
      </c>
      <c r="Z657" s="6">
        <f t="shared" si="516"/>
        <v>1</v>
      </c>
      <c r="AA657" s="6">
        <f t="shared" si="516"/>
        <v>0</v>
      </c>
      <c r="AB657" s="6">
        <f t="shared" si="516"/>
        <v>0</v>
      </c>
      <c r="AC657" s="6">
        <f t="shared" ref="AC657:BZ657" si="517">SUM(AC114:AC116)+SUM(AC118:AC123)+SUM(AC125:AC126)+SUM(AC158:AC169)+AC181+AC185+AC188+SUM(AC220:AC225)+SUM(AC393:AC413)+SUM(AC469:AC471)+SUM(AC478:AC489)+SUM(AC555:AC557)</f>
        <v>779</v>
      </c>
      <c r="AD657" s="6">
        <f t="shared" si="517"/>
        <v>874</v>
      </c>
      <c r="AE657" s="6">
        <f t="shared" si="517"/>
        <v>34921</v>
      </c>
      <c r="AF657" s="6">
        <f t="shared" si="517"/>
        <v>676</v>
      </c>
      <c r="AG657" s="6">
        <f t="shared" si="517"/>
        <v>1</v>
      </c>
      <c r="AH657" s="6">
        <f t="shared" si="517"/>
        <v>14374</v>
      </c>
      <c r="AI657" s="6">
        <f t="shared" si="517"/>
        <v>35240</v>
      </c>
      <c r="AJ657" s="6">
        <f t="shared" si="517"/>
        <v>13</v>
      </c>
      <c r="AK657" s="6">
        <f t="shared" si="517"/>
        <v>2</v>
      </c>
      <c r="AL657" s="6">
        <f t="shared" si="517"/>
        <v>16452</v>
      </c>
      <c r="AM657" s="6">
        <f t="shared" si="517"/>
        <v>0</v>
      </c>
      <c r="AN657" s="6">
        <f t="shared" si="517"/>
        <v>0</v>
      </c>
      <c r="AO657" s="6">
        <f t="shared" si="517"/>
        <v>0</v>
      </c>
      <c r="AP657" s="6">
        <f t="shared" si="517"/>
        <v>13483</v>
      </c>
      <c r="AQ657" s="6">
        <f t="shared" si="517"/>
        <v>30190</v>
      </c>
      <c r="AR657" s="6">
        <f t="shared" si="517"/>
        <v>0</v>
      </c>
      <c r="AS657" s="6">
        <f t="shared" si="517"/>
        <v>0</v>
      </c>
      <c r="AT657" s="6">
        <f t="shared" si="517"/>
        <v>0</v>
      </c>
      <c r="AU657" s="6">
        <f t="shared" si="517"/>
        <v>0</v>
      </c>
      <c r="AV657" s="6">
        <f t="shared" si="517"/>
        <v>17458</v>
      </c>
      <c r="AW657" s="6">
        <f t="shared" si="517"/>
        <v>6294</v>
      </c>
      <c r="AX657" s="6">
        <f t="shared" si="517"/>
        <v>13427</v>
      </c>
      <c r="AY657" s="6">
        <f t="shared" si="517"/>
        <v>0</v>
      </c>
      <c r="AZ657" s="6">
        <f t="shared" si="517"/>
        <v>0</v>
      </c>
      <c r="BA657" s="6">
        <f t="shared" si="517"/>
        <v>4206</v>
      </c>
      <c r="BB657" s="6">
        <f t="shared" si="517"/>
        <v>1217</v>
      </c>
      <c r="BC657" s="6">
        <f t="shared" si="517"/>
        <v>0</v>
      </c>
      <c r="BD657" s="6">
        <f t="shared" si="517"/>
        <v>0</v>
      </c>
      <c r="BE657" s="6">
        <f t="shared" si="517"/>
        <v>26228</v>
      </c>
      <c r="BF657" s="6">
        <f t="shared" si="517"/>
        <v>23582</v>
      </c>
      <c r="BG657" s="6">
        <f t="shared" si="517"/>
        <v>32126</v>
      </c>
      <c r="BH657" s="6">
        <f t="shared" si="517"/>
        <v>18435</v>
      </c>
      <c r="BI657" s="6">
        <f t="shared" si="517"/>
        <v>34247</v>
      </c>
      <c r="BJ657" s="6">
        <f t="shared" si="517"/>
        <v>15574</v>
      </c>
      <c r="BK657" s="6">
        <f t="shared" si="517"/>
        <v>18602</v>
      </c>
      <c r="BL657" s="6">
        <f t="shared" si="517"/>
        <v>31461</v>
      </c>
      <c r="BM657" s="6">
        <f t="shared" si="517"/>
        <v>22006</v>
      </c>
      <c r="BN657" s="6">
        <f t="shared" si="517"/>
        <v>28090</v>
      </c>
      <c r="BO657" s="6">
        <f t="shared" si="517"/>
        <v>16494</v>
      </c>
      <c r="BP657" s="6">
        <f t="shared" si="517"/>
        <v>32093</v>
      </c>
      <c r="BQ657" s="6">
        <f t="shared" si="517"/>
        <v>34213</v>
      </c>
      <c r="BR657" s="6">
        <f t="shared" si="517"/>
        <v>14896</v>
      </c>
      <c r="BS657" s="6">
        <f t="shared" si="517"/>
        <v>35183</v>
      </c>
      <c r="BT657" s="6">
        <f t="shared" si="517"/>
        <v>23125</v>
      </c>
      <c r="BU657" s="6">
        <f t="shared" si="517"/>
        <v>25094</v>
      </c>
      <c r="BV657" s="6">
        <f t="shared" si="517"/>
        <v>33322</v>
      </c>
      <c r="BW657" s="6">
        <f t="shared" si="517"/>
        <v>23897</v>
      </c>
      <c r="BX657" s="6">
        <f t="shared" si="517"/>
        <v>16194</v>
      </c>
      <c r="BY657" s="6">
        <f t="shared" si="517"/>
        <v>30490</v>
      </c>
      <c r="BZ657" s="6">
        <f t="shared" si="517"/>
        <v>13372</v>
      </c>
      <c r="CA657" s="6">
        <f t="shared" ref="CA657:CP657" si="518">SUM(CA114:CA116)+SUM(CA118:CA123)+SUM(CA125:CA126)+SUM(CA158:CA169)+CA181+CA185+CA188+SUM(CA220:CA225)+SUM(CA393:CA413)+SUM(CA469:CA471)+SUM(CA478:CA489)+SUM(CA555:CA557)</f>
        <v>30442</v>
      </c>
      <c r="CB657" s="6">
        <f t="shared" si="518"/>
        <v>24159</v>
      </c>
      <c r="CC657" s="6">
        <f t="shared" si="518"/>
        <v>14778</v>
      </c>
      <c r="CD657" s="6">
        <f t="shared" si="518"/>
        <v>29291</v>
      </c>
      <c r="CE657" s="6">
        <f t="shared" si="518"/>
        <v>13770</v>
      </c>
      <c r="CF657" s="6">
        <f t="shared" si="518"/>
        <v>28447</v>
      </c>
      <c r="CG657" s="6">
        <f t="shared" si="518"/>
        <v>24425</v>
      </c>
      <c r="CH657" s="6">
        <f t="shared" si="518"/>
        <v>13434</v>
      </c>
      <c r="CI657" s="6">
        <f t="shared" si="518"/>
        <v>9523</v>
      </c>
      <c r="CJ657" s="6">
        <f t="shared" si="518"/>
        <v>30133</v>
      </c>
      <c r="CK657" s="6">
        <f t="shared" si="518"/>
        <v>25732</v>
      </c>
      <c r="CL657" s="6">
        <f t="shared" si="518"/>
        <v>14170</v>
      </c>
      <c r="CM657" s="6">
        <f t="shared" si="518"/>
        <v>29852</v>
      </c>
      <c r="CN657" s="6">
        <f t="shared" si="518"/>
        <v>29476</v>
      </c>
      <c r="CO657" s="6">
        <f t="shared" si="518"/>
        <v>12720</v>
      </c>
      <c r="CP657" s="6">
        <f t="shared" si="518"/>
        <v>26762</v>
      </c>
      <c r="CQ657" s="6">
        <f t="shared" ref="CQ657:EM657" si="519">SUM(CQ114:CQ116)+SUM(CQ118:CQ123)+SUM(CQ125:CQ126)+SUM(CQ158:CQ169)+CQ181+CQ185+CQ188+SUM(CQ220:CQ225)+SUM(CQ393:CQ413)+SUM(CQ469:CQ471)+SUM(CQ478:CQ489)+SUM(CQ555:CQ557)</f>
        <v>0</v>
      </c>
      <c r="CR657" s="6">
        <f t="shared" si="519"/>
        <v>0</v>
      </c>
      <c r="CS657" s="6">
        <f t="shared" si="519"/>
        <v>0</v>
      </c>
      <c r="CT657" s="6">
        <f t="shared" si="519"/>
        <v>0</v>
      </c>
      <c r="CU657" s="6">
        <f t="shared" si="519"/>
        <v>0</v>
      </c>
      <c r="CV657" s="6">
        <f t="shared" si="519"/>
        <v>0</v>
      </c>
      <c r="CW657" s="6">
        <f t="shared" si="519"/>
        <v>0</v>
      </c>
      <c r="CX657" s="6">
        <f t="shared" si="519"/>
        <v>0</v>
      </c>
      <c r="CY657" s="6">
        <f t="shared" si="519"/>
        <v>0</v>
      </c>
      <c r="CZ657" s="6">
        <f t="shared" si="519"/>
        <v>0</v>
      </c>
      <c r="DA657" s="6">
        <f t="shared" si="519"/>
        <v>0</v>
      </c>
      <c r="DB657" s="6">
        <f t="shared" si="519"/>
        <v>0</v>
      </c>
      <c r="DC657" s="6">
        <f t="shared" si="519"/>
        <v>0</v>
      </c>
      <c r="DD657" s="6">
        <f t="shared" si="519"/>
        <v>0</v>
      </c>
      <c r="DE657" s="6">
        <f t="shared" si="519"/>
        <v>0</v>
      </c>
      <c r="DF657" s="6">
        <f t="shared" si="519"/>
        <v>0</v>
      </c>
      <c r="DG657" s="6">
        <f t="shared" si="519"/>
        <v>191</v>
      </c>
      <c r="DH657" s="6">
        <f t="shared" si="519"/>
        <v>107</v>
      </c>
      <c r="DI657" s="6">
        <f t="shared" si="519"/>
        <v>186</v>
      </c>
      <c r="DJ657" s="6">
        <f t="shared" si="519"/>
        <v>110</v>
      </c>
      <c r="DK657" s="6">
        <f t="shared" si="519"/>
        <v>968</v>
      </c>
      <c r="DL657" s="6">
        <f t="shared" si="519"/>
        <v>485</v>
      </c>
      <c r="DM657" s="6">
        <f t="shared" si="519"/>
        <v>0</v>
      </c>
      <c r="DN657" s="6">
        <f t="shared" si="519"/>
        <v>0</v>
      </c>
      <c r="DO657" s="6">
        <f t="shared" si="519"/>
        <v>0</v>
      </c>
      <c r="DP657" s="6">
        <f t="shared" si="519"/>
        <v>0</v>
      </c>
      <c r="DQ657" s="6">
        <f t="shared" si="519"/>
        <v>0</v>
      </c>
      <c r="DR657" s="6">
        <f t="shared" si="519"/>
        <v>0</v>
      </c>
      <c r="DS657" s="6">
        <f t="shared" si="519"/>
        <v>0</v>
      </c>
      <c r="DT657" s="6">
        <f t="shared" si="519"/>
        <v>0</v>
      </c>
      <c r="DU657" s="6">
        <f t="shared" si="519"/>
        <v>0</v>
      </c>
      <c r="DV657" s="6">
        <f t="shared" si="519"/>
        <v>0</v>
      </c>
      <c r="DW657" s="6">
        <f t="shared" si="519"/>
        <v>0</v>
      </c>
      <c r="DX657" s="6">
        <f t="shared" si="519"/>
        <v>0</v>
      </c>
      <c r="DY657" s="6">
        <f t="shared" ref="DY657:DZ657" si="520">SUM(DY114:DY116)+SUM(DY118:DY123)+SUM(DY125:DY126)+SUM(DY158:DY169)+DY181+DY185+DY188+SUM(DY220:DY225)+SUM(DY393:DY413)+SUM(DY469:DY471)+SUM(DY478:DY489)+SUM(DY555:DY557)</f>
        <v>0</v>
      </c>
      <c r="DZ657" s="6">
        <f t="shared" si="520"/>
        <v>0</v>
      </c>
      <c r="EA657" s="6">
        <f t="shared" si="519"/>
        <v>0</v>
      </c>
      <c r="EB657" s="6">
        <f t="shared" si="519"/>
        <v>0</v>
      </c>
      <c r="EC657" s="6">
        <f t="shared" si="519"/>
        <v>0</v>
      </c>
      <c r="ED657" s="6">
        <f t="shared" si="519"/>
        <v>0</v>
      </c>
      <c r="EE657" s="6">
        <f t="shared" si="519"/>
        <v>0</v>
      </c>
      <c r="EF657" s="6">
        <f t="shared" si="519"/>
        <v>0</v>
      </c>
      <c r="EG657" s="6">
        <f t="shared" si="519"/>
        <v>0</v>
      </c>
      <c r="EH657" s="6">
        <f t="shared" si="519"/>
        <v>0</v>
      </c>
      <c r="EI657" s="6">
        <f t="shared" si="519"/>
        <v>0</v>
      </c>
      <c r="EJ657" s="6">
        <f t="shared" si="519"/>
        <v>0</v>
      </c>
      <c r="EK657" s="6">
        <f t="shared" si="519"/>
        <v>0</v>
      </c>
      <c r="EL657" s="6">
        <f t="shared" si="519"/>
        <v>0</v>
      </c>
      <c r="EM657" s="6">
        <f t="shared" si="519"/>
        <v>0</v>
      </c>
      <c r="EN657" s="6">
        <f t="shared" ref="EN657:GR657" si="521">SUM(EN114:EN116)+SUM(EN118:EN123)+SUM(EN125:EN126)+SUM(EN158:EN169)+EN181+EN185+EN188+SUM(EN220:EN225)+SUM(EN393:EN413)+SUM(EN469:EN471)+SUM(EN478:EN489)+SUM(EN555:EN557)</f>
        <v>0</v>
      </c>
      <c r="EO657" s="6">
        <f t="shared" si="521"/>
        <v>0</v>
      </c>
      <c r="EP657" s="6">
        <f t="shared" si="521"/>
        <v>0</v>
      </c>
      <c r="EQ657" s="6">
        <f t="shared" si="521"/>
        <v>439</v>
      </c>
      <c r="ER657" s="6">
        <f t="shared" si="521"/>
        <v>161</v>
      </c>
      <c r="ES657" s="6">
        <f t="shared" si="521"/>
        <v>0</v>
      </c>
      <c r="ET657" s="6">
        <f t="shared" si="521"/>
        <v>0</v>
      </c>
      <c r="EU657" s="6">
        <f t="shared" si="521"/>
        <v>0</v>
      </c>
      <c r="EV657" s="6">
        <f t="shared" si="521"/>
        <v>0</v>
      </c>
      <c r="EW657" s="6">
        <f t="shared" si="521"/>
        <v>0</v>
      </c>
      <c r="EX657" s="6">
        <f t="shared" si="521"/>
        <v>0</v>
      </c>
      <c r="EY657" s="6">
        <f t="shared" si="521"/>
        <v>0</v>
      </c>
      <c r="EZ657" s="6">
        <f t="shared" si="521"/>
        <v>0</v>
      </c>
      <c r="FA657" s="6">
        <f t="shared" si="521"/>
        <v>0</v>
      </c>
      <c r="FB657" s="6">
        <f t="shared" si="521"/>
        <v>0</v>
      </c>
      <c r="FC657" s="6">
        <f t="shared" si="521"/>
        <v>8405</v>
      </c>
      <c r="FD657" s="6">
        <f t="shared" si="521"/>
        <v>6456</v>
      </c>
      <c r="FE657" s="6">
        <f t="shared" si="521"/>
        <v>0</v>
      </c>
      <c r="FF657" s="6">
        <f t="shared" si="521"/>
        <v>0</v>
      </c>
      <c r="FG657" s="6">
        <f t="shared" si="521"/>
        <v>0</v>
      </c>
      <c r="FH657" s="6">
        <f t="shared" si="521"/>
        <v>0</v>
      </c>
      <c r="FI657" s="6">
        <f t="shared" si="521"/>
        <v>5682</v>
      </c>
      <c r="FJ657" s="6">
        <f t="shared" si="521"/>
        <v>2867</v>
      </c>
      <c r="FK657" s="6">
        <f t="shared" si="521"/>
        <v>0</v>
      </c>
      <c r="FL657" s="6">
        <f t="shared" si="521"/>
        <v>0</v>
      </c>
      <c r="FM657" s="6">
        <f t="shared" si="521"/>
        <v>0</v>
      </c>
      <c r="FN657" s="6">
        <f t="shared" si="521"/>
        <v>0</v>
      </c>
      <c r="FO657" s="6">
        <f t="shared" si="521"/>
        <v>0</v>
      </c>
      <c r="FP657" s="6">
        <f t="shared" si="521"/>
        <v>0</v>
      </c>
      <c r="FQ657" s="6">
        <f t="shared" si="521"/>
        <v>0</v>
      </c>
      <c r="FR657" s="6">
        <f t="shared" si="521"/>
        <v>0</v>
      </c>
      <c r="FS657" s="6">
        <f t="shared" si="521"/>
        <v>0</v>
      </c>
      <c r="FT657" s="6">
        <f t="shared" si="521"/>
        <v>0</v>
      </c>
      <c r="FU657" s="6">
        <f t="shared" si="521"/>
        <v>0</v>
      </c>
      <c r="FV657" s="6">
        <f t="shared" si="521"/>
        <v>0</v>
      </c>
      <c r="FW657" s="6">
        <f t="shared" si="521"/>
        <v>0</v>
      </c>
      <c r="FX657" s="6">
        <f t="shared" si="521"/>
        <v>0</v>
      </c>
      <c r="FY657" s="6">
        <f t="shared" si="521"/>
        <v>8952</v>
      </c>
      <c r="FZ657" s="6">
        <f t="shared" si="521"/>
        <v>7493</v>
      </c>
      <c r="GA657" s="6">
        <f t="shared" si="521"/>
        <v>0</v>
      </c>
      <c r="GB657" s="6">
        <f t="shared" si="521"/>
        <v>0</v>
      </c>
      <c r="GC657" s="6">
        <f t="shared" si="521"/>
        <v>0</v>
      </c>
      <c r="GD657" s="6">
        <f t="shared" si="521"/>
        <v>0</v>
      </c>
      <c r="GE657" s="6">
        <f t="shared" si="521"/>
        <v>0</v>
      </c>
      <c r="GF657" s="6">
        <f t="shared" si="521"/>
        <v>0</v>
      </c>
      <c r="GG657" s="6">
        <f t="shared" si="521"/>
        <v>0</v>
      </c>
      <c r="GH657" s="6">
        <f t="shared" si="521"/>
        <v>0</v>
      </c>
      <c r="GI657" s="6">
        <f t="shared" si="521"/>
        <v>0</v>
      </c>
      <c r="GJ657" s="6">
        <f t="shared" si="521"/>
        <v>0</v>
      </c>
      <c r="GK657" s="6">
        <f t="shared" si="521"/>
        <v>0</v>
      </c>
      <c r="GL657" s="6">
        <f t="shared" si="521"/>
        <v>0</v>
      </c>
      <c r="GM657" s="6">
        <f t="shared" si="521"/>
        <v>0</v>
      </c>
      <c r="GN657" s="6">
        <f t="shared" si="521"/>
        <v>0</v>
      </c>
      <c r="GO657" s="6">
        <f t="shared" si="521"/>
        <v>32521</v>
      </c>
      <c r="GP657" s="6">
        <f t="shared" si="521"/>
        <v>18446</v>
      </c>
      <c r="GQ657" s="6">
        <f t="shared" si="521"/>
        <v>32265</v>
      </c>
      <c r="GR657" s="6">
        <f t="shared" si="521"/>
        <v>18444</v>
      </c>
    </row>
    <row r="658" spans="1:200">
      <c r="A658" s="6"/>
      <c r="B658" s="16" t="s">
        <v>713</v>
      </c>
      <c r="C658" s="17">
        <v>241919</v>
      </c>
      <c r="D658" s="17">
        <v>156437</v>
      </c>
      <c r="E658" s="15">
        <f t="shared" si="351"/>
        <v>0.64665032510881737</v>
      </c>
      <c r="F658" s="66">
        <f t="shared" ref="F658:AB658" si="522">SUM(F4:F188)+SUM(F199:F202)+F246+SUM(F306:F309)+SUM(F381:F386)+F392+F396+F399+SUM(F410:F412)+F418+SUM(F421:F422)+F424+F425+F427+F430+F445+F449+F450+F454+F458+SUM(F496:F498)+F503+F507+F510+F512+F534</f>
        <v>113790</v>
      </c>
      <c r="G658" s="6">
        <f t="shared" si="522"/>
        <v>446</v>
      </c>
      <c r="H658" s="6">
        <f t="shared" si="522"/>
        <v>4668</v>
      </c>
      <c r="I658" s="6">
        <f t="shared" si="522"/>
        <v>1800</v>
      </c>
      <c r="J658" s="59">
        <f t="shared" si="522"/>
        <v>42374</v>
      </c>
      <c r="K658" s="6">
        <f t="shared" si="522"/>
        <v>0</v>
      </c>
      <c r="L658" s="6">
        <f t="shared" si="522"/>
        <v>0</v>
      </c>
      <c r="M658" s="6">
        <f t="shared" si="522"/>
        <v>31</v>
      </c>
      <c r="N658" s="6">
        <f t="shared" si="522"/>
        <v>0</v>
      </c>
      <c r="O658" s="6">
        <f t="shared" si="522"/>
        <v>2</v>
      </c>
      <c r="P658" s="6">
        <f t="shared" si="522"/>
        <v>10</v>
      </c>
      <c r="Q658" s="6">
        <f t="shared" si="522"/>
        <v>0</v>
      </c>
      <c r="R658" s="6">
        <f t="shared" si="522"/>
        <v>0</v>
      </c>
      <c r="S658" s="6">
        <f t="shared" si="522"/>
        <v>10</v>
      </c>
      <c r="T658" s="6">
        <f t="shared" si="522"/>
        <v>2</v>
      </c>
      <c r="U658" s="6">
        <f t="shared" si="522"/>
        <v>0</v>
      </c>
      <c r="V658" s="6">
        <f t="shared" si="522"/>
        <v>21</v>
      </c>
      <c r="W658" s="6">
        <f t="shared" si="522"/>
        <v>494</v>
      </c>
      <c r="X658" s="6">
        <f t="shared" si="522"/>
        <v>1</v>
      </c>
      <c r="Y658" s="6">
        <f t="shared" si="522"/>
        <v>0</v>
      </c>
      <c r="Z658" s="6">
        <f t="shared" si="522"/>
        <v>0</v>
      </c>
      <c r="AA658" s="6">
        <f t="shared" si="522"/>
        <v>0</v>
      </c>
      <c r="AB658" s="6">
        <f t="shared" si="522"/>
        <v>0</v>
      </c>
      <c r="AC658" s="6">
        <f t="shared" ref="AC658:BZ658" si="523">SUM(AC4:AC188)+SUM(AC199:AC202)+AC246+SUM(AC306:AC309)+SUM(AC381:AC386)+AC392+AC396+AC399+SUM(AC410:AC412)+AC418+SUM(AC421:AC422)+AC424+AC425+AC427+AC430+AC445+AC449+AC450+AC454+AC458+SUM(AC496:AC498)+AC503+AC507+AC510+AC512+AC534</f>
        <v>1960</v>
      </c>
      <c r="AD658" s="6">
        <f t="shared" si="523"/>
        <v>3395</v>
      </c>
      <c r="AE658" s="6">
        <f t="shared" si="523"/>
        <v>59861</v>
      </c>
      <c r="AF658" s="6">
        <f t="shared" si="523"/>
        <v>1507</v>
      </c>
      <c r="AG658" s="6">
        <f t="shared" si="523"/>
        <v>5</v>
      </c>
      <c r="AH658" s="6">
        <f t="shared" si="523"/>
        <v>93352</v>
      </c>
      <c r="AI658" s="6">
        <f t="shared" si="523"/>
        <v>32890</v>
      </c>
      <c r="AJ658" s="6">
        <f t="shared" si="523"/>
        <v>81</v>
      </c>
      <c r="AK658" s="6">
        <f t="shared" si="523"/>
        <v>7</v>
      </c>
      <c r="AL658" s="6">
        <f t="shared" si="523"/>
        <v>68692</v>
      </c>
      <c r="AM658" s="6">
        <f t="shared" si="523"/>
        <v>3009</v>
      </c>
      <c r="AN658" s="6">
        <f t="shared" si="523"/>
        <v>28164</v>
      </c>
      <c r="AO658" s="6">
        <f t="shared" si="523"/>
        <v>24887</v>
      </c>
      <c r="AP658" s="6">
        <f t="shared" si="523"/>
        <v>10863</v>
      </c>
      <c r="AQ658" s="6">
        <f t="shared" si="523"/>
        <v>15361</v>
      </c>
      <c r="AR658" s="6">
        <f t="shared" si="523"/>
        <v>8559</v>
      </c>
      <c r="AS658" s="6">
        <f t="shared" si="523"/>
        <v>7802</v>
      </c>
      <c r="AT658" s="6">
        <f t="shared" si="523"/>
        <v>753</v>
      </c>
      <c r="AU658" s="6">
        <f t="shared" si="523"/>
        <v>480</v>
      </c>
      <c r="AV658" s="6">
        <f t="shared" si="523"/>
        <v>2763</v>
      </c>
      <c r="AW658" s="6">
        <f t="shared" si="523"/>
        <v>7076</v>
      </c>
      <c r="AX658" s="6">
        <f t="shared" si="523"/>
        <v>12754</v>
      </c>
      <c r="AY658" s="6">
        <f t="shared" si="523"/>
        <v>29465</v>
      </c>
      <c r="AZ658" s="6">
        <f t="shared" si="523"/>
        <v>11822</v>
      </c>
      <c r="BA658" s="6">
        <f t="shared" si="523"/>
        <v>32600</v>
      </c>
      <c r="BB658" s="6">
        <f t="shared" si="523"/>
        <v>8945</v>
      </c>
      <c r="BC658" s="6">
        <f t="shared" si="523"/>
        <v>4654</v>
      </c>
      <c r="BD658" s="6">
        <f t="shared" si="523"/>
        <v>24817</v>
      </c>
      <c r="BE658" s="6">
        <f t="shared" si="523"/>
        <v>42198</v>
      </c>
      <c r="BF658" s="6">
        <f t="shared" si="523"/>
        <v>113133</v>
      </c>
      <c r="BG658" s="6">
        <f t="shared" si="523"/>
        <v>51075</v>
      </c>
      <c r="BH658" s="6">
        <f t="shared" si="523"/>
        <v>104942</v>
      </c>
      <c r="BI658" s="6">
        <f t="shared" si="523"/>
        <v>60283</v>
      </c>
      <c r="BJ658" s="6">
        <f t="shared" si="523"/>
        <v>94402</v>
      </c>
      <c r="BK658" s="6">
        <f t="shared" si="523"/>
        <v>104058</v>
      </c>
      <c r="BL658" s="6">
        <f t="shared" si="523"/>
        <v>50926</v>
      </c>
      <c r="BM658" s="6">
        <f t="shared" si="523"/>
        <v>39379</v>
      </c>
      <c r="BN658" s="6">
        <f t="shared" si="523"/>
        <v>114050</v>
      </c>
      <c r="BO658" s="6">
        <f t="shared" si="523"/>
        <v>99005</v>
      </c>
      <c r="BP658" s="6">
        <f t="shared" si="523"/>
        <v>51725</v>
      </c>
      <c r="BQ658" s="6">
        <f t="shared" si="523"/>
        <v>57130</v>
      </c>
      <c r="BR658" s="6">
        <f t="shared" si="523"/>
        <v>94527</v>
      </c>
      <c r="BS658" s="6">
        <f t="shared" si="523"/>
        <v>80316</v>
      </c>
      <c r="BT658" s="6">
        <f t="shared" si="523"/>
        <v>36433</v>
      </c>
      <c r="BU658" s="6">
        <f t="shared" si="523"/>
        <v>116112</v>
      </c>
      <c r="BV658" s="6">
        <f t="shared" si="523"/>
        <v>90496</v>
      </c>
      <c r="BW658" s="6">
        <f t="shared" si="523"/>
        <v>55985</v>
      </c>
      <c r="BX658" s="6">
        <f t="shared" si="523"/>
        <v>68425</v>
      </c>
      <c r="BY658" s="6">
        <f t="shared" si="523"/>
        <v>58370</v>
      </c>
      <c r="BZ658" s="6">
        <f t="shared" si="523"/>
        <v>76451</v>
      </c>
      <c r="CA658" s="6">
        <f t="shared" ref="CA658:CP658" si="524">SUM(CA4:CA188)+SUM(CA199:CA202)+CA246+SUM(CA306:CA309)+SUM(CA381:CA386)+CA392+CA396+CA399+SUM(CA410:CA412)+CA418+SUM(CA421:CA422)+CA424+CA425+CA427+CA430+CA445+CA449+CA450+CA454+CA458+SUM(CA496:CA498)+CA503+CA507+CA510+CA512+CA534</f>
        <v>80099</v>
      </c>
      <c r="CB658" s="6">
        <f t="shared" si="524"/>
        <v>45052</v>
      </c>
      <c r="CC658" s="6">
        <f t="shared" si="524"/>
        <v>78639</v>
      </c>
      <c r="CD658" s="6">
        <f t="shared" si="524"/>
        <v>91214</v>
      </c>
      <c r="CE658" s="6">
        <f t="shared" si="524"/>
        <v>77074</v>
      </c>
      <c r="CF658" s="6">
        <f t="shared" si="524"/>
        <v>48819</v>
      </c>
      <c r="CG658" s="6">
        <f t="shared" si="524"/>
        <v>51539</v>
      </c>
      <c r="CH658" s="6">
        <f t="shared" si="524"/>
        <v>67140</v>
      </c>
      <c r="CI658" s="6">
        <f t="shared" si="524"/>
        <v>56352</v>
      </c>
      <c r="CJ658" s="6">
        <f t="shared" si="524"/>
        <v>66395</v>
      </c>
      <c r="CK658" s="6">
        <f t="shared" si="524"/>
        <v>58311</v>
      </c>
      <c r="CL658" s="6">
        <f t="shared" si="524"/>
        <v>65912</v>
      </c>
      <c r="CM658" s="6">
        <f t="shared" si="524"/>
        <v>76498</v>
      </c>
      <c r="CN658" s="6">
        <f t="shared" si="524"/>
        <v>80631</v>
      </c>
      <c r="CO658" s="6">
        <f t="shared" si="524"/>
        <v>63657</v>
      </c>
      <c r="CP658" s="6">
        <f t="shared" si="524"/>
        <v>60783</v>
      </c>
      <c r="CQ658" s="6">
        <f t="shared" ref="CQ658:EM658" si="525">SUM(CQ4:CQ188)+SUM(CQ199:CQ202)+CQ246+SUM(CQ306:CQ309)+SUM(CQ381:CQ386)+CQ392+CQ396+CQ399+SUM(CQ410:CQ412)+CQ418+SUM(CQ421:CQ422)+CQ424+CQ425+CQ427+CQ430+CQ445+CQ449+CQ450+CQ454+CQ458+SUM(CQ496:CQ498)+CQ503+CQ507+CQ510+CQ512+CQ534</f>
        <v>0</v>
      </c>
      <c r="CR658" s="6">
        <f t="shared" si="525"/>
        <v>0</v>
      </c>
      <c r="CS658" s="6">
        <f t="shared" si="525"/>
        <v>339</v>
      </c>
      <c r="CT658" s="6">
        <f t="shared" si="525"/>
        <v>470</v>
      </c>
      <c r="CU658" s="6">
        <f t="shared" si="525"/>
        <v>0</v>
      </c>
      <c r="CV658" s="6">
        <f t="shared" si="525"/>
        <v>0</v>
      </c>
      <c r="CW658" s="6">
        <f t="shared" si="525"/>
        <v>0</v>
      </c>
      <c r="CX658" s="6">
        <f t="shared" si="525"/>
        <v>0</v>
      </c>
      <c r="CY658" s="6">
        <f t="shared" si="525"/>
        <v>0</v>
      </c>
      <c r="CZ658" s="6">
        <f t="shared" si="525"/>
        <v>0</v>
      </c>
      <c r="DA658" s="6">
        <f t="shared" si="525"/>
        <v>0</v>
      </c>
      <c r="DB658" s="6">
        <f t="shared" si="525"/>
        <v>0</v>
      </c>
      <c r="DC658" s="6">
        <f t="shared" si="525"/>
        <v>0</v>
      </c>
      <c r="DD658" s="6">
        <f t="shared" si="525"/>
        <v>0</v>
      </c>
      <c r="DE658" s="6">
        <f t="shared" si="525"/>
        <v>0</v>
      </c>
      <c r="DF658" s="6">
        <f t="shared" si="525"/>
        <v>0</v>
      </c>
      <c r="DG658" s="6">
        <f t="shared" si="525"/>
        <v>0</v>
      </c>
      <c r="DH658" s="6">
        <f t="shared" si="525"/>
        <v>0</v>
      </c>
      <c r="DI658" s="6">
        <f t="shared" si="525"/>
        <v>0</v>
      </c>
      <c r="DJ658" s="6">
        <f t="shared" si="525"/>
        <v>0</v>
      </c>
      <c r="DK658" s="6">
        <f t="shared" si="525"/>
        <v>0</v>
      </c>
      <c r="DL658" s="6">
        <f t="shared" si="525"/>
        <v>0</v>
      </c>
      <c r="DM658" s="6">
        <f t="shared" si="525"/>
        <v>0</v>
      </c>
      <c r="DN658" s="6">
        <f t="shared" si="525"/>
        <v>0</v>
      </c>
      <c r="DO658" s="6">
        <f t="shared" si="525"/>
        <v>0</v>
      </c>
      <c r="DP658" s="6">
        <f t="shared" si="525"/>
        <v>0</v>
      </c>
      <c r="DQ658" s="6">
        <f t="shared" si="525"/>
        <v>0</v>
      </c>
      <c r="DR658" s="6">
        <f t="shared" si="525"/>
        <v>0</v>
      </c>
      <c r="DS658" s="6">
        <f t="shared" si="525"/>
        <v>0</v>
      </c>
      <c r="DT658" s="6">
        <f t="shared" si="525"/>
        <v>0</v>
      </c>
      <c r="DU658" s="6">
        <f t="shared" si="525"/>
        <v>0</v>
      </c>
      <c r="DV658" s="6">
        <f t="shared" si="525"/>
        <v>0</v>
      </c>
      <c r="DW658" s="6">
        <f t="shared" si="525"/>
        <v>0</v>
      </c>
      <c r="DX658" s="6">
        <f t="shared" si="525"/>
        <v>0</v>
      </c>
      <c r="DY658" s="6">
        <f t="shared" ref="DY658:DZ658" si="526">SUM(DY4:DY188)+SUM(DY199:DY202)+DY246+SUM(DY306:DY309)+SUM(DY381:DY386)+DY392+DY396+DY399+SUM(DY410:DY412)+DY418+SUM(DY421:DY422)+DY424+DY425+DY427+DY430+DY445+DY449+DY450+DY454+DY458+SUM(DY496:DY498)+DY503+DY507+DY510+DY512+DY534</f>
        <v>448</v>
      </c>
      <c r="DZ658" s="6">
        <f t="shared" si="526"/>
        <v>427</v>
      </c>
      <c r="EA658" s="6">
        <f t="shared" si="525"/>
        <v>0</v>
      </c>
      <c r="EB658" s="6">
        <f t="shared" si="525"/>
        <v>0</v>
      </c>
      <c r="EC658" s="6">
        <f t="shared" si="525"/>
        <v>1214</v>
      </c>
      <c r="ED658" s="6">
        <f t="shared" si="525"/>
        <v>573</v>
      </c>
      <c r="EE658" s="6">
        <f t="shared" si="525"/>
        <v>1298</v>
      </c>
      <c r="EF658" s="6">
        <f t="shared" si="525"/>
        <v>479</v>
      </c>
      <c r="EG658" s="6">
        <f t="shared" si="525"/>
        <v>0</v>
      </c>
      <c r="EH658" s="6">
        <f t="shared" si="525"/>
        <v>0</v>
      </c>
      <c r="EI658" s="6">
        <f t="shared" si="525"/>
        <v>0</v>
      </c>
      <c r="EJ658" s="6">
        <f t="shared" si="525"/>
        <v>0</v>
      </c>
      <c r="EK658" s="6">
        <f t="shared" si="525"/>
        <v>0</v>
      </c>
      <c r="EL658" s="6">
        <f t="shared" si="525"/>
        <v>0</v>
      </c>
      <c r="EM658" s="6">
        <f t="shared" si="525"/>
        <v>0</v>
      </c>
      <c r="EN658" s="6">
        <f t="shared" ref="EN658:GR658" si="527">SUM(EN4:EN188)+SUM(EN199:EN202)+EN246+SUM(EN306:EN309)+SUM(EN381:EN386)+EN392+EN396+EN399+SUM(EN410:EN412)+EN418+SUM(EN421:EN422)+EN424+EN425+EN427+EN430+EN445+EN449+EN450+EN454+EN458+SUM(EN496:EN498)+EN503+EN507+EN510+EN512+EN534</f>
        <v>0</v>
      </c>
      <c r="EO658" s="6">
        <f t="shared" si="527"/>
        <v>0</v>
      </c>
      <c r="EP658" s="6">
        <f t="shared" si="527"/>
        <v>0</v>
      </c>
      <c r="EQ658" s="6">
        <f t="shared" si="527"/>
        <v>0</v>
      </c>
      <c r="ER658" s="6">
        <f t="shared" si="527"/>
        <v>0</v>
      </c>
      <c r="ES658" s="6">
        <f t="shared" si="527"/>
        <v>0</v>
      </c>
      <c r="ET658" s="6">
        <f t="shared" si="527"/>
        <v>0</v>
      </c>
      <c r="EU658" s="6">
        <f t="shared" si="527"/>
        <v>0</v>
      </c>
      <c r="EV658" s="6">
        <f t="shared" si="527"/>
        <v>0</v>
      </c>
      <c r="EW658" s="6">
        <f t="shared" si="527"/>
        <v>0</v>
      </c>
      <c r="EX658" s="6">
        <f t="shared" si="527"/>
        <v>0</v>
      </c>
      <c r="EY658" s="6">
        <f t="shared" si="527"/>
        <v>0</v>
      </c>
      <c r="EZ658" s="6">
        <f t="shared" si="527"/>
        <v>0</v>
      </c>
      <c r="FA658" s="6">
        <f t="shared" si="527"/>
        <v>527</v>
      </c>
      <c r="FB658" s="6">
        <f t="shared" si="527"/>
        <v>157</v>
      </c>
      <c r="FC658" s="6">
        <f t="shared" si="527"/>
        <v>2145</v>
      </c>
      <c r="FD658" s="6">
        <f t="shared" si="527"/>
        <v>1769</v>
      </c>
      <c r="FE658" s="6">
        <f t="shared" si="527"/>
        <v>5520</v>
      </c>
      <c r="FF658" s="6">
        <f t="shared" si="527"/>
        <v>1818</v>
      </c>
      <c r="FG658" s="6">
        <f t="shared" si="527"/>
        <v>6012</v>
      </c>
      <c r="FH658" s="6">
        <f t="shared" si="527"/>
        <v>1358</v>
      </c>
      <c r="FI658" s="6">
        <f t="shared" si="527"/>
        <v>0</v>
      </c>
      <c r="FJ658" s="6">
        <f t="shared" si="527"/>
        <v>0</v>
      </c>
      <c r="FK658" s="6">
        <f t="shared" si="527"/>
        <v>0</v>
      </c>
      <c r="FL658" s="6">
        <f t="shared" si="527"/>
        <v>0</v>
      </c>
      <c r="FM658" s="6">
        <f t="shared" si="527"/>
        <v>53</v>
      </c>
      <c r="FN658" s="6">
        <f t="shared" si="527"/>
        <v>144</v>
      </c>
      <c r="FO658" s="6">
        <f t="shared" si="527"/>
        <v>63</v>
      </c>
      <c r="FP658" s="6">
        <f t="shared" si="527"/>
        <v>132</v>
      </c>
      <c r="FQ658" s="6">
        <f t="shared" si="527"/>
        <v>53</v>
      </c>
      <c r="FR658" s="6">
        <f t="shared" si="527"/>
        <v>143</v>
      </c>
      <c r="FS658" s="6">
        <f t="shared" si="527"/>
        <v>62</v>
      </c>
      <c r="FT658" s="6">
        <f t="shared" si="527"/>
        <v>137</v>
      </c>
      <c r="FU658" s="6">
        <f t="shared" si="527"/>
        <v>64</v>
      </c>
      <c r="FV658" s="6">
        <f t="shared" si="527"/>
        <v>133</v>
      </c>
      <c r="FW658" s="6">
        <f t="shared" si="527"/>
        <v>76</v>
      </c>
      <c r="FX658" s="6">
        <f t="shared" si="527"/>
        <v>123</v>
      </c>
      <c r="FY658" s="6">
        <f t="shared" si="527"/>
        <v>91627</v>
      </c>
      <c r="FZ658" s="6">
        <f t="shared" si="527"/>
        <v>55511</v>
      </c>
      <c r="GA658" s="6">
        <f t="shared" si="527"/>
        <v>102</v>
      </c>
      <c r="GB658" s="6">
        <f t="shared" si="527"/>
        <v>65</v>
      </c>
      <c r="GC658" s="6">
        <f t="shared" si="527"/>
        <v>362</v>
      </c>
      <c r="GD658" s="6">
        <f t="shared" si="527"/>
        <v>233</v>
      </c>
      <c r="GE658" s="6">
        <f t="shared" si="527"/>
        <v>0</v>
      </c>
      <c r="GF658" s="6">
        <f t="shared" si="527"/>
        <v>0</v>
      </c>
      <c r="GG658" s="6">
        <f t="shared" si="527"/>
        <v>0</v>
      </c>
      <c r="GH658" s="6">
        <f t="shared" si="527"/>
        <v>0</v>
      </c>
      <c r="GI658" s="6">
        <f t="shared" si="527"/>
        <v>0</v>
      </c>
      <c r="GJ658" s="6">
        <f t="shared" si="527"/>
        <v>0</v>
      </c>
      <c r="GK658" s="6">
        <f t="shared" si="527"/>
        <v>0</v>
      </c>
      <c r="GL658" s="6">
        <f t="shared" si="527"/>
        <v>0</v>
      </c>
      <c r="GM658" s="6">
        <f t="shared" si="527"/>
        <v>0</v>
      </c>
      <c r="GN658" s="6">
        <f t="shared" si="527"/>
        <v>0</v>
      </c>
      <c r="GO658" s="6">
        <f t="shared" si="527"/>
        <v>111619</v>
      </c>
      <c r="GP658" s="6">
        <f t="shared" si="527"/>
        <v>44000</v>
      </c>
      <c r="GQ658" s="6">
        <f t="shared" si="527"/>
        <v>117457</v>
      </c>
      <c r="GR658" s="6">
        <f t="shared" si="527"/>
        <v>38479</v>
      </c>
    </row>
    <row r="659" spans="1:200">
      <c r="A659" s="6"/>
      <c r="B659" s="16" t="s">
        <v>99</v>
      </c>
      <c r="C659" s="17">
        <v>8399</v>
      </c>
      <c r="D659" s="17">
        <v>6368</v>
      </c>
      <c r="E659" s="15">
        <f t="shared" si="351"/>
        <v>0.75818549827360404</v>
      </c>
      <c r="F659" s="66">
        <f t="shared" ref="F659:AB659" si="528">SUM(F203:F206)+F496+F529+F533+F537+F538+F540</f>
        <v>3532</v>
      </c>
      <c r="G659" s="6">
        <f t="shared" si="528"/>
        <v>35</v>
      </c>
      <c r="H659" s="6">
        <f t="shared" si="528"/>
        <v>406</v>
      </c>
      <c r="I659" s="6">
        <f t="shared" si="528"/>
        <v>73</v>
      </c>
      <c r="J659" s="59">
        <f t="shared" si="528"/>
        <v>4257</v>
      </c>
      <c r="K659" s="6">
        <f t="shared" si="528"/>
        <v>0</v>
      </c>
      <c r="L659" s="6">
        <f t="shared" si="528"/>
        <v>0</v>
      </c>
      <c r="M659" s="6">
        <f t="shared" si="528"/>
        <v>3</v>
      </c>
      <c r="N659" s="6">
        <f t="shared" si="528"/>
        <v>0</v>
      </c>
      <c r="O659" s="6">
        <f t="shared" si="528"/>
        <v>0</v>
      </c>
      <c r="P659" s="6">
        <f t="shared" si="528"/>
        <v>0</v>
      </c>
      <c r="Q659" s="6">
        <f t="shared" si="528"/>
        <v>0</v>
      </c>
      <c r="R659" s="6">
        <f t="shared" si="528"/>
        <v>0</v>
      </c>
      <c r="S659" s="6">
        <f t="shared" si="528"/>
        <v>0</v>
      </c>
      <c r="T659" s="6">
        <f t="shared" si="528"/>
        <v>0</v>
      </c>
      <c r="U659" s="6">
        <f t="shared" si="528"/>
        <v>0</v>
      </c>
      <c r="V659" s="6">
        <f t="shared" si="528"/>
        <v>3</v>
      </c>
      <c r="W659" s="6">
        <f t="shared" si="528"/>
        <v>29</v>
      </c>
      <c r="X659" s="6">
        <f t="shared" si="528"/>
        <v>0</v>
      </c>
      <c r="Y659" s="6">
        <f t="shared" si="528"/>
        <v>0</v>
      </c>
      <c r="Z659" s="6">
        <f t="shared" si="528"/>
        <v>0</v>
      </c>
      <c r="AA659" s="6">
        <f t="shared" si="528"/>
        <v>0</v>
      </c>
      <c r="AB659" s="6">
        <f t="shared" si="528"/>
        <v>0</v>
      </c>
      <c r="AC659" s="6">
        <f t="shared" ref="AC659:BZ659" si="529">SUM(AC203:AC206)+AC496+AC529+AC533+AC537+AC538+AC540</f>
        <v>104</v>
      </c>
      <c r="AD659" s="6">
        <f t="shared" si="529"/>
        <v>174</v>
      </c>
      <c r="AE659" s="6">
        <f t="shared" si="529"/>
        <v>5252</v>
      </c>
      <c r="AF659" s="6">
        <f t="shared" si="529"/>
        <v>110</v>
      </c>
      <c r="AG659" s="6">
        <f t="shared" si="529"/>
        <v>0</v>
      </c>
      <c r="AH659" s="6">
        <f t="shared" si="529"/>
        <v>2580</v>
      </c>
      <c r="AI659" s="6">
        <f t="shared" si="529"/>
        <v>0</v>
      </c>
      <c r="AJ659" s="6">
        <f t="shared" si="529"/>
        <v>0</v>
      </c>
      <c r="AK659" s="6">
        <f t="shared" si="529"/>
        <v>0</v>
      </c>
      <c r="AL659" s="6">
        <f t="shared" si="529"/>
        <v>0</v>
      </c>
      <c r="AM659" s="6">
        <f t="shared" si="529"/>
        <v>222</v>
      </c>
      <c r="AN659" s="6">
        <f t="shared" si="529"/>
        <v>2683</v>
      </c>
      <c r="AO659" s="6">
        <f t="shared" si="529"/>
        <v>4998</v>
      </c>
      <c r="AP659" s="6">
        <f t="shared" si="529"/>
        <v>2684</v>
      </c>
      <c r="AQ659" s="6">
        <f t="shared" si="529"/>
        <v>4249</v>
      </c>
      <c r="AR659" s="6">
        <f t="shared" si="529"/>
        <v>0</v>
      </c>
      <c r="AS659" s="6">
        <f t="shared" si="529"/>
        <v>0</v>
      </c>
      <c r="AT659" s="6">
        <f t="shared" si="529"/>
        <v>4755</v>
      </c>
      <c r="AU659" s="6">
        <f t="shared" si="529"/>
        <v>2357</v>
      </c>
      <c r="AV659" s="6">
        <f t="shared" si="529"/>
        <v>0</v>
      </c>
      <c r="AW659" s="6">
        <f t="shared" si="529"/>
        <v>0</v>
      </c>
      <c r="AX659" s="6">
        <f t="shared" si="529"/>
        <v>0</v>
      </c>
      <c r="AY659" s="6">
        <f t="shared" si="529"/>
        <v>510</v>
      </c>
      <c r="AZ659" s="6">
        <f t="shared" si="529"/>
        <v>268</v>
      </c>
      <c r="BA659" s="6">
        <f t="shared" si="529"/>
        <v>0</v>
      </c>
      <c r="BB659" s="6">
        <f t="shared" si="529"/>
        <v>0</v>
      </c>
      <c r="BC659" s="6">
        <f t="shared" si="529"/>
        <v>0</v>
      </c>
      <c r="BD659" s="6">
        <f t="shared" si="529"/>
        <v>0</v>
      </c>
      <c r="BE659" s="6">
        <f t="shared" si="529"/>
        <v>3857</v>
      </c>
      <c r="BF659" s="6">
        <f t="shared" si="529"/>
        <v>3947</v>
      </c>
      <c r="BG659" s="6">
        <f t="shared" si="529"/>
        <v>4815</v>
      </c>
      <c r="BH659" s="6">
        <f t="shared" si="529"/>
        <v>3103</v>
      </c>
      <c r="BI659" s="6">
        <f t="shared" si="529"/>
        <v>5081</v>
      </c>
      <c r="BJ659" s="6">
        <f t="shared" si="529"/>
        <v>2765</v>
      </c>
      <c r="BK659" s="6">
        <f t="shared" si="529"/>
        <v>3501</v>
      </c>
      <c r="BL659" s="6">
        <f t="shared" si="529"/>
        <v>4359</v>
      </c>
      <c r="BM659" s="6">
        <f t="shared" si="529"/>
        <v>3626</v>
      </c>
      <c r="BN659" s="6">
        <f t="shared" si="529"/>
        <v>4167</v>
      </c>
      <c r="BO659" s="6">
        <f t="shared" si="529"/>
        <v>3020</v>
      </c>
      <c r="BP659" s="6">
        <f t="shared" si="529"/>
        <v>4636</v>
      </c>
      <c r="BQ659" s="6">
        <f t="shared" si="529"/>
        <v>5039</v>
      </c>
      <c r="BR659" s="6">
        <f t="shared" si="529"/>
        <v>2679</v>
      </c>
      <c r="BS659" s="6">
        <f t="shared" si="529"/>
        <v>5549</v>
      </c>
      <c r="BT659" s="6">
        <f t="shared" si="529"/>
        <v>3371</v>
      </c>
      <c r="BU659" s="6">
        <f t="shared" si="529"/>
        <v>4246</v>
      </c>
      <c r="BV659" s="6">
        <f t="shared" si="529"/>
        <v>5506</v>
      </c>
      <c r="BW659" s="6">
        <f t="shared" si="529"/>
        <v>3618</v>
      </c>
      <c r="BX659" s="6">
        <f t="shared" si="529"/>
        <v>2760</v>
      </c>
      <c r="BY659" s="6">
        <f t="shared" si="529"/>
        <v>4424</v>
      </c>
      <c r="BZ659" s="6">
        <f t="shared" si="529"/>
        <v>2463</v>
      </c>
      <c r="CA659" s="6">
        <f t="shared" ref="CA659:CP659" si="530">SUM(CA203:CA206)+CA496+CA529+CA533+CA537+CA538+CA540</f>
        <v>5009</v>
      </c>
      <c r="CB659" s="6">
        <f t="shared" si="530"/>
        <v>3477</v>
      </c>
      <c r="CC659" s="6">
        <f t="shared" si="530"/>
        <v>2671</v>
      </c>
      <c r="CD659" s="6">
        <f t="shared" si="530"/>
        <v>4865</v>
      </c>
      <c r="CE659" s="6">
        <f t="shared" si="530"/>
        <v>2646</v>
      </c>
      <c r="CF659" s="6">
        <f t="shared" si="530"/>
        <v>3734</v>
      </c>
      <c r="CG659" s="6">
        <f t="shared" si="530"/>
        <v>3776</v>
      </c>
      <c r="CH659" s="6">
        <f t="shared" si="530"/>
        <v>2242</v>
      </c>
      <c r="CI659" s="6">
        <f t="shared" si="530"/>
        <v>1647</v>
      </c>
      <c r="CJ659" s="6">
        <f t="shared" si="530"/>
        <v>4605</v>
      </c>
      <c r="CK659" s="6">
        <f t="shared" si="530"/>
        <v>3670</v>
      </c>
      <c r="CL659" s="6">
        <f t="shared" si="530"/>
        <v>2503</v>
      </c>
      <c r="CM659" s="6">
        <f t="shared" si="530"/>
        <v>4782</v>
      </c>
      <c r="CN659" s="6">
        <f t="shared" si="530"/>
        <v>4844</v>
      </c>
      <c r="CO659" s="6">
        <f t="shared" si="530"/>
        <v>2183</v>
      </c>
      <c r="CP659" s="6">
        <f t="shared" si="530"/>
        <v>3985</v>
      </c>
      <c r="CQ659" s="6">
        <f t="shared" ref="CQ659:EM659" si="531">SUM(CQ203:CQ206)+CQ496+CQ529+CQ533+CQ537+CQ538+CQ540</f>
        <v>0</v>
      </c>
      <c r="CR659" s="6">
        <f t="shared" si="531"/>
        <v>0</v>
      </c>
      <c r="CS659" s="6">
        <f t="shared" si="531"/>
        <v>0</v>
      </c>
      <c r="CT659" s="6">
        <f t="shared" si="531"/>
        <v>0</v>
      </c>
      <c r="CU659" s="6">
        <f t="shared" si="531"/>
        <v>1764</v>
      </c>
      <c r="CV659" s="6">
        <f t="shared" si="531"/>
        <v>1053</v>
      </c>
      <c r="CW659" s="6">
        <f t="shared" si="531"/>
        <v>0</v>
      </c>
      <c r="CX659" s="6">
        <f t="shared" si="531"/>
        <v>0</v>
      </c>
      <c r="CY659" s="6">
        <f t="shared" si="531"/>
        <v>0</v>
      </c>
      <c r="CZ659" s="6">
        <f t="shared" si="531"/>
        <v>0</v>
      </c>
      <c r="DA659" s="6">
        <f t="shared" si="531"/>
        <v>0</v>
      </c>
      <c r="DB659" s="6">
        <f t="shared" si="531"/>
        <v>0</v>
      </c>
      <c r="DC659" s="6">
        <f t="shared" si="531"/>
        <v>0</v>
      </c>
      <c r="DD659" s="6">
        <f t="shared" si="531"/>
        <v>0</v>
      </c>
      <c r="DE659" s="6">
        <f t="shared" si="531"/>
        <v>0</v>
      </c>
      <c r="DF659" s="6">
        <f t="shared" si="531"/>
        <v>0</v>
      </c>
      <c r="DG659" s="6">
        <f t="shared" si="531"/>
        <v>0</v>
      </c>
      <c r="DH659" s="6">
        <f t="shared" si="531"/>
        <v>0</v>
      </c>
      <c r="DI659" s="6">
        <f t="shared" si="531"/>
        <v>0</v>
      </c>
      <c r="DJ659" s="6">
        <f t="shared" si="531"/>
        <v>0</v>
      </c>
      <c r="DK659" s="6">
        <f t="shared" si="531"/>
        <v>0</v>
      </c>
      <c r="DL659" s="6">
        <f t="shared" si="531"/>
        <v>0</v>
      </c>
      <c r="DM659" s="6">
        <f t="shared" si="531"/>
        <v>0</v>
      </c>
      <c r="DN659" s="6">
        <f t="shared" si="531"/>
        <v>0</v>
      </c>
      <c r="DO659" s="6">
        <f t="shared" si="531"/>
        <v>0</v>
      </c>
      <c r="DP659" s="6">
        <f t="shared" si="531"/>
        <v>0</v>
      </c>
      <c r="DQ659" s="6">
        <f t="shared" si="531"/>
        <v>0</v>
      </c>
      <c r="DR659" s="6">
        <f t="shared" si="531"/>
        <v>0</v>
      </c>
      <c r="DS659" s="6">
        <f t="shared" si="531"/>
        <v>0</v>
      </c>
      <c r="DT659" s="6">
        <f t="shared" si="531"/>
        <v>0</v>
      </c>
      <c r="DU659" s="6">
        <f t="shared" si="531"/>
        <v>0</v>
      </c>
      <c r="DV659" s="6">
        <f t="shared" si="531"/>
        <v>0</v>
      </c>
      <c r="DW659" s="6">
        <f t="shared" si="531"/>
        <v>0</v>
      </c>
      <c r="DX659" s="6">
        <f t="shared" si="531"/>
        <v>0</v>
      </c>
      <c r="DY659" s="6">
        <f t="shared" ref="DY659:DZ659" si="532">SUM(DY203:DY206)+DY496+DY529+DY533+DY537+DY538+DY540</f>
        <v>0</v>
      </c>
      <c r="DZ659" s="6">
        <f t="shared" si="532"/>
        <v>0</v>
      </c>
      <c r="EA659" s="6">
        <f t="shared" si="531"/>
        <v>0</v>
      </c>
      <c r="EB659" s="6">
        <f t="shared" si="531"/>
        <v>0</v>
      </c>
      <c r="EC659" s="6">
        <f t="shared" si="531"/>
        <v>0</v>
      </c>
      <c r="ED659" s="6">
        <f t="shared" si="531"/>
        <v>0</v>
      </c>
      <c r="EE659" s="6">
        <f t="shared" si="531"/>
        <v>0</v>
      </c>
      <c r="EF659" s="6">
        <f t="shared" si="531"/>
        <v>0</v>
      </c>
      <c r="EG659" s="6">
        <f t="shared" si="531"/>
        <v>0</v>
      </c>
      <c r="EH659" s="6">
        <f t="shared" si="531"/>
        <v>0</v>
      </c>
      <c r="EI659" s="6">
        <f t="shared" si="531"/>
        <v>0</v>
      </c>
      <c r="EJ659" s="6">
        <f t="shared" si="531"/>
        <v>0</v>
      </c>
      <c r="EK659" s="6">
        <f t="shared" si="531"/>
        <v>0</v>
      </c>
      <c r="EL659" s="6">
        <f t="shared" si="531"/>
        <v>0</v>
      </c>
      <c r="EM659" s="6">
        <f t="shared" si="531"/>
        <v>0</v>
      </c>
      <c r="EN659" s="6">
        <f t="shared" ref="EN659:GR659" si="533">SUM(EN203:EN206)+EN496+EN529+EN533+EN537+EN538+EN540</f>
        <v>0</v>
      </c>
      <c r="EO659" s="6">
        <f t="shared" si="533"/>
        <v>0</v>
      </c>
      <c r="EP659" s="6">
        <f t="shared" si="533"/>
        <v>0</v>
      </c>
      <c r="EQ659" s="6">
        <f t="shared" si="533"/>
        <v>0</v>
      </c>
      <c r="ER659" s="6">
        <f t="shared" si="533"/>
        <v>0</v>
      </c>
      <c r="ES659" s="6">
        <f t="shared" si="533"/>
        <v>0</v>
      </c>
      <c r="ET659" s="6">
        <f t="shared" si="533"/>
        <v>0</v>
      </c>
      <c r="EU659" s="6">
        <f t="shared" si="533"/>
        <v>0</v>
      </c>
      <c r="EV659" s="6">
        <f t="shared" si="533"/>
        <v>0</v>
      </c>
      <c r="EW659" s="6">
        <f t="shared" si="533"/>
        <v>0</v>
      </c>
      <c r="EX659" s="6">
        <f t="shared" si="533"/>
        <v>0</v>
      </c>
      <c r="EY659" s="6">
        <f t="shared" si="533"/>
        <v>0</v>
      </c>
      <c r="EZ659" s="6">
        <f t="shared" si="533"/>
        <v>0</v>
      </c>
      <c r="FA659" s="6">
        <f t="shared" si="533"/>
        <v>0</v>
      </c>
      <c r="FB659" s="6">
        <f t="shared" si="533"/>
        <v>0</v>
      </c>
      <c r="FC659" s="6">
        <f t="shared" si="533"/>
        <v>0</v>
      </c>
      <c r="FD659" s="6">
        <f t="shared" si="533"/>
        <v>0</v>
      </c>
      <c r="FE659" s="6">
        <f t="shared" si="533"/>
        <v>0</v>
      </c>
      <c r="FF659" s="6">
        <f t="shared" si="533"/>
        <v>0</v>
      </c>
      <c r="FG659" s="6">
        <f t="shared" si="533"/>
        <v>0</v>
      </c>
      <c r="FH659" s="6">
        <f t="shared" si="533"/>
        <v>0</v>
      </c>
      <c r="FI659" s="6">
        <f t="shared" si="533"/>
        <v>0</v>
      </c>
      <c r="FJ659" s="6">
        <f t="shared" si="533"/>
        <v>0</v>
      </c>
      <c r="FK659" s="6">
        <f t="shared" si="533"/>
        <v>0</v>
      </c>
      <c r="FL659" s="6">
        <f t="shared" si="533"/>
        <v>0</v>
      </c>
      <c r="FM659" s="6">
        <f t="shared" si="533"/>
        <v>0</v>
      </c>
      <c r="FN659" s="6">
        <f t="shared" si="533"/>
        <v>0</v>
      </c>
      <c r="FO659" s="6">
        <f t="shared" si="533"/>
        <v>0</v>
      </c>
      <c r="FP659" s="6">
        <f t="shared" si="533"/>
        <v>0</v>
      </c>
      <c r="FQ659" s="6">
        <f t="shared" si="533"/>
        <v>0</v>
      </c>
      <c r="FR659" s="6">
        <f t="shared" si="533"/>
        <v>0</v>
      </c>
      <c r="FS659" s="6">
        <f t="shared" si="533"/>
        <v>0</v>
      </c>
      <c r="FT659" s="6">
        <f t="shared" si="533"/>
        <v>0</v>
      </c>
      <c r="FU659" s="6">
        <f t="shared" si="533"/>
        <v>0</v>
      </c>
      <c r="FV659" s="6">
        <f t="shared" si="533"/>
        <v>0</v>
      </c>
      <c r="FW659" s="6">
        <f t="shared" si="533"/>
        <v>0</v>
      </c>
      <c r="FX659" s="6">
        <f t="shared" si="533"/>
        <v>0</v>
      </c>
      <c r="FY659" s="6">
        <f t="shared" si="533"/>
        <v>359</v>
      </c>
      <c r="FZ659" s="6">
        <f t="shared" si="533"/>
        <v>258</v>
      </c>
      <c r="GA659" s="6">
        <f t="shared" si="533"/>
        <v>3693</v>
      </c>
      <c r="GB659" s="6">
        <f t="shared" si="533"/>
        <v>2397</v>
      </c>
      <c r="GC659" s="6">
        <f t="shared" si="533"/>
        <v>0</v>
      </c>
      <c r="GD659" s="6">
        <f t="shared" si="533"/>
        <v>0</v>
      </c>
      <c r="GE659" s="6">
        <f t="shared" si="533"/>
        <v>0</v>
      </c>
      <c r="GF659" s="6">
        <f t="shared" si="533"/>
        <v>0</v>
      </c>
      <c r="GG659" s="6">
        <f t="shared" si="533"/>
        <v>0</v>
      </c>
      <c r="GH659" s="6">
        <f t="shared" si="533"/>
        <v>0</v>
      </c>
      <c r="GI659" s="6">
        <f t="shared" si="533"/>
        <v>0</v>
      </c>
      <c r="GJ659" s="6">
        <f t="shared" si="533"/>
        <v>0</v>
      </c>
      <c r="GK659" s="6">
        <f t="shared" si="533"/>
        <v>0</v>
      </c>
      <c r="GL659" s="6">
        <f t="shared" si="533"/>
        <v>0</v>
      </c>
      <c r="GM659" s="6">
        <f t="shared" si="533"/>
        <v>0</v>
      </c>
      <c r="GN659" s="6">
        <f t="shared" si="533"/>
        <v>0</v>
      </c>
      <c r="GO659" s="6">
        <f t="shared" si="533"/>
        <v>5591</v>
      </c>
      <c r="GP659" s="6">
        <f t="shared" si="533"/>
        <v>2501</v>
      </c>
      <c r="GQ659" s="6">
        <f t="shared" si="533"/>
        <v>5611</v>
      </c>
      <c r="GR659" s="6">
        <f t="shared" si="533"/>
        <v>2492</v>
      </c>
    </row>
    <row r="660" spans="1:200">
      <c r="A660" s="6"/>
      <c r="B660" s="16" t="s">
        <v>100</v>
      </c>
      <c r="C660" s="17">
        <v>11044</v>
      </c>
      <c r="D660" s="17">
        <v>8454</v>
      </c>
      <c r="E660" s="15">
        <f t="shared" si="351"/>
        <v>0.76548352046360013</v>
      </c>
      <c r="F660" s="66">
        <f>SUM(F226:F231)+F242+SUM(F388:F389)+SUM(F531:F534)+F537+F539+SUM(F541:F542)</f>
        <v>4494</v>
      </c>
      <c r="G660" s="6">
        <f>SUM(G226:G231)+G242+SUM(G388:G389)+SUM(G531:G534)+G537+G539+SUM(G541:G542)</f>
        <v>20</v>
      </c>
      <c r="H660" s="6">
        <f>SUM(H226:H231)+H242+SUM(H388:H389)+SUM(H531:H534)+H537+H539+SUM(H541:H542)</f>
        <v>366</v>
      </c>
      <c r="I660" s="6">
        <f>SUM(I226:I231)+I242+SUM(I388:I389)+SUM(I531:I534)+I537+I539+SUM(I541:I542)</f>
        <v>66</v>
      </c>
      <c r="J660" s="59">
        <f>SUM(J226:J231)+J242+SUM(J388:J389)+SUM(J531:J534)+J537+J539+SUM(J541:J542)</f>
        <v>5737</v>
      </c>
      <c r="K660" s="6">
        <f t="shared" ref="K660" si="534">SUM(K226:K231)+K242+SUM(K388:K389)+SUM(K531:K534)+K537+K539+SUM(K541:K542)</f>
        <v>0</v>
      </c>
      <c r="L660" s="6">
        <f t="shared" ref="L660:AB660" si="535">SUM(L226:L231)+L242+SUM(L388:L389)+SUM(L531:L534)+L537+L539+SUM(L541:L542)</f>
        <v>0</v>
      </c>
      <c r="M660" s="6">
        <f t="shared" si="535"/>
        <v>5</v>
      </c>
      <c r="N660" s="6">
        <f t="shared" si="535"/>
        <v>0</v>
      </c>
      <c r="O660" s="6">
        <f t="shared" si="535"/>
        <v>1</v>
      </c>
      <c r="P660" s="6">
        <f t="shared" si="535"/>
        <v>0</v>
      </c>
      <c r="Q660" s="6">
        <f t="shared" si="535"/>
        <v>0</v>
      </c>
      <c r="R660" s="6">
        <f t="shared" si="535"/>
        <v>0</v>
      </c>
      <c r="S660" s="6">
        <f t="shared" si="535"/>
        <v>0</v>
      </c>
      <c r="T660" s="6">
        <f t="shared" si="535"/>
        <v>0</v>
      </c>
      <c r="U660" s="6">
        <f t="shared" si="535"/>
        <v>0</v>
      </c>
      <c r="V660" s="6">
        <f t="shared" si="535"/>
        <v>2</v>
      </c>
      <c r="W660" s="6">
        <f t="shared" si="535"/>
        <v>67</v>
      </c>
      <c r="X660" s="6">
        <f t="shared" si="535"/>
        <v>0</v>
      </c>
      <c r="Y660" s="6">
        <f t="shared" si="535"/>
        <v>1</v>
      </c>
      <c r="Z660" s="6">
        <f t="shared" si="535"/>
        <v>0</v>
      </c>
      <c r="AA660" s="6">
        <f t="shared" si="535"/>
        <v>0</v>
      </c>
      <c r="AB660" s="6">
        <f t="shared" si="535"/>
        <v>0</v>
      </c>
      <c r="AC660" s="6">
        <f t="shared" ref="AC660:BZ660" si="536">SUM(AC226:AC231)+AC242+SUM(AC388:AC389)+SUM(AC531:AC534)+AC537+AC539+SUM(AC541:AC542)</f>
        <v>62</v>
      </c>
      <c r="AD660" s="6">
        <f t="shared" si="536"/>
        <v>110</v>
      </c>
      <c r="AE660" s="6">
        <f t="shared" si="536"/>
        <v>7734</v>
      </c>
      <c r="AF660" s="6">
        <f t="shared" si="536"/>
        <v>66</v>
      </c>
      <c r="AG660" s="6">
        <f t="shared" si="536"/>
        <v>0</v>
      </c>
      <c r="AH660" s="6">
        <f t="shared" si="536"/>
        <v>2845</v>
      </c>
      <c r="AI660" s="6">
        <f t="shared" si="536"/>
        <v>3503</v>
      </c>
      <c r="AJ660" s="6">
        <f t="shared" si="536"/>
        <v>0</v>
      </c>
      <c r="AK660" s="6">
        <f t="shared" si="536"/>
        <v>0</v>
      </c>
      <c r="AL660" s="6">
        <f t="shared" si="536"/>
        <v>1555</v>
      </c>
      <c r="AM660" s="6">
        <f t="shared" si="536"/>
        <v>159</v>
      </c>
      <c r="AN660" s="6">
        <f t="shared" si="536"/>
        <v>1697</v>
      </c>
      <c r="AO660" s="6">
        <f t="shared" si="536"/>
        <v>3668</v>
      </c>
      <c r="AP660" s="6">
        <f t="shared" si="536"/>
        <v>2038</v>
      </c>
      <c r="AQ660" s="6">
        <f t="shared" si="536"/>
        <v>3300</v>
      </c>
      <c r="AR660" s="6">
        <f t="shared" si="536"/>
        <v>3570</v>
      </c>
      <c r="AS660" s="6">
        <f t="shared" si="536"/>
        <v>1328</v>
      </c>
      <c r="AT660" s="6">
        <f t="shared" si="536"/>
        <v>3603</v>
      </c>
      <c r="AU660" s="6">
        <f t="shared" si="536"/>
        <v>1867</v>
      </c>
      <c r="AV660" s="6">
        <f t="shared" si="536"/>
        <v>0</v>
      </c>
      <c r="AW660" s="6">
        <f t="shared" si="536"/>
        <v>0</v>
      </c>
      <c r="AX660" s="6">
        <f t="shared" si="536"/>
        <v>0</v>
      </c>
      <c r="AY660" s="6">
        <f t="shared" si="536"/>
        <v>0</v>
      </c>
      <c r="AZ660" s="6">
        <f t="shared" si="536"/>
        <v>0</v>
      </c>
      <c r="BA660" s="6">
        <f t="shared" si="536"/>
        <v>0</v>
      </c>
      <c r="BB660" s="6">
        <f t="shared" si="536"/>
        <v>0</v>
      </c>
      <c r="BC660" s="6">
        <f t="shared" si="536"/>
        <v>0</v>
      </c>
      <c r="BD660" s="6">
        <f t="shared" si="536"/>
        <v>0</v>
      </c>
      <c r="BE660" s="6">
        <f t="shared" si="536"/>
        <v>6084</v>
      </c>
      <c r="BF660" s="6">
        <f t="shared" si="536"/>
        <v>4287</v>
      </c>
      <c r="BG660" s="6">
        <f t="shared" si="536"/>
        <v>6838</v>
      </c>
      <c r="BH660" s="6">
        <f t="shared" si="536"/>
        <v>3641</v>
      </c>
      <c r="BI660" s="6">
        <f t="shared" si="536"/>
        <v>7305</v>
      </c>
      <c r="BJ660" s="6">
        <f t="shared" si="536"/>
        <v>2994</v>
      </c>
      <c r="BK660" s="6">
        <f t="shared" si="536"/>
        <v>4129</v>
      </c>
      <c r="BL660" s="6">
        <f t="shared" si="536"/>
        <v>6233</v>
      </c>
      <c r="BM660" s="6">
        <f t="shared" si="536"/>
        <v>5880</v>
      </c>
      <c r="BN660" s="6">
        <f t="shared" si="536"/>
        <v>4334</v>
      </c>
      <c r="BO660" s="6">
        <f t="shared" si="536"/>
        <v>3418</v>
      </c>
      <c r="BP660" s="6">
        <f t="shared" si="536"/>
        <v>6706</v>
      </c>
      <c r="BQ660" s="6">
        <f t="shared" si="536"/>
        <v>7495</v>
      </c>
      <c r="BR660" s="6">
        <f t="shared" si="536"/>
        <v>2767</v>
      </c>
      <c r="BS660" s="6">
        <f t="shared" si="536"/>
        <v>7685</v>
      </c>
      <c r="BT660" s="6">
        <f t="shared" si="536"/>
        <v>4753</v>
      </c>
      <c r="BU660" s="6">
        <f t="shared" si="536"/>
        <v>5421</v>
      </c>
      <c r="BV660" s="6">
        <f t="shared" si="536"/>
        <v>7544</v>
      </c>
      <c r="BW660" s="6">
        <f t="shared" si="536"/>
        <v>5784</v>
      </c>
      <c r="BX660" s="6">
        <f t="shared" si="536"/>
        <v>2780</v>
      </c>
      <c r="BY660" s="6">
        <f t="shared" si="536"/>
        <v>6099</v>
      </c>
      <c r="BZ660" s="6">
        <f t="shared" si="536"/>
        <v>3114</v>
      </c>
      <c r="CA660" s="6">
        <f t="shared" ref="CA660:CP660" si="537">SUM(CA226:CA231)+CA242+SUM(CA388:CA389)+SUM(CA531:CA534)+CA537+CA539+SUM(CA541:CA542)</f>
        <v>6944</v>
      </c>
      <c r="CB660" s="6">
        <f t="shared" si="537"/>
        <v>5453</v>
      </c>
      <c r="CC660" s="6">
        <f t="shared" si="537"/>
        <v>2980</v>
      </c>
      <c r="CD660" s="6">
        <f t="shared" si="537"/>
        <v>6096</v>
      </c>
      <c r="CE660" s="6">
        <f t="shared" si="537"/>
        <v>3180</v>
      </c>
      <c r="CF660" s="6">
        <f t="shared" si="537"/>
        <v>5478</v>
      </c>
      <c r="CG660" s="6">
        <f t="shared" si="537"/>
        <v>5934</v>
      </c>
      <c r="CH660" s="6">
        <f t="shared" si="537"/>
        <v>2366</v>
      </c>
      <c r="CI660" s="6">
        <f t="shared" si="537"/>
        <v>1757</v>
      </c>
      <c r="CJ660" s="6">
        <f t="shared" si="537"/>
        <v>6557</v>
      </c>
      <c r="CK660" s="6">
        <f t="shared" si="537"/>
        <v>5499</v>
      </c>
      <c r="CL660" s="6">
        <f t="shared" si="537"/>
        <v>2676</v>
      </c>
      <c r="CM660" s="6">
        <f t="shared" si="537"/>
        <v>6579</v>
      </c>
      <c r="CN660" s="6">
        <f t="shared" si="537"/>
        <v>6626</v>
      </c>
      <c r="CO660" s="6">
        <f t="shared" si="537"/>
        <v>2287</v>
      </c>
      <c r="CP660" s="6">
        <f t="shared" si="537"/>
        <v>6043</v>
      </c>
      <c r="CQ660" s="6">
        <f t="shared" ref="CQ660:EM660" si="538">SUM(CQ226:CQ231)+CQ242+SUM(CQ388:CQ389)+SUM(CQ531:CQ534)+CQ537+CQ539+SUM(CQ541:CQ542)</f>
        <v>0</v>
      </c>
      <c r="CR660" s="6">
        <f t="shared" si="538"/>
        <v>0</v>
      </c>
      <c r="CS660" s="6">
        <f t="shared" si="538"/>
        <v>0</v>
      </c>
      <c r="CT660" s="6">
        <f t="shared" si="538"/>
        <v>0</v>
      </c>
      <c r="CU660" s="6">
        <f t="shared" si="538"/>
        <v>0</v>
      </c>
      <c r="CV660" s="6">
        <f t="shared" si="538"/>
        <v>0</v>
      </c>
      <c r="CW660" s="6">
        <f t="shared" si="538"/>
        <v>0</v>
      </c>
      <c r="CX660" s="6">
        <f t="shared" si="538"/>
        <v>0</v>
      </c>
      <c r="CY660" s="6">
        <f t="shared" si="538"/>
        <v>0</v>
      </c>
      <c r="CZ660" s="6">
        <f t="shared" si="538"/>
        <v>0</v>
      </c>
      <c r="DA660" s="6">
        <f t="shared" si="538"/>
        <v>0</v>
      </c>
      <c r="DB660" s="6">
        <f t="shared" si="538"/>
        <v>0</v>
      </c>
      <c r="DC660" s="6">
        <f t="shared" si="538"/>
        <v>0</v>
      </c>
      <c r="DD660" s="6">
        <f t="shared" si="538"/>
        <v>0</v>
      </c>
      <c r="DE660" s="6">
        <f t="shared" si="538"/>
        <v>0</v>
      </c>
      <c r="DF660" s="6">
        <f t="shared" si="538"/>
        <v>0</v>
      </c>
      <c r="DG660" s="6">
        <f t="shared" si="538"/>
        <v>0</v>
      </c>
      <c r="DH660" s="6">
        <f t="shared" si="538"/>
        <v>0</v>
      </c>
      <c r="DI660" s="6">
        <f t="shared" si="538"/>
        <v>0</v>
      </c>
      <c r="DJ660" s="6">
        <f t="shared" si="538"/>
        <v>0</v>
      </c>
      <c r="DK660" s="6">
        <f t="shared" si="538"/>
        <v>0</v>
      </c>
      <c r="DL660" s="6">
        <f t="shared" si="538"/>
        <v>0</v>
      </c>
      <c r="DM660" s="6">
        <f t="shared" si="538"/>
        <v>0</v>
      </c>
      <c r="DN660" s="6">
        <f t="shared" si="538"/>
        <v>0</v>
      </c>
      <c r="DO660" s="6">
        <f t="shared" si="538"/>
        <v>0</v>
      </c>
      <c r="DP660" s="6">
        <f t="shared" si="538"/>
        <v>0</v>
      </c>
      <c r="DQ660" s="6">
        <f t="shared" si="538"/>
        <v>0</v>
      </c>
      <c r="DR660" s="6">
        <f t="shared" si="538"/>
        <v>0</v>
      </c>
      <c r="DS660" s="6">
        <f t="shared" si="538"/>
        <v>0</v>
      </c>
      <c r="DT660" s="6">
        <f t="shared" si="538"/>
        <v>0</v>
      </c>
      <c r="DU660" s="6">
        <f t="shared" si="538"/>
        <v>0</v>
      </c>
      <c r="DV660" s="6">
        <f t="shared" si="538"/>
        <v>0</v>
      </c>
      <c r="DW660" s="6">
        <f t="shared" si="538"/>
        <v>0</v>
      </c>
      <c r="DX660" s="6">
        <f t="shared" si="538"/>
        <v>0</v>
      </c>
      <c r="DY660" s="6">
        <f t="shared" ref="DY660:DZ660" si="539">SUM(DY226:DY231)+DY242+SUM(DY388:DY389)+SUM(DY531:DY534)+DY537+DY539+SUM(DY541:DY542)</f>
        <v>0</v>
      </c>
      <c r="DZ660" s="6">
        <f t="shared" si="539"/>
        <v>0</v>
      </c>
      <c r="EA660" s="6">
        <f t="shared" si="538"/>
        <v>0</v>
      </c>
      <c r="EB660" s="6">
        <f t="shared" si="538"/>
        <v>0</v>
      </c>
      <c r="EC660" s="6">
        <f t="shared" si="538"/>
        <v>0</v>
      </c>
      <c r="ED660" s="6">
        <f t="shared" si="538"/>
        <v>0</v>
      </c>
      <c r="EE660" s="6">
        <f t="shared" si="538"/>
        <v>0</v>
      </c>
      <c r="EF660" s="6">
        <f t="shared" si="538"/>
        <v>0</v>
      </c>
      <c r="EG660" s="6">
        <f t="shared" si="538"/>
        <v>0</v>
      </c>
      <c r="EH660" s="6">
        <f t="shared" si="538"/>
        <v>0</v>
      </c>
      <c r="EI660" s="6">
        <f t="shared" si="538"/>
        <v>0</v>
      </c>
      <c r="EJ660" s="6">
        <f t="shared" si="538"/>
        <v>0</v>
      </c>
      <c r="EK660" s="6">
        <f t="shared" si="538"/>
        <v>0</v>
      </c>
      <c r="EL660" s="6">
        <f t="shared" si="538"/>
        <v>0</v>
      </c>
      <c r="EM660" s="6">
        <f t="shared" si="538"/>
        <v>0</v>
      </c>
      <c r="EN660" s="6">
        <f t="shared" ref="EN660:GR660" si="540">SUM(EN226:EN231)+EN242+SUM(EN388:EN389)+SUM(EN531:EN534)+EN537+EN539+SUM(EN541:EN542)</f>
        <v>0</v>
      </c>
      <c r="EO660" s="6">
        <f t="shared" si="540"/>
        <v>0</v>
      </c>
      <c r="EP660" s="6">
        <f t="shared" si="540"/>
        <v>0</v>
      </c>
      <c r="EQ660" s="6">
        <f t="shared" si="540"/>
        <v>0</v>
      </c>
      <c r="ER660" s="6">
        <f t="shared" si="540"/>
        <v>0</v>
      </c>
      <c r="ES660" s="6">
        <f t="shared" si="540"/>
        <v>0</v>
      </c>
      <c r="ET660" s="6">
        <f t="shared" si="540"/>
        <v>0</v>
      </c>
      <c r="EU660" s="6">
        <f t="shared" si="540"/>
        <v>0</v>
      </c>
      <c r="EV660" s="6">
        <f t="shared" si="540"/>
        <v>0</v>
      </c>
      <c r="EW660" s="6">
        <f t="shared" si="540"/>
        <v>0</v>
      </c>
      <c r="EX660" s="6">
        <f t="shared" si="540"/>
        <v>0</v>
      </c>
      <c r="EY660" s="6">
        <f t="shared" si="540"/>
        <v>0</v>
      </c>
      <c r="EZ660" s="6">
        <f t="shared" si="540"/>
        <v>0</v>
      </c>
      <c r="FA660" s="6">
        <f t="shared" si="540"/>
        <v>0</v>
      </c>
      <c r="FB660" s="6">
        <f t="shared" si="540"/>
        <v>0</v>
      </c>
      <c r="FC660" s="6">
        <f t="shared" si="540"/>
        <v>0</v>
      </c>
      <c r="FD660" s="6">
        <f t="shared" si="540"/>
        <v>0</v>
      </c>
      <c r="FE660" s="6">
        <f t="shared" si="540"/>
        <v>0</v>
      </c>
      <c r="FF660" s="6">
        <f t="shared" si="540"/>
        <v>0</v>
      </c>
      <c r="FG660" s="6">
        <f t="shared" si="540"/>
        <v>0</v>
      </c>
      <c r="FH660" s="6">
        <f t="shared" si="540"/>
        <v>0</v>
      </c>
      <c r="FI660" s="6">
        <f t="shared" si="540"/>
        <v>0</v>
      </c>
      <c r="FJ660" s="6">
        <f t="shared" si="540"/>
        <v>0</v>
      </c>
      <c r="FK660" s="6">
        <f t="shared" si="540"/>
        <v>0</v>
      </c>
      <c r="FL660" s="6">
        <f t="shared" si="540"/>
        <v>0</v>
      </c>
      <c r="FM660" s="6">
        <f t="shared" si="540"/>
        <v>0</v>
      </c>
      <c r="FN660" s="6">
        <f t="shared" si="540"/>
        <v>0</v>
      </c>
      <c r="FO660" s="6">
        <f t="shared" si="540"/>
        <v>0</v>
      </c>
      <c r="FP660" s="6">
        <f t="shared" si="540"/>
        <v>0</v>
      </c>
      <c r="FQ660" s="6">
        <f t="shared" si="540"/>
        <v>0</v>
      </c>
      <c r="FR660" s="6">
        <f t="shared" si="540"/>
        <v>0</v>
      </c>
      <c r="FS660" s="6">
        <f t="shared" si="540"/>
        <v>0</v>
      </c>
      <c r="FT660" s="6">
        <f t="shared" si="540"/>
        <v>0</v>
      </c>
      <c r="FU660" s="6">
        <f t="shared" si="540"/>
        <v>0</v>
      </c>
      <c r="FV660" s="6">
        <f t="shared" si="540"/>
        <v>0</v>
      </c>
      <c r="FW660" s="6">
        <f t="shared" si="540"/>
        <v>0</v>
      </c>
      <c r="FX660" s="6">
        <f t="shared" si="540"/>
        <v>0</v>
      </c>
      <c r="FY660" s="6">
        <f t="shared" si="540"/>
        <v>188</v>
      </c>
      <c r="FZ660" s="6">
        <f t="shared" si="540"/>
        <v>175</v>
      </c>
      <c r="GA660" s="6">
        <f t="shared" si="540"/>
        <v>171</v>
      </c>
      <c r="GB660" s="6">
        <f t="shared" si="540"/>
        <v>95</v>
      </c>
      <c r="GC660" s="6">
        <f t="shared" si="540"/>
        <v>614</v>
      </c>
      <c r="GD660" s="6">
        <f t="shared" si="540"/>
        <v>373</v>
      </c>
      <c r="GE660" s="6">
        <f t="shared" si="540"/>
        <v>0</v>
      </c>
      <c r="GF660" s="6">
        <f t="shared" si="540"/>
        <v>0</v>
      </c>
      <c r="GG660" s="6">
        <f t="shared" si="540"/>
        <v>0</v>
      </c>
      <c r="GH660" s="6">
        <f t="shared" si="540"/>
        <v>0</v>
      </c>
      <c r="GI660" s="6">
        <f t="shared" si="540"/>
        <v>322</v>
      </c>
      <c r="GJ660" s="6">
        <f t="shared" si="540"/>
        <v>214</v>
      </c>
      <c r="GK660" s="6">
        <f t="shared" si="540"/>
        <v>0</v>
      </c>
      <c r="GL660" s="6">
        <f t="shared" si="540"/>
        <v>0</v>
      </c>
      <c r="GM660" s="6">
        <f t="shared" si="540"/>
        <v>0</v>
      </c>
      <c r="GN660" s="6">
        <f t="shared" si="540"/>
        <v>0</v>
      </c>
      <c r="GO660" s="6">
        <f t="shared" si="540"/>
        <v>7819</v>
      </c>
      <c r="GP660" s="6">
        <f t="shared" si="540"/>
        <v>2699</v>
      </c>
      <c r="GQ660" s="6">
        <f t="shared" si="540"/>
        <v>8010</v>
      </c>
      <c r="GR660" s="6">
        <f t="shared" si="540"/>
        <v>2491</v>
      </c>
    </row>
    <row r="661" spans="1:200">
      <c r="A661" s="32"/>
      <c r="B661" s="16" t="s">
        <v>101</v>
      </c>
      <c r="C661" s="17">
        <v>10281</v>
      </c>
      <c r="D661" s="17">
        <v>7958</v>
      </c>
      <c r="E661" s="15">
        <f t="shared" si="351"/>
        <v>0.77404921700223717</v>
      </c>
      <c r="F661" s="66">
        <f>SUM(F232:F238)+F543+F545+F548+SUM(F550:F552)</f>
        <v>3412</v>
      </c>
      <c r="G661" s="6">
        <f>SUM(G232:G238)+G543+G545+G548+SUM(G550:G552)</f>
        <v>18</v>
      </c>
      <c r="H661" s="6">
        <f>SUM(H232:H238)+H543+H545+H548+SUM(H550:H552)</f>
        <v>347</v>
      </c>
      <c r="I661" s="6">
        <f>SUM(I232:I238)+I543+I545+I548+SUM(I550:I552)</f>
        <v>61</v>
      </c>
      <c r="J661" s="59">
        <f>SUM(J232:J238)+J543+J545+J548+SUM(J550:J552)</f>
        <v>5161</v>
      </c>
      <c r="K661" s="6">
        <f t="shared" ref="K661" si="541">SUM(K232:K238)+K543+K545+K548+SUM(K550:K552)</f>
        <v>0</v>
      </c>
      <c r="L661" s="6">
        <f t="shared" ref="L661:AB661" si="542">SUM(L232:L238)+L543+L545+L548+SUM(L550:L552)</f>
        <v>0</v>
      </c>
      <c r="M661" s="6">
        <f t="shared" si="542"/>
        <v>2</v>
      </c>
      <c r="N661" s="6">
        <f t="shared" si="542"/>
        <v>0</v>
      </c>
      <c r="O661" s="6">
        <f t="shared" si="542"/>
        <v>0</v>
      </c>
      <c r="P661" s="6">
        <f t="shared" si="542"/>
        <v>0</v>
      </c>
      <c r="Q661" s="6">
        <f t="shared" si="542"/>
        <v>0</v>
      </c>
      <c r="R661" s="6">
        <f t="shared" si="542"/>
        <v>0</v>
      </c>
      <c r="S661" s="6">
        <f t="shared" si="542"/>
        <v>0</v>
      </c>
      <c r="T661" s="6">
        <f t="shared" si="542"/>
        <v>0</v>
      </c>
      <c r="U661" s="6">
        <f t="shared" si="542"/>
        <v>0</v>
      </c>
      <c r="V661" s="6">
        <f t="shared" si="542"/>
        <v>2</v>
      </c>
      <c r="W661" s="6">
        <f t="shared" si="542"/>
        <v>50</v>
      </c>
      <c r="X661" s="6">
        <f t="shared" si="542"/>
        <v>0</v>
      </c>
      <c r="Y661" s="6">
        <f t="shared" si="542"/>
        <v>0</v>
      </c>
      <c r="Z661" s="6">
        <f t="shared" si="542"/>
        <v>0</v>
      </c>
      <c r="AA661" s="6">
        <f t="shared" si="542"/>
        <v>0</v>
      </c>
      <c r="AB661" s="6">
        <f t="shared" si="542"/>
        <v>0</v>
      </c>
      <c r="AC661" s="6">
        <f t="shared" ref="AC661:BZ661" si="543">SUM(AC232:AC238)+AC543+AC545+AC548+SUM(AC550:AC552)</f>
        <v>77</v>
      </c>
      <c r="AD661" s="6">
        <f t="shared" si="543"/>
        <v>118</v>
      </c>
      <c r="AE661" s="6">
        <f t="shared" si="543"/>
        <v>6327</v>
      </c>
      <c r="AF661" s="6">
        <f t="shared" si="543"/>
        <v>85</v>
      </c>
      <c r="AG661" s="6">
        <f t="shared" si="543"/>
        <v>0</v>
      </c>
      <c r="AH661" s="6">
        <f t="shared" si="543"/>
        <v>2377</v>
      </c>
      <c r="AI661" s="6">
        <f t="shared" si="543"/>
        <v>2928</v>
      </c>
      <c r="AJ661" s="6">
        <f t="shared" si="543"/>
        <v>0</v>
      </c>
      <c r="AK661" s="6">
        <f t="shared" si="543"/>
        <v>0</v>
      </c>
      <c r="AL661" s="6">
        <f t="shared" si="543"/>
        <v>1307</v>
      </c>
      <c r="AM661" s="6">
        <f t="shared" si="543"/>
        <v>112</v>
      </c>
      <c r="AN661" s="6">
        <f t="shared" si="543"/>
        <v>1296</v>
      </c>
      <c r="AO661" s="6">
        <f t="shared" si="543"/>
        <v>3115</v>
      </c>
      <c r="AP661" s="6">
        <f t="shared" si="543"/>
        <v>0</v>
      </c>
      <c r="AQ661" s="6">
        <f t="shared" si="543"/>
        <v>0</v>
      </c>
      <c r="AR661" s="6">
        <f t="shared" si="543"/>
        <v>5900</v>
      </c>
      <c r="AS661" s="6">
        <f t="shared" si="543"/>
        <v>2681</v>
      </c>
      <c r="AT661" s="6">
        <f t="shared" si="543"/>
        <v>0</v>
      </c>
      <c r="AU661" s="6">
        <f t="shared" si="543"/>
        <v>0</v>
      </c>
      <c r="AV661" s="6">
        <f t="shared" si="543"/>
        <v>0</v>
      </c>
      <c r="AW661" s="6">
        <f t="shared" si="543"/>
        <v>0</v>
      </c>
      <c r="AX661" s="6">
        <f t="shared" si="543"/>
        <v>0</v>
      </c>
      <c r="AY661" s="6">
        <f t="shared" si="543"/>
        <v>0</v>
      </c>
      <c r="AZ661" s="6">
        <f t="shared" si="543"/>
        <v>0</v>
      </c>
      <c r="BA661" s="6">
        <f t="shared" si="543"/>
        <v>0</v>
      </c>
      <c r="BB661" s="6">
        <f t="shared" si="543"/>
        <v>0</v>
      </c>
      <c r="BC661" s="6">
        <f t="shared" si="543"/>
        <v>0</v>
      </c>
      <c r="BD661" s="6">
        <f t="shared" si="543"/>
        <v>0</v>
      </c>
      <c r="BE661" s="6">
        <f t="shared" si="543"/>
        <v>5010</v>
      </c>
      <c r="BF661" s="6">
        <f t="shared" si="543"/>
        <v>3569</v>
      </c>
      <c r="BG661" s="6">
        <f t="shared" si="543"/>
        <v>5719</v>
      </c>
      <c r="BH661" s="6">
        <f t="shared" si="543"/>
        <v>2918</v>
      </c>
      <c r="BI661" s="6">
        <f t="shared" si="543"/>
        <v>6107</v>
      </c>
      <c r="BJ661" s="6">
        <f t="shared" si="543"/>
        <v>2471</v>
      </c>
      <c r="BK661" s="6">
        <f t="shared" si="543"/>
        <v>3224</v>
      </c>
      <c r="BL661" s="6">
        <f t="shared" si="543"/>
        <v>5307</v>
      </c>
      <c r="BM661" s="6">
        <f t="shared" si="543"/>
        <v>4820</v>
      </c>
      <c r="BN661" s="6">
        <f t="shared" si="543"/>
        <v>3654</v>
      </c>
      <c r="BO661" s="6">
        <f t="shared" si="543"/>
        <v>2714</v>
      </c>
      <c r="BP661" s="6">
        <f t="shared" si="543"/>
        <v>5600</v>
      </c>
      <c r="BQ661" s="6">
        <f t="shared" si="543"/>
        <v>6005</v>
      </c>
      <c r="BR661" s="6">
        <f t="shared" si="543"/>
        <v>2352</v>
      </c>
      <c r="BS661" s="6">
        <f t="shared" si="543"/>
        <v>6404</v>
      </c>
      <c r="BT661" s="6">
        <f t="shared" si="543"/>
        <v>4543</v>
      </c>
      <c r="BU661" s="6">
        <f t="shared" si="543"/>
        <v>3776</v>
      </c>
      <c r="BV661" s="6">
        <f t="shared" si="543"/>
        <v>6078</v>
      </c>
      <c r="BW661" s="6">
        <f t="shared" si="543"/>
        <v>4315</v>
      </c>
      <c r="BX661" s="6">
        <f t="shared" si="543"/>
        <v>2535</v>
      </c>
      <c r="BY661" s="6">
        <f t="shared" si="543"/>
        <v>4984</v>
      </c>
      <c r="BZ661" s="6">
        <f t="shared" si="543"/>
        <v>2459</v>
      </c>
      <c r="CA661" s="6">
        <f t="shared" ref="CA661:CP661" si="544">SUM(CA232:CA238)+CA543+CA545+CA548+SUM(CA550:CA552)</f>
        <v>5536</v>
      </c>
      <c r="CB661" s="6">
        <f t="shared" si="544"/>
        <v>4077</v>
      </c>
      <c r="CC661" s="6">
        <f t="shared" si="544"/>
        <v>2564</v>
      </c>
      <c r="CD661" s="6">
        <f t="shared" si="544"/>
        <v>5019</v>
      </c>
      <c r="CE661" s="6">
        <f t="shared" si="544"/>
        <v>2590</v>
      </c>
      <c r="CF661" s="6">
        <f t="shared" si="544"/>
        <v>4193</v>
      </c>
      <c r="CG661" s="6">
        <f t="shared" si="544"/>
        <v>4203</v>
      </c>
      <c r="CH661" s="6">
        <f t="shared" si="544"/>
        <v>2150</v>
      </c>
      <c r="CI661" s="6">
        <f t="shared" si="544"/>
        <v>1498</v>
      </c>
      <c r="CJ661" s="6">
        <f t="shared" si="544"/>
        <v>5147</v>
      </c>
      <c r="CK661" s="6">
        <f t="shared" si="544"/>
        <v>4167</v>
      </c>
      <c r="CL661" s="6">
        <f t="shared" si="544"/>
        <v>2341</v>
      </c>
      <c r="CM661" s="6">
        <f t="shared" si="544"/>
        <v>5282</v>
      </c>
      <c r="CN661" s="6">
        <f t="shared" si="544"/>
        <v>5324</v>
      </c>
      <c r="CO661" s="6">
        <f t="shared" si="544"/>
        <v>2068</v>
      </c>
      <c r="CP661" s="6">
        <f t="shared" si="544"/>
        <v>4534</v>
      </c>
      <c r="CQ661" s="6">
        <f t="shared" ref="CQ661:EM661" si="545">SUM(CQ232:CQ238)+CQ543+CQ545+CQ548+SUM(CQ550:CQ552)</f>
        <v>0</v>
      </c>
      <c r="CR661" s="6">
        <f t="shared" si="545"/>
        <v>0</v>
      </c>
      <c r="CS661" s="6">
        <f t="shared" si="545"/>
        <v>0</v>
      </c>
      <c r="CT661" s="6">
        <f t="shared" si="545"/>
        <v>0</v>
      </c>
      <c r="CU661" s="6">
        <f t="shared" si="545"/>
        <v>0</v>
      </c>
      <c r="CV661" s="6">
        <f t="shared" si="545"/>
        <v>0</v>
      </c>
      <c r="CW661" s="6">
        <f t="shared" si="545"/>
        <v>0</v>
      </c>
      <c r="CX661" s="6">
        <f t="shared" si="545"/>
        <v>0</v>
      </c>
      <c r="CY661" s="6">
        <f t="shared" si="545"/>
        <v>0</v>
      </c>
      <c r="CZ661" s="6">
        <f t="shared" si="545"/>
        <v>0</v>
      </c>
      <c r="DA661" s="6">
        <f t="shared" si="545"/>
        <v>0</v>
      </c>
      <c r="DB661" s="6">
        <f t="shared" si="545"/>
        <v>0</v>
      </c>
      <c r="DC661" s="6">
        <f t="shared" si="545"/>
        <v>0</v>
      </c>
      <c r="DD661" s="6">
        <f t="shared" si="545"/>
        <v>0</v>
      </c>
      <c r="DE661" s="6">
        <f t="shared" si="545"/>
        <v>0</v>
      </c>
      <c r="DF661" s="6">
        <f t="shared" si="545"/>
        <v>0</v>
      </c>
      <c r="DG661" s="6">
        <f t="shared" si="545"/>
        <v>0</v>
      </c>
      <c r="DH661" s="6">
        <f t="shared" si="545"/>
        <v>0</v>
      </c>
      <c r="DI661" s="6">
        <f t="shared" si="545"/>
        <v>0</v>
      </c>
      <c r="DJ661" s="6">
        <f t="shared" si="545"/>
        <v>0</v>
      </c>
      <c r="DK661" s="6">
        <f t="shared" si="545"/>
        <v>0</v>
      </c>
      <c r="DL661" s="6">
        <f t="shared" si="545"/>
        <v>0</v>
      </c>
      <c r="DM661" s="6">
        <f t="shared" si="545"/>
        <v>0</v>
      </c>
      <c r="DN661" s="6">
        <f t="shared" si="545"/>
        <v>0</v>
      </c>
      <c r="DO661" s="6">
        <f t="shared" si="545"/>
        <v>0</v>
      </c>
      <c r="DP661" s="6">
        <f t="shared" si="545"/>
        <v>0</v>
      </c>
      <c r="DQ661" s="6">
        <f t="shared" si="545"/>
        <v>0</v>
      </c>
      <c r="DR661" s="6">
        <f t="shared" si="545"/>
        <v>0</v>
      </c>
      <c r="DS661" s="6">
        <f t="shared" si="545"/>
        <v>0</v>
      </c>
      <c r="DT661" s="6">
        <f t="shared" si="545"/>
        <v>0</v>
      </c>
      <c r="DU661" s="6">
        <f t="shared" si="545"/>
        <v>0</v>
      </c>
      <c r="DV661" s="6">
        <f t="shared" si="545"/>
        <v>0</v>
      </c>
      <c r="DW661" s="6">
        <f t="shared" si="545"/>
        <v>0</v>
      </c>
      <c r="DX661" s="6">
        <f t="shared" si="545"/>
        <v>0</v>
      </c>
      <c r="DY661" s="6">
        <f t="shared" ref="DY661:DZ661" si="546">SUM(DY232:DY238)+DY543+DY545+DY548+SUM(DY550:DY552)</f>
        <v>0</v>
      </c>
      <c r="DZ661" s="6">
        <f t="shared" si="546"/>
        <v>0</v>
      </c>
      <c r="EA661" s="6">
        <f t="shared" si="545"/>
        <v>0</v>
      </c>
      <c r="EB661" s="6">
        <f t="shared" si="545"/>
        <v>0</v>
      </c>
      <c r="EC661" s="6">
        <f t="shared" si="545"/>
        <v>0</v>
      </c>
      <c r="ED661" s="6">
        <f t="shared" si="545"/>
        <v>0</v>
      </c>
      <c r="EE661" s="6">
        <f t="shared" si="545"/>
        <v>0</v>
      </c>
      <c r="EF661" s="6">
        <f t="shared" si="545"/>
        <v>0</v>
      </c>
      <c r="EG661" s="6">
        <f t="shared" si="545"/>
        <v>0</v>
      </c>
      <c r="EH661" s="6">
        <f t="shared" si="545"/>
        <v>0</v>
      </c>
      <c r="EI661" s="6">
        <f t="shared" si="545"/>
        <v>0</v>
      </c>
      <c r="EJ661" s="6">
        <f t="shared" si="545"/>
        <v>0</v>
      </c>
      <c r="EK661" s="6">
        <f t="shared" si="545"/>
        <v>0</v>
      </c>
      <c r="EL661" s="6">
        <f t="shared" si="545"/>
        <v>0</v>
      </c>
      <c r="EM661" s="6">
        <f t="shared" si="545"/>
        <v>0</v>
      </c>
      <c r="EN661" s="6">
        <f t="shared" ref="EN661:GR661" si="547">SUM(EN232:EN238)+EN543+EN545+EN548+SUM(EN550:EN552)</f>
        <v>0</v>
      </c>
      <c r="EO661" s="6">
        <f t="shared" si="547"/>
        <v>0</v>
      </c>
      <c r="EP661" s="6">
        <f t="shared" si="547"/>
        <v>0</v>
      </c>
      <c r="EQ661" s="6">
        <f t="shared" si="547"/>
        <v>0</v>
      </c>
      <c r="ER661" s="6">
        <f t="shared" si="547"/>
        <v>0</v>
      </c>
      <c r="ES661" s="6">
        <f t="shared" si="547"/>
        <v>0</v>
      </c>
      <c r="ET661" s="6">
        <f t="shared" si="547"/>
        <v>0</v>
      </c>
      <c r="EU661" s="6">
        <f t="shared" si="547"/>
        <v>0</v>
      </c>
      <c r="EV661" s="6">
        <f t="shared" si="547"/>
        <v>0</v>
      </c>
      <c r="EW661" s="6">
        <f t="shared" si="547"/>
        <v>0</v>
      </c>
      <c r="EX661" s="6">
        <f t="shared" si="547"/>
        <v>0</v>
      </c>
      <c r="EY661" s="6">
        <f t="shared" si="547"/>
        <v>0</v>
      </c>
      <c r="EZ661" s="6">
        <f t="shared" si="547"/>
        <v>0</v>
      </c>
      <c r="FA661" s="6">
        <f t="shared" si="547"/>
        <v>0</v>
      </c>
      <c r="FB661" s="6">
        <f t="shared" si="547"/>
        <v>0</v>
      </c>
      <c r="FC661" s="6">
        <f t="shared" si="547"/>
        <v>0</v>
      </c>
      <c r="FD661" s="6">
        <f t="shared" si="547"/>
        <v>0</v>
      </c>
      <c r="FE661" s="6">
        <f t="shared" si="547"/>
        <v>0</v>
      </c>
      <c r="FF661" s="6">
        <f t="shared" si="547"/>
        <v>0</v>
      </c>
      <c r="FG661" s="6">
        <f t="shared" si="547"/>
        <v>0</v>
      </c>
      <c r="FH661" s="6">
        <f t="shared" si="547"/>
        <v>0</v>
      </c>
      <c r="FI661" s="6">
        <f t="shared" si="547"/>
        <v>0</v>
      </c>
      <c r="FJ661" s="6">
        <f t="shared" si="547"/>
        <v>0</v>
      </c>
      <c r="FK661" s="6">
        <f t="shared" si="547"/>
        <v>0</v>
      </c>
      <c r="FL661" s="6">
        <f t="shared" si="547"/>
        <v>0</v>
      </c>
      <c r="FM661" s="6">
        <f t="shared" si="547"/>
        <v>0</v>
      </c>
      <c r="FN661" s="6">
        <f t="shared" si="547"/>
        <v>0</v>
      </c>
      <c r="FO661" s="6">
        <f t="shared" si="547"/>
        <v>0</v>
      </c>
      <c r="FP661" s="6">
        <f t="shared" si="547"/>
        <v>0</v>
      </c>
      <c r="FQ661" s="6">
        <f t="shared" si="547"/>
        <v>0</v>
      </c>
      <c r="FR661" s="6">
        <f t="shared" si="547"/>
        <v>0</v>
      </c>
      <c r="FS661" s="6">
        <f t="shared" si="547"/>
        <v>0</v>
      </c>
      <c r="FT661" s="6">
        <f t="shared" si="547"/>
        <v>0</v>
      </c>
      <c r="FU661" s="6">
        <f t="shared" si="547"/>
        <v>0</v>
      </c>
      <c r="FV661" s="6">
        <f t="shared" si="547"/>
        <v>0</v>
      </c>
      <c r="FW661" s="6">
        <f t="shared" si="547"/>
        <v>0</v>
      </c>
      <c r="FX661" s="6">
        <f t="shared" si="547"/>
        <v>0</v>
      </c>
      <c r="FY661" s="6">
        <f t="shared" si="547"/>
        <v>0</v>
      </c>
      <c r="FZ661" s="6">
        <f t="shared" si="547"/>
        <v>0</v>
      </c>
      <c r="GA661" s="6">
        <f t="shared" si="547"/>
        <v>0</v>
      </c>
      <c r="GB661" s="6">
        <f t="shared" si="547"/>
        <v>0</v>
      </c>
      <c r="GC661" s="6">
        <f t="shared" si="547"/>
        <v>0</v>
      </c>
      <c r="GD661" s="6">
        <f t="shared" si="547"/>
        <v>0</v>
      </c>
      <c r="GE661" s="6">
        <f t="shared" si="547"/>
        <v>0</v>
      </c>
      <c r="GF661" s="6">
        <f t="shared" si="547"/>
        <v>0</v>
      </c>
      <c r="GG661" s="6">
        <f t="shared" si="547"/>
        <v>0</v>
      </c>
      <c r="GH661" s="6">
        <f t="shared" si="547"/>
        <v>0</v>
      </c>
      <c r="GI661" s="6">
        <f t="shared" si="547"/>
        <v>698</v>
      </c>
      <c r="GJ661" s="6">
        <f t="shared" si="547"/>
        <v>450</v>
      </c>
      <c r="GK661" s="6">
        <f t="shared" si="547"/>
        <v>0</v>
      </c>
      <c r="GL661" s="6">
        <f t="shared" si="547"/>
        <v>0</v>
      </c>
      <c r="GM661" s="6">
        <f t="shared" si="547"/>
        <v>0</v>
      </c>
      <c r="GN661" s="6">
        <f t="shared" si="547"/>
        <v>0</v>
      </c>
      <c r="GO661" s="6">
        <f t="shared" si="547"/>
        <v>6228</v>
      </c>
      <c r="GP661" s="6">
        <f t="shared" si="547"/>
        <v>2587</v>
      </c>
      <c r="GQ661" s="6">
        <f t="shared" si="547"/>
        <v>6293</v>
      </c>
      <c r="GR661" s="6">
        <f t="shared" si="547"/>
        <v>2491</v>
      </c>
    </row>
    <row r="662" spans="1:200">
      <c r="A662" s="6"/>
      <c r="B662" s="16" t="s">
        <v>720</v>
      </c>
      <c r="C662" s="17">
        <v>6911</v>
      </c>
      <c r="D662" s="17">
        <v>5736</v>
      </c>
      <c r="E662" s="15">
        <f t="shared" si="351"/>
        <v>0.82998118940818988</v>
      </c>
      <c r="F662" s="66">
        <f t="shared" ref="F662:AB662" si="548">SUM(F18)+F229+SUM(F239:F246)</f>
        <v>3465</v>
      </c>
      <c r="G662" s="6">
        <f t="shared" si="548"/>
        <v>17</v>
      </c>
      <c r="H662" s="6">
        <f t="shared" si="548"/>
        <v>259</v>
      </c>
      <c r="I662" s="6">
        <f t="shared" si="548"/>
        <v>44</v>
      </c>
      <c r="J662" s="59">
        <f t="shared" si="548"/>
        <v>3281</v>
      </c>
      <c r="K662" s="6">
        <f t="shared" si="548"/>
        <v>0</v>
      </c>
      <c r="L662" s="6">
        <f t="shared" si="548"/>
        <v>0</v>
      </c>
      <c r="M662" s="6">
        <f t="shared" si="548"/>
        <v>0</v>
      </c>
      <c r="N662" s="6">
        <f t="shared" si="548"/>
        <v>0</v>
      </c>
      <c r="O662" s="6">
        <f t="shared" si="548"/>
        <v>0</v>
      </c>
      <c r="P662" s="6">
        <f t="shared" si="548"/>
        <v>0</v>
      </c>
      <c r="Q662" s="6">
        <f t="shared" si="548"/>
        <v>0</v>
      </c>
      <c r="R662" s="6">
        <f t="shared" si="548"/>
        <v>1</v>
      </c>
      <c r="S662" s="6">
        <f t="shared" si="548"/>
        <v>0</v>
      </c>
      <c r="T662" s="6">
        <f t="shared" si="548"/>
        <v>0</v>
      </c>
      <c r="U662" s="6">
        <f t="shared" si="548"/>
        <v>0</v>
      </c>
      <c r="V662" s="6">
        <f t="shared" si="548"/>
        <v>5</v>
      </c>
      <c r="W662" s="6">
        <f t="shared" si="548"/>
        <v>63</v>
      </c>
      <c r="X662" s="6">
        <f t="shared" si="548"/>
        <v>0</v>
      </c>
      <c r="Y662" s="6">
        <f t="shared" si="548"/>
        <v>0</v>
      </c>
      <c r="Z662" s="6">
        <f t="shared" si="548"/>
        <v>0</v>
      </c>
      <c r="AA662" s="6">
        <f t="shared" si="548"/>
        <v>0</v>
      </c>
      <c r="AB662" s="6">
        <f t="shared" si="548"/>
        <v>0</v>
      </c>
      <c r="AC662" s="6">
        <f t="shared" ref="AC662:BZ662" si="549">SUM(AC18)+AC229+SUM(AC239:AC246)</f>
        <v>71</v>
      </c>
      <c r="AD662" s="6">
        <f t="shared" si="549"/>
        <v>80</v>
      </c>
      <c r="AE662" s="6">
        <f t="shared" si="549"/>
        <v>4589</v>
      </c>
      <c r="AF662" s="6">
        <f t="shared" si="549"/>
        <v>47</v>
      </c>
      <c r="AG662" s="6">
        <f t="shared" si="549"/>
        <v>0</v>
      </c>
      <c r="AH662" s="6">
        <f t="shared" si="549"/>
        <v>2338</v>
      </c>
      <c r="AI662" s="6">
        <f t="shared" si="549"/>
        <v>436</v>
      </c>
      <c r="AJ662" s="6">
        <f t="shared" si="549"/>
        <v>0</v>
      </c>
      <c r="AK662" s="6">
        <f t="shared" si="549"/>
        <v>0</v>
      </c>
      <c r="AL662" s="6">
        <f t="shared" si="549"/>
        <v>137</v>
      </c>
      <c r="AM662" s="6">
        <f t="shared" si="549"/>
        <v>208</v>
      </c>
      <c r="AN662" s="6">
        <f t="shared" si="549"/>
        <v>2150</v>
      </c>
      <c r="AO662" s="6">
        <f t="shared" si="549"/>
        <v>3986</v>
      </c>
      <c r="AP662" s="6">
        <f t="shared" si="549"/>
        <v>1844</v>
      </c>
      <c r="AQ662" s="6">
        <f t="shared" si="549"/>
        <v>3345</v>
      </c>
      <c r="AR662" s="6">
        <f t="shared" si="549"/>
        <v>444</v>
      </c>
      <c r="AS662" s="6">
        <f t="shared" si="549"/>
        <v>110</v>
      </c>
      <c r="AT662" s="6">
        <f t="shared" si="549"/>
        <v>3698</v>
      </c>
      <c r="AU662" s="6">
        <f t="shared" si="549"/>
        <v>1696</v>
      </c>
      <c r="AV662" s="6">
        <f t="shared" si="549"/>
        <v>0</v>
      </c>
      <c r="AW662" s="6">
        <f t="shared" si="549"/>
        <v>0</v>
      </c>
      <c r="AX662" s="6">
        <f t="shared" si="549"/>
        <v>0</v>
      </c>
      <c r="AY662" s="6">
        <f t="shared" si="549"/>
        <v>759</v>
      </c>
      <c r="AZ662" s="6">
        <f t="shared" si="549"/>
        <v>180</v>
      </c>
      <c r="BA662" s="6">
        <f t="shared" si="549"/>
        <v>0</v>
      </c>
      <c r="BB662" s="6">
        <f t="shared" si="549"/>
        <v>0</v>
      </c>
      <c r="BC662" s="6">
        <f t="shared" si="549"/>
        <v>0</v>
      </c>
      <c r="BD662" s="6">
        <f t="shared" si="549"/>
        <v>0</v>
      </c>
      <c r="BE662" s="6">
        <f t="shared" si="549"/>
        <v>3487</v>
      </c>
      <c r="BF662" s="6">
        <f t="shared" si="549"/>
        <v>3361</v>
      </c>
      <c r="BG662" s="6">
        <f t="shared" si="549"/>
        <v>4028</v>
      </c>
      <c r="BH662" s="6">
        <f t="shared" si="549"/>
        <v>2860</v>
      </c>
      <c r="BI662" s="6">
        <f t="shared" si="549"/>
        <v>4412</v>
      </c>
      <c r="BJ662" s="6">
        <f t="shared" si="549"/>
        <v>2378</v>
      </c>
      <c r="BK662" s="6">
        <f t="shared" si="549"/>
        <v>3182</v>
      </c>
      <c r="BL662" s="6">
        <f t="shared" si="549"/>
        <v>3630</v>
      </c>
      <c r="BM662" s="6">
        <f t="shared" si="549"/>
        <v>3358</v>
      </c>
      <c r="BN662" s="6">
        <f t="shared" si="549"/>
        <v>3338</v>
      </c>
      <c r="BO662" s="6">
        <f t="shared" si="549"/>
        <v>2654</v>
      </c>
      <c r="BP662" s="6">
        <f t="shared" si="549"/>
        <v>3942</v>
      </c>
      <c r="BQ662" s="6">
        <f t="shared" si="549"/>
        <v>4467</v>
      </c>
      <c r="BR662" s="6">
        <f t="shared" si="549"/>
        <v>2234</v>
      </c>
      <c r="BS662" s="6">
        <f t="shared" si="549"/>
        <v>4646</v>
      </c>
      <c r="BT662" s="6">
        <f t="shared" si="549"/>
        <v>2715</v>
      </c>
      <c r="BU662" s="6">
        <f t="shared" si="549"/>
        <v>3918</v>
      </c>
      <c r="BV662" s="6">
        <f t="shared" si="549"/>
        <v>4569</v>
      </c>
      <c r="BW662" s="6">
        <f t="shared" si="549"/>
        <v>3347</v>
      </c>
      <c r="BX662" s="6">
        <f t="shared" si="549"/>
        <v>2115</v>
      </c>
      <c r="BY662" s="6">
        <f t="shared" si="549"/>
        <v>3741</v>
      </c>
      <c r="BZ662" s="6">
        <f t="shared" si="549"/>
        <v>2197</v>
      </c>
      <c r="CA662" s="6">
        <f t="shared" ref="CA662:CP662" si="550">SUM(CA18)+CA229+SUM(CA239:CA246)</f>
        <v>4141</v>
      </c>
      <c r="CB662" s="6">
        <f t="shared" si="550"/>
        <v>3097</v>
      </c>
      <c r="CC662" s="6">
        <f t="shared" si="550"/>
        <v>2254</v>
      </c>
      <c r="CD662" s="6">
        <f t="shared" si="550"/>
        <v>3925</v>
      </c>
      <c r="CE662" s="6">
        <f t="shared" si="550"/>
        <v>2281</v>
      </c>
      <c r="CF662" s="6">
        <f t="shared" si="550"/>
        <v>3264</v>
      </c>
      <c r="CG662" s="6">
        <f t="shared" si="550"/>
        <v>3296</v>
      </c>
      <c r="CH662" s="6">
        <f t="shared" si="550"/>
        <v>1956</v>
      </c>
      <c r="CI662" s="6">
        <f t="shared" si="550"/>
        <v>1480</v>
      </c>
      <c r="CJ662" s="6">
        <f t="shared" si="550"/>
        <v>3859</v>
      </c>
      <c r="CK662" s="6">
        <f t="shared" si="550"/>
        <v>3239</v>
      </c>
      <c r="CL662" s="6">
        <f t="shared" si="550"/>
        <v>2028</v>
      </c>
      <c r="CM662" s="6">
        <f t="shared" si="550"/>
        <v>3943</v>
      </c>
      <c r="CN662" s="6">
        <f t="shared" si="550"/>
        <v>3935</v>
      </c>
      <c r="CO662" s="6">
        <f t="shared" si="550"/>
        <v>1796</v>
      </c>
      <c r="CP662" s="6">
        <f t="shared" si="550"/>
        <v>3515</v>
      </c>
      <c r="CQ662" s="6">
        <f t="shared" ref="CQ662:EM662" si="551">SUM(CQ18)+CQ229+SUM(CQ239:CQ246)</f>
        <v>0</v>
      </c>
      <c r="CR662" s="6">
        <f t="shared" si="551"/>
        <v>0</v>
      </c>
      <c r="CS662" s="6">
        <f t="shared" si="551"/>
        <v>0</v>
      </c>
      <c r="CT662" s="6">
        <f t="shared" si="551"/>
        <v>0</v>
      </c>
      <c r="CU662" s="6">
        <f t="shared" si="551"/>
        <v>0</v>
      </c>
      <c r="CV662" s="6">
        <f t="shared" si="551"/>
        <v>0</v>
      </c>
      <c r="CW662" s="6">
        <f t="shared" si="551"/>
        <v>0</v>
      </c>
      <c r="CX662" s="6">
        <f t="shared" si="551"/>
        <v>0</v>
      </c>
      <c r="CY662" s="6">
        <f t="shared" si="551"/>
        <v>0</v>
      </c>
      <c r="CZ662" s="6">
        <f t="shared" si="551"/>
        <v>0</v>
      </c>
      <c r="DA662" s="6">
        <f t="shared" si="551"/>
        <v>0</v>
      </c>
      <c r="DB662" s="6">
        <f t="shared" si="551"/>
        <v>0</v>
      </c>
      <c r="DC662" s="6">
        <f t="shared" si="551"/>
        <v>0</v>
      </c>
      <c r="DD662" s="6">
        <f t="shared" si="551"/>
        <v>0</v>
      </c>
      <c r="DE662" s="6">
        <f t="shared" si="551"/>
        <v>0</v>
      </c>
      <c r="DF662" s="6">
        <f t="shared" si="551"/>
        <v>0</v>
      </c>
      <c r="DG662" s="6">
        <f t="shared" si="551"/>
        <v>0</v>
      </c>
      <c r="DH662" s="6">
        <f t="shared" si="551"/>
        <v>0</v>
      </c>
      <c r="DI662" s="6">
        <f t="shared" si="551"/>
        <v>0</v>
      </c>
      <c r="DJ662" s="6">
        <f t="shared" si="551"/>
        <v>0</v>
      </c>
      <c r="DK662" s="6">
        <f t="shared" si="551"/>
        <v>0</v>
      </c>
      <c r="DL662" s="6">
        <f t="shared" si="551"/>
        <v>0</v>
      </c>
      <c r="DM662" s="6">
        <f t="shared" si="551"/>
        <v>0</v>
      </c>
      <c r="DN662" s="6">
        <f t="shared" si="551"/>
        <v>0</v>
      </c>
      <c r="DO662" s="6">
        <f t="shared" si="551"/>
        <v>0</v>
      </c>
      <c r="DP662" s="6">
        <f t="shared" si="551"/>
        <v>0</v>
      </c>
      <c r="DQ662" s="6">
        <f t="shared" si="551"/>
        <v>0</v>
      </c>
      <c r="DR662" s="6">
        <f t="shared" si="551"/>
        <v>0</v>
      </c>
      <c r="DS662" s="6">
        <f t="shared" si="551"/>
        <v>0</v>
      </c>
      <c r="DT662" s="6">
        <f t="shared" si="551"/>
        <v>0</v>
      </c>
      <c r="DU662" s="6">
        <f t="shared" si="551"/>
        <v>0</v>
      </c>
      <c r="DV662" s="6">
        <f t="shared" si="551"/>
        <v>0</v>
      </c>
      <c r="DW662" s="6">
        <f t="shared" si="551"/>
        <v>0</v>
      </c>
      <c r="DX662" s="6">
        <f t="shared" si="551"/>
        <v>0</v>
      </c>
      <c r="DY662" s="6">
        <f t="shared" ref="DY662:DZ662" si="552">SUM(DY18)+DY229+SUM(DY239:DY246)</f>
        <v>0</v>
      </c>
      <c r="DZ662" s="6">
        <f t="shared" si="552"/>
        <v>0</v>
      </c>
      <c r="EA662" s="6">
        <f t="shared" si="551"/>
        <v>0</v>
      </c>
      <c r="EB662" s="6">
        <f t="shared" si="551"/>
        <v>0</v>
      </c>
      <c r="EC662" s="6">
        <f t="shared" si="551"/>
        <v>0</v>
      </c>
      <c r="ED662" s="6">
        <f t="shared" si="551"/>
        <v>0</v>
      </c>
      <c r="EE662" s="6">
        <f t="shared" si="551"/>
        <v>0</v>
      </c>
      <c r="EF662" s="6">
        <f t="shared" si="551"/>
        <v>0</v>
      </c>
      <c r="EG662" s="6">
        <f t="shared" si="551"/>
        <v>0</v>
      </c>
      <c r="EH662" s="6">
        <f t="shared" si="551"/>
        <v>0</v>
      </c>
      <c r="EI662" s="6">
        <f t="shared" si="551"/>
        <v>0</v>
      </c>
      <c r="EJ662" s="6">
        <f t="shared" si="551"/>
        <v>0</v>
      </c>
      <c r="EK662" s="6">
        <f t="shared" si="551"/>
        <v>0</v>
      </c>
      <c r="EL662" s="6">
        <f t="shared" si="551"/>
        <v>0</v>
      </c>
      <c r="EM662" s="6">
        <f t="shared" si="551"/>
        <v>0</v>
      </c>
      <c r="EN662" s="6">
        <f t="shared" ref="EN662:GR662" si="553">SUM(EN18)+EN229+SUM(EN239:EN246)</f>
        <v>0</v>
      </c>
      <c r="EO662" s="6">
        <f t="shared" si="553"/>
        <v>0</v>
      </c>
      <c r="EP662" s="6">
        <f t="shared" si="553"/>
        <v>0</v>
      </c>
      <c r="EQ662" s="6">
        <f t="shared" si="553"/>
        <v>0</v>
      </c>
      <c r="ER662" s="6">
        <f t="shared" si="553"/>
        <v>0</v>
      </c>
      <c r="ES662" s="6">
        <f t="shared" si="553"/>
        <v>0</v>
      </c>
      <c r="ET662" s="6">
        <f t="shared" si="553"/>
        <v>0</v>
      </c>
      <c r="EU662" s="6">
        <f t="shared" si="553"/>
        <v>0</v>
      </c>
      <c r="EV662" s="6">
        <f t="shared" si="553"/>
        <v>0</v>
      </c>
      <c r="EW662" s="6">
        <f t="shared" si="553"/>
        <v>0</v>
      </c>
      <c r="EX662" s="6">
        <f t="shared" si="553"/>
        <v>0</v>
      </c>
      <c r="EY662" s="6">
        <f t="shared" si="553"/>
        <v>0</v>
      </c>
      <c r="EZ662" s="6">
        <f t="shared" si="553"/>
        <v>0</v>
      </c>
      <c r="FA662" s="6">
        <f t="shared" si="553"/>
        <v>0</v>
      </c>
      <c r="FB662" s="6">
        <f t="shared" si="553"/>
        <v>0</v>
      </c>
      <c r="FC662" s="6">
        <f t="shared" si="553"/>
        <v>0</v>
      </c>
      <c r="FD662" s="6">
        <f t="shared" si="553"/>
        <v>0</v>
      </c>
      <c r="FE662" s="6">
        <f t="shared" si="553"/>
        <v>0</v>
      </c>
      <c r="FF662" s="6">
        <f t="shared" si="553"/>
        <v>0</v>
      </c>
      <c r="FG662" s="6">
        <f t="shared" si="553"/>
        <v>0</v>
      </c>
      <c r="FH662" s="6">
        <f t="shared" si="553"/>
        <v>0</v>
      </c>
      <c r="FI662" s="6">
        <f t="shared" si="553"/>
        <v>0</v>
      </c>
      <c r="FJ662" s="6">
        <f t="shared" si="553"/>
        <v>0</v>
      </c>
      <c r="FK662" s="6">
        <f t="shared" si="553"/>
        <v>0</v>
      </c>
      <c r="FL662" s="6">
        <f t="shared" si="553"/>
        <v>0</v>
      </c>
      <c r="FM662" s="6">
        <f t="shared" si="553"/>
        <v>0</v>
      </c>
      <c r="FN662" s="6">
        <f t="shared" si="553"/>
        <v>0</v>
      </c>
      <c r="FO662" s="6">
        <f t="shared" si="553"/>
        <v>0</v>
      </c>
      <c r="FP662" s="6">
        <f t="shared" si="553"/>
        <v>0</v>
      </c>
      <c r="FQ662" s="6">
        <f t="shared" si="553"/>
        <v>0</v>
      </c>
      <c r="FR662" s="6">
        <f t="shared" si="553"/>
        <v>0</v>
      </c>
      <c r="FS662" s="6">
        <f t="shared" si="553"/>
        <v>0</v>
      </c>
      <c r="FT662" s="6">
        <f t="shared" si="553"/>
        <v>0</v>
      </c>
      <c r="FU662" s="6">
        <f t="shared" si="553"/>
        <v>0</v>
      </c>
      <c r="FV662" s="6">
        <f t="shared" si="553"/>
        <v>0</v>
      </c>
      <c r="FW662" s="6">
        <f t="shared" si="553"/>
        <v>0</v>
      </c>
      <c r="FX662" s="6">
        <f t="shared" si="553"/>
        <v>0</v>
      </c>
      <c r="FY662" s="6">
        <f t="shared" si="553"/>
        <v>669</v>
      </c>
      <c r="FZ662" s="6">
        <f t="shared" si="553"/>
        <v>295</v>
      </c>
      <c r="GA662" s="6">
        <f t="shared" si="553"/>
        <v>0</v>
      </c>
      <c r="GB662" s="6">
        <f t="shared" si="553"/>
        <v>0</v>
      </c>
      <c r="GC662" s="6">
        <f t="shared" si="553"/>
        <v>3388</v>
      </c>
      <c r="GD662" s="6">
        <f t="shared" si="553"/>
        <v>2171</v>
      </c>
      <c r="GE662" s="6">
        <f t="shared" si="553"/>
        <v>0</v>
      </c>
      <c r="GF662" s="6">
        <f t="shared" si="553"/>
        <v>0</v>
      </c>
      <c r="GG662" s="6">
        <f t="shared" si="553"/>
        <v>0</v>
      </c>
      <c r="GH662" s="6">
        <f t="shared" si="553"/>
        <v>0</v>
      </c>
      <c r="GI662" s="6">
        <f t="shared" si="553"/>
        <v>0</v>
      </c>
      <c r="GJ662" s="6">
        <f t="shared" si="553"/>
        <v>0</v>
      </c>
      <c r="GK662" s="6">
        <f t="shared" si="553"/>
        <v>0</v>
      </c>
      <c r="GL662" s="6">
        <f t="shared" si="553"/>
        <v>0</v>
      </c>
      <c r="GM662" s="6">
        <f t="shared" si="553"/>
        <v>0</v>
      </c>
      <c r="GN662" s="6">
        <f t="shared" si="553"/>
        <v>0</v>
      </c>
      <c r="GO662" s="6">
        <f t="shared" si="553"/>
        <v>5117</v>
      </c>
      <c r="GP662" s="6">
        <f t="shared" si="553"/>
        <v>1929</v>
      </c>
      <c r="GQ662" s="6">
        <f t="shared" si="553"/>
        <v>5181</v>
      </c>
      <c r="GR662" s="6">
        <f t="shared" si="553"/>
        <v>1826</v>
      </c>
    </row>
    <row r="663" spans="1:200">
      <c r="A663" s="32"/>
      <c r="B663" s="16" t="s">
        <v>102</v>
      </c>
      <c r="C663" s="17">
        <v>6466</v>
      </c>
      <c r="D663" s="17">
        <v>5260</v>
      </c>
      <c r="E663" s="15">
        <f t="shared" si="351"/>
        <v>0.81348592638416328</v>
      </c>
      <c r="F663" s="66">
        <f t="shared" ref="F663:AB663" si="554">SUM(F229)+F387+F390+F418+SUM(F476:F477)+SUM(F553:F554)</f>
        <v>2575</v>
      </c>
      <c r="G663" s="6">
        <f t="shared" si="554"/>
        <v>10</v>
      </c>
      <c r="H663" s="6">
        <f t="shared" si="554"/>
        <v>248</v>
      </c>
      <c r="I663" s="6">
        <f t="shared" si="554"/>
        <v>44</v>
      </c>
      <c r="J663" s="59">
        <f t="shared" si="554"/>
        <v>2550</v>
      </c>
      <c r="K663" s="6">
        <f t="shared" si="554"/>
        <v>0</v>
      </c>
      <c r="L663" s="6">
        <f t="shared" si="554"/>
        <v>0</v>
      </c>
      <c r="M663" s="6">
        <f t="shared" si="554"/>
        <v>2</v>
      </c>
      <c r="N663" s="6">
        <f t="shared" si="554"/>
        <v>0</v>
      </c>
      <c r="O663" s="6">
        <f t="shared" si="554"/>
        <v>0</v>
      </c>
      <c r="P663" s="6">
        <f t="shared" si="554"/>
        <v>0</v>
      </c>
      <c r="Q663" s="6">
        <f t="shared" si="554"/>
        <v>0</v>
      </c>
      <c r="R663" s="6">
        <f t="shared" si="554"/>
        <v>0</v>
      </c>
      <c r="S663" s="6">
        <f t="shared" si="554"/>
        <v>0</v>
      </c>
      <c r="T663" s="6">
        <f t="shared" si="554"/>
        <v>0</v>
      </c>
      <c r="U663" s="6">
        <f t="shared" si="554"/>
        <v>0</v>
      </c>
      <c r="V663" s="6">
        <f t="shared" si="554"/>
        <v>3</v>
      </c>
      <c r="W663" s="6">
        <f t="shared" si="554"/>
        <v>30</v>
      </c>
      <c r="X663" s="6">
        <f t="shared" si="554"/>
        <v>0</v>
      </c>
      <c r="Y663" s="6">
        <f t="shared" si="554"/>
        <v>0</v>
      </c>
      <c r="Z663" s="6">
        <f t="shared" si="554"/>
        <v>0</v>
      </c>
      <c r="AA663" s="6">
        <f t="shared" si="554"/>
        <v>0</v>
      </c>
      <c r="AB663" s="6">
        <f t="shared" si="554"/>
        <v>0</v>
      </c>
      <c r="AC663" s="6">
        <f t="shared" ref="AC663:BZ663" si="555">SUM(AC229)+AC387+AC390+AC418+SUM(AC476:AC477)+SUM(AC553:AC554)</f>
        <v>36</v>
      </c>
      <c r="AD663" s="6">
        <f t="shared" si="555"/>
        <v>72</v>
      </c>
      <c r="AE663" s="6">
        <f t="shared" si="555"/>
        <v>3925</v>
      </c>
      <c r="AF663" s="6">
        <f t="shared" si="555"/>
        <v>32</v>
      </c>
      <c r="AG663" s="6">
        <f t="shared" si="555"/>
        <v>0</v>
      </c>
      <c r="AH663" s="6">
        <f t="shared" si="555"/>
        <v>1494</v>
      </c>
      <c r="AI663" s="6">
        <f t="shared" si="555"/>
        <v>436</v>
      </c>
      <c r="AJ663" s="6">
        <f t="shared" si="555"/>
        <v>0</v>
      </c>
      <c r="AK663" s="6">
        <f t="shared" si="555"/>
        <v>0</v>
      </c>
      <c r="AL663" s="6">
        <f t="shared" si="555"/>
        <v>137</v>
      </c>
      <c r="AM663" s="6">
        <f t="shared" si="555"/>
        <v>175</v>
      </c>
      <c r="AN663" s="6">
        <f t="shared" si="555"/>
        <v>1453</v>
      </c>
      <c r="AO663" s="6">
        <f t="shared" si="555"/>
        <v>3140</v>
      </c>
      <c r="AP663" s="6">
        <f t="shared" si="555"/>
        <v>0</v>
      </c>
      <c r="AQ663" s="6">
        <f t="shared" si="555"/>
        <v>0</v>
      </c>
      <c r="AR663" s="6">
        <f t="shared" si="555"/>
        <v>3427</v>
      </c>
      <c r="AS663" s="6">
        <f t="shared" si="555"/>
        <v>1803</v>
      </c>
      <c r="AT663" s="6">
        <f t="shared" si="555"/>
        <v>0</v>
      </c>
      <c r="AU663" s="6">
        <f t="shared" si="555"/>
        <v>0</v>
      </c>
      <c r="AV663" s="6">
        <f t="shared" si="555"/>
        <v>0</v>
      </c>
      <c r="AW663" s="6">
        <f t="shared" si="555"/>
        <v>0</v>
      </c>
      <c r="AX663" s="6">
        <f t="shared" si="555"/>
        <v>0</v>
      </c>
      <c r="AY663" s="6">
        <f t="shared" si="555"/>
        <v>0</v>
      </c>
      <c r="AZ663" s="6">
        <f t="shared" si="555"/>
        <v>0</v>
      </c>
      <c r="BA663" s="6">
        <f t="shared" si="555"/>
        <v>0</v>
      </c>
      <c r="BB663" s="6">
        <f t="shared" si="555"/>
        <v>0</v>
      </c>
      <c r="BC663" s="6">
        <f t="shared" si="555"/>
        <v>0</v>
      </c>
      <c r="BD663" s="6">
        <f t="shared" si="555"/>
        <v>0</v>
      </c>
      <c r="BE663" s="6">
        <f t="shared" si="555"/>
        <v>2838</v>
      </c>
      <c r="BF663" s="6">
        <f t="shared" si="555"/>
        <v>2379</v>
      </c>
      <c r="BG663" s="6">
        <f t="shared" si="555"/>
        <v>3223</v>
      </c>
      <c r="BH663" s="6">
        <f t="shared" si="555"/>
        <v>2052</v>
      </c>
      <c r="BI663" s="6">
        <f t="shared" si="555"/>
        <v>3542</v>
      </c>
      <c r="BJ663" s="6">
        <f t="shared" si="555"/>
        <v>1675</v>
      </c>
      <c r="BK663" s="6">
        <f t="shared" si="555"/>
        <v>2295</v>
      </c>
      <c r="BL663" s="6">
        <f t="shared" si="555"/>
        <v>2908</v>
      </c>
      <c r="BM663" s="6">
        <f t="shared" si="555"/>
        <v>2768</v>
      </c>
      <c r="BN663" s="6">
        <f t="shared" si="555"/>
        <v>2366</v>
      </c>
      <c r="BO663" s="6">
        <f t="shared" si="555"/>
        <v>1913</v>
      </c>
      <c r="BP663" s="6">
        <f t="shared" si="555"/>
        <v>3112</v>
      </c>
      <c r="BQ663" s="6">
        <f t="shared" si="555"/>
        <v>3553</v>
      </c>
      <c r="BR663" s="6">
        <f t="shared" si="555"/>
        <v>1540</v>
      </c>
      <c r="BS663" s="6">
        <f t="shared" si="555"/>
        <v>3735</v>
      </c>
      <c r="BT663" s="6">
        <f t="shared" si="555"/>
        <v>2379</v>
      </c>
      <c r="BU663" s="6">
        <f t="shared" si="555"/>
        <v>2719</v>
      </c>
      <c r="BV663" s="6">
        <f t="shared" si="555"/>
        <v>3670</v>
      </c>
      <c r="BW663" s="6">
        <f t="shared" si="555"/>
        <v>2555</v>
      </c>
      <c r="BX663" s="6">
        <f t="shared" si="555"/>
        <v>1534</v>
      </c>
      <c r="BY663" s="6">
        <f t="shared" si="555"/>
        <v>2767</v>
      </c>
      <c r="BZ663" s="6">
        <f t="shared" si="555"/>
        <v>1733</v>
      </c>
      <c r="CA663" s="6">
        <f t="shared" ref="CA663:CP663" si="556">SUM(CA229)+CA387+CA390+CA418+SUM(CA476:CA477)+SUM(CA553:CA554)</f>
        <v>3275</v>
      </c>
      <c r="CB663" s="6">
        <f t="shared" si="556"/>
        <v>2786</v>
      </c>
      <c r="CC663" s="6">
        <f t="shared" si="556"/>
        <v>1487</v>
      </c>
      <c r="CD663" s="6">
        <f t="shared" si="556"/>
        <v>3009</v>
      </c>
      <c r="CE663" s="6">
        <f t="shared" si="556"/>
        <v>1810</v>
      </c>
      <c r="CF663" s="6">
        <f t="shared" si="556"/>
        <v>2325</v>
      </c>
      <c r="CG663" s="6">
        <f t="shared" si="556"/>
        <v>2632</v>
      </c>
      <c r="CH663" s="6">
        <f t="shared" si="556"/>
        <v>1399</v>
      </c>
      <c r="CI663" s="6">
        <f t="shared" si="556"/>
        <v>930</v>
      </c>
      <c r="CJ663" s="6">
        <f t="shared" si="556"/>
        <v>3094</v>
      </c>
      <c r="CK663" s="6">
        <f t="shared" si="556"/>
        <v>2435</v>
      </c>
      <c r="CL663" s="6">
        <f t="shared" si="556"/>
        <v>1491</v>
      </c>
      <c r="CM663" s="6">
        <f t="shared" si="556"/>
        <v>3075</v>
      </c>
      <c r="CN663" s="6">
        <f t="shared" si="556"/>
        <v>3105</v>
      </c>
      <c r="CO663" s="6">
        <f t="shared" si="556"/>
        <v>1207</v>
      </c>
      <c r="CP663" s="6">
        <f t="shared" si="556"/>
        <v>2746</v>
      </c>
      <c r="CQ663" s="6">
        <f t="shared" ref="CQ663:EM663" si="557">SUM(CQ229)+CQ387+CQ390+CQ418+SUM(CQ476:CQ477)+SUM(CQ553:CQ554)</f>
        <v>0</v>
      </c>
      <c r="CR663" s="6">
        <f t="shared" si="557"/>
        <v>0</v>
      </c>
      <c r="CS663" s="6">
        <f t="shared" si="557"/>
        <v>0</v>
      </c>
      <c r="CT663" s="6">
        <f t="shared" si="557"/>
        <v>0</v>
      </c>
      <c r="CU663" s="6">
        <f t="shared" si="557"/>
        <v>0</v>
      </c>
      <c r="CV663" s="6">
        <f t="shared" si="557"/>
        <v>0</v>
      </c>
      <c r="CW663" s="6">
        <f t="shared" si="557"/>
        <v>0</v>
      </c>
      <c r="CX663" s="6">
        <f t="shared" si="557"/>
        <v>0</v>
      </c>
      <c r="CY663" s="6">
        <f t="shared" si="557"/>
        <v>0</v>
      </c>
      <c r="CZ663" s="6">
        <f t="shared" si="557"/>
        <v>0</v>
      </c>
      <c r="DA663" s="6">
        <f t="shared" si="557"/>
        <v>0</v>
      </c>
      <c r="DB663" s="6">
        <f t="shared" si="557"/>
        <v>0</v>
      </c>
      <c r="DC663" s="6">
        <f t="shared" si="557"/>
        <v>0</v>
      </c>
      <c r="DD663" s="6">
        <f t="shared" si="557"/>
        <v>0</v>
      </c>
      <c r="DE663" s="6">
        <f t="shared" si="557"/>
        <v>0</v>
      </c>
      <c r="DF663" s="6">
        <f t="shared" si="557"/>
        <v>0</v>
      </c>
      <c r="DG663" s="6">
        <f t="shared" si="557"/>
        <v>0</v>
      </c>
      <c r="DH663" s="6">
        <f t="shared" si="557"/>
        <v>0</v>
      </c>
      <c r="DI663" s="6">
        <f t="shared" si="557"/>
        <v>0</v>
      </c>
      <c r="DJ663" s="6">
        <f t="shared" si="557"/>
        <v>0</v>
      </c>
      <c r="DK663" s="6">
        <f t="shared" si="557"/>
        <v>0</v>
      </c>
      <c r="DL663" s="6">
        <f t="shared" si="557"/>
        <v>0</v>
      </c>
      <c r="DM663" s="6">
        <f t="shared" si="557"/>
        <v>0</v>
      </c>
      <c r="DN663" s="6">
        <f t="shared" si="557"/>
        <v>0</v>
      </c>
      <c r="DO663" s="6">
        <f t="shared" si="557"/>
        <v>0</v>
      </c>
      <c r="DP663" s="6">
        <f t="shared" si="557"/>
        <v>0</v>
      </c>
      <c r="DQ663" s="6">
        <f t="shared" si="557"/>
        <v>0</v>
      </c>
      <c r="DR663" s="6">
        <f t="shared" si="557"/>
        <v>0</v>
      </c>
      <c r="DS663" s="6">
        <f t="shared" si="557"/>
        <v>0</v>
      </c>
      <c r="DT663" s="6">
        <f t="shared" si="557"/>
        <v>0</v>
      </c>
      <c r="DU663" s="6">
        <f t="shared" si="557"/>
        <v>0</v>
      </c>
      <c r="DV663" s="6">
        <f t="shared" si="557"/>
        <v>0</v>
      </c>
      <c r="DW663" s="6">
        <f t="shared" si="557"/>
        <v>0</v>
      </c>
      <c r="DX663" s="6">
        <f t="shared" si="557"/>
        <v>0</v>
      </c>
      <c r="DY663" s="6">
        <f t="shared" ref="DY663:DZ663" si="558">SUM(DY229)+DY387+DY390+DY418+SUM(DY476:DY477)+SUM(DY553:DY554)</f>
        <v>448</v>
      </c>
      <c r="DZ663" s="6">
        <f t="shared" si="558"/>
        <v>427</v>
      </c>
      <c r="EA663" s="6">
        <f t="shared" si="557"/>
        <v>0</v>
      </c>
      <c r="EB663" s="6">
        <f t="shared" si="557"/>
        <v>0</v>
      </c>
      <c r="EC663" s="6">
        <f t="shared" si="557"/>
        <v>0</v>
      </c>
      <c r="ED663" s="6">
        <f t="shared" si="557"/>
        <v>0</v>
      </c>
      <c r="EE663" s="6">
        <f t="shared" si="557"/>
        <v>0</v>
      </c>
      <c r="EF663" s="6">
        <f t="shared" si="557"/>
        <v>0</v>
      </c>
      <c r="EG663" s="6">
        <f t="shared" si="557"/>
        <v>0</v>
      </c>
      <c r="EH663" s="6">
        <f t="shared" si="557"/>
        <v>0</v>
      </c>
      <c r="EI663" s="6">
        <f t="shared" si="557"/>
        <v>0</v>
      </c>
      <c r="EJ663" s="6">
        <f t="shared" si="557"/>
        <v>0</v>
      </c>
      <c r="EK663" s="6">
        <f t="shared" si="557"/>
        <v>0</v>
      </c>
      <c r="EL663" s="6">
        <f t="shared" si="557"/>
        <v>0</v>
      </c>
      <c r="EM663" s="6">
        <f t="shared" si="557"/>
        <v>1423</v>
      </c>
      <c r="EN663" s="6">
        <f t="shared" ref="EN663:GR663" si="559">SUM(EN229)+EN387+EN390+EN418+SUM(EN476:EN477)+SUM(EN553:EN554)</f>
        <v>581</v>
      </c>
      <c r="EO663" s="6">
        <f t="shared" si="559"/>
        <v>860</v>
      </c>
      <c r="EP663" s="6">
        <f t="shared" si="559"/>
        <v>1163</v>
      </c>
      <c r="EQ663" s="6">
        <f t="shared" si="559"/>
        <v>0</v>
      </c>
      <c r="ER663" s="6">
        <f t="shared" si="559"/>
        <v>0</v>
      </c>
      <c r="ES663" s="6">
        <f t="shared" si="559"/>
        <v>1124</v>
      </c>
      <c r="ET663" s="6">
        <f t="shared" si="559"/>
        <v>297</v>
      </c>
      <c r="EU663" s="6">
        <f t="shared" si="559"/>
        <v>0</v>
      </c>
      <c r="EV663" s="6">
        <f t="shared" si="559"/>
        <v>0</v>
      </c>
      <c r="EW663" s="6">
        <f t="shared" si="559"/>
        <v>0</v>
      </c>
      <c r="EX663" s="6">
        <f t="shared" si="559"/>
        <v>0</v>
      </c>
      <c r="EY663" s="6">
        <f t="shared" si="559"/>
        <v>0</v>
      </c>
      <c r="EZ663" s="6">
        <f t="shared" si="559"/>
        <v>0</v>
      </c>
      <c r="FA663" s="6">
        <f t="shared" si="559"/>
        <v>0</v>
      </c>
      <c r="FB663" s="6">
        <f t="shared" si="559"/>
        <v>0</v>
      </c>
      <c r="FC663" s="6">
        <f t="shared" si="559"/>
        <v>0</v>
      </c>
      <c r="FD663" s="6">
        <f t="shared" si="559"/>
        <v>0</v>
      </c>
      <c r="FE663" s="6">
        <f t="shared" si="559"/>
        <v>0</v>
      </c>
      <c r="FF663" s="6">
        <f t="shared" si="559"/>
        <v>0</v>
      </c>
      <c r="FG663" s="6">
        <f t="shared" si="559"/>
        <v>0</v>
      </c>
      <c r="FH663" s="6">
        <f t="shared" si="559"/>
        <v>0</v>
      </c>
      <c r="FI663" s="6">
        <f t="shared" si="559"/>
        <v>0</v>
      </c>
      <c r="FJ663" s="6">
        <f t="shared" si="559"/>
        <v>0</v>
      </c>
      <c r="FK663" s="6">
        <f t="shared" si="559"/>
        <v>0</v>
      </c>
      <c r="FL663" s="6">
        <f t="shared" si="559"/>
        <v>0</v>
      </c>
      <c r="FM663" s="6">
        <f t="shared" si="559"/>
        <v>0</v>
      </c>
      <c r="FN663" s="6">
        <f t="shared" si="559"/>
        <v>0</v>
      </c>
      <c r="FO663" s="6">
        <f t="shared" si="559"/>
        <v>0</v>
      </c>
      <c r="FP663" s="6">
        <f t="shared" si="559"/>
        <v>0</v>
      </c>
      <c r="FQ663" s="6">
        <f t="shared" si="559"/>
        <v>0</v>
      </c>
      <c r="FR663" s="6">
        <f t="shared" si="559"/>
        <v>0</v>
      </c>
      <c r="FS663" s="6">
        <f t="shared" si="559"/>
        <v>0</v>
      </c>
      <c r="FT663" s="6">
        <f t="shared" si="559"/>
        <v>0</v>
      </c>
      <c r="FU663" s="6">
        <f t="shared" si="559"/>
        <v>0</v>
      </c>
      <c r="FV663" s="6">
        <f t="shared" si="559"/>
        <v>0</v>
      </c>
      <c r="FW663" s="6">
        <f t="shared" si="559"/>
        <v>0</v>
      </c>
      <c r="FX663" s="6">
        <f t="shared" si="559"/>
        <v>0</v>
      </c>
      <c r="FY663" s="6">
        <f t="shared" si="559"/>
        <v>0</v>
      </c>
      <c r="FZ663" s="6">
        <f t="shared" si="559"/>
        <v>0</v>
      </c>
      <c r="GA663" s="6">
        <f t="shared" si="559"/>
        <v>0</v>
      </c>
      <c r="GB663" s="6">
        <f t="shared" si="559"/>
        <v>0</v>
      </c>
      <c r="GC663" s="6">
        <f t="shared" si="559"/>
        <v>13</v>
      </c>
      <c r="GD663" s="6">
        <f t="shared" si="559"/>
        <v>26</v>
      </c>
      <c r="GE663" s="6">
        <f t="shared" si="559"/>
        <v>0</v>
      </c>
      <c r="GF663" s="6">
        <f t="shared" si="559"/>
        <v>0</v>
      </c>
      <c r="GG663" s="6">
        <f t="shared" si="559"/>
        <v>0</v>
      </c>
      <c r="GH663" s="6">
        <f t="shared" si="559"/>
        <v>0</v>
      </c>
      <c r="GI663" s="6">
        <f t="shared" si="559"/>
        <v>0</v>
      </c>
      <c r="GJ663" s="6">
        <f t="shared" si="559"/>
        <v>0</v>
      </c>
      <c r="GK663" s="6">
        <f t="shared" si="559"/>
        <v>0</v>
      </c>
      <c r="GL663" s="6">
        <f t="shared" si="559"/>
        <v>0</v>
      </c>
      <c r="GM663" s="6">
        <f t="shared" si="559"/>
        <v>0</v>
      </c>
      <c r="GN663" s="6">
        <f t="shared" si="559"/>
        <v>0</v>
      </c>
      <c r="GO663" s="6">
        <f t="shared" si="559"/>
        <v>4171</v>
      </c>
      <c r="GP663" s="6">
        <f t="shared" si="559"/>
        <v>1282</v>
      </c>
      <c r="GQ663" s="6">
        <f t="shared" si="559"/>
        <v>4084</v>
      </c>
      <c r="GR663" s="6">
        <f t="shared" si="559"/>
        <v>1336</v>
      </c>
    </row>
    <row r="664" spans="1:200">
      <c r="A664" s="6"/>
      <c r="B664" s="12" t="s">
        <v>41</v>
      </c>
      <c r="C664" s="17">
        <f>SUM(C391)</f>
        <v>11</v>
      </c>
      <c r="D664" s="17">
        <v>8</v>
      </c>
      <c r="E664" s="15">
        <f t="shared" si="351"/>
        <v>0.72727272727272729</v>
      </c>
      <c r="F664" s="66">
        <f t="shared" ref="F664:AB664" si="560">SUM(F391)</f>
        <v>1</v>
      </c>
      <c r="G664" s="6">
        <f t="shared" si="560"/>
        <v>0</v>
      </c>
      <c r="H664" s="6">
        <f t="shared" si="560"/>
        <v>1</v>
      </c>
      <c r="I664" s="6">
        <f t="shared" si="560"/>
        <v>0</v>
      </c>
      <c r="J664" s="59">
        <f t="shared" si="560"/>
        <v>6</v>
      </c>
      <c r="K664" s="6">
        <f t="shared" si="560"/>
        <v>0</v>
      </c>
      <c r="L664" s="6">
        <f t="shared" si="560"/>
        <v>0</v>
      </c>
      <c r="M664" s="6">
        <f t="shared" si="560"/>
        <v>0</v>
      </c>
      <c r="N664" s="6">
        <f t="shared" si="560"/>
        <v>0</v>
      </c>
      <c r="O664" s="6">
        <f t="shared" si="560"/>
        <v>0</v>
      </c>
      <c r="P664" s="6">
        <f t="shared" si="560"/>
        <v>0</v>
      </c>
      <c r="Q664" s="6">
        <f t="shared" si="560"/>
        <v>0</v>
      </c>
      <c r="R664" s="6">
        <f t="shared" si="560"/>
        <v>0</v>
      </c>
      <c r="S664" s="6">
        <f t="shared" si="560"/>
        <v>0</v>
      </c>
      <c r="T664" s="6">
        <f t="shared" si="560"/>
        <v>0</v>
      </c>
      <c r="U664" s="6">
        <f t="shared" si="560"/>
        <v>0</v>
      </c>
      <c r="V664" s="6">
        <f t="shared" si="560"/>
        <v>0</v>
      </c>
      <c r="W664" s="6">
        <f t="shared" si="560"/>
        <v>0</v>
      </c>
      <c r="X664" s="6">
        <f t="shared" si="560"/>
        <v>0</v>
      </c>
      <c r="Y664" s="6">
        <f t="shared" si="560"/>
        <v>0</v>
      </c>
      <c r="Z664" s="6">
        <f t="shared" si="560"/>
        <v>0</v>
      </c>
      <c r="AA664" s="6">
        <f t="shared" si="560"/>
        <v>0</v>
      </c>
      <c r="AB664" s="6">
        <f t="shared" si="560"/>
        <v>0</v>
      </c>
      <c r="AC664" s="6">
        <f t="shared" ref="AC664:BZ664" si="561">SUM(AC391)</f>
        <v>0</v>
      </c>
      <c r="AD664" s="6">
        <f t="shared" si="561"/>
        <v>0</v>
      </c>
      <c r="AE664" s="6">
        <f t="shared" si="561"/>
        <v>6</v>
      </c>
      <c r="AF664" s="6">
        <f t="shared" si="561"/>
        <v>1</v>
      </c>
      <c r="AG664" s="6">
        <f t="shared" si="561"/>
        <v>0</v>
      </c>
      <c r="AH664" s="6">
        <f t="shared" si="561"/>
        <v>1</v>
      </c>
      <c r="AI664" s="6">
        <f t="shared" si="561"/>
        <v>0</v>
      </c>
      <c r="AJ664" s="6">
        <f t="shared" si="561"/>
        <v>0</v>
      </c>
      <c r="AK664" s="6">
        <f t="shared" si="561"/>
        <v>0</v>
      </c>
      <c r="AL664" s="6">
        <f t="shared" si="561"/>
        <v>0</v>
      </c>
      <c r="AM664" s="6">
        <f t="shared" si="561"/>
        <v>0</v>
      </c>
      <c r="AN664" s="6">
        <f t="shared" si="561"/>
        <v>1</v>
      </c>
      <c r="AO664" s="6">
        <f t="shared" si="561"/>
        <v>7</v>
      </c>
      <c r="AP664" s="6">
        <f t="shared" si="561"/>
        <v>0</v>
      </c>
      <c r="AQ664" s="6">
        <f t="shared" si="561"/>
        <v>0</v>
      </c>
      <c r="AR664" s="6">
        <f t="shared" si="561"/>
        <v>7</v>
      </c>
      <c r="AS664" s="6">
        <f t="shared" si="561"/>
        <v>1</v>
      </c>
      <c r="AT664" s="6">
        <f t="shared" si="561"/>
        <v>0</v>
      </c>
      <c r="AU664" s="6">
        <f t="shared" si="561"/>
        <v>0</v>
      </c>
      <c r="AV664" s="6">
        <f t="shared" si="561"/>
        <v>0</v>
      </c>
      <c r="AW664" s="6">
        <f t="shared" si="561"/>
        <v>0</v>
      </c>
      <c r="AX664" s="6">
        <f t="shared" si="561"/>
        <v>0</v>
      </c>
      <c r="AY664" s="6">
        <f t="shared" si="561"/>
        <v>0</v>
      </c>
      <c r="AZ664" s="6">
        <f t="shared" si="561"/>
        <v>0</v>
      </c>
      <c r="BA664" s="6">
        <f t="shared" si="561"/>
        <v>0</v>
      </c>
      <c r="BB664" s="6">
        <f t="shared" si="561"/>
        <v>0</v>
      </c>
      <c r="BC664" s="6">
        <f t="shared" si="561"/>
        <v>0</v>
      </c>
      <c r="BD664" s="6">
        <f t="shared" si="561"/>
        <v>0</v>
      </c>
      <c r="BE664" s="6">
        <f t="shared" si="561"/>
        <v>7</v>
      </c>
      <c r="BF664" s="6">
        <f t="shared" si="561"/>
        <v>1</v>
      </c>
      <c r="BG664" s="6">
        <f t="shared" si="561"/>
        <v>6</v>
      </c>
      <c r="BH664" s="6">
        <f t="shared" si="561"/>
        <v>1</v>
      </c>
      <c r="BI664" s="6">
        <f t="shared" si="561"/>
        <v>6</v>
      </c>
      <c r="BJ664" s="6">
        <f t="shared" si="561"/>
        <v>2</v>
      </c>
      <c r="BK664" s="6">
        <f t="shared" si="561"/>
        <v>1</v>
      </c>
      <c r="BL664" s="6">
        <f t="shared" si="561"/>
        <v>7</v>
      </c>
      <c r="BM664" s="6">
        <f t="shared" si="561"/>
        <v>5</v>
      </c>
      <c r="BN664" s="6">
        <f t="shared" si="561"/>
        <v>3</v>
      </c>
      <c r="BO664" s="6">
        <f t="shared" si="561"/>
        <v>1</v>
      </c>
      <c r="BP664" s="6">
        <f t="shared" si="561"/>
        <v>6</v>
      </c>
      <c r="BQ664" s="6">
        <f t="shared" si="561"/>
        <v>7</v>
      </c>
      <c r="BR664" s="6">
        <f t="shared" si="561"/>
        <v>1</v>
      </c>
      <c r="BS664" s="6">
        <f t="shared" si="561"/>
        <v>5</v>
      </c>
      <c r="BT664" s="6">
        <f t="shared" si="561"/>
        <v>6</v>
      </c>
      <c r="BU664" s="6">
        <f t="shared" si="561"/>
        <v>1</v>
      </c>
      <c r="BV664" s="6">
        <f t="shared" si="561"/>
        <v>5</v>
      </c>
      <c r="BW664" s="6">
        <f t="shared" si="561"/>
        <v>5</v>
      </c>
      <c r="BX664" s="6">
        <f t="shared" si="561"/>
        <v>1</v>
      </c>
      <c r="BY664" s="6">
        <f t="shared" si="561"/>
        <v>5</v>
      </c>
      <c r="BZ664" s="6">
        <f t="shared" si="561"/>
        <v>2</v>
      </c>
      <c r="CA664" s="6">
        <f t="shared" ref="CA664:CP664" si="562">SUM(CA391)</f>
        <v>3</v>
      </c>
      <c r="CB664" s="6">
        <f t="shared" si="562"/>
        <v>4</v>
      </c>
      <c r="CC664" s="6">
        <f t="shared" si="562"/>
        <v>1</v>
      </c>
      <c r="CD664" s="6">
        <f t="shared" si="562"/>
        <v>4</v>
      </c>
      <c r="CE664" s="6">
        <f t="shared" si="562"/>
        <v>2</v>
      </c>
      <c r="CF664" s="6">
        <f t="shared" si="562"/>
        <v>2</v>
      </c>
      <c r="CG664" s="6">
        <f t="shared" si="562"/>
        <v>2</v>
      </c>
      <c r="CH664" s="6">
        <f t="shared" si="562"/>
        <v>2</v>
      </c>
      <c r="CI664" s="6">
        <f t="shared" si="562"/>
        <v>3</v>
      </c>
      <c r="CJ664" s="6">
        <f t="shared" si="562"/>
        <v>1</v>
      </c>
      <c r="CK664" s="6">
        <f t="shared" si="562"/>
        <v>2</v>
      </c>
      <c r="CL664" s="6">
        <f t="shared" si="562"/>
        <v>3</v>
      </c>
      <c r="CM664" s="6">
        <f t="shared" si="562"/>
        <v>3</v>
      </c>
      <c r="CN664" s="6">
        <f t="shared" si="562"/>
        <v>4</v>
      </c>
      <c r="CO664" s="6">
        <f t="shared" si="562"/>
        <v>3</v>
      </c>
      <c r="CP664" s="6">
        <f t="shared" si="562"/>
        <v>1</v>
      </c>
      <c r="CQ664" s="6">
        <f t="shared" ref="CQ664:EM664" si="563">SUM(CQ391)</f>
        <v>0</v>
      </c>
      <c r="CR664" s="6">
        <f t="shared" si="563"/>
        <v>0</v>
      </c>
      <c r="CS664" s="6">
        <f t="shared" si="563"/>
        <v>0</v>
      </c>
      <c r="CT664" s="6">
        <f t="shared" si="563"/>
        <v>0</v>
      </c>
      <c r="CU664" s="6">
        <f t="shared" si="563"/>
        <v>0</v>
      </c>
      <c r="CV664" s="6">
        <f t="shared" si="563"/>
        <v>0</v>
      </c>
      <c r="CW664" s="6">
        <f t="shared" si="563"/>
        <v>0</v>
      </c>
      <c r="CX664" s="6">
        <f t="shared" si="563"/>
        <v>0</v>
      </c>
      <c r="CY664" s="6">
        <f t="shared" si="563"/>
        <v>0</v>
      </c>
      <c r="CZ664" s="6">
        <f t="shared" si="563"/>
        <v>0</v>
      </c>
      <c r="DA664" s="6">
        <f t="shared" si="563"/>
        <v>0</v>
      </c>
      <c r="DB664" s="6">
        <f t="shared" si="563"/>
        <v>0</v>
      </c>
      <c r="DC664" s="6">
        <f t="shared" si="563"/>
        <v>0</v>
      </c>
      <c r="DD664" s="6">
        <f t="shared" si="563"/>
        <v>0</v>
      </c>
      <c r="DE664" s="6">
        <f t="shared" si="563"/>
        <v>0</v>
      </c>
      <c r="DF664" s="6">
        <f t="shared" si="563"/>
        <v>0</v>
      </c>
      <c r="DG664" s="6">
        <f t="shared" si="563"/>
        <v>0</v>
      </c>
      <c r="DH664" s="6">
        <f t="shared" si="563"/>
        <v>0</v>
      </c>
      <c r="DI664" s="6">
        <f t="shared" si="563"/>
        <v>0</v>
      </c>
      <c r="DJ664" s="6">
        <f t="shared" si="563"/>
        <v>0</v>
      </c>
      <c r="DK664" s="6">
        <f t="shared" si="563"/>
        <v>0</v>
      </c>
      <c r="DL664" s="6">
        <f t="shared" si="563"/>
        <v>0</v>
      </c>
      <c r="DM664" s="6">
        <f t="shared" si="563"/>
        <v>0</v>
      </c>
      <c r="DN664" s="6">
        <f t="shared" si="563"/>
        <v>0</v>
      </c>
      <c r="DO664" s="6">
        <f t="shared" si="563"/>
        <v>0</v>
      </c>
      <c r="DP664" s="6">
        <f t="shared" si="563"/>
        <v>0</v>
      </c>
      <c r="DQ664" s="6">
        <f t="shared" si="563"/>
        <v>0</v>
      </c>
      <c r="DR664" s="6">
        <f t="shared" si="563"/>
        <v>0</v>
      </c>
      <c r="DS664" s="6">
        <f t="shared" si="563"/>
        <v>0</v>
      </c>
      <c r="DT664" s="6">
        <f t="shared" si="563"/>
        <v>0</v>
      </c>
      <c r="DU664" s="6">
        <f t="shared" si="563"/>
        <v>0</v>
      </c>
      <c r="DV664" s="6">
        <f t="shared" si="563"/>
        <v>0</v>
      </c>
      <c r="DW664" s="6">
        <f t="shared" si="563"/>
        <v>0</v>
      </c>
      <c r="DX664" s="6">
        <f t="shared" si="563"/>
        <v>0</v>
      </c>
      <c r="DY664" s="6">
        <f t="shared" si="563"/>
        <v>0</v>
      </c>
      <c r="DZ664" s="6">
        <f t="shared" si="563"/>
        <v>0</v>
      </c>
      <c r="EA664" s="6">
        <f t="shared" si="563"/>
        <v>0</v>
      </c>
      <c r="EB664" s="6">
        <f t="shared" si="563"/>
        <v>0</v>
      </c>
      <c r="EC664" s="6">
        <f t="shared" si="563"/>
        <v>0</v>
      </c>
      <c r="ED664" s="6">
        <f t="shared" si="563"/>
        <v>0</v>
      </c>
      <c r="EE664" s="6">
        <f t="shared" si="563"/>
        <v>0</v>
      </c>
      <c r="EF664" s="6">
        <f t="shared" si="563"/>
        <v>0</v>
      </c>
      <c r="EG664" s="6">
        <f t="shared" si="563"/>
        <v>0</v>
      </c>
      <c r="EH664" s="6">
        <f t="shared" si="563"/>
        <v>0</v>
      </c>
      <c r="EI664" s="6">
        <f t="shared" si="563"/>
        <v>0</v>
      </c>
      <c r="EJ664" s="6">
        <f t="shared" si="563"/>
        <v>0</v>
      </c>
      <c r="EK664" s="6">
        <f t="shared" si="563"/>
        <v>0</v>
      </c>
      <c r="EL664" s="6">
        <f t="shared" si="563"/>
        <v>0</v>
      </c>
      <c r="EM664" s="6">
        <f t="shared" si="563"/>
        <v>0</v>
      </c>
      <c r="EN664" s="6">
        <f t="shared" ref="EN664:GR664" si="564">SUM(EN391)</f>
        <v>0</v>
      </c>
      <c r="EO664" s="6">
        <f t="shared" si="564"/>
        <v>0</v>
      </c>
      <c r="EP664" s="6">
        <f t="shared" si="564"/>
        <v>0</v>
      </c>
      <c r="EQ664" s="6">
        <f t="shared" si="564"/>
        <v>0</v>
      </c>
      <c r="ER664" s="6">
        <f t="shared" si="564"/>
        <v>0</v>
      </c>
      <c r="ES664" s="6">
        <f t="shared" si="564"/>
        <v>0</v>
      </c>
      <c r="ET664" s="6">
        <f t="shared" si="564"/>
        <v>0</v>
      </c>
      <c r="EU664" s="6">
        <f t="shared" si="564"/>
        <v>0</v>
      </c>
      <c r="EV664" s="6">
        <f t="shared" si="564"/>
        <v>0</v>
      </c>
      <c r="EW664" s="6">
        <f t="shared" si="564"/>
        <v>0</v>
      </c>
      <c r="EX664" s="6">
        <f t="shared" si="564"/>
        <v>0</v>
      </c>
      <c r="EY664" s="6">
        <f t="shared" si="564"/>
        <v>0</v>
      </c>
      <c r="EZ664" s="6">
        <f t="shared" si="564"/>
        <v>0</v>
      </c>
      <c r="FA664" s="6">
        <f t="shared" si="564"/>
        <v>0</v>
      </c>
      <c r="FB664" s="6">
        <f t="shared" si="564"/>
        <v>0</v>
      </c>
      <c r="FC664" s="6">
        <f t="shared" si="564"/>
        <v>0</v>
      </c>
      <c r="FD664" s="6">
        <f t="shared" si="564"/>
        <v>0</v>
      </c>
      <c r="FE664" s="6">
        <f t="shared" si="564"/>
        <v>0</v>
      </c>
      <c r="FF664" s="6">
        <f t="shared" si="564"/>
        <v>0</v>
      </c>
      <c r="FG664" s="6">
        <f t="shared" si="564"/>
        <v>0</v>
      </c>
      <c r="FH664" s="6">
        <f t="shared" si="564"/>
        <v>0</v>
      </c>
      <c r="FI664" s="6">
        <f t="shared" si="564"/>
        <v>0</v>
      </c>
      <c r="FJ664" s="6">
        <f t="shared" si="564"/>
        <v>0</v>
      </c>
      <c r="FK664" s="6">
        <f t="shared" si="564"/>
        <v>0</v>
      </c>
      <c r="FL664" s="6">
        <f t="shared" si="564"/>
        <v>0</v>
      </c>
      <c r="FM664" s="6">
        <f t="shared" si="564"/>
        <v>0</v>
      </c>
      <c r="FN664" s="6">
        <f t="shared" si="564"/>
        <v>0</v>
      </c>
      <c r="FO664" s="6">
        <f t="shared" si="564"/>
        <v>0</v>
      </c>
      <c r="FP664" s="6">
        <f t="shared" si="564"/>
        <v>0</v>
      </c>
      <c r="FQ664" s="6">
        <f t="shared" si="564"/>
        <v>0</v>
      </c>
      <c r="FR664" s="6">
        <f t="shared" si="564"/>
        <v>0</v>
      </c>
      <c r="FS664" s="6">
        <f t="shared" si="564"/>
        <v>0</v>
      </c>
      <c r="FT664" s="6">
        <f t="shared" si="564"/>
        <v>0</v>
      </c>
      <c r="FU664" s="6">
        <f t="shared" si="564"/>
        <v>0</v>
      </c>
      <c r="FV664" s="6">
        <f t="shared" si="564"/>
        <v>0</v>
      </c>
      <c r="FW664" s="6">
        <f t="shared" si="564"/>
        <v>0</v>
      </c>
      <c r="FX664" s="6">
        <f t="shared" si="564"/>
        <v>0</v>
      </c>
      <c r="FY664" s="6">
        <f t="shared" si="564"/>
        <v>0</v>
      </c>
      <c r="FZ664" s="6">
        <f t="shared" si="564"/>
        <v>0</v>
      </c>
      <c r="GA664" s="6">
        <f t="shared" si="564"/>
        <v>0</v>
      </c>
      <c r="GB664" s="6">
        <f t="shared" si="564"/>
        <v>0</v>
      </c>
      <c r="GC664" s="6">
        <f t="shared" si="564"/>
        <v>0</v>
      </c>
      <c r="GD664" s="6">
        <f t="shared" si="564"/>
        <v>0</v>
      </c>
      <c r="GE664" s="6">
        <f t="shared" si="564"/>
        <v>0</v>
      </c>
      <c r="GF664" s="6">
        <f t="shared" si="564"/>
        <v>0</v>
      </c>
      <c r="GG664" s="6">
        <f t="shared" si="564"/>
        <v>0</v>
      </c>
      <c r="GH664" s="6">
        <f t="shared" si="564"/>
        <v>0</v>
      </c>
      <c r="GI664" s="6">
        <f t="shared" si="564"/>
        <v>0</v>
      </c>
      <c r="GJ664" s="6">
        <f t="shared" si="564"/>
        <v>0</v>
      </c>
      <c r="GK664" s="6">
        <f t="shared" si="564"/>
        <v>0</v>
      </c>
      <c r="GL664" s="6">
        <f t="shared" si="564"/>
        <v>0</v>
      </c>
      <c r="GM664" s="6">
        <f t="shared" si="564"/>
        <v>0</v>
      </c>
      <c r="GN664" s="6">
        <f t="shared" si="564"/>
        <v>0</v>
      </c>
      <c r="GO664" s="6">
        <f t="shared" si="564"/>
        <v>8</v>
      </c>
      <c r="GP664" s="6">
        <f t="shared" si="564"/>
        <v>0</v>
      </c>
      <c r="GQ664" s="6">
        <f t="shared" si="564"/>
        <v>6</v>
      </c>
      <c r="GR664" s="6">
        <f t="shared" si="564"/>
        <v>2</v>
      </c>
    </row>
    <row r="665" spans="1:200">
      <c r="A665" s="32"/>
      <c r="B665" s="16" t="s">
        <v>118</v>
      </c>
      <c r="C665" s="17">
        <v>16534</v>
      </c>
      <c r="D665" s="17">
        <v>12709</v>
      </c>
      <c r="E665" s="15">
        <f t="shared" si="351"/>
        <v>0.76865852183379701</v>
      </c>
      <c r="F665" s="66">
        <f t="shared" ref="F665:AB665" si="565">SUM(F256:F259)+F344+F346+F362+F367+F368+F371+F375+F499+F501+F505+F506+F508+F511+SUM(F513:F515)+F523</f>
        <v>9432</v>
      </c>
      <c r="G665" s="6">
        <f t="shared" si="565"/>
        <v>56</v>
      </c>
      <c r="H665" s="6">
        <f t="shared" si="565"/>
        <v>389</v>
      </c>
      <c r="I665" s="6">
        <f t="shared" si="565"/>
        <v>135</v>
      </c>
      <c r="J665" s="59">
        <f t="shared" si="565"/>
        <v>6012</v>
      </c>
      <c r="K665" s="6">
        <f t="shared" si="565"/>
        <v>0</v>
      </c>
      <c r="L665" s="6">
        <f t="shared" si="565"/>
        <v>0</v>
      </c>
      <c r="M665" s="6">
        <f t="shared" si="565"/>
        <v>8</v>
      </c>
      <c r="N665" s="6">
        <f t="shared" si="565"/>
        <v>0</v>
      </c>
      <c r="O665" s="6">
        <f t="shared" si="565"/>
        <v>0</v>
      </c>
      <c r="P665" s="6">
        <f t="shared" si="565"/>
        <v>0</v>
      </c>
      <c r="Q665" s="6">
        <f t="shared" si="565"/>
        <v>0</v>
      </c>
      <c r="R665" s="6">
        <f t="shared" si="565"/>
        <v>0</v>
      </c>
      <c r="S665" s="6">
        <f t="shared" si="565"/>
        <v>0</v>
      </c>
      <c r="T665" s="6">
        <f t="shared" si="565"/>
        <v>0</v>
      </c>
      <c r="U665" s="6">
        <f t="shared" si="565"/>
        <v>0</v>
      </c>
      <c r="V665" s="6">
        <f t="shared" si="565"/>
        <v>2</v>
      </c>
      <c r="W665" s="6">
        <f t="shared" si="565"/>
        <v>25</v>
      </c>
      <c r="X665" s="6">
        <f t="shared" si="565"/>
        <v>0</v>
      </c>
      <c r="Y665" s="6">
        <f t="shared" si="565"/>
        <v>0</v>
      </c>
      <c r="Z665" s="6">
        <f t="shared" si="565"/>
        <v>0</v>
      </c>
      <c r="AA665" s="6">
        <f t="shared" si="565"/>
        <v>0</v>
      </c>
      <c r="AB665" s="6">
        <f t="shared" si="565"/>
        <v>0</v>
      </c>
      <c r="AC665" s="6">
        <f t="shared" ref="AC665:BZ665" si="566">SUM(AC256:AC259)+AC344+AC346+AC362+AC367+AC368+AC371+AC375+AC499+AC501+AC505+AC506+AC508+AC511+SUM(AC513:AC515)+AC523</f>
        <v>241</v>
      </c>
      <c r="AD665" s="6">
        <f t="shared" si="566"/>
        <v>224</v>
      </c>
      <c r="AE665" s="6">
        <f t="shared" si="566"/>
        <v>6930</v>
      </c>
      <c r="AF665" s="6">
        <f t="shared" si="566"/>
        <v>212</v>
      </c>
      <c r="AG665" s="6">
        <f t="shared" si="566"/>
        <v>0</v>
      </c>
      <c r="AH665" s="6">
        <f t="shared" si="566"/>
        <v>8116</v>
      </c>
      <c r="AI665" s="6">
        <f t="shared" si="566"/>
        <v>2809</v>
      </c>
      <c r="AJ665" s="6">
        <f t="shared" si="566"/>
        <v>1</v>
      </c>
      <c r="AK665" s="6">
        <f t="shared" si="566"/>
        <v>0</v>
      </c>
      <c r="AL665" s="6">
        <f t="shared" si="566"/>
        <v>2674</v>
      </c>
      <c r="AM665" s="6">
        <f t="shared" si="566"/>
        <v>214</v>
      </c>
      <c r="AN665" s="6">
        <f t="shared" si="566"/>
        <v>5796</v>
      </c>
      <c r="AO665" s="6">
        <f t="shared" si="566"/>
        <v>3912</v>
      </c>
      <c r="AP665" s="6">
        <f t="shared" si="566"/>
        <v>2876</v>
      </c>
      <c r="AQ665" s="6">
        <f t="shared" si="566"/>
        <v>2327</v>
      </c>
      <c r="AR665" s="6">
        <f t="shared" si="566"/>
        <v>0</v>
      </c>
      <c r="AS665" s="6">
        <f t="shared" si="566"/>
        <v>0</v>
      </c>
      <c r="AT665" s="6">
        <f t="shared" si="566"/>
        <v>0</v>
      </c>
      <c r="AU665" s="6">
        <f t="shared" si="566"/>
        <v>0</v>
      </c>
      <c r="AV665" s="6">
        <f t="shared" si="566"/>
        <v>3221</v>
      </c>
      <c r="AW665" s="6">
        <f t="shared" si="566"/>
        <v>0</v>
      </c>
      <c r="AX665" s="6">
        <f t="shared" si="566"/>
        <v>0</v>
      </c>
      <c r="AY665" s="6">
        <f t="shared" si="566"/>
        <v>0</v>
      </c>
      <c r="AZ665" s="6">
        <f t="shared" si="566"/>
        <v>0</v>
      </c>
      <c r="BA665" s="6">
        <f t="shared" si="566"/>
        <v>1765</v>
      </c>
      <c r="BB665" s="6">
        <f t="shared" si="566"/>
        <v>990</v>
      </c>
      <c r="BC665" s="6">
        <f t="shared" si="566"/>
        <v>2703</v>
      </c>
      <c r="BD665" s="6">
        <f t="shared" si="566"/>
        <v>4615</v>
      </c>
      <c r="BE665" s="6">
        <f t="shared" si="566"/>
        <v>5035</v>
      </c>
      <c r="BF665" s="6">
        <f t="shared" si="566"/>
        <v>10258</v>
      </c>
      <c r="BG665" s="6">
        <f t="shared" si="566"/>
        <v>6413</v>
      </c>
      <c r="BH665" s="6">
        <f t="shared" si="566"/>
        <v>8987</v>
      </c>
      <c r="BI665" s="6">
        <f t="shared" si="566"/>
        <v>7069</v>
      </c>
      <c r="BJ665" s="6">
        <f t="shared" si="566"/>
        <v>8285</v>
      </c>
      <c r="BK665" s="6">
        <f t="shared" si="566"/>
        <v>8984</v>
      </c>
      <c r="BL665" s="6">
        <f t="shared" si="566"/>
        <v>6371</v>
      </c>
      <c r="BM665" s="6">
        <f t="shared" si="566"/>
        <v>4703</v>
      </c>
      <c r="BN665" s="6">
        <f t="shared" si="566"/>
        <v>10639</v>
      </c>
      <c r="BO665" s="6">
        <f t="shared" si="566"/>
        <v>8825</v>
      </c>
      <c r="BP665" s="6">
        <f t="shared" si="566"/>
        <v>6265</v>
      </c>
      <c r="BQ665" s="6">
        <f t="shared" si="566"/>
        <v>6768</v>
      </c>
      <c r="BR665" s="6">
        <f t="shared" si="566"/>
        <v>8366</v>
      </c>
      <c r="BS665" s="6">
        <f t="shared" si="566"/>
        <v>8864</v>
      </c>
      <c r="BT665" s="6">
        <f t="shared" si="566"/>
        <v>4724</v>
      </c>
      <c r="BU665" s="6">
        <f t="shared" si="566"/>
        <v>10330</v>
      </c>
      <c r="BV665" s="6">
        <f t="shared" si="566"/>
        <v>9550</v>
      </c>
      <c r="BW665" s="6">
        <f t="shared" si="566"/>
        <v>6119</v>
      </c>
      <c r="BX665" s="6">
        <f t="shared" si="566"/>
        <v>6548</v>
      </c>
      <c r="BY665" s="6">
        <f t="shared" si="566"/>
        <v>7205</v>
      </c>
      <c r="BZ665" s="6">
        <f t="shared" si="566"/>
        <v>6507</v>
      </c>
      <c r="CA665" s="6">
        <f t="shared" ref="CA665:CP665" si="567">SUM(CA256:CA259)+CA344+CA346+CA362+CA367+CA368+CA371+CA375+CA499+CA501+CA505+CA506+CA508+CA511+SUM(CA513:CA515)+CA523</f>
        <v>8643</v>
      </c>
      <c r="CB665" s="6">
        <f t="shared" si="567"/>
        <v>5135</v>
      </c>
      <c r="CC665" s="6">
        <f t="shared" si="567"/>
        <v>7417</v>
      </c>
      <c r="CD665" s="6">
        <f t="shared" si="567"/>
        <v>9258</v>
      </c>
      <c r="CE665" s="6">
        <f t="shared" si="567"/>
        <v>7011</v>
      </c>
      <c r="CF665" s="6">
        <f t="shared" si="567"/>
        <v>5776</v>
      </c>
      <c r="CG665" s="6">
        <f t="shared" si="567"/>
        <v>5745</v>
      </c>
      <c r="CH665" s="6">
        <f t="shared" si="567"/>
        <v>6211</v>
      </c>
      <c r="CI665" s="6">
        <f t="shared" si="567"/>
        <v>5159</v>
      </c>
      <c r="CJ665" s="6">
        <f t="shared" si="567"/>
        <v>7353</v>
      </c>
      <c r="CK665" s="6">
        <f t="shared" si="567"/>
        <v>6619</v>
      </c>
      <c r="CL665" s="6">
        <f t="shared" si="567"/>
        <v>6051</v>
      </c>
      <c r="CM665" s="6">
        <f t="shared" si="567"/>
        <v>8408</v>
      </c>
      <c r="CN665" s="6">
        <f t="shared" si="567"/>
        <v>8809</v>
      </c>
      <c r="CO665" s="6">
        <f t="shared" si="567"/>
        <v>5997</v>
      </c>
      <c r="CP665" s="6">
        <f t="shared" si="567"/>
        <v>6692</v>
      </c>
      <c r="CQ665" s="6">
        <f t="shared" ref="CQ665:EM665" si="568">SUM(CQ256:CQ259)+CQ344+CQ346+CQ362+CQ367+CQ368+CQ371+CQ375+CQ499+CQ501+CQ505+CQ506+CQ508+CQ511+SUM(CQ513:CQ515)+CQ523</f>
        <v>0</v>
      </c>
      <c r="CR665" s="6">
        <f t="shared" si="568"/>
        <v>0</v>
      </c>
      <c r="CS665" s="6">
        <f t="shared" si="568"/>
        <v>0</v>
      </c>
      <c r="CT665" s="6">
        <f t="shared" si="568"/>
        <v>0</v>
      </c>
      <c r="CU665" s="6">
        <f t="shared" si="568"/>
        <v>0</v>
      </c>
      <c r="CV665" s="6">
        <f t="shared" si="568"/>
        <v>0</v>
      </c>
      <c r="CW665" s="6">
        <f t="shared" si="568"/>
        <v>0</v>
      </c>
      <c r="CX665" s="6">
        <f t="shared" si="568"/>
        <v>0</v>
      </c>
      <c r="CY665" s="6">
        <f t="shared" si="568"/>
        <v>0</v>
      </c>
      <c r="CZ665" s="6">
        <f t="shared" si="568"/>
        <v>0</v>
      </c>
      <c r="DA665" s="6">
        <f t="shared" si="568"/>
        <v>0</v>
      </c>
      <c r="DB665" s="6">
        <f t="shared" si="568"/>
        <v>0</v>
      </c>
      <c r="DC665" s="6">
        <f t="shared" si="568"/>
        <v>0</v>
      </c>
      <c r="DD665" s="6">
        <f t="shared" si="568"/>
        <v>0</v>
      </c>
      <c r="DE665" s="6">
        <f t="shared" si="568"/>
        <v>0</v>
      </c>
      <c r="DF665" s="6">
        <f t="shared" si="568"/>
        <v>0</v>
      </c>
      <c r="DG665" s="6">
        <f t="shared" si="568"/>
        <v>0</v>
      </c>
      <c r="DH665" s="6">
        <f t="shared" si="568"/>
        <v>0</v>
      </c>
      <c r="DI665" s="6">
        <f t="shared" si="568"/>
        <v>0</v>
      </c>
      <c r="DJ665" s="6">
        <f t="shared" si="568"/>
        <v>0</v>
      </c>
      <c r="DK665" s="6">
        <f t="shared" si="568"/>
        <v>0</v>
      </c>
      <c r="DL665" s="6">
        <f t="shared" si="568"/>
        <v>0</v>
      </c>
      <c r="DM665" s="6">
        <f t="shared" si="568"/>
        <v>0</v>
      </c>
      <c r="DN665" s="6">
        <f t="shared" si="568"/>
        <v>0</v>
      </c>
      <c r="DO665" s="6">
        <f t="shared" si="568"/>
        <v>0</v>
      </c>
      <c r="DP665" s="6">
        <f t="shared" si="568"/>
        <v>0</v>
      </c>
      <c r="DQ665" s="6">
        <f t="shared" si="568"/>
        <v>0</v>
      </c>
      <c r="DR665" s="6">
        <f t="shared" si="568"/>
        <v>0</v>
      </c>
      <c r="DS665" s="6">
        <f t="shared" si="568"/>
        <v>0</v>
      </c>
      <c r="DT665" s="6">
        <f t="shared" si="568"/>
        <v>0</v>
      </c>
      <c r="DU665" s="6">
        <f t="shared" si="568"/>
        <v>0</v>
      </c>
      <c r="DV665" s="6">
        <f t="shared" si="568"/>
        <v>0</v>
      </c>
      <c r="DW665" s="6">
        <f t="shared" si="568"/>
        <v>0</v>
      </c>
      <c r="DX665" s="6">
        <f t="shared" si="568"/>
        <v>0</v>
      </c>
      <c r="DY665" s="6">
        <f t="shared" si="568"/>
        <v>0</v>
      </c>
      <c r="DZ665" s="6">
        <f t="shared" si="568"/>
        <v>0</v>
      </c>
      <c r="EA665" s="6">
        <f t="shared" si="568"/>
        <v>0</v>
      </c>
      <c r="EB665" s="6">
        <f t="shared" si="568"/>
        <v>0</v>
      </c>
      <c r="EC665" s="6">
        <f t="shared" si="568"/>
        <v>0</v>
      </c>
      <c r="ED665" s="6">
        <f t="shared" si="568"/>
        <v>0</v>
      </c>
      <c r="EE665" s="6">
        <f t="shared" si="568"/>
        <v>0</v>
      </c>
      <c r="EF665" s="6">
        <f t="shared" si="568"/>
        <v>0</v>
      </c>
      <c r="EG665" s="6">
        <f t="shared" si="568"/>
        <v>0</v>
      </c>
      <c r="EH665" s="6">
        <f t="shared" si="568"/>
        <v>0</v>
      </c>
      <c r="EI665" s="6">
        <f t="shared" si="568"/>
        <v>0</v>
      </c>
      <c r="EJ665" s="6">
        <f t="shared" si="568"/>
        <v>0</v>
      </c>
      <c r="EK665" s="6">
        <f t="shared" si="568"/>
        <v>0</v>
      </c>
      <c r="EL665" s="6">
        <f t="shared" si="568"/>
        <v>0</v>
      </c>
      <c r="EM665" s="6">
        <f t="shared" si="568"/>
        <v>0</v>
      </c>
      <c r="EN665" s="6">
        <f t="shared" ref="EN665:GR665" si="569">SUM(EN256:EN259)+EN344+EN346+EN362+EN367+EN368+EN371+EN375+EN499+EN501+EN505+EN506+EN508+EN511+SUM(EN513:EN515)+EN523</f>
        <v>0</v>
      </c>
      <c r="EO665" s="6">
        <f t="shared" si="569"/>
        <v>0</v>
      </c>
      <c r="EP665" s="6">
        <f t="shared" si="569"/>
        <v>0</v>
      </c>
      <c r="EQ665" s="6">
        <f t="shared" si="569"/>
        <v>0</v>
      </c>
      <c r="ER665" s="6">
        <f t="shared" si="569"/>
        <v>0</v>
      </c>
      <c r="ES665" s="6">
        <f t="shared" si="569"/>
        <v>0</v>
      </c>
      <c r="ET665" s="6">
        <f t="shared" si="569"/>
        <v>0</v>
      </c>
      <c r="EU665" s="6">
        <f t="shared" si="569"/>
        <v>0</v>
      </c>
      <c r="EV665" s="6">
        <f t="shared" si="569"/>
        <v>0</v>
      </c>
      <c r="EW665" s="6">
        <f t="shared" si="569"/>
        <v>0</v>
      </c>
      <c r="EX665" s="6">
        <f t="shared" si="569"/>
        <v>0</v>
      </c>
      <c r="EY665" s="6">
        <f t="shared" si="569"/>
        <v>0</v>
      </c>
      <c r="EZ665" s="6">
        <f t="shared" si="569"/>
        <v>0</v>
      </c>
      <c r="FA665" s="6">
        <f t="shared" si="569"/>
        <v>0</v>
      </c>
      <c r="FB665" s="6">
        <f t="shared" si="569"/>
        <v>0</v>
      </c>
      <c r="FC665" s="6">
        <f t="shared" si="569"/>
        <v>0</v>
      </c>
      <c r="FD665" s="6">
        <f t="shared" si="569"/>
        <v>0</v>
      </c>
      <c r="FE665" s="6">
        <f t="shared" si="569"/>
        <v>0</v>
      </c>
      <c r="FF665" s="6">
        <f t="shared" si="569"/>
        <v>0</v>
      </c>
      <c r="FG665" s="6">
        <f t="shared" si="569"/>
        <v>0</v>
      </c>
      <c r="FH665" s="6">
        <f t="shared" si="569"/>
        <v>0</v>
      </c>
      <c r="FI665" s="6">
        <f t="shared" si="569"/>
        <v>0</v>
      </c>
      <c r="FJ665" s="6">
        <f t="shared" si="569"/>
        <v>0</v>
      </c>
      <c r="FK665" s="6">
        <f t="shared" si="569"/>
        <v>604</v>
      </c>
      <c r="FL665" s="6">
        <f t="shared" si="569"/>
        <v>266</v>
      </c>
      <c r="FM665" s="6">
        <f t="shared" si="569"/>
        <v>0</v>
      </c>
      <c r="FN665" s="6">
        <f t="shared" si="569"/>
        <v>0</v>
      </c>
      <c r="FO665" s="6">
        <f t="shared" si="569"/>
        <v>0</v>
      </c>
      <c r="FP665" s="6">
        <f t="shared" si="569"/>
        <v>0</v>
      </c>
      <c r="FQ665" s="6">
        <f t="shared" si="569"/>
        <v>0</v>
      </c>
      <c r="FR665" s="6">
        <f t="shared" si="569"/>
        <v>0</v>
      </c>
      <c r="FS665" s="6">
        <f t="shared" si="569"/>
        <v>0</v>
      </c>
      <c r="FT665" s="6">
        <f t="shared" si="569"/>
        <v>0</v>
      </c>
      <c r="FU665" s="6">
        <f t="shared" si="569"/>
        <v>0</v>
      </c>
      <c r="FV665" s="6">
        <f t="shared" si="569"/>
        <v>0</v>
      </c>
      <c r="FW665" s="6">
        <f t="shared" si="569"/>
        <v>0</v>
      </c>
      <c r="FX665" s="6">
        <f t="shared" si="569"/>
        <v>0</v>
      </c>
      <c r="FY665" s="6">
        <f t="shared" si="569"/>
        <v>0</v>
      </c>
      <c r="FZ665" s="6">
        <f t="shared" si="569"/>
        <v>0</v>
      </c>
      <c r="GA665" s="6">
        <f t="shared" si="569"/>
        <v>0</v>
      </c>
      <c r="GB665" s="6">
        <f t="shared" si="569"/>
        <v>0</v>
      </c>
      <c r="GC665" s="6">
        <f t="shared" si="569"/>
        <v>0</v>
      </c>
      <c r="GD665" s="6">
        <f t="shared" si="569"/>
        <v>0</v>
      </c>
      <c r="GE665" s="6">
        <f t="shared" si="569"/>
        <v>0</v>
      </c>
      <c r="GF665" s="6">
        <f t="shared" si="569"/>
        <v>0</v>
      </c>
      <c r="GG665" s="6">
        <f t="shared" si="569"/>
        <v>0</v>
      </c>
      <c r="GH665" s="6">
        <f t="shared" si="569"/>
        <v>0</v>
      </c>
      <c r="GI665" s="6">
        <f t="shared" si="569"/>
        <v>0</v>
      </c>
      <c r="GJ665" s="6">
        <f t="shared" si="569"/>
        <v>0</v>
      </c>
      <c r="GK665" s="6">
        <f t="shared" si="569"/>
        <v>470</v>
      </c>
      <c r="GL665" s="6">
        <f t="shared" si="569"/>
        <v>718</v>
      </c>
      <c r="GM665" s="6">
        <f t="shared" si="569"/>
        <v>0</v>
      </c>
      <c r="GN665" s="6">
        <f t="shared" si="569"/>
        <v>0</v>
      </c>
      <c r="GO665" s="6">
        <f t="shared" si="569"/>
        <v>10182</v>
      </c>
      <c r="GP665" s="6">
        <f t="shared" si="569"/>
        <v>5211</v>
      </c>
      <c r="GQ665" s="6">
        <f t="shared" si="569"/>
        <v>10569</v>
      </c>
      <c r="GR665" s="6">
        <f t="shared" si="569"/>
        <v>4856</v>
      </c>
    </row>
    <row r="666" spans="1:200">
      <c r="A666" s="32"/>
      <c r="B666" s="16" t="s">
        <v>103</v>
      </c>
      <c r="C666" s="17">
        <v>7154</v>
      </c>
      <c r="D666" s="17">
        <v>5719</v>
      </c>
      <c r="E666" s="15">
        <f t="shared" si="351"/>
        <v>0.79941291585127205</v>
      </c>
      <c r="F666" s="66">
        <f>SUM(F260:F266)+F499+F509+F523</f>
        <v>4223</v>
      </c>
      <c r="G666" s="6">
        <f>SUM(G260:G266)+G499+G509+G523</f>
        <v>19</v>
      </c>
      <c r="H666" s="6">
        <f>SUM(H260:H266)+H499+H509+H523</f>
        <v>132</v>
      </c>
      <c r="I666" s="6">
        <f>SUM(I260:I266)+I499+I509+I523</f>
        <v>63</v>
      </c>
      <c r="J666" s="59">
        <f>SUM(J260:J266)+J499+J509+J523</f>
        <v>1552</v>
      </c>
      <c r="K666" s="6">
        <f t="shared" ref="K666" si="570">SUM(K260:K266)+K499+K509+K523</f>
        <v>0</v>
      </c>
      <c r="L666" s="6">
        <f t="shared" ref="L666:AB666" si="571">SUM(L260:L266)+L499+L509+L523</f>
        <v>0</v>
      </c>
      <c r="M666" s="6">
        <f t="shared" si="571"/>
        <v>2</v>
      </c>
      <c r="N666" s="6">
        <f t="shared" si="571"/>
        <v>0</v>
      </c>
      <c r="O666" s="6">
        <f t="shared" si="571"/>
        <v>0</v>
      </c>
      <c r="P666" s="6">
        <f t="shared" si="571"/>
        <v>0</v>
      </c>
      <c r="Q666" s="6">
        <f t="shared" si="571"/>
        <v>0</v>
      </c>
      <c r="R666" s="6">
        <f t="shared" si="571"/>
        <v>0</v>
      </c>
      <c r="S666" s="6">
        <f t="shared" si="571"/>
        <v>0</v>
      </c>
      <c r="T666" s="6">
        <f t="shared" si="571"/>
        <v>0</v>
      </c>
      <c r="U666" s="6">
        <f t="shared" si="571"/>
        <v>0</v>
      </c>
      <c r="V666" s="6">
        <f t="shared" si="571"/>
        <v>0</v>
      </c>
      <c r="W666" s="6">
        <f t="shared" si="571"/>
        <v>11</v>
      </c>
      <c r="X666" s="6">
        <f t="shared" si="571"/>
        <v>0</v>
      </c>
      <c r="Y666" s="6">
        <f t="shared" si="571"/>
        <v>0</v>
      </c>
      <c r="Z666" s="6">
        <f t="shared" si="571"/>
        <v>0</v>
      </c>
      <c r="AA666" s="6">
        <f t="shared" si="571"/>
        <v>0</v>
      </c>
      <c r="AB666" s="6">
        <f t="shared" si="571"/>
        <v>0</v>
      </c>
      <c r="AC666" s="6">
        <f t="shared" ref="AC666:BZ666" si="572">SUM(AC260:AC266)+AC499+AC509+AC523</f>
        <v>92</v>
      </c>
      <c r="AD666" s="6">
        <f t="shared" si="572"/>
        <v>103</v>
      </c>
      <c r="AE666" s="6">
        <f t="shared" si="572"/>
        <v>1979</v>
      </c>
      <c r="AF666" s="6">
        <f t="shared" si="572"/>
        <v>67</v>
      </c>
      <c r="AG666" s="6">
        <f t="shared" si="572"/>
        <v>0</v>
      </c>
      <c r="AH666" s="6">
        <f t="shared" si="572"/>
        <v>3642</v>
      </c>
      <c r="AI666" s="6">
        <f t="shared" si="572"/>
        <v>0</v>
      </c>
      <c r="AJ666" s="6">
        <f t="shared" si="572"/>
        <v>0</v>
      </c>
      <c r="AK666" s="6">
        <f t="shared" si="572"/>
        <v>0</v>
      </c>
      <c r="AL666" s="6">
        <f t="shared" si="572"/>
        <v>0</v>
      </c>
      <c r="AM666" s="6">
        <f t="shared" si="572"/>
        <v>126</v>
      </c>
      <c r="AN666" s="6">
        <f t="shared" si="572"/>
        <v>3785</v>
      </c>
      <c r="AO666" s="6">
        <f t="shared" si="572"/>
        <v>1800</v>
      </c>
      <c r="AP666" s="6">
        <f t="shared" si="572"/>
        <v>0</v>
      </c>
      <c r="AQ666" s="6">
        <f t="shared" si="572"/>
        <v>0</v>
      </c>
      <c r="AR666" s="6">
        <f t="shared" si="572"/>
        <v>0</v>
      </c>
      <c r="AS666" s="6">
        <f t="shared" si="572"/>
        <v>0</v>
      </c>
      <c r="AT666" s="6">
        <f t="shared" si="572"/>
        <v>0</v>
      </c>
      <c r="AU666" s="6">
        <f t="shared" si="572"/>
        <v>0</v>
      </c>
      <c r="AV666" s="6">
        <f t="shared" si="572"/>
        <v>0</v>
      </c>
      <c r="AW666" s="6">
        <f t="shared" si="572"/>
        <v>0</v>
      </c>
      <c r="AX666" s="6">
        <f t="shared" si="572"/>
        <v>0</v>
      </c>
      <c r="AY666" s="6">
        <f t="shared" si="572"/>
        <v>0</v>
      </c>
      <c r="AZ666" s="6">
        <f t="shared" si="572"/>
        <v>0</v>
      </c>
      <c r="BA666" s="6">
        <f t="shared" si="572"/>
        <v>3230</v>
      </c>
      <c r="BB666" s="6">
        <f t="shared" si="572"/>
        <v>1373</v>
      </c>
      <c r="BC666" s="6">
        <f t="shared" si="572"/>
        <v>253</v>
      </c>
      <c r="BD666" s="6">
        <f t="shared" si="572"/>
        <v>897</v>
      </c>
      <c r="BE666" s="6">
        <f t="shared" si="572"/>
        <v>1286</v>
      </c>
      <c r="BF666" s="6">
        <f t="shared" si="572"/>
        <v>4493</v>
      </c>
      <c r="BG666" s="6">
        <f t="shared" si="572"/>
        <v>1776</v>
      </c>
      <c r="BH666" s="6">
        <f t="shared" si="572"/>
        <v>4007</v>
      </c>
      <c r="BI666" s="6">
        <f t="shared" si="572"/>
        <v>2061</v>
      </c>
      <c r="BJ666" s="6">
        <f t="shared" si="572"/>
        <v>3748</v>
      </c>
      <c r="BK666" s="6">
        <f t="shared" si="572"/>
        <v>3948</v>
      </c>
      <c r="BL666" s="6">
        <f t="shared" si="572"/>
        <v>1828</v>
      </c>
      <c r="BM666" s="6">
        <f t="shared" si="572"/>
        <v>1309</v>
      </c>
      <c r="BN666" s="6">
        <f t="shared" si="572"/>
        <v>4481</v>
      </c>
      <c r="BO666" s="6">
        <f t="shared" si="572"/>
        <v>3948</v>
      </c>
      <c r="BP666" s="6">
        <f t="shared" si="572"/>
        <v>1770</v>
      </c>
      <c r="BQ666" s="6">
        <f t="shared" si="572"/>
        <v>1899</v>
      </c>
      <c r="BR666" s="6">
        <f t="shared" si="572"/>
        <v>3849</v>
      </c>
      <c r="BS666" s="6">
        <f t="shared" si="572"/>
        <v>2885</v>
      </c>
      <c r="BT666" s="6">
        <f t="shared" si="572"/>
        <v>1267</v>
      </c>
      <c r="BU666" s="6">
        <f t="shared" si="572"/>
        <v>4472</v>
      </c>
      <c r="BV666" s="6">
        <f t="shared" si="572"/>
        <v>3464</v>
      </c>
      <c r="BW666" s="6">
        <f t="shared" si="572"/>
        <v>2117</v>
      </c>
      <c r="BX666" s="6">
        <f t="shared" si="572"/>
        <v>2625</v>
      </c>
      <c r="BY666" s="6">
        <f t="shared" si="572"/>
        <v>2382</v>
      </c>
      <c r="BZ666" s="6">
        <f t="shared" si="572"/>
        <v>2768</v>
      </c>
      <c r="CA666" s="6">
        <f t="shared" ref="CA666:CP666" si="573">SUM(CA260:CA266)+CA499+CA509+CA523</f>
        <v>3077</v>
      </c>
      <c r="CB666" s="6">
        <f t="shared" si="573"/>
        <v>1577</v>
      </c>
      <c r="CC666" s="6">
        <f t="shared" si="573"/>
        <v>3138</v>
      </c>
      <c r="CD666" s="6">
        <f t="shared" si="573"/>
        <v>3488</v>
      </c>
      <c r="CE666" s="6">
        <f t="shared" si="573"/>
        <v>2996</v>
      </c>
      <c r="CF666" s="6">
        <f t="shared" si="573"/>
        <v>1808</v>
      </c>
      <c r="CG666" s="6">
        <f t="shared" si="573"/>
        <v>1795</v>
      </c>
      <c r="CH666" s="6">
        <f t="shared" si="573"/>
        <v>2669</v>
      </c>
      <c r="CI666" s="6">
        <f t="shared" si="573"/>
        <v>2251</v>
      </c>
      <c r="CJ666" s="6">
        <f t="shared" si="573"/>
        <v>2448</v>
      </c>
      <c r="CK666" s="6">
        <f t="shared" si="573"/>
        <v>2299</v>
      </c>
      <c r="CL666" s="6">
        <f t="shared" si="573"/>
        <v>2478</v>
      </c>
      <c r="CM666" s="6">
        <f t="shared" si="573"/>
        <v>2960</v>
      </c>
      <c r="CN666" s="6">
        <f t="shared" si="573"/>
        <v>3193</v>
      </c>
      <c r="CO666" s="6">
        <f t="shared" si="573"/>
        <v>2496</v>
      </c>
      <c r="CP666" s="6">
        <f t="shared" si="573"/>
        <v>2342</v>
      </c>
      <c r="CQ666" s="6">
        <f t="shared" ref="CQ666:EM666" si="574">SUM(CQ260:CQ266)+CQ499+CQ509+CQ523</f>
        <v>0</v>
      </c>
      <c r="CR666" s="6">
        <f t="shared" si="574"/>
        <v>0</v>
      </c>
      <c r="CS666" s="6">
        <f t="shared" si="574"/>
        <v>0</v>
      </c>
      <c r="CT666" s="6">
        <f t="shared" si="574"/>
        <v>0</v>
      </c>
      <c r="CU666" s="6">
        <f t="shared" si="574"/>
        <v>0</v>
      </c>
      <c r="CV666" s="6">
        <f t="shared" si="574"/>
        <v>0</v>
      </c>
      <c r="CW666" s="6">
        <f t="shared" si="574"/>
        <v>2426</v>
      </c>
      <c r="CX666" s="6">
        <f t="shared" si="574"/>
        <v>1657</v>
      </c>
      <c r="CY666" s="6">
        <f t="shared" si="574"/>
        <v>0</v>
      </c>
      <c r="CZ666" s="6">
        <f t="shared" si="574"/>
        <v>0</v>
      </c>
      <c r="DA666" s="6">
        <f t="shared" si="574"/>
        <v>0</v>
      </c>
      <c r="DB666" s="6">
        <f t="shared" si="574"/>
        <v>0</v>
      </c>
      <c r="DC666" s="6">
        <f t="shared" si="574"/>
        <v>0</v>
      </c>
      <c r="DD666" s="6">
        <f t="shared" si="574"/>
        <v>0</v>
      </c>
      <c r="DE666" s="6">
        <f t="shared" si="574"/>
        <v>0</v>
      </c>
      <c r="DF666" s="6">
        <f t="shared" si="574"/>
        <v>0</v>
      </c>
      <c r="DG666" s="6">
        <f t="shared" si="574"/>
        <v>0</v>
      </c>
      <c r="DH666" s="6">
        <f t="shared" si="574"/>
        <v>0</v>
      </c>
      <c r="DI666" s="6">
        <f t="shared" si="574"/>
        <v>0</v>
      </c>
      <c r="DJ666" s="6">
        <f t="shared" si="574"/>
        <v>0</v>
      </c>
      <c r="DK666" s="6">
        <f t="shared" si="574"/>
        <v>0</v>
      </c>
      <c r="DL666" s="6">
        <f t="shared" si="574"/>
        <v>0</v>
      </c>
      <c r="DM666" s="6">
        <f t="shared" si="574"/>
        <v>0</v>
      </c>
      <c r="DN666" s="6">
        <f t="shared" si="574"/>
        <v>0</v>
      </c>
      <c r="DO666" s="6">
        <f t="shared" si="574"/>
        <v>0</v>
      </c>
      <c r="DP666" s="6">
        <f t="shared" si="574"/>
        <v>0</v>
      </c>
      <c r="DQ666" s="6">
        <f t="shared" si="574"/>
        <v>0</v>
      </c>
      <c r="DR666" s="6">
        <f t="shared" si="574"/>
        <v>0</v>
      </c>
      <c r="DS666" s="6">
        <f t="shared" si="574"/>
        <v>0</v>
      </c>
      <c r="DT666" s="6">
        <f t="shared" si="574"/>
        <v>0</v>
      </c>
      <c r="DU666" s="6">
        <f t="shared" si="574"/>
        <v>0</v>
      </c>
      <c r="DV666" s="6">
        <f t="shared" si="574"/>
        <v>0</v>
      </c>
      <c r="DW666" s="6">
        <f t="shared" si="574"/>
        <v>0</v>
      </c>
      <c r="DX666" s="6">
        <f t="shared" si="574"/>
        <v>0</v>
      </c>
      <c r="DY666" s="6">
        <f t="shared" si="574"/>
        <v>0</v>
      </c>
      <c r="DZ666" s="6">
        <f t="shared" si="574"/>
        <v>0</v>
      </c>
      <c r="EA666" s="6">
        <f t="shared" si="574"/>
        <v>0</v>
      </c>
      <c r="EB666" s="6">
        <f t="shared" si="574"/>
        <v>0</v>
      </c>
      <c r="EC666" s="6">
        <f t="shared" si="574"/>
        <v>0</v>
      </c>
      <c r="ED666" s="6">
        <f t="shared" si="574"/>
        <v>0</v>
      </c>
      <c r="EE666" s="6">
        <f t="shared" si="574"/>
        <v>0</v>
      </c>
      <c r="EF666" s="6">
        <f t="shared" si="574"/>
        <v>0</v>
      </c>
      <c r="EG666" s="6">
        <f t="shared" si="574"/>
        <v>0</v>
      </c>
      <c r="EH666" s="6">
        <f t="shared" si="574"/>
        <v>0</v>
      </c>
      <c r="EI666" s="6">
        <f t="shared" si="574"/>
        <v>0</v>
      </c>
      <c r="EJ666" s="6">
        <f t="shared" si="574"/>
        <v>0</v>
      </c>
      <c r="EK666" s="6">
        <f t="shared" si="574"/>
        <v>0</v>
      </c>
      <c r="EL666" s="6">
        <f t="shared" si="574"/>
        <v>0</v>
      </c>
      <c r="EM666" s="6">
        <f t="shared" si="574"/>
        <v>0</v>
      </c>
      <c r="EN666" s="6">
        <f t="shared" ref="EN666:GR666" si="575">SUM(EN260:EN266)+EN499+EN509+EN523</f>
        <v>0</v>
      </c>
      <c r="EO666" s="6">
        <f t="shared" si="575"/>
        <v>0</v>
      </c>
      <c r="EP666" s="6">
        <f t="shared" si="575"/>
        <v>0</v>
      </c>
      <c r="EQ666" s="6">
        <f t="shared" si="575"/>
        <v>0</v>
      </c>
      <c r="ER666" s="6">
        <f t="shared" si="575"/>
        <v>0</v>
      </c>
      <c r="ES666" s="6">
        <f t="shared" si="575"/>
        <v>0</v>
      </c>
      <c r="ET666" s="6">
        <f t="shared" si="575"/>
        <v>0</v>
      </c>
      <c r="EU666" s="6">
        <f t="shared" si="575"/>
        <v>0</v>
      </c>
      <c r="EV666" s="6">
        <f t="shared" si="575"/>
        <v>0</v>
      </c>
      <c r="EW666" s="6">
        <f t="shared" si="575"/>
        <v>0</v>
      </c>
      <c r="EX666" s="6">
        <f t="shared" si="575"/>
        <v>0</v>
      </c>
      <c r="EY666" s="6">
        <f t="shared" si="575"/>
        <v>0</v>
      </c>
      <c r="EZ666" s="6">
        <f t="shared" si="575"/>
        <v>0</v>
      </c>
      <c r="FA666" s="6">
        <f t="shared" si="575"/>
        <v>0</v>
      </c>
      <c r="FB666" s="6">
        <f t="shared" si="575"/>
        <v>0</v>
      </c>
      <c r="FC666" s="6">
        <f t="shared" si="575"/>
        <v>0</v>
      </c>
      <c r="FD666" s="6">
        <f t="shared" si="575"/>
        <v>0</v>
      </c>
      <c r="FE666" s="6">
        <f t="shared" si="575"/>
        <v>0</v>
      </c>
      <c r="FF666" s="6">
        <f t="shared" si="575"/>
        <v>0</v>
      </c>
      <c r="FG666" s="6">
        <f t="shared" si="575"/>
        <v>0</v>
      </c>
      <c r="FH666" s="6">
        <f t="shared" si="575"/>
        <v>0</v>
      </c>
      <c r="FI666" s="6">
        <f t="shared" si="575"/>
        <v>0</v>
      </c>
      <c r="FJ666" s="6">
        <f t="shared" si="575"/>
        <v>0</v>
      </c>
      <c r="FK666" s="6">
        <f t="shared" si="575"/>
        <v>0</v>
      </c>
      <c r="FL666" s="6">
        <f t="shared" si="575"/>
        <v>0</v>
      </c>
      <c r="FM666" s="6">
        <f t="shared" si="575"/>
        <v>0</v>
      </c>
      <c r="FN666" s="6">
        <f t="shared" si="575"/>
        <v>0</v>
      </c>
      <c r="FO666" s="6">
        <f t="shared" si="575"/>
        <v>0</v>
      </c>
      <c r="FP666" s="6">
        <f t="shared" si="575"/>
        <v>0</v>
      </c>
      <c r="FQ666" s="6">
        <f t="shared" si="575"/>
        <v>0</v>
      </c>
      <c r="FR666" s="6">
        <f t="shared" si="575"/>
        <v>0</v>
      </c>
      <c r="FS666" s="6">
        <f t="shared" si="575"/>
        <v>0</v>
      </c>
      <c r="FT666" s="6">
        <f t="shared" si="575"/>
        <v>0</v>
      </c>
      <c r="FU666" s="6">
        <f t="shared" si="575"/>
        <v>0</v>
      </c>
      <c r="FV666" s="6">
        <f t="shared" si="575"/>
        <v>0</v>
      </c>
      <c r="FW666" s="6">
        <f t="shared" si="575"/>
        <v>0</v>
      </c>
      <c r="FX666" s="6">
        <f t="shared" si="575"/>
        <v>0</v>
      </c>
      <c r="FY666" s="6">
        <f t="shared" si="575"/>
        <v>0</v>
      </c>
      <c r="FZ666" s="6">
        <f t="shared" si="575"/>
        <v>0</v>
      </c>
      <c r="GA666" s="6">
        <f t="shared" si="575"/>
        <v>0</v>
      </c>
      <c r="GB666" s="6">
        <f t="shared" si="575"/>
        <v>0</v>
      </c>
      <c r="GC666" s="6">
        <f t="shared" si="575"/>
        <v>0</v>
      </c>
      <c r="GD666" s="6">
        <f t="shared" si="575"/>
        <v>0</v>
      </c>
      <c r="GE666" s="6">
        <f t="shared" si="575"/>
        <v>0</v>
      </c>
      <c r="GF666" s="6">
        <f t="shared" si="575"/>
        <v>0</v>
      </c>
      <c r="GG666" s="6">
        <f t="shared" si="575"/>
        <v>0</v>
      </c>
      <c r="GH666" s="6">
        <f t="shared" si="575"/>
        <v>0</v>
      </c>
      <c r="GI666" s="6">
        <f t="shared" si="575"/>
        <v>0</v>
      </c>
      <c r="GJ666" s="6">
        <f t="shared" si="575"/>
        <v>0</v>
      </c>
      <c r="GK666" s="6">
        <f t="shared" si="575"/>
        <v>0</v>
      </c>
      <c r="GL666" s="6">
        <f t="shared" si="575"/>
        <v>0</v>
      </c>
      <c r="GM666" s="6">
        <f t="shared" si="575"/>
        <v>0</v>
      </c>
      <c r="GN666" s="6">
        <f t="shared" si="575"/>
        <v>0</v>
      </c>
      <c r="GO666" s="6">
        <f t="shared" si="575"/>
        <v>3743</v>
      </c>
      <c r="GP666" s="6">
        <f t="shared" si="575"/>
        <v>1967</v>
      </c>
      <c r="GQ666" s="6">
        <f t="shared" si="575"/>
        <v>4113</v>
      </c>
      <c r="GR666" s="6">
        <f t="shared" si="575"/>
        <v>1639</v>
      </c>
    </row>
    <row r="667" spans="1:200">
      <c r="A667" s="6"/>
      <c r="B667" s="16" t="s">
        <v>719</v>
      </c>
      <c r="C667" s="17">
        <v>12633</v>
      </c>
      <c r="D667" s="17">
        <v>8170</v>
      </c>
      <c r="E667" s="15">
        <f t="shared" si="351"/>
        <v>0.64671891078920285</v>
      </c>
      <c r="F667" s="66">
        <f t="shared" ref="F667:AB667" si="576">SUM(F267:F277)</f>
        <v>3835</v>
      </c>
      <c r="G667" s="6">
        <f t="shared" si="576"/>
        <v>24</v>
      </c>
      <c r="H667" s="6">
        <f t="shared" si="576"/>
        <v>352</v>
      </c>
      <c r="I667" s="6">
        <f t="shared" si="576"/>
        <v>110</v>
      </c>
      <c r="J667" s="59">
        <f t="shared" si="576"/>
        <v>3641</v>
      </c>
      <c r="K667" s="6">
        <f t="shared" si="576"/>
        <v>0</v>
      </c>
      <c r="L667" s="6">
        <f t="shared" si="576"/>
        <v>0</v>
      </c>
      <c r="M667" s="6">
        <f t="shared" si="576"/>
        <v>5</v>
      </c>
      <c r="N667" s="6">
        <f t="shared" si="576"/>
        <v>0</v>
      </c>
      <c r="O667" s="6">
        <f t="shared" si="576"/>
        <v>0</v>
      </c>
      <c r="P667" s="6">
        <f t="shared" si="576"/>
        <v>1</v>
      </c>
      <c r="Q667" s="6">
        <f t="shared" si="576"/>
        <v>0</v>
      </c>
      <c r="R667" s="6">
        <f t="shared" si="576"/>
        <v>0</v>
      </c>
      <c r="S667" s="6">
        <f t="shared" si="576"/>
        <v>0</v>
      </c>
      <c r="T667" s="6">
        <f t="shared" si="576"/>
        <v>0</v>
      </c>
      <c r="U667" s="6">
        <f t="shared" si="576"/>
        <v>0</v>
      </c>
      <c r="V667" s="6">
        <f t="shared" si="576"/>
        <v>4</v>
      </c>
      <c r="W667" s="6">
        <f t="shared" si="576"/>
        <v>47</v>
      </c>
      <c r="X667" s="6">
        <f t="shared" si="576"/>
        <v>0</v>
      </c>
      <c r="Y667" s="6">
        <f t="shared" si="576"/>
        <v>0</v>
      </c>
      <c r="Z667" s="6">
        <f t="shared" si="576"/>
        <v>0</v>
      </c>
      <c r="AA667" s="6">
        <f t="shared" si="576"/>
        <v>0</v>
      </c>
      <c r="AB667" s="6">
        <f t="shared" si="576"/>
        <v>0</v>
      </c>
      <c r="AC667" s="6">
        <f t="shared" ref="AC667:BZ667" si="577">SUM(AC267:AC277)</f>
        <v>129</v>
      </c>
      <c r="AD667" s="6">
        <f t="shared" si="577"/>
        <v>188</v>
      </c>
      <c r="AE667" s="6">
        <f t="shared" si="577"/>
        <v>4330</v>
      </c>
      <c r="AF667" s="6">
        <f t="shared" si="577"/>
        <v>129</v>
      </c>
      <c r="AG667" s="6">
        <f t="shared" si="577"/>
        <v>0</v>
      </c>
      <c r="AH667" s="6">
        <f t="shared" si="577"/>
        <v>3039</v>
      </c>
      <c r="AI667" s="6">
        <f t="shared" si="577"/>
        <v>0</v>
      </c>
      <c r="AJ667" s="6">
        <f t="shared" si="577"/>
        <v>0</v>
      </c>
      <c r="AK667" s="6">
        <f t="shared" si="577"/>
        <v>0</v>
      </c>
      <c r="AL667" s="6">
        <f t="shared" si="577"/>
        <v>0</v>
      </c>
      <c r="AM667" s="6">
        <f t="shared" si="577"/>
        <v>145</v>
      </c>
      <c r="AN667" s="6">
        <f t="shared" si="577"/>
        <v>3192</v>
      </c>
      <c r="AO667" s="6">
        <f t="shared" si="577"/>
        <v>4178</v>
      </c>
      <c r="AP667" s="6">
        <f t="shared" si="577"/>
        <v>0</v>
      </c>
      <c r="AQ667" s="6">
        <f t="shared" si="577"/>
        <v>0</v>
      </c>
      <c r="AR667" s="6">
        <f t="shared" si="577"/>
        <v>0</v>
      </c>
      <c r="AS667" s="6">
        <f t="shared" si="577"/>
        <v>0</v>
      </c>
      <c r="AT667" s="6">
        <f t="shared" si="577"/>
        <v>0</v>
      </c>
      <c r="AU667" s="6">
        <f t="shared" si="577"/>
        <v>0</v>
      </c>
      <c r="AV667" s="6">
        <f t="shared" si="577"/>
        <v>0</v>
      </c>
      <c r="AW667" s="6">
        <f t="shared" si="577"/>
        <v>0</v>
      </c>
      <c r="AX667" s="6">
        <f t="shared" si="577"/>
        <v>0</v>
      </c>
      <c r="AY667" s="6">
        <f t="shared" si="577"/>
        <v>4074</v>
      </c>
      <c r="AZ667" s="6">
        <f t="shared" si="577"/>
        <v>3440</v>
      </c>
      <c r="BA667" s="6">
        <f t="shared" si="577"/>
        <v>0</v>
      </c>
      <c r="BB667" s="6">
        <f t="shared" si="577"/>
        <v>0</v>
      </c>
      <c r="BC667" s="6">
        <f t="shared" si="577"/>
        <v>0</v>
      </c>
      <c r="BD667" s="6">
        <f t="shared" si="577"/>
        <v>0</v>
      </c>
      <c r="BE667" s="6">
        <f t="shared" si="577"/>
        <v>3224</v>
      </c>
      <c r="BF667" s="6">
        <f t="shared" si="577"/>
        <v>4200</v>
      </c>
      <c r="BG667" s="6">
        <f t="shared" si="577"/>
        <v>3965</v>
      </c>
      <c r="BH667" s="6">
        <f t="shared" si="577"/>
        <v>3558</v>
      </c>
      <c r="BI667" s="6">
        <f t="shared" si="577"/>
        <v>4375</v>
      </c>
      <c r="BJ667" s="6">
        <f t="shared" si="577"/>
        <v>3092</v>
      </c>
      <c r="BK667" s="6">
        <f t="shared" si="577"/>
        <v>3782</v>
      </c>
      <c r="BL667" s="6">
        <f t="shared" si="577"/>
        <v>3691</v>
      </c>
      <c r="BM667" s="6">
        <f t="shared" si="577"/>
        <v>2996</v>
      </c>
      <c r="BN667" s="6">
        <f t="shared" si="577"/>
        <v>4386</v>
      </c>
      <c r="BO667" s="6">
        <f t="shared" si="577"/>
        <v>3391</v>
      </c>
      <c r="BP667" s="6">
        <f t="shared" si="577"/>
        <v>3810</v>
      </c>
      <c r="BQ667" s="6">
        <f t="shared" si="577"/>
        <v>4097</v>
      </c>
      <c r="BR667" s="6">
        <f t="shared" si="577"/>
        <v>3142</v>
      </c>
      <c r="BS667" s="6">
        <f t="shared" si="577"/>
        <v>5030</v>
      </c>
      <c r="BT667" s="6">
        <f t="shared" si="577"/>
        <v>3003</v>
      </c>
      <c r="BU667" s="6">
        <f t="shared" si="577"/>
        <v>4246</v>
      </c>
      <c r="BV667" s="6">
        <f t="shared" si="577"/>
        <v>4929</v>
      </c>
      <c r="BW667" s="6">
        <f t="shared" si="577"/>
        <v>3140</v>
      </c>
      <c r="BX667" s="6">
        <f t="shared" si="577"/>
        <v>2729</v>
      </c>
      <c r="BY667" s="6">
        <f t="shared" si="577"/>
        <v>3650</v>
      </c>
      <c r="BZ667" s="6">
        <f t="shared" si="577"/>
        <v>2698</v>
      </c>
      <c r="CA667" s="6">
        <f t="shared" ref="CA667:CP667" si="578">SUM(CA267:CA277)</f>
        <v>4497</v>
      </c>
      <c r="CB667" s="6">
        <f t="shared" si="578"/>
        <v>2743</v>
      </c>
      <c r="CC667" s="6">
        <f t="shared" si="578"/>
        <v>2890</v>
      </c>
      <c r="CD667" s="6">
        <f t="shared" si="578"/>
        <v>4380</v>
      </c>
      <c r="CE667" s="6">
        <f t="shared" si="578"/>
        <v>2785</v>
      </c>
      <c r="CF667" s="6">
        <f t="shared" si="578"/>
        <v>2985</v>
      </c>
      <c r="CG667" s="6">
        <f t="shared" si="578"/>
        <v>3079</v>
      </c>
      <c r="CH667" s="6">
        <f t="shared" si="578"/>
        <v>2396</v>
      </c>
      <c r="CI667" s="6">
        <f t="shared" si="578"/>
        <v>1678</v>
      </c>
      <c r="CJ667" s="6">
        <f t="shared" si="578"/>
        <v>4033</v>
      </c>
      <c r="CK667" s="6">
        <f t="shared" si="578"/>
        <v>3095</v>
      </c>
      <c r="CL667" s="6">
        <f t="shared" si="578"/>
        <v>2490</v>
      </c>
      <c r="CM667" s="6">
        <f t="shared" si="578"/>
        <v>4286</v>
      </c>
      <c r="CN667" s="6">
        <f t="shared" si="578"/>
        <v>4368</v>
      </c>
      <c r="CO667" s="6">
        <f t="shared" si="578"/>
        <v>2224</v>
      </c>
      <c r="CP667" s="6">
        <f t="shared" si="578"/>
        <v>3408</v>
      </c>
      <c r="CQ667" s="6">
        <f t="shared" ref="CQ667:EM667" si="579">SUM(CQ267:CQ277)</f>
        <v>0</v>
      </c>
      <c r="CR667" s="6">
        <f t="shared" si="579"/>
        <v>0</v>
      </c>
      <c r="CS667" s="6">
        <f t="shared" si="579"/>
        <v>0</v>
      </c>
      <c r="CT667" s="6">
        <f t="shared" si="579"/>
        <v>0</v>
      </c>
      <c r="CU667" s="6">
        <f t="shared" si="579"/>
        <v>0</v>
      </c>
      <c r="CV667" s="6">
        <f t="shared" si="579"/>
        <v>0</v>
      </c>
      <c r="CW667" s="6">
        <f t="shared" si="579"/>
        <v>0</v>
      </c>
      <c r="CX667" s="6">
        <f t="shared" si="579"/>
        <v>0</v>
      </c>
      <c r="CY667" s="6">
        <f t="shared" si="579"/>
        <v>3628</v>
      </c>
      <c r="CZ667" s="6">
        <f t="shared" si="579"/>
        <v>3383</v>
      </c>
      <c r="DA667" s="6">
        <f t="shared" si="579"/>
        <v>4333</v>
      </c>
      <c r="DB667" s="6">
        <f t="shared" si="579"/>
        <v>3140</v>
      </c>
      <c r="DC667" s="6">
        <f t="shared" si="579"/>
        <v>0</v>
      </c>
      <c r="DD667" s="6">
        <f t="shared" si="579"/>
        <v>0</v>
      </c>
      <c r="DE667" s="6">
        <f t="shared" si="579"/>
        <v>0</v>
      </c>
      <c r="DF667" s="6">
        <f t="shared" si="579"/>
        <v>0</v>
      </c>
      <c r="DG667" s="6">
        <f t="shared" si="579"/>
        <v>0</v>
      </c>
      <c r="DH667" s="6">
        <f t="shared" si="579"/>
        <v>0</v>
      </c>
      <c r="DI667" s="6">
        <f t="shared" si="579"/>
        <v>0</v>
      </c>
      <c r="DJ667" s="6">
        <f t="shared" si="579"/>
        <v>0</v>
      </c>
      <c r="DK667" s="6">
        <f t="shared" si="579"/>
        <v>0</v>
      </c>
      <c r="DL667" s="6">
        <f t="shared" si="579"/>
        <v>0</v>
      </c>
      <c r="DM667" s="6">
        <f t="shared" si="579"/>
        <v>0</v>
      </c>
      <c r="DN667" s="6">
        <f t="shared" si="579"/>
        <v>0</v>
      </c>
      <c r="DO667" s="6">
        <f t="shared" si="579"/>
        <v>0</v>
      </c>
      <c r="DP667" s="6">
        <f t="shared" si="579"/>
        <v>0</v>
      </c>
      <c r="DQ667" s="6">
        <f t="shared" si="579"/>
        <v>0</v>
      </c>
      <c r="DR667" s="6">
        <f t="shared" si="579"/>
        <v>0</v>
      </c>
      <c r="DS667" s="6">
        <f t="shared" si="579"/>
        <v>0</v>
      </c>
      <c r="DT667" s="6">
        <f t="shared" si="579"/>
        <v>0</v>
      </c>
      <c r="DU667" s="6">
        <f t="shared" si="579"/>
        <v>0</v>
      </c>
      <c r="DV667" s="6">
        <f t="shared" si="579"/>
        <v>0</v>
      </c>
      <c r="DW667" s="6">
        <f t="shared" si="579"/>
        <v>0</v>
      </c>
      <c r="DX667" s="6">
        <f t="shared" si="579"/>
        <v>0</v>
      </c>
      <c r="DY667" s="6">
        <f t="shared" si="579"/>
        <v>0</v>
      </c>
      <c r="DZ667" s="6">
        <f t="shared" si="579"/>
        <v>0</v>
      </c>
      <c r="EA667" s="6">
        <f t="shared" si="579"/>
        <v>0</v>
      </c>
      <c r="EB667" s="6">
        <f t="shared" si="579"/>
        <v>0</v>
      </c>
      <c r="EC667" s="6">
        <f t="shared" si="579"/>
        <v>0</v>
      </c>
      <c r="ED667" s="6">
        <f t="shared" si="579"/>
        <v>0</v>
      </c>
      <c r="EE667" s="6">
        <f t="shared" si="579"/>
        <v>0</v>
      </c>
      <c r="EF667" s="6">
        <f t="shared" si="579"/>
        <v>0</v>
      </c>
      <c r="EG667" s="6">
        <f t="shared" si="579"/>
        <v>0</v>
      </c>
      <c r="EH667" s="6">
        <f t="shared" si="579"/>
        <v>0</v>
      </c>
      <c r="EI667" s="6">
        <f t="shared" si="579"/>
        <v>0</v>
      </c>
      <c r="EJ667" s="6">
        <f t="shared" si="579"/>
        <v>0</v>
      </c>
      <c r="EK667" s="6">
        <f t="shared" si="579"/>
        <v>0</v>
      </c>
      <c r="EL667" s="6">
        <f t="shared" si="579"/>
        <v>0</v>
      </c>
      <c r="EM667" s="6">
        <f t="shared" si="579"/>
        <v>0</v>
      </c>
      <c r="EN667" s="6">
        <f t="shared" ref="EN667:GR667" si="580">SUM(EN267:EN277)</f>
        <v>0</v>
      </c>
      <c r="EO667" s="6">
        <f t="shared" si="580"/>
        <v>0</v>
      </c>
      <c r="EP667" s="6">
        <f t="shared" si="580"/>
        <v>0</v>
      </c>
      <c r="EQ667" s="6">
        <f t="shared" si="580"/>
        <v>0</v>
      </c>
      <c r="ER667" s="6">
        <f t="shared" si="580"/>
        <v>0</v>
      </c>
      <c r="ES667" s="6">
        <f t="shared" si="580"/>
        <v>0</v>
      </c>
      <c r="ET667" s="6">
        <f t="shared" si="580"/>
        <v>0</v>
      </c>
      <c r="EU667" s="6">
        <f t="shared" si="580"/>
        <v>0</v>
      </c>
      <c r="EV667" s="6">
        <f t="shared" si="580"/>
        <v>0</v>
      </c>
      <c r="EW667" s="6">
        <f t="shared" si="580"/>
        <v>0</v>
      </c>
      <c r="EX667" s="6">
        <f t="shared" si="580"/>
        <v>0</v>
      </c>
      <c r="EY667" s="6">
        <f t="shared" si="580"/>
        <v>0</v>
      </c>
      <c r="EZ667" s="6">
        <f t="shared" si="580"/>
        <v>0</v>
      </c>
      <c r="FA667" s="6">
        <f t="shared" si="580"/>
        <v>0</v>
      </c>
      <c r="FB667" s="6">
        <f t="shared" si="580"/>
        <v>0</v>
      </c>
      <c r="FC667" s="6">
        <f t="shared" si="580"/>
        <v>0</v>
      </c>
      <c r="FD667" s="6">
        <f t="shared" si="580"/>
        <v>0</v>
      </c>
      <c r="FE667" s="6">
        <f t="shared" si="580"/>
        <v>0</v>
      </c>
      <c r="FF667" s="6">
        <f t="shared" si="580"/>
        <v>0</v>
      </c>
      <c r="FG667" s="6">
        <f t="shared" si="580"/>
        <v>0</v>
      </c>
      <c r="FH667" s="6">
        <f t="shared" si="580"/>
        <v>0</v>
      </c>
      <c r="FI667" s="6">
        <f t="shared" si="580"/>
        <v>0</v>
      </c>
      <c r="FJ667" s="6">
        <f t="shared" si="580"/>
        <v>0</v>
      </c>
      <c r="FK667" s="6">
        <f t="shared" si="580"/>
        <v>0</v>
      </c>
      <c r="FL667" s="6">
        <f t="shared" si="580"/>
        <v>0</v>
      </c>
      <c r="FM667" s="6">
        <f t="shared" si="580"/>
        <v>0</v>
      </c>
      <c r="FN667" s="6">
        <f t="shared" si="580"/>
        <v>0</v>
      </c>
      <c r="FO667" s="6">
        <f t="shared" si="580"/>
        <v>0</v>
      </c>
      <c r="FP667" s="6">
        <f t="shared" si="580"/>
        <v>0</v>
      </c>
      <c r="FQ667" s="6">
        <f t="shared" si="580"/>
        <v>0</v>
      </c>
      <c r="FR667" s="6">
        <f t="shared" si="580"/>
        <v>0</v>
      </c>
      <c r="FS667" s="6">
        <f t="shared" si="580"/>
        <v>0</v>
      </c>
      <c r="FT667" s="6">
        <f t="shared" si="580"/>
        <v>0</v>
      </c>
      <c r="FU667" s="6">
        <f t="shared" si="580"/>
        <v>0</v>
      </c>
      <c r="FV667" s="6">
        <f t="shared" si="580"/>
        <v>0</v>
      </c>
      <c r="FW667" s="6">
        <f t="shared" si="580"/>
        <v>0</v>
      </c>
      <c r="FX667" s="6">
        <f t="shared" si="580"/>
        <v>0</v>
      </c>
      <c r="FY667" s="6">
        <f t="shared" si="580"/>
        <v>0</v>
      </c>
      <c r="FZ667" s="6">
        <f t="shared" si="580"/>
        <v>0</v>
      </c>
      <c r="GA667" s="6">
        <f t="shared" si="580"/>
        <v>0</v>
      </c>
      <c r="GB667" s="6">
        <f t="shared" si="580"/>
        <v>0</v>
      </c>
      <c r="GC667" s="6">
        <f t="shared" si="580"/>
        <v>0</v>
      </c>
      <c r="GD667" s="6">
        <f t="shared" si="580"/>
        <v>0</v>
      </c>
      <c r="GE667" s="6">
        <f t="shared" si="580"/>
        <v>4432</v>
      </c>
      <c r="GF667" s="6">
        <f t="shared" si="580"/>
        <v>3125</v>
      </c>
      <c r="GG667" s="6">
        <f t="shared" si="580"/>
        <v>0</v>
      </c>
      <c r="GH667" s="6">
        <f t="shared" si="580"/>
        <v>0</v>
      </c>
      <c r="GI667" s="6">
        <f t="shared" si="580"/>
        <v>0</v>
      </c>
      <c r="GJ667" s="6">
        <f t="shared" si="580"/>
        <v>0</v>
      </c>
      <c r="GK667" s="6">
        <f t="shared" si="580"/>
        <v>0</v>
      </c>
      <c r="GL667" s="6">
        <f t="shared" si="580"/>
        <v>0</v>
      </c>
      <c r="GM667" s="6">
        <f t="shared" si="580"/>
        <v>0</v>
      </c>
      <c r="GN667" s="6">
        <f t="shared" si="580"/>
        <v>0</v>
      </c>
      <c r="GO667" s="6">
        <f t="shared" si="580"/>
        <v>5182</v>
      </c>
      <c r="GP667" s="6">
        <f t="shared" si="580"/>
        <v>2523</v>
      </c>
      <c r="GQ667" s="6">
        <f t="shared" si="580"/>
        <v>5175</v>
      </c>
      <c r="GR667" s="6">
        <f t="shared" si="580"/>
        <v>2471</v>
      </c>
    </row>
    <row r="668" spans="1:200">
      <c r="A668" s="6"/>
      <c r="B668" s="16" t="s">
        <v>714</v>
      </c>
      <c r="C668" s="17">
        <v>26684</v>
      </c>
      <c r="D668" s="17">
        <v>20351</v>
      </c>
      <c r="E668" s="15">
        <f t="shared" si="351"/>
        <v>0.76266676660170885</v>
      </c>
      <c r="F668" s="66">
        <f>SUM(F193:F194)+SUM(F286:F300)+SUM(F415:F416)+SUM(F419:F420)+SUM(F472:F473)+F522+F528+F530+F535+SUM(F558:F559)</f>
        <v>11445</v>
      </c>
      <c r="G668" s="6">
        <f>SUM(G193:G194)+SUM(G286:G300)+SUM(G415:G416)+SUM(G419:G420)+SUM(G472:G473)+G522+G528+G530+G535+SUM(G558:G559)</f>
        <v>76</v>
      </c>
      <c r="H668" s="6">
        <f>SUM(H193:H194)+SUM(H286:H300)+SUM(H415:H416)+SUM(H419:H420)+SUM(H472:H473)+H522+H528+H530+H535+SUM(H558:H559)</f>
        <v>629</v>
      </c>
      <c r="I668" s="6">
        <f>SUM(I193:I194)+SUM(I286:I300)+SUM(I415:I416)+SUM(I419:I420)+SUM(I472:I473)+I522+I528+I530+I535+SUM(I558:I559)</f>
        <v>163</v>
      </c>
      <c r="J668" s="59">
        <f>SUM(J193:J194)+SUM(J286:J300)+SUM(J415:J416)+SUM(J419:J420)+SUM(J472:J473)+J522+J528+J530+J535+SUM(J558:J559)</f>
        <v>9028</v>
      </c>
      <c r="K668" s="6">
        <f t="shared" ref="K668" si="581">SUM(K193:K194)+SUM(K286:K300)+SUM(K415:K416)+SUM(K419:K420)+SUM(K472:K473)+K522+K528+K530+K535+SUM(K558:K559)</f>
        <v>0</v>
      </c>
      <c r="L668" s="6">
        <f t="shared" ref="L668:AB668" si="582">SUM(L193:L194)+SUM(L286:L300)+SUM(L415:L416)+SUM(L419:L420)+SUM(L472:L473)+L522+L528+L530+L535+SUM(L558:L559)</f>
        <v>0</v>
      </c>
      <c r="M668" s="6">
        <f t="shared" si="582"/>
        <v>12</v>
      </c>
      <c r="N668" s="6">
        <f t="shared" si="582"/>
        <v>0</v>
      </c>
      <c r="O668" s="6">
        <f t="shared" si="582"/>
        <v>0</v>
      </c>
      <c r="P668" s="6">
        <f t="shared" si="582"/>
        <v>0</v>
      </c>
      <c r="Q668" s="6">
        <f t="shared" si="582"/>
        <v>0</v>
      </c>
      <c r="R668" s="6">
        <f t="shared" si="582"/>
        <v>0</v>
      </c>
      <c r="S668" s="6">
        <f t="shared" si="582"/>
        <v>0</v>
      </c>
      <c r="T668" s="6">
        <f t="shared" si="582"/>
        <v>0</v>
      </c>
      <c r="U668" s="6">
        <f t="shared" si="582"/>
        <v>0</v>
      </c>
      <c r="V668" s="6">
        <f t="shared" si="582"/>
        <v>0</v>
      </c>
      <c r="W668" s="6">
        <f t="shared" si="582"/>
        <v>61</v>
      </c>
      <c r="X668" s="6">
        <f t="shared" si="582"/>
        <v>0</v>
      </c>
      <c r="Y668" s="6">
        <f t="shared" si="582"/>
        <v>0</v>
      </c>
      <c r="Z668" s="6">
        <f t="shared" si="582"/>
        <v>0</v>
      </c>
      <c r="AA668" s="6">
        <f t="shared" si="582"/>
        <v>0</v>
      </c>
      <c r="AB668" s="6">
        <f t="shared" si="582"/>
        <v>0</v>
      </c>
      <c r="AC668" s="6">
        <f t="shared" ref="AC668:BZ668" si="583">SUM(AC193:AC194)+SUM(AC286:AC300)+SUM(AC415:AC416)+SUM(AC419:AC420)+SUM(AC472:AC473)+AC522+AC528+AC530+AC535+SUM(AC558:AC559)</f>
        <v>263</v>
      </c>
      <c r="AD668" s="6">
        <f t="shared" si="583"/>
        <v>273</v>
      </c>
      <c r="AE668" s="6">
        <f t="shared" si="583"/>
        <v>11124</v>
      </c>
      <c r="AF668" s="6">
        <f t="shared" si="583"/>
        <v>213</v>
      </c>
      <c r="AG668" s="6">
        <f t="shared" si="583"/>
        <v>0</v>
      </c>
      <c r="AH668" s="6">
        <f t="shared" si="583"/>
        <v>9219</v>
      </c>
      <c r="AI668" s="6">
        <f t="shared" si="583"/>
        <v>9683</v>
      </c>
      <c r="AJ668" s="6">
        <f t="shared" si="583"/>
        <v>6</v>
      </c>
      <c r="AK668" s="6">
        <f t="shared" si="583"/>
        <v>0</v>
      </c>
      <c r="AL668" s="6">
        <f t="shared" si="583"/>
        <v>7905</v>
      </c>
      <c r="AM668" s="6">
        <f t="shared" si="583"/>
        <v>132</v>
      </c>
      <c r="AN668" s="6">
        <f t="shared" si="583"/>
        <v>2109</v>
      </c>
      <c r="AO668" s="6">
        <f t="shared" si="583"/>
        <v>1036</v>
      </c>
      <c r="AP668" s="6">
        <f t="shared" si="583"/>
        <v>7317</v>
      </c>
      <c r="AQ668" s="6">
        <f t="shared" si="583"/>
        <v>9250</v>
      </c>
      <c r="AR668" s="6">
        <f t="shared" si="583"/>
        <v>0</v>
      </c>
      <c r="AS668" s="6">
        <f t="shared" si="583"/>
        <v>0</v>
      </c>
      <c r="AT668" s="6">
        <f t="shared" si="583"/>
        <v>10166</v>
      </c>
      <c r="AU668" s="6">
        <f t="shared" si="583"/>
        <v>6764</v>
      </c>
      <c r="AV668" s="6">
        <f t="shared" si="583"/>
        <v>0</v>
      </c>
      <c r="AW668" s="6">
        <f t="shared" si="583"/>
        <v>0</v>
      </c>
      <c r="AX668" s="6">
        <f t="shared" si="583"/>
        <v>0</v>
      </c>
      <c r="AY668" s="6">
        <f t="shared" si="583"/>
        <v>0</v>
      </c>
      <c r="AZ668" s="6">
        <f t="shared" si="583"/>
        <v>0</v>
      </c>
      <c r="BA668" s="6">
        <f t="shared" si="583"/>
        <v>0</v>
      </c>
      <c r="BB668" s="6">
        <f t="shared" si="583"/>
        <v>0</v>
      </c>
      <c r="BC668" s="6">
        <f t="shared" si="583"/>
        <v>412</v>
      </c>
      <c r="BD668" s="6">
        <f t="shared" si="583"/>
        <v>3250</v>
      </c>
      <c r="BE668" s="6">
        <f t="shared" si="583"/>
        <v>8447</v>
      </c>
      <c r="BF668" s="6">
        <f t="shared" si="583"/>
        <v>12014</v>
      </c>
      <c r="BG668" s="6">
        <f t="shared" si="583"/>
        <v>10187</v>
      </c>
      <c r="BH668" s="6">
        <f t="shared" si="583"/>
        <v>10357</v>
      </c>
      <c r="BI668" s="6">
        <f t="shared" si="583"/>
        <v>11037</v>
      </c>
      <c r="BJ668" s="6">
        <f t="shared" si="583"/>
        <v>9368</v>
      </c>
      <c r="BK668" s="6">
        <f t="shared" si="583"/>
        <v>10849</v>
      </c>
      <c r="BL668" s="6">
        <f t="shared" si="583"/>
        <v>9568</v>
      </c>
      <c r="BM668" s="6">
        <f t="shared" si="583"/>
        <v>8326</v>
      </c>
      <c r="BN668" s="6">
        <f t="shared" si="583"/>
        <v>11909</v>
      </c>
      <c r="BO668" s="6">
        <f t="shared" si="583"/>
        <v>10384</v>
      </c>
      <c r="BP668" s="6">
        <f t="shared" si="583"/>
        <v>9711</v>
      </c>
      <c r="BQ668" s="6">
        <f t="shared" si="583"/>
        <v>10926</v>
      </c>
      <c r="BR668" s="6">
        <f t="shared" si="583"/>
        <v>9306</v>
      </c>
      <c r="BS668" s="6">
        <f t="shared" si="583"/>
        <v>12872</v>
      </c>
      <c r="BT668" s="6">
        <f t="shared" si="583"/>
        <v>7680</v>
      </c>
      <c r="BU668" s="6">
        <f t="shared" si="583"/>
        <v>12350</v>
      </c>
      <c r="BV668" s="6">
        <f t="shared" si="583"/>
        <v>13190</v>
      </c>
      <c r="BW668" s="6">
        <f t="shared" si="583"/>
        <v>8777</v>
      </c>
      <c r="BX668" s="6">
        <f t="shared" si="583"/>
        <v>8108</v>
      </c>
      <c r="BY668" s="6">
        <f t="shared" si="583"/>
        <v>9922</v>
      </c>
      <c r="BZ668" s="6">
        <f t="shared" si="583"/>
        <v>8389</v>
      </c>
      <c r="CA668" s="6">
        <f t="shared" ref="CA668:CP668" si="584">SUM(CA193:CA194)+SUM(CA286:CA300)+SUM(CA415:CA416)+SUM(CA419:CA420)+SUM(CA472:CA473)+CA522+CA528+CA530+CA535+SUM(CA558:CA559)</f>
        <v>12000</v>
      </c>
      <c r="CB668" s="6">
        <f t="shared" si="584"/>
        <v>7645</v>
      </c>
      <c r="CC668" s="6">
        <f t="shared" si="584"/>
        <v>8890</v>
      </c>
      <c r="CD668" s="6">
        <f t="shared" si="584"/>
        <v>12503</v>
      </c>
      <c r="CE668" s="6">
        <f t="shared" si="584"/>
        <v>8752</v>
      </c>
      <c r="CF668" s="6">
        <f t="shared" si="584"/>
        <v>8253</v>
      </c>
      <c r="CG668" s="6">
        <f t="shared" si="584"/>
        <v>8332</v>
      </c>
      <c r="CH668" s="6">
        <f t="shared" si="584"/>
        <v>7780</v>
      </c>
      <c r="CI668" s="6">
        <f t="shared" si="584"/>
        <v>6248</v>
      </c>
      <c r="CJ668" s="6">
        <f t="shared" si="584"/>
        <v>10289</v>
      </c>
      <c r="CK668" s="6">
        <f t="shared" si="584"/>
        <v>8774</v>
      </c>
      <c r="CL668" s="6">
        <f t="shared" si="584"/>
        <v>7770</v>
      </c>
      <c r="CM668" s="6">
        <f t="shared" si="584"/>
        <v>11427</v>
      </c>
      <c r="CN668" s="6">
        <f t="shared" si="584"/>
        <v>11775</v>
      </c>
      <c r="CO668" s="6">
        <f t="shared" si="584"/>
        <v>7675</v>
      </c>
      <c r="CP668" s="6">
        <f t="shared" si="584"/>
        <v>8950</v>
      </c>
      <c r="CQ668" s="6">
        <f t="shared" ref="CQ668:EM668" si="585">SUM(CQ193:CQ194)+SUM(CQ286:CQ300)+SUM(CQ415:CQ416)+SUM(CQ419:CQ420)+SUM(CQ472:CQ473)+CQ522+CQ528+CQ530+CQ535+SUM(CQ558:CQ559)</f>
        <v>677</v>
      </c>
      <c r="CR668" s="6">
        <f t="shared" si="585"/>
        <v>283</v>
      </c>
      <c r="CS668" s="6">
        <f t="shared" si="585"/>
        <v>0</v>
      </c>
      <c r="CT668" s="6">
        <f t="shared" si="585"/>
        <v>0</v>
      </c>
      <c r="CU668" s="6">
        <f t="shared" si="585"/>
        <v>0</v>
      </c>
      <c r="CV668" s="6">
        <f t="shared" si="585"/>
        <v>0</v>
      </c>
      <c r="CW668" s="6">
        <f t="shared" si="585"/>
        <v>0</v>
      </c>
      <c r="CX668" s="6">
        <f t="shared" si="585"/>
        <v>0</v>
      </c>
      <c r="CY668" s="6">
        <f t="shared" si="585"/>
        <v>0</v>
      </c>
      <c r="CZ668" s="6">
        <f t="shared" si="585"/>
        <v>0</v>
      </c>
      <c r="DA668" s="6">
        <f t="shared" si="585"/>
        <v>0</v>
      </c>
      <c r="DB668" s="6">
        <f t="shared" si="585"/>
        <v>0</v>
      </c>
      <c r="DC668" s="6">
        <f t="shared" si="585"/>
        <v>2620</v>
      </c>
      <c r="DD668" s="6">
        <f t="shared" si="585"/>
        <v>1309</v>
      </c>
      <c r="DE668" s="6">
        <f t="shared" si="585"/>
        <v>0</v>
      </c>
      <c r="DF668" s="6">
        <f t="shared" si="585"/>
        <v>0</v>
      </c>
      <c r="DG668" s="6">
        <f t="shared" si="585"/>
        <v>0</v>
      </c>
      <c r="DH668" s="6">
        <f t="shared" si="585"/>
        <v>0</v>
      </c>
      <c r="DI668" s="6">
        <f t="shared" si="585"/>
        <v>0</v>
      </c>
      <c r="DJ668" s="6">
        <f t="shared" si="585"/>
        <v>0</v>
      </c>
      <c r="DK668" s="6">
        <f t="shared" si="585"/>
        <v>0</v>
      </c>
      <c r="DL668" s="6">
        <f t="shared" si="585"/>
        <v>0</v>
      </c>
      <c r="DM668" s="6">
        <f t="shared" si="585"/>
        <v>1015</v>
      </c>
      <c r="DN668" s="6">
        <f t="shared" si="585"/>
        <v>568</v>
      </c>
      <c r="DO668" s="6">
        <f t="shared" si="585"/>
        <v>1443</v>
      </c>
      <c r="DP668" s="6">
        <f t="shared" si="585"/>
        <v>180</v>
      </c>
      <c r="DQ668" s="6">
        <f t="shared" si="585"/>
        <v>1268</v>
      </c>
      <c r="DR668" s="6">
        <f t="shared" si="585"/>
        <v>305</v>
      </c>
      <c r="DS668" s="6">
        <f t="shared" si="585"/>
        <v>1269</v>
      </c>
      <c r="DT668" s="6">
        <f t="shared" si="585"/>
        <v>303</v>
      </c>
      <c r="DU668" s="6">
        <f t="shared" si="585"/>
        <v>1270</v>
      </c>
      <c r="DV668" s="6">
        <f t="shared" si="585"/>
        <v>275</v>
      </c>
      <c r="DW668" s="6">
        <f t="shared" si="585"/>
        <v>844</v>
      </c>
      <c r="DX668" s="6">
        <f t="shared" si="585"/>
        <v>737</v>
      </c>
      <c r="DY668" s="6">
        <f t="shared" si="585"/>
        <v>0</v>
      </c>
      <c r="DZ668" s="6">
        <f t="shared" si="585"/>
        <v>0</v>
      </c>
      <c r="EA668" s="6">
        <f t="shared" si="585"/>
        <v>1090</v>
      </c>
      <c r="EB668" s="6">
        <f t="shared" si="585"/>
        <v>461</v>
      </c>
      <c r="EC668" s="6">
        <f t="shared" si="585"/>
        <v>0</v>
      </c>
      <c r="ED668" s="6">
        <f t="shared" si="585"/>
        <v>0</v>
      </c>
      <c r="EE668" s="6">
        <f t="shared" si="585"/>
        <v>0</v>
      </c>
      <c r="EF668" s="6">
        <f t="shared" si="585"/>
        <v>0</v>
      </c>
      <c r="EG668" s="6">
        <f t="shared" si="585"/>
        <v>0</v>
      </c>
      <c r="EH668" s="6">
        <f t="shared" si="585"/>
        <v>0</v>
      </c>
      <c r="EI668" s="6">
        <f t="shared" si="585"/>
        <v>0</v>
      </c>
      <c r="EJ668" s="6">
        <f t="shared" si="585"/>
        <v>0</v>
      </c>
      <c r="EK668" s="6">
        <f t="shared" si="585"/>
        <v>0</v>
      </c>
      <c r="EL668" s="6">
        <f t="shared" si="585"/>
        <v>0</v>
      </c>
      <c r="EM668" s="6">
        <f t="shared" si="585"/>
        <v>0</v>
      </c>
      <c r="EN668" s="6">
        <f t="shared" ref="EN668:GR668" si="586">SUM(EN193:EN194)+SUM(EN286:EN300)+SUM(EN415:EN416)+SUM(EN419:EN420)+SUM(EN472:EN473)+EN522+EN528+EN530+EN535+SUM(EN558:EN559)</f>
        <v>0</v>
      </c>
      <c r="EO668" s="6">
        <f t="shared" si="586"/>
        <v>0</v>
      </c>
      <c r="EP668" s="6">
        <f t="shared" si="586"/>
        <v>0</v>
      </c>
      <c r="EQ668" s="6">
        <f t="shared" si="586"/>
        <v>0</v>
      </c>
      <c r="ER668" s="6">
        <f t="shared" si="586"/>
        <v>0</v>
      </c>
      <c r="ES668" s="6">
        <f t="shared" si="586"/>
        <v>0</v>
      </c>
      <c r="ET668" s="6">
        <f t="shared" si="586"/>
        <v>0</v>
      </c>
      <c r="EU668" s="6">
        <f t="shared" si="586"/>
        <v>1026</v>
      </c>
      <c r="EV668" s="6">
        <f t="shared" si="586"/>
        <v>451</v>
      </c>
      <c r="EW668" s="6">
        <f t="shared" si="586"/>
        <v>0</v>
      </c>
      <c r="EX668" s="6">
        <f t="shared" si="586"/>
        <v>0</v>
      </c>
      <c r="EY668" s="6">
        <f t="shared" si="586"/>
        <v>0</v>
      </c>
      <c r="EZ668" s="6">
        <f t="shared" si="586"/>
        <v>0</v>
      </c>
      <c r="FA668" s="6">
        <f t="shared" si="586"/>
        <v>0</v>
      </c>
      <c r="FB668" s="6">
        <f t="shared" si="586"/>
        <v>0</v>
      </c>
      <c r="FC668" s="6">
        <f t="shared" si="586"/>
        <v>0</v>
      </c>
      <c r="FD668" s="6">
        <f t="shared" si="586"/>
        <v>0</v>
      </c>
      <c r="FE668" s="6">
        <f t="shared" si="586"/>
        <v>0</v>
      </c>
      <c r="FF668" s="6">
        <f t="shared" si="586"/>
        <v>0</v>
      </c>
      <c r="FG668" s="6">
        <f t="shared" si="586"/>
        <v>0</v>
      </c>
      <c r="FH668" s="6">
        <f t="shared" si="586"/>
        <v>0</v>
      </c>
      <c r="FI668" s="6">
        <f t="shared" si="586"/>
        <v>0</v>
      </c>
      <c r="FJ668" s="6">
        <f t="shared" si="586"/>
        <v>0</v>
      </c>
      <c r="FK668" s="6">
        <f t="shared" si="586"/>
        <v>0</v>
      </c>
      <c r="FL668" s="6">
        <f t="shared" si="586"/>
        <v>0</v>
      </c>
      <c r="FM668" s="6">
        <f t="shared" si="586"/>
        <v>0</v>
      </c>
      <c r="FN668" s="6">
        <f t="shared" si="586"/>
        <v>0</v>
      </c>
      <c r="FO668" s="6">
        <f t="shared" si="586"/>
        <v>0</v>
      </c>
      <c r="FP668" s="6">
        <f t="shared" si="586"/>
        <v>0</v>
      </c>
      <c r="FQ668" s="6">
        <f t="shared" si="586"/>
        <v>0</v>
      </c>
      <c r="FR668" s="6">
        <f t="shared" si="586"/>
        <v>0</v>
      </c>
      <c r="FS668" s="6">
        <f t="shared" si="586"/>
        <v>0</v>
      </c>
      <c r="FT668" s="6">
        <f t="shared" si="586"/>
        <v>0</v>
      </c>
      <c r="FU668" s="6">
        <f t="shared" si="586"/>
        <v>0</v>
      </c>
      <c r="FV668" s="6">
        <f t="shared" si="586"/>
        <v>0</v>
      </c>
      <c r="FW668" s="6">
        <f t="shared" si="586"/>
        <v>0</v>
      </c>
      <c r="FX668" s="6">
        <f t="shared" si="586"/>
        <v>0</v>
      </c>
      <c r="FY668" s="6">
        <f t="shared" si="586"/>
        <v>0</v>
      </c>
      <c r="FZ668" s="6">
        <f t="shared" si="586"/>
        <v>0</v>
      </c>
      <c r="GA668" s="6">
        <f t="shared" si="586"/>
        <v>0</v>
      </c>
      <c r="GB668" s="6">
        <f t="shared" si="586"/>
        <v>0</v>
      </c>
      <c r="GC668" s="6">
        <f t="shared" si="586"/>
        <v>0</v>
      </c>
      <c r="GD668" s="6">
        <f t="shared" si="586"/>
        <v>0</v>
      </c>
      <c r="GE668" s="6">
        <f t="shared" si="586"/>
        <v>0</v>
      </c>
      <c r="GF668" s="6">
        <f t="shared" si="586"/>
        <v>0</v>
      </c>
      <c r="GG668" s="6">
        <f t="shared" si="586"/>
        <v>0</v>
      </c>
      <c r="GH668" s="6">
        <f t="shared" si="586"/>
        <v>0</v>
      </c>
      <c r="GI668" s="6">
        <f t="shared" si="586"/>
        <v>825</v>
      </c>
      <c r="GJ668" s="6">
        <f t="shared" si="586"/>
        <v>589</v>
      </c>
      <c r="GK668" s="6">
        <f t="shared" si="586"/>
        <v>65</v>
      </c>
      <c r="GL668" s="6">
        <f t="shared" si="586"/>
        <v>172</v>
      </c>
      <c r="GM668" s="6">
        <f t="shared" si="586"/>
        <v>0</v>
      </c>
      <c r="GN668" s="6">
        <f t="shared" si="586"/>
        <v>0</v>
      </c>
      <c r="GO668" s="6">
        <f t="shared" si="586"/>
        <v>14794</v>
      </c>
      <c r="GP668" s="6">
        <f t="shared" si="586"/>
        <v>5870</v>
      </c>
      <c r="GQ668" s="6">
        <f t="shared" si="586"/>
        <v>14849</v>
      </c>
      <c r="GR668" s="6">
        <f t="shared" si="586"/>
        <v>5688</v>
      </c>
    </row>
    <row r="669" spans="1:200">
      <c r="A669" s="6"/>
      <c r="B669" s="16" t="s">
        <v>715</v>
      </c>
      <c r="C669" s="17">
        <v>7090</v>
      </c>
      <c r="D669" s="17">
        <v>5090</v>
      </c>
      <c r="E669" s="15">
        <f t="shared" si="351"/>
        <v>0.71791255289139633</v>
      </c>
      <c r="F669" s="66">
        <f>SUM(F278:F285)+F416+F527</f>
        <v>2028</v>
      </c>
      <c r="G669" s="6">
        <f>SUM(G278:G285)+G416+G527</f>
        <v>31</v>
      </c>
      <c r="H669" s="6">
        <f>SUM(H278:H285)+H416+H527</f>
        <v>187</v>
      </c>
      <c r="I669" s="6">
        <f>SUM(I278:I285)+I416+I527</f>
        <v>57</v>
      </c>
      <c r="J669" s="59">
        <f>SUM(J278:J285)+J416+J527</f>
        <v>3591</v>
      </c>
      <c r="K669" s="6">
        <f t="shared" ref="K669" si="587">SUM(K278:K285)+K416+K527</f>
        <v>0</v>
      </c>
      <c r="L669" s="6">
        <f t="shared" ref="L669:AB669" si="588">SUM(L278:L285)+L416+L527</f>
        <v>0</v>
      </c>
      <c r="M669" s="6">
        <f t="shared" si="588"/>
        <v>5</v>
      </c>
      <c r="N669" s="6">
        <f t="shared" si="588"/>
        <v>0</v>
      </c>
      <c r="O669" s="6">
        <f t="shared" si="588"/>
        <v>0</v>
      </c>
      <c r="P669" s="6">
        <f t="shared" si="588"/>
        <v>1</v>
      </c>
      <c r="Q669" s="6">
        <f t="shared" si="588"/>
        <v>0</v>
      </c>
      <c r="R669" s="6">
        <f t="shared" si="588"/>
        <v>0</v>
      </c>
      <c r="S669" s="6">
        <f t="shared" si="588"/>
        <v>0</v>
      </c>
      <c r="T669" s="6">
        <f t="shared" si="588"/>
        <v>0</v>
      </c>
      <c r="U669" s="6">
        <f t="shared" si="588"/>
        <v>0</v>
      </c>
      <c r="V669" s="6">
        <f t="shared" si="588"/>
        <v>1</v>
      </c>
      <c r="W669" s="6">
        <f t="shared" si="588"/>
        <v>16</v>
      </c>
      <c r="X669" s="6">
        <f t="shared" si="588"/>
        <v>0</v>
      </c>
      <c r="Y669" s="6">
        <f t="shared" si="588"/>
        <v>0</v>
      </c>
      <c r="Z669" s="6">
        <f t="shared" si="588"/>
        <v>0</v>
      </c>
      <c r="AA669" s="6">
        <f t="shared" si="588"/>
        <v>0</v>
      </c>
      <c r="AB669" s="6">
        <f t="shared" si="588"/>
        <v>0</v>
      </c>
      <c r="AC669" s="6">
        <f t="shared" ref="AC669:BZ669" si="589">SUM(AC278:AC285)+AC416+AC527</f>
        <v>77</v>
      </c>
      <c r="AD669" s="6">
        <f t="shared" si="589"/>
        <v>98</v>
      </c>
      <c r="AE669" s="6">
        <f t="shared" si="589"/>
        <v>4014</v>
      </c>
      <c r="AF669" s="6">
        <f t="shared" si="589"/>
        <v>90</v>
      </c>
      <c r="AG669" s="6">
        <f t="shared" si="589"/>
        <v>0</v>
      </c>
      <c r="AH669" s="6">
        <f t="shared" si="589"/>
        <v>1518</v>
      </c>
      <c r="AI669" s="6">
        <f t="shared" si="589"/>
        <v>602</v>
      </c>
      <c r="AJ669" s="6">
        <f t="shared" si="589"/>
        <v>0</v>
      </c>
      <c r="AK669" s="6">
        <f t="shared" si="589"/>
        <v>0</v>
      </c>
      <c r="AL669" s="6">
        <f t="shared" si="589"/>
        <v>165</v>
      </c>
      <c r="AM669" s="6">
        <f t="shared" si="589"/>
        <v>61</v>
      </c>
      <c r="AN669" s="6">
        <f t="shared" si="589"/>
        <v>1525</v>
      </c>
      <c r="AO669" s="6">
        <f t="shared" si="589"/>
        <v>3266</v>
      </c>
      <c r="AP669" s="6">
        <f t="shared" si="589"/>
        <v>1952</v>
      </c>
      <c r="AQ669" s="6">
        <f t="shared" si="589"/>
        <v>3427</v>
      </c>
      <c r="AR669" s="6">
        <f t="shared" si="589"/>
        <v>0</v>
      </c>
      <c r="AS669" s="6">
        <f t="shared" si="589"/>
        <v>0</v>
      </c>
      <c r="AT669" s="6">
        <f t="shared" si="589"/>
        <v>3883</v>
      </c>
      <c r="AU669" s="6">
        <f t="shared" si="589"/>
        <v>1644</v>
      </c>
      <c r="AV669" s="6">
        <f t="shared" si="589"/>
        <v>0</v>
      </c>
      <c r="AW669" s="6">
        <f t="shared" si="589"/>
        <v>0</v>
      </c>
      <c r="AX669" s="6">
        <f t="shared" si="589"/>
        <v>0</v>
      </c>
      <c r="AY669" s="6">
        <f t="shared" si="589"/>
        <v>0</v>
      </c>
      <c r="AZ669" s="6">
        <f t="shared" si="589"/>
        <v>0</v>
      </c>
      <c r="BA669" s="6">
        <f t="shared" si="589"/>
        <v>0</v>
      </c>
      <c r="BB669" s="6">
        <f t="shared" si="589"/>
        <v>0</v>
      </c>
      <c r="BC669" s="6">
        <f t="shared" si="589"/>
        <v>8</v>
      </c>
      <c r="BD669" s="6">
        <f t="shared" si="589"/>
        <v>87</v>
      </c>
      <c r="BE669" s="6">
        <f t="shared" si="589"/>
        <v>3044</v>
      </c>
      <c r="BF669" s="6">
        <f t="shared" si="589"/>
        <v>2545</v>
      </c>
      <c r="BG669" s="6">
        <f t="shared" si="589"/>
        <v>3730</v>
      </c>
      <c r="BH669" s="6">
        <f t="shared" si="589"/>
        <v>1909</v>
      </c>
      <c r="BI669" s="6">
        <f t="shared" si="589"/>
        <v>3893</v>
      </c>
      <c r="BJ669" s="6">
        <f t="shared" si="589"/>
        <v>1686</v>
      </c>
      <c r="BK669" s="6">
        <f t="shared" si="589"/>
        <v>2127</v>
      </c>
      <c r="BL669" s="6">
        <f t="shared" si="589"/>
        <v>3451</v>
      </c>
      <c r="BM669" s="6">
        <f t="shared" si="589"/>
        <v>2859</v>
      </c>
      <c r="BN669" s="6">
        <f t="shared" si="589"/>
        <v>2660</v>
      </c>
      <c r="BO669" s="6">
        <f t="shared" si="589"/>
        <v>1861</v>
      </c>
      <c r="BP669" s="6">
        <f t="shared" si="589"/>
        <v>3595</v>
      </c>
      <c r="BQ669" s="6">
        <f t="shared" si="589"/>
        <v>3927</v>
      </c>
      <c r="BR669" s="6">
        <f t="shared" si="589"/>
        <v>1594</v>
      </c>
      <c r="BS669" s="6">
        <f t="shared" si="589"/>
        <v>4141</v>
      </c>
      <c r="BT669" s="6">
        <f t="shared" si="589"/>
        <v>2757</v>
      </c>
      <c r="BU669" s="6">
        <f t="shared" si="589"/>
        <v>2641</v>
      </c>
      <c r="BV669" s="6">
        <f t="shared" si="589"/>
        <v>3987</v>
      </c>
      <c r="BW669" s="6">
        <f t="shared" si="589"/>
        <v>2828</v>
      </c>
      <c r="BX669" s="6">
        <f t="shared" si="589"/>
        <v>1835</v>
      </c>
      <c r="BY669" s="6">
        <f t="shared" si="589"/>
        <v>3554</v>
      </c>
      <c r="BZ669" s="6">
        <f t="shared" si="589"/>
        <v>1495</v>
      </c>
      <c r="CA669" s="6">
        <f t="shared" ref="CA669:CP669" si="590">SUM(CA278:CA285)+CA416+CA527</f>
        <v>3684</v>
      </c>
      <c r="CB669" s="6">
        <f t="shared" si="590"/>
        <v>2784</v>
      </c>
      <c r="CC669" s="6">
        <f t="shared" si="590"/>
        <v>1747</v>
      </c>
      <c r="CD669" s="6">
        <f t="shared" si="590"/>
        <v>3355</v>
      </c>
      <c r="CE669" s="6">
        <f t="shared" si="590"/>
        <v>1686</v>
      </c>
      <c r="CF669" s="6">
        <f t="shared" si="590"/>
        <v>2995</v>
      </c>
      <c r="CG669" s="6">
        <f t="shared" si="590"/>
        <v>2966</v>
      </c>
      <c r="CH669" s="6">
        <f t="shared" si="590"/>
        <v>1412</v>
      </c>
      <c r="CI669" s="6">
        <f t="shared" si="590"/>
        <v>1065</v>
      </c>
      <c r="CJ669" s="6">
        <f t="shared" si="590"/>
        <v>3471</v>
      </c>
      <c r="CK669" s="6">
        <f t="shared" si="590"/>
        <v>2829</v>
      </c>
      <c r="CL669" s="6">
        <f t="shared" si="590"/>
        <v>1693</v>
      </c>
      <c r="CM669" s="6">
        <f t="shared" si="590"/>
        <v>3551</v>
      </c>
      <c r="CN669" s="6">
        <f t="shared" si="590"/>
        <v>3599</v>
      </c>
      <c r="CO669" s="6">
        <f t="shared" si="590"/>
        <v>1617</v>
      </c>
      <c r="CP669" s="6">
        <f t="shared" si="590"/>
        <v>2942</v>
      </c>
      <c r="CQ669" s="6">
        <f t="shared" ref="CQ669:EM669" si="591">SUM(CQ278:CQ285)+CQ416+CQ527</f>
        <v>0</v>
      </c>
      <c r="CR669" s="6">
        <f t="shared" si="591"/>
        <v>0</v>
      </c>
      <c r="CS669" s="6">
        <f t="shared" si="591"/>
        <v>0</v>
      </c>
      <c r="CT669" s="6">
        <f t="shared" si="591"/>
        <v>0</v>
      </c>
      <c r="CU669" s="6">
        <f t="shared" si="591"/>
        <v>0</v>
      </c>
      <c r="CV669" s="6">
        <f t="shared" si="591"/>
        <v>0</v>
      </c>
      <c r="CW669" s="6">
        <f t="shared" si="591"/>
        <v>0</v>
      </c>
      <c r="CX669" s="6">
        <f t="shared" si="591"/>
        <v>0</v>
      </c>
      <c r="CY669" s="6">
        <f t="shared" si="591"/>
        <v>0</v>
      </c>
      <c r="CZ669" s="6">
        <f t="shared" si="591"/>
        <v>0</v>
      </c>
      <c r="DA669" s="6">
        <f t="shared" si="591"/>
        <v>0</v>
      </c>
      <c r="DB669" s="6">
        <f t="shared" si="591"/>
        <v>0</v>
      </c>
      <c r="DC669" s="6">
        <f t="shared" si="591"/>
        <v>0</v>
      </c>
      <c r="DD669" s="6">
        <f t="shared" si="591"/>
        <v>0</v>
      </c>
      <c r="DE669" s="6">
        <f t="shared" si="591"/>
        <v>0</v>
      </c>
      <c r="DF669" s="6">
        <f t="shared" si="591"/>
        <v>0</v>
      </c>
      <c r="DG669" s="6">
        <f t="shared" si="591"/>
        <v>0</v>
      </c>
      <c r="DH669" s="6">
        <f t="shared" si="591"/>
        <v>0</v>
      </c>
      <c r="DI669" s="6">
        <f t="shared" si="591"/>
        <v>0</v>
      </c>
      <c r="DJ669" s="6">
        <f t="shared" si="591"/>
        <v>0</v>
      </c>
      <c r="DK669" s="6">
        <f t="shared" si="591"/>
        <v>0</v>
      </c>
      <c r="DL669" s="6">
        <f t="shared" si="591"/>
        <v>0</v>
      </c>
      <c r="DM669" s="6">
        <f t="shared" si="591"/>
        <v>454</v>
      </c>
      <c r="DN669" s="6">
        <f t="shared" si="591"/>
        <v>260</v>
      </c>
      <c r="DO669" s="6">
        <f t="shared" si="591"/>
        <v>631</v>
      </c>
      <c r="DP669" s="6">
        <f t="shared" si="591"/>
        <v>93</v>
      </c>
      <c r="DQ669" s="6">
        <f t="shared" si="591"/>
        <v>554</v>
      </c>
      <c r="DR669" s="6">
        <f t="shared" si="591"/>
        <v>144</v>
      </c>
      <c r="DS669" s="6">
        <f t="shared" si="591"/>
        <v>565</v>
      </c>
      <c r="DT669" s="6">
        <f t="shared" si="591"/>
        <v>136</v>
      </c>
      <c r="DU669" s="6">
        <f t="shared" si="591"/>
        <v>565</v>
      </c>
      <c r="DV669" s="6">
        <f t="shared" si="591"/>
        <v>127</v>
      </c>
      <c r="DW669" s="6">
        <f t="shared" si="591"/>
        <v>368</v>
      </c>
      <c r="DX669" s="6">
        <f t="shared" si="591"/>
        <v>333</v>
      </c>
      <c r="DY669" s="6">
        <f t="shared" si="591"/>
        <v>0</v>
      </c>
      <c r="DZ669" s="6">
        <f t="shared" si="591"/>
        <v>0</v>
      </c>
      <c r="EA669" s="6">
        <f t="shared" si="591"/>
        <v>0</v>
      </c>
      <c r="EB669" s="6">
        <f t="shared" si="591"/>
        <v>0</v>
      </c>
      <c r="EC669" s="6">
        <f t="shared" si="591"/>
        <v>0</v>
      </c>
      <c r="ED669" s="6">
        <f t="shared" si="591"/>
        <v>0</v>
      </c>
      <c r="EE669" s="6">
        <f t="shared" si="591"/>
        <v>0</v>
      </c>
      <c r="EF669" s="6">
        <f t="shared" si="591"/>
        <v>0</v>
      </c>
      <c r="EG669" s="6">
        <f t="shared" si="591"/>
        <v>0</v>
      </c>
      <c r="EH669" s="6">
        <f t="shared" si="591"/>
        <v>0</v>
      </c>
      <c r="EI669" s="6">
        <f t="shared" si="591"/>
        <v>0</v>
      </c>
      <c r="EJ669" s="6">
        <f t="shared" si="591"/>
        <v>0</v>
      </c>
      <c r="EK669" s="6">
        <f t="shared" si="591"/>
        <v>0</v>
      </c>
      <c r="EL669" s="6">
        <f t="shared" si="591"/>
        <v>0</v>
      </c>
      <c r="EM669" s="6">
        <f t="shared" si="591"/>
        <v>0</v>
      </c>
      <c r="EN669" s="6">
        <f t="shared" ref="EN669:GR669" si="592">SUM(EN278:EN285)+EN416+EN527</f>
        <v>0</v>
      </c>
      <c r="EO669" s="6">
        <f t="shared" si="592"/>
        <v>0</v>
      </c>
      <c r="EP669" s="6">
        <f t="shared" si="592"/>
        <v>0</v>
      </c>
      <c r="EQ669" s="6">
        <f t="shared" si="592"/>
        <v>0</v>
      </c>
      <c r="ER669" s="6">
        <f t="shared" si="592"/>
        <v>0</v>
      </c>
      <c r="ES669" s="6">
        <f t="shared" si="592"/>
        <v>0</v>
      </c>
      <c r="ET669" s="6">
        <f t="shared" si="592"/>
        <v>0</v>
      </c>
      <c r="EU669" s="6">
        <f t="shared" si="592"/>
        <v>0</v>
      </c>
      <c r="EV669" s="6">
        <f t="shared" si="592"/>
        <v>0</v>
      </c>
      <c r="EW669" s="6">
        <f t="shared" si="592"/>
        <v>0</v>
      </c>
      <c r="EX669" s="6">
        <f t="shared" si="592"/>
        <v>0</v>
      </c>
      <c r="EY669" s="6">
        <f t="shared" si="592"/>
        <v>0</v>
      </c>
      <c r="EZ669" s="6">
        <f t="shared" si="592"/>
        <v>0</v>
      </c>
      <c r="FA669" s="6">
        <f t="shared" si="592"/>
        <v>0</v>
      </c>
      <c r="FB669" s="6">
        <f t="shared" si="592"/>
        <v>0</v>
      </c>
      <c r="FC669" s="6">
        <f t="shared" si="592"/>
        <v>0</v>
      </c>
      <c r="FD669" s="6">
        <f t="shared" si="592"/>
        <v>0</v>
      </c>
      <c r="FE669" s="6">
        <f t="shared" si="592"/>
        <v>0</v>
      </c>
      <c r="FF669" s="6">
        <f t="shared" si="592"/>
        <v>0</v>
      </c>
      <c r="FG669" s="6">
        <f t="shared" si="592"/>
        <v>0</v>
      </c>
      <c r="FH669" s="6">
        <f t="shared" si="592"/>
        <v>0</v>
      </c>
      <c r="FI669" s="6">
        <f t="shared" si="592"/>
        <v>0</v>
      </c>
      <c r="FJ669" s="6">
        <f t="shared" si="592"/>
        <v>0</v>
      </c>
      <c r="FK669" s="6">
        <f t="shared" si="592"/>
        <v>0</v>
      </c>
      <c r="FL669" s="6">
        <f t="shared" si="592"/>
        <v>0</v>
      </c>
      <c r="FM669" s="6">
        <f t="shared" si="592"/>
        <v>0</v>
      </c>
      <c r="FN669" s="6">
        <f t="shared" si="592"/>
        <v>0</v>
      </c>
      <c r="FO669" s="6">
        <f t="shared" si="592"/>
        <v>0</v>
      </c>
      <c r="FP669" s="6">
        <f t="shared" si="592"/>
        <v>0</v>
      </c>
      <c r="FQ669" s="6">
        <f t="shared" si="592"/>
        <v>0</v>
      </c>
      <c r="FR669" s="6">
        <f t="shared" si="592"/>
        <v>0</v>
      </c>
      <c r="FS669" s="6">
        <f t="shared" si="592"/>
        <v>0</v>
      </c>
      <c r="FT669" s="6">
        <f t="shared" si="592"/>
        <v>0</v>
      </c>
      <c r="FU669" s="6">
        <f t="shared" si="592"/>
        <v>0</v>
      </c>
      <c r="FV669" s="6">
        <f t="shared" si="592"/>
        <v>0</v>
      </c>
      <c r="FW669" s="6">
        <f t="shared" si="592"/>
        <v>0</v>
      </c>
      <c r="FX669" s="6">
        <f t="shared" si="592"/>
        <v>0</v>
      </c>
      <c r="FY669" s="6">
        <f t="shared" si="592"/>
        <v>0</v>
      </c>
      <c r="FZ669" s="6">
        <f t="shared" si="592"/>
        <v>0</v>
      </c>
      <c r="GA669" s="6">
        <f t="shared" si="592"/>
        <v>0</v>
      </c>
      <c r="GB669" s="6">
        <f t="shared" si="592"/>
        <v>0</v>
      </c>
      <c r="GC669" s="6">
        <f t="shared" si="592"/>
        <v>0</v>
      </c>
      <c r="GD669" s="6">
        <f t="shared" si="592"/>
        <v>0</v>
      </c>
      <c r="GE669" s="6">
        <f t="shared" si="592"/>
        <v>0</v>
      </c>
      <c r="GF669" s="6">
        <f t="shared" si="592"/>
        <v>0</v>
      </c>
      <c r="GG669" s="6">
        <f t="shared" si="592"/>
        <v>0</v>
      </c>
      <c r="GH669" s="6">
        <f t="shared" si="592"/>
        <v>0</v>
      </c>
      <c r="GI669" s="6">
        <f t="shared" si="592"/>
        <v>0</v>
      </c>
      <c r="GJ669" s="6">
        <f t="shared" si="592"/>
        <v>0</v>
      </c>
      <c r="GK669" s="6">
        <f t="shared" si="592"/>
        <v>0</v>
      </c>
      <c r="GL669" s="6">
        <f t="shared" si="592"/>
        <v>0</v>
      </c>
      <c r="GM669" s="6">
        <f t="shared" si="592"/>
        <v>0</v>
      </c>
      <c r="GN669" s="6">
        <f t="shared" si="592"/>
        <v>0</v>
      </c>
      <c r="GO669" s="6">
        <f t="shared" si="592"/>
        <v>3995</v>
      </c>
      <c r="GP669" s="6">
        <f t="shared" si="592"/>
        <v>1726</v>
      </c>
      <c r="GQ669" s="6">
        <f t="shared" si="592"/>
        <v>3957</v>
      </c>
      <c r="GR669" s="6">
        <f t="shared" si="592"/>
        <v>1737</v>
      </c>
    </row>
    <row r="670" spans="1:200">
      <c r="A670" s="6"/>
      <c r="B670" s="16" t="s">
        <v>104</v>
      </c>
      <c r="C670" s="17">
        <v>4117</v>
      </c>
      <c r="D670" s="17">
        <v>2836</v>
      </c>
      <c r="E670" s="15">
        <f t="shared" si="351"/>
        <v>0.6888511051736701</v>
      </c>
      <c r="F670" s="66">
        <f t="shared" ref="F670:AB670" si="593">SUM(F492:F495)+F414</f>
        <v>1270</v>
      </c>
      <c r="G670" s="6">
        <f t="shared" si="593"/>
        <v>14</v>
      </c>
      <c r="H670" s="6">
        <f t="shared" si="593"/>
        <v>84</v>
      </c>
      <c r="I670" s="6">
        <f t="shared" si="593"/>
        <v>22</v>
      </c>
      <c r="J670" s="59">
        <f t="shared" si="593"/>
        <v>1374</v>
      </c>
      <c r="K670" s="6">
        <f t="shared" si="593"/>
        <v>0</v>
      </c>
      <c r="L670" s="6">
        <f t="shared" si="593"/>
        <v>0</v>
      </c>
      <c r="M670" s="6">
        <f t="shared" si="593"/>
        <v>0</v>
      </c>
      <c r="N670" s="6">
        <f t="shared" si="593"/>
        <v>0</v>
      </c>
      <c r="O670" s="6">
        <f t="shared" si="593"/>
        <v>0</v>
      </c>
      <c r="P670" s="6">
        <f t="shared" si="593"/>
        <v>0</v>
      </c>
      <c r="Q670" s="6">
        <f t="shared" si="593"/>
        <v>0</v>
      </c>
      <c r="R670" s="6">
        <f t="shared" si="593"/>
        <v>0</v>
      </c>
      <c r="S670" s="6">
        <f t="shared" si="593"/>
        <v>0</v>
      </c>
      <c r="T670" s="6">
        <f t="shared" si="593"/>
        <v>0</v>
      </c>
      <c r="U670" s="6">
        <f t="shared" si="593"/>
        <v>0</v>
      </c>
      <c r="V670" s="6">
        <f t="shared" si="593"/>
        <v>1</v>
      </c>
      <c r="W670" s="6">
        <f t="shared" si="593"/>
        <v>9</v>
      </c>
      <c r="X670" s="6">
        <f t="shared" si="593"/>
        <v>0</v>
      </c>
      <c r="Y670" s="6">
        <f t="shared" si="593"/>
        <v>0</v>
      </c>
      <c r="Z670" s="6">
        <f t="shared" si="593"/>
        <v>0</v>
      </c>
      <c r="AA670" s="6">
        <f t="shared" si="593"/>
        <v>0</v>
      </c>
      <c r="AB670" s="6">
        <f t="shared" si="593"/>
        <v>0</v>
      </c>
      <c r="AC670" s="6">
        <f t="shared" ref="AC670:BZ670" si="594">SUM(AC492:AC495)+AC414</f>
        <v>60</v>
      </c>
      <c r="AD670" s="6">
        <f t="shared" si="594"/>
        <v>49</v>
      </c>
      <c r="AE670" s="6">
        <f t="shared" si="594"/>
        <v>1518</v>
      </c>
      <c r="AF670" s="6">
        <f t="shared" si="594"/>
        <v>28</v>
      </c>
      <c r="AG670" s="6">
        <f t="shared" si="594"/>
        <v>0</v>
      </c>
      <c r="AH670" s="6">
        <f t="shared" si="594"/>
        <v>1063</v>
      </c>
      <c r="AI670" s="6">
        <f t="shared" si="594"/>
        <v>1508</v>
      </c>
      <c r="AJ670" s="6">
        <f t="shared" si="594"/>
        <v>1</v>
      </c>
      <c r="AK670" s="6">
        <f t="shared" si="594"/>
        <v>0</v>
      </c>
      <c r="AL670" s="6">
        <f t="shared" si="594"/>
        <v>1211</v>
      </c>
      <c r="AM670" s="6">
        <f t="shared" si="594"/>
        <v>0</v>
      </c>
      <c r="AN670" s="6">
        <f t="shared" si="594"/>
        <v>0</v>
      </c>
      <c r="AO670" s="6">
        <f t="shared" si="594"/>
        <v>0</v>
      </c>
      <c r="AP670" s="6">
        <f t="shared" si="594"/>
        <v>0</v>
      </c>
      <c r="AQ670" s="6">
        <f t="shared" si="594"/>
        <v>0</v>
      </c>
      <c r="AR670" s="6">
        <f t="shared" si="594"/>
        <v>0</v>
      </c>
      <c r="AS670" s="6">
        <f t="shared" si="594"/>
        <v>0</v>
      </c>
      <c r="AT670" s="6">
        <f t="shared" si="594"/>
        <v>0</v>
      </c>
      <c r="AU670" s="6">
        <f t="shared" si="594"/>
        <v>0</v>
      </c>
      <c r="AV670" s="6">
        <f t="shared" si="594"/>
        <v>0</v>
      </c>
      <c r="AW670" s="6">
        <f t="shared" si="594"/>
        <v>0</v>
      </c>
      <c r="AX670" s="6">
        <f t="shared" si="594"/>
        <v>0</v>
      </c>
      <c r="AY670" s="6">
        <f t="shared" si="594"/>
        <v>1042</v>
      </c>
      <c r="AZ670" s="6">
        <f t="shared" si="594"/>
        <v>969</v>
      </c>
      <c r="BA670" s="6">
        <f t="shared" si="594"/>
        <v>0</v>
      </c>
      <c r="BB670" s="6">
        <f t="shared" si="594"/>
        <v>0</v>
      </c>
      <c r="BC670" s="6">
        <f t="shared" si="594"/>
        <v>310</v>
      </c>
      <c r="BD670" s="6">
        <f t="shared" si="594"/>
        <v>277</v>
      </c>
      <c r="BE670" s="6">
        <f t="shared" si="594"/>
        <v>1053</v>
      </c>
      <c r="BF670" s="6">
        <f t="shared" si="594"/>
        <v>1564</v>
      </c>
      <c r="BG670" s="6">
        <f t="shared" si="594"/>
        <v>1401</v>
      </c>
      <c r="BH670" s="6">
        <f t="shared" si="594"/>
        <v>1254</v>
      </c>
      <c r="BI670" s="6">
        <f t="shared" si="594"/>
        <v>1501</v>
      </c>
      <c r="BJ670" s="6">
        <f t="shared" si="594"/>
        <v>1120</v>
      </c>
      <c r="BK670" s="6">
        <f t="shared" si="594"/>
        <v>1343</v>
      </c>
      <c r="BL670" s="6">
        <f t="shared" si="594"/>
        <v>1259</v>
      </c>
      <c r="BM670" s="6">
        <f t="shared" si="594"/>
        <v>968</v>
      </c>
      <c r="BN670" s="6">
        <f t="shared" si="594"/>
        <v>1662</v>
      </c>
      <c r="BO670" s="6">
        <f t="shared" si="594"/>
        <v>1188</v>
      </c>
      <c r="BP670" s="6">
        <f t="shared" si="594"/>
        <v>1385</v>
      </c>
      <c r="BQ670" s="6">
        <f t="shared" si="594"/>
        <v>1473</v>
      </c>
      <c r="BR670" s="6">
        <f t="shared" si="594"/>
        <v>1101</v>
      </c>
      <c r="BS670" s="6">
        <f t="shared" si="594"/>
        <v>1666</v>
      </c>
      <c r="BT670" s="6">
        <f t="shared" si="594"/>
        <v>1038</v>
      </c>
      <c r="BU670" s="6">
        <f t="shared" si="594"/>
        <v>1541</v>
      </c>
      <c r="BV670" s="6">
        <f t="shared" si="594"/>
        <v>1663</v>
      </c>
      <c r="BW670" s="6">
        <f t="shared" si="594"/>
        <v>1103</v>
      </c>
      <c r="BX670" s="6">
        <f t="shared" si="594"/>
        <v>954</v>
      </c>
      <c r="BY670" s="6">
        <f t="shared" si="594"/>
        <v>1419</v>
      </c>
      <c r="BZ670" s="6">
        <f t="shared" si="594"/>
        <v>844</v>
      </c>
      <c r="CA670" s="6">
        <f t="shared" ref="CA670:CP670" si="595">SUM(CA492:CA495)+CA414</f>
        <v>1520</v>
      </c>
      <c r="CB670" s="6">
        <f t="shared" si="595"/>
        <v>1018</v>
      </c>
      <c r="CC670" s="6">
        <f t="shared" si="595"/>
        <v>1004</v>
      </c>
      <c r="CD670" s="6">
        <f t="shared" si="595"/>
        <v>1511</v>
      </c>
      <c r="CE670" s="6">
        <f t="shared" si="595"/>
        <v>960</v>
      </c>
      <c r="CF670" s="6">
        <f t="shared" si="595"/>
        <v>1132</v>
      </c>
      <c r="CG670" s="6">
        <f t="shared" si="595"/>
        <v>1078</v>
      </c>
      <c r="CH670" s="6">
        <f t="shared" si="595"/>
        <v>852</v>
      </c>
      <c r="CI670" s="6">
        <f t="shared" si="595"/>
        <v>623</v>
      </c>
      <c r="CJ670" s="6">
        <f t="shared" si="595"/>
        <v>1387</v>
      </c>
      <c r="CK670" s="6">
        <f t="shared" si="595"/>
        <v>1191</v>
      </c>
      <c r="CL670" s="6">
        <f t="shared" si="595"/>
        <v>859</v>
      </c>
      <c r="CM670" s="6">
        <f t="shared" si="595"/>
        <v>1461</v>
      </c>
      <c r="CN670" s="6">
        <f t="shared" si="595"/>
        <v>1483</v>
      </c>
      <c r="CO670" s="6">
        <f t="shared" si="595"/>
        <v>819</v>
      </c>
      <c r="CP670" s="6">
        <f t="shared" si="595"/>
        <v>1218</v>
      </c>
      <c r="CQ670" s="6">
        <f t="shared" ref="CQ670:EM670" si="596">SUM(CQ492:CQ495)+CQ414</f>
        <v>0</v>
      </c>
      <c r="CR670" s="6">
        <f t="shared" si="596"/>
        <v>0</v>
      </c>
      <c r="CS670" s="6">
        <f t="shared" si="596"/>
        <v>0</v>
      </c>
      <c r="CT670" s="6">
        <f t="shared" si="596"/>
        <v>0</v>
      </c>
      <c r="CU670" s="6">
        <f t="shared" si="596"/>
        <v>0</v>
      </c>
      <c r="CV670" s="6">
        <f t="shared" si="596"/>
        <v>0</v>
      </c>
      <c r="CW670" s="6">
        <f t="shared" si="596"/>
        <v>0</v>
      </c>
      <c r="CX670" s="6">
        <f t="shared" si="596"/>
        <v>0</v>
      </c>
      <c r="CY670" s="6">
        <f t="shared" si="596"/>
        <v>0</v>
      </c>
      <c r="CZ670" s="6">
        <f t="shared" si="596"/>
        <v>0</v>
      </c>
      <c r="DA670" s="6">
        <f t="shared" si="596"/>
        <v>0</v>
      </c>
      <c r="DB670" s="6">
        <f t="shared" si="596"/>
        <v>0</v>
      </c>
      <c r="DC670" s="6">
        <f t="shared" si="596"/>
        <v>0</v>
      </c>
      <c r="DD670" s="6">
        <f t="shared" si="596"/>
        <v>0</v>
      </c>
      <c r="DE670" s="6">
        <f t="shared" si="596"/>
        <v>0</v>
      </c>
      <c r="DF670" s="6">
        <f t="shared" si="596"/>
        <v>0</v>
      </c>
      <c r="DG670" s="6">
        <f t="shared" si="596"/>
        <v>0</v>
      </c>
      <c r="DH670" s="6">
        <f t="shared" si="596"/>
        <v>0</v>
      </c>
      <c r="DI670" s="6">
        <f t="shared" si="596"/>
        <v>0</v>
      </c>
      <c r="DJ670" s="6">
        <f t="shared" si="596"/>
        <v>0</v>
      </c>
      <c r="DK670" s="6">
        <f t="shared" si="596"/>
        <v>0</v>
      </c>
      <c r="DL670" s="6">
        <f t="shared" si="596"/>
        <v>0</v>
      </c>
      <c r="DM670" s="6">
        <f t="shared" si="596"/>
        <v>0</v>
      </c>
      <c r="DN670" s="6">
        <f t="shared" si="596"/>
        <v>0</v>
      </c>
      <c r="DO670" s="6">
        <f t="shared" si="596"/>
        <v>0</v>
      </c>
      <c r="DP670" s="6">
        <f t="shared" si="596"/>
        <v>0</v>
      </c>
      <c r="DQ670" s="6">
        <f t="shared" si="596"/>
        <v>0</v>
      </c>
      <c r="DR670" s="6">
        <f t="shared" si="596"/>
        <v>0</v>
      </c>
      <c r="DS670" s="6">
        <f t="shared" si="596"/>
        <v>0</v>
      </c>
      <c r="DT670" s="6">
        <f t="shared" si="596"/>
        <v>0</v>
      </c>
      <c r="DU670" s="6">
        <f t="shared" si="596"/>
        <v>0</v>
      </c>
      <c r="DV670" s="6">
        <f t="shared" si="596"/>
        <v>0</v>
      </c>
      <c r="DW670" s="6">
        <f t="shared" si="596"/>
        <v>0</v>
      </c>
      <c r="DX670" s="6">
        <f t="shared" si="596"/>
        <v>0</v>
      </c>
      <c r="DY670" s="6">
        <f t="shared" si="596"/>
        <v>0</v>
      </c>
      <c r="DZ670" s="6">
        <f t="shared" si="596"/>
        <v>0</v>
      </c>
      <c r="EA670" s="6">
        <f t="shared" si="596"/>
        <v>0</v>
      </c>
      <c r="EB670" s="6">
        <f t="shared" si="596"/>
        <v>0</v>
      </c>
      <c r="EC670" s="6">
        <f t="shared" si="596"/>
        <v>0</v>
      </c>
      <c r="ED670" s="6">
        <f t="shared" si="596"/>
        <v>0</v>
      </c>
      <c r="EE670" s="6">
        <f t="shared" si="596"/>
        <v>0</v>
      </c>
      <c r="EF670" s="6">
        <f t="shared" si="596"/>
        <v>0</v>
      </c>
      <c r="EG670" s="6">
        <f t="shared" si="596"/>
        <v>0</v>
      </c>
      <c r="EH670" s="6">
        <f t="shared" si="596"/>
        <v>0</v>
      </c>
      <c r="EI670" s="6">
        <f t="shared" si="596"/>
        <v>0</v>
      </c>
      <c r="EJ670" s="6">
        <f t="shared" si="596"/>
        <v>0</v>
      </c>
      <c r="EK670" s="6">
        <f t="shared" si="596"/>
        <v>0</v>
      </c>
      <c r="EL670" s="6">
        <f t="shared" si="596"/>
        <v>0</v>
      </c>
      <c r="EM670" s="6">
        <f t="shared" si="596"/>
        <v>0</v>
      </c>
      <c r="EN670" s="6">
        <f t="shared" ref="EN670:GR670" si="597">SUM(EN492:EN495)+EN414</f>
        <v>0</v>
      </c>
      <c r="EO670" s="6">
        <f t="shared" si="597"/>
        <v>0</v>
      </c>
      <c r="EP670" s="6">
        <f t="shared" si="597"/>
        <v>0</v>
      </c>
      <c r="EQ670" s="6">
        <f t="shared" si="597"/>
        <v>0</v>
      </c>
      <c r="ER670" s="6">
        <f t="shared" si="597"/>
        <v>0</v>
      </c>
      <c r="ES670" s="6">
        <f t="shared" si="597"/>
        <v>0</v>
      </c>
      <c r="ET670" s="6">
        <f t="shared" si="597"/>
        <v>0</v>
      </c>
      <c r="EU670" s="6">
        <f t="shared" si="597"/>
        <v>0</v>
      </c>
      <c r="EV670" s="6">
        <f t="shared" si="597"/>
        <v>0</v>
      </c>
      <c r="EW670" s="6">
        <f t="shared" si="597"/>
        <v>0</v>
      </c>
      <c r="EX670" s="6">
        <f t="shared" si="597"/>
        <v>0</v>
      </c>
      <c r="EY670" s="6">
        <f t="shared" si="597"/>
        <v>0</v>
      </c>
      <c r="EZ670" s="6">
        <f t="shared" si="597"/>
        <v>0</v>
      </c>
      <c r="FA670" s="6">
        <f t="shared" si="597"/>
        <v>0</v>
      </c>
      <c r="FB670" s="6">
        <f t="shared" si="597"/>
        <v>0</v>
      </c>
      <c r="FC670" s="6">
        <f t="shared" si="597"/>
        <v>0</v>
      </c>
      <c r="FD670" s="6">
        <f t="shared" si="597"/>
        <v>0</v>
      </c>
      <c r="FE670" s="6">
        <f t="shared" si="597"/>
        <v>0</v>
      </c>
      <c r="FF670" s="6">
        <f t="shared" si="597"/>
        <v>0</v>
      </c>
      <c r="FG670" s="6">
        <f t="shared" si="597"/>
        <v>0</v>
      </c>
      <c r="FH670" s="6">
        <f t="shared" si="597"/>
        <v>0</v>
      </c>
      <c r="FI670" s="6">
        <f t="shared" si="597"/>
        <v>0</v>
      </c>
      <c r="FJ670" s="6">
        <f t="shared" si="597"/>
        <v>0</v>
      </c>
      <c r="FK670" s="6">
        <f t="shared" si="597"/>
        <v>0</v>
      </c>
      <c r="FL670" s="6">
        <f t="shared" si="597"/>
        <v>0</v>
      </c>
      <c r="FM670" s="6">
        <f t="shared" si="597"/>
        <v>0</v>
      </c>
      <c r="FN670" s="6">
        <f t="shared" si="597"/>
        <v>0</v>
      </c>
      <c r="FO670" s="6">
        <f t="shared" si="597"/>
        <v>0</v>
      </c>
      <c r="FP670" s="6">
        <f t="shared" si="597"/>
        <v>0</v>
      </c>
      <c r="FQ670" s="6">
        <f t="shared" si="597"/>
        <v>0</v>
      </c>
      <c r="FR670" s="6">
        <f t="shared" si="597"/>
        <v>0</v>
      </c>
      <c r="FS670" s="6">
        <f t="shared" si="597"/>
        <v>0</v>
      </c>
      <c r="FT670" s="6">
        <f t="shared" si="597"/>
        <v>0</v>
      </c>
      <c r="FU670" s="6">
        <f t="shared" si="597"/>
        <v>0</v>
      </c>
      <c r="FV670" s="6">
        <f t="shared" si="597"/>
        <v>0</v>
      </c>
      <c r="FW670" s="6">
        <f t="shared" si="597"/>
        <v>0</v>
      </c>
      <c r="FX670" s="6">
        <f t="shared" si="597"/>
        <v>0</v>
      </c>
      <c r="FY670" s="6">
        <f t="shared" si="597"/>
        <v>0</v>
      </c>
      <c r="FZ670" s="6">
        <f t="shared" si="597"/>
        <v>0</v>
      </c>
      <c r="GA670" s="6">
        <f t="shared" si="597"/>
        <v>0</v>
      </c>
      <c r="GB670" s="6">
        <f t="shared" si="597"/>
        <v>0</v>
      </c>
      <c r="GC670" s="6">
        <f t="shared" si="597"/>
        <v>0</v>
      </c>
      <c r="GD670" s="6">
        <f t="shared" si="597"/>
        <v>0</v>
      </c>
      <c r="GE670" s="6">
        <f t="shared" si="597"/>
        <v>0</v>
      </c>
      <c r="GF670" s="6">
        <f t="shared" si="597"/>
        <v>0</v>
      </c>
      <c r="GG670" s="6">
        <f t="shared" si="597"/>
        <v>1567</v>
      </c>
      <c r="GH670" s="6">
        <f t="shared" si="597"/>
        <v>1140</v>
      </c>
      <c r="GI670" s="6">
        <f t="shared" si="597"/>
        <v>0</v>
      </c>
      <c r="GJ670" s="6">
        <f t="shared" si="597"/>
        <v>0</v>
      </c>
      <c r="GK670" s="6">
        <f t="shared" si="597"/>
        <v>0</v>
      </c>
      <c r="GL670" s="6">
        <f t="shared" si="597"/>
        <v>0</v>
      </c>
      <c r="GM670" s="6">
        <f t="shared" si="597"/>
        <v>0</v>
      </c>
      <c r="GN670" s="6">
        <f t="shared" si="597"/>
        <v>0</v>
      </c>
      <c r="GO670" s="6">
        <f t="shared" si="597"/>
        <v>1726</v>
      </c>
      <c r="GP670" s="6">
        <f t="shared" si="597"/>
        <v>949</v>
      </c>
      <c r="GQ670" s="6">
        <f t="shared" si="597"/>
        <v>1782</v>
      </c>
      <c r="GR670" s="6">
        <f t="shared" si="597"/>
        <v>873</v>
      </c>
    </row>
    <row r="671" spans="1:200">
      <c r="A671" s="6"/>
      <c r="B671" s="16" t="s">
        <v>716</v>
      </c>
      <c r="C671" s="17">
        <v>25456</v>
      </c>
      <c r="D671" s="17">
        <v>20243</v>
      </c>
      <c r="E671" s="15">
        <f t="shared" si="351"/>
        <v>0.79521527341294784</v>
      </c>
      <c r="F671" s="66">
        <f>SUM(F189:F198)+F232+F234+SUM(F247:F255)+F417+SUM(F530:F531)+F536+F539+F542+SUM(F544:F550)+F552</f>
        <v>11502</v>
      </c>
      <c r="G671" s="6">
        <f>SUM(G189:G198)+G232+G234+SUM(G247:G255)+G417+SUM(G530:G531)+G536+G539+G542+SUM(G544:G550)+G552</f>
        <v>66</v>
      </c>
      <c r="H671" s="6">
        <f>SUM(H189:H198)+H232+H234+SUM(H247:H255)+H417+SUM(H530:H531)+H536+H539+H542+SUM(H544:H550)+H552</f>
        <v>1009</v>
      </c>
      <c r="I671" s="6">
        <f>SUM(I189:I198)+I232+I234+SUM(I247:I255)+I417+SUM(I530:I531)+I536+I539+I542+SUM(I544:I550)+I552</f>
        <v>187</v>
      </c>
      <c r="J671" s="59">
        <f>SUM(J189:J198)+J232+J234+SUM(J247:J255)+J417+SUM(J530:J531)+J536+J539+J542+SUM(J544:J550)+J552</f>
        <v>12296</v>
      </c>
      <c r="K671" s="6">
        <f t="shared" ref="K671" si="598">SUM(K189:K198)+K232+K234+SUM(K247:K255)+K417+SUM(K530:K531)+K536+K539+K542+SUM(K544:K550)+K552</f>
        <v>0</v>
      </c>
      <c r="L671" s="6">
        <f t="shared" ref="L671:AB671" si="599">SUM(L189:L198)+L232+L234+SUM(L247:L255)+L417+SUM(L530:L531)+L536+L539+L542+SUM(L544:L550)+L552</f>
        <v>0</v>
      </c>
      <c r="M671" s="6">
        <f t="shared" si="599"/>
        <v>8</v>
      </c>
      <c r="N671" s="6">
        <f t="shared" si="599"/>
        <v>0</v>
      </c>
      <c r="O671" s="6">
        <f t="shared" si="599"/>
        <v>0</v>
      </c>
      <c r="P671" s="6">
        <f t="shared" si="599"/>
        <v>0</v>
      </c>
      <c r="Q671" s="6">
        <f t="shared" si="599"/>
        <v>0</v>
      </c>
      <c r="R671" s="6">
        <f t="shared" si="599"/>
        <v>0</v>
      </c>
      <c r="S671" s="6">
        <f t="shared" si="599"/>
        <v>0</v>
      </c>
      <c r="T671" s="6">
        <f t="shared" si="599"/>
        <v>1</v>
      </c>
      <c r="U671" s="6">
        <f t="shared" si="599"/>
        <v>0</v>
      </c>
      <c r="V671" s="6">
        <f t="shared" si="599"/>
        <v>1</v>
      </c>
      <c r="W671" s="6">
        <f t="shared" si="599"/>
        <v>136</v>
      </c>
      <c r="X671" s="6">
        <f t="shared" si="599"/>
        <v>0</v>
      </c>
      <c r="Y671" s="6">
        <f t="shared" si="599"/>
        <v>0</v>
      </c>
      <c r="Z671" s="6">
        <f t="shared" si="599"/>
        <v>1</v>
      </c>
      <c r="AA671" s="6">
        <f t="shared" si="599"/>
        <v>0</v>
      </c>
      <c r="AB671" s="6">
        <f t="shared" si="599"/>
        <v>0</v>
      </c>
      <c r="AC671" s="6">
        <f t="shared" ref="AC671:BZ671" si="600">SUM(AC189:AC198)+AC232+AC234+SUM(AC247:AC255)+AC417+SUM(AC530:AC531)+AC536+AC539+AC542+SUM(AC544:AC550)+AC552</f>
        <v>202</v>
      </c>
      <c r="AD671" s="6">
        <f t="shared" si="600"/>
        <v>284</v>
      </c>
      <c r="AE671" s="6">
        <f t="shared" si="600"/>
        <v>16634</v>
      </c>
      <c r="AF671" s="6">
        <f t="shared" si="600"/>
        <v>183</v>
      </c>
      <c r="AG671" s="6">
        <f t="shared" si="600"/>
        <v>1</v>
      </c>
      <c r="AH671" s="6">
        <f t="shared" si="600"/>
        <v>7832</v>
      </c>
      <c r="AI671" s="6">
        <f t="shared" si="600"/>
        <v>9395</v>
      </c>
      <c r="AJ671" s="6">
        <f t="shared" si="600"/>
        <v>2</v>
      </c>
      <c r="AK671" s="6">
        <f t="shared" si="600"/>
        <v>0</v>
      </c>
      <c r="AL671" s="6">
        <f t="shared" si="600"/>
        <v>5484</v>
      </c>
      <c r="AM671" s="6">
        <f t="shared" si="600"/>
        <v>292</v>
      </c>
      <c r="AN671" s="6">
        <f t="shared" si="600"/>
        <v>3246</v>
      </c>
      <c r="AO671" s="6">
        <f t="shared" si="600"/>
        <v>6223</v>
      </c>
      <c r="AP671" s="6">
        <f t="shared" si="600"/>
        <v>6315</v>
      </c>
      <c r="AQ671" s="6">
        <f t="shared" si="600"/>
        <v>9551</v>
      </c>
      <c r="AR671" s="6">
        <f t="shared" si="600"/>
        <v>5122</v>
      </c>
      <c r="AS671" s="6">
        <f t="shared" si="600"/>
        <v>2741</v>
      </c>
      <c r="AT671" s="6">
        <f t="shared" si="600"/>
        <v>10336</v>
      </c>
      <c r="AU671" s="6">
        <f t="shared" si="600"/>
        <v>5918</v>
      </c>
      <c r="AV671" s="6">
        <f t="shared" si="600"/>
        <v>0</v>
      </c>
      <c r="AW671" s="6">
        <f t="shared" si="600"/>
        <v>0</v>
      </c>
      <c r="AX671" s="6">
        <f t="shared" si="600"/>
        <v>0</v>
      </c>
      <c r="AY671" s="6">
        <f t="shared" si="600"/>
        <v>0</v>
      </c>
      <c r="AZ671" s="6">
        <f t="shared" si="600"/>
        <v>0</v>
      </c>
      <c r="BA671" s="6">
        <f t="shared" si="600"/>
        <v>0</v>
      </c>
      <c r="BB671" s="6">
        <f t="shared" si="600"/>
        <v>0</v>
      </c>
      <c r="BC671" s="6">
        <f t="shared" si="600"/>
        <v>0</v>
      </c>
      <c r="BD671" s="6">
        <f t="shared" si="600"/>
        <v>0</v>
      </c>
      <c r="BE671" s="6">
        <f t="shared" si="600"/>
        <v>12629</v>
      </c>
      <c r="BF671" s="6">
        <f t="shared" si="600"/>
        <v>11354</v>
      </c>
      <c r="BG671" s="6">
        <f t="shared" si="600"/>
        <v>14628</v>
      </c>
      <c r="BH671" s="6">
        <f t="shared" si="600"/>
        <v>9537</v>
      </c>
      <c r="BI671" s="6">
        <f t="shared" si="600"/>
        <v>15899</v>
      </c>
      <c r="BJ671" s="6">
        <f t="shared" si="600"/>
        <v>7955</v>
      </c>
      <c r="BK671" s="6">
        <f t="shared" si="600"/>
        <v>10442</v>
      </c>
      <c r="BL671" s="6">
        <f t="shared" si="600"/>
        <v>13448</v>
      </c>
      <c r="BM671" s="6">
        <f t="shared" si="600"/>
        <v>12342</v>
      </c>
      <c r="BN671" s="6">
        <f t="shared" si="600"/>
        <v>11270</v>
      </c>
      <c r="BO671" s="6">
        <f t="shared" si="600"/>
        <v>9083</v>
      </c>
      <c r="BP671" s="6">
        <f t="shared" si="600"/>
        <v>14283</v>
      </c>
      <c r="BQ671" s="6">
        <f t="shared" si="600"/>
        <v>15883</v>
      </c>
      <c r="BR671" s="6">
        <f t="shared" si="600"/>
        <v>7662</v>
      </c>
      <c r="BS671" s="6">
        <f t="shared" si="600"/>
        <v>17271</v>
      </c>
      <c r="BT671" s="6">
        <f t="shared" si="600"/>
        <v>10899</v>
      </c>
      <c r="BU671" s="6">
        <f t="shared" si="600"/>
        <v>12380</v>
      </c>
      <c r="BV671" s="6">
        <f t="shared" si="600"/>
        <v>16750</v>
      </c>
      <c r="BW671" s="6">
        <f t="shared" si="600"/>
        <v>11889</v>
      </c>
      <c r="BX671" s="6">
        <f t="shared" si="600"/>
        <v>7483</v>
      </c>
      <c r="BY671" s="6">
        <f t="shared" si="600"/>
        <v>13088</v>
      </c>
      <c r="BZ671" s="6">
        <f t="shared" si="600"/>
        <v>7897</v>
      </c>
      <c r="CA671" s="6">
        <f t="shared" ref="CA671:CP671" si="601">SUM(CA189:CA198)+CA232+CA234+SUM(CA247:CA255)+CA417+SUM(CA530:CA531)+CA536+CA539+CA542+SUM(CA544:CA550)+CA552</f>
        <v>15384</v>
      </c>
      <c r="CB671" s="6">
        <f t="shared" si="601"/>
        <v>10928</v>
      </c>
      <c r="CC671" s="6">
        <f t="shared" si="601"/>
        <v>7901</v>
      </c>
      <c r="CD671" s="6">
        <f t="shared" si="601"/>
        <v>14427</v>
      </c>
      <c r="CE671" s="6">
        <f t="shared" si="601"/>
        <v>8156</v>
      </c>
      <c r="CF671" s="6">
        <f t="shared" si="601"/>
        <v>11245</v>
      </c>
      <c r="CG671" s="6">
        <f t="shared" si="601"/>
        <v>11552</v>
      </c>
      <c r="CH671" s="6">
        <f t="shared" si="601"/>
        <v>6726</v>
      </c>
      <c r="CI671" s="6">
        <f t="shared" si="601"/>
        <v>5050</v>
      </c>
      <c r="CJ671" s="6">
        <f t="shared" si="601"/>
        <v>13700</v>
      </c>
      <c r="CK671" s="6">
        <f t="shared" si="601"/>
        <v>11320</v>
      </c>
      <c r="CL671" s="6">
        <f t="shared" si="601"/>
        <v>7158</v>
      </c>
      <c r="CM671" s="6">
        <f t="shared" si="601"/>
        <v>14372</v>
      </c>
      <c r="CN671" s="6">
        <f t="shared" si="601"/>
        <v>14430</v>
      </c>
      <c r="CO671" s="6">
        <f t="shared" si="601"/>
        <v>6499</v>
      </c>
      <c r="CP671" s="6">
        <f t="shared" si="601"/>
        <v>12176</v>
      </c>
      <c r="CQ671" s="6">
        <f t="shared" ref="CQ671:EM671" si="602">SUM(CQ189:CQ198)+CQ232+CQ234+SUM(CQ247:CQ255)+CQ417+SUM(CQ530:CQ531)+CQ536+CQ539+CQ542+SUM(CQ544:CQ550)+CQ552</f>
        <v>4032</v>
      </c>
      <c r="CR671" s="6">
        <f t="shared" si="602"/>
        <v>1834</v>
      </c>
      <c r="CS671" s="6">
        <f t="shared" si="602"/>
        <v>0</v>
      </c>
      <c r="CT671" s="6">
        <f t="shared" si="602"/>
        <v>0</v>
      </c>
      <c r="CU671" s="6">
        <f t="shared" si="602"/>
        <v>0</v>
      </c>
      <c r="CV671" s="6">
        <f t="shared" si="602"/>
        <v>0</v>
      </c>
      <c r="CW671" s="6">
        <f t="shared" si="602"/>
        <v>0</v>
      </c>
      <c r="CX671" s="6">
        <f t="shared" si="602"/>
        <v>0</v>
      </c>
      <c r="CY671" s="6">
        <f t="shared" si="602"/>
        <v>0</v>
      </c>
      <c r="CZ671" s="6">
        <f t="shared" si="602"/>
        <v>0</v>
      </c>
      <c r="DA671" s="6">
        <f t="shared" si="602"/>
        <v>0</v>
      </c>
      <c r="DB671" s="6">
        <f t="shared" si="602"/>
        <v>0</v>
      </c>
      <c r="DC671" s="6">
        <f t="shared" si="602"/>
        <v>0</v>
      </c>
      <c r="DD671" s="6">
        <f t="shared" si="602"/>
        <v>0</v>
      </c>
      <c r="DE671" s="6">
        <f t="shared" si="602"/>
        <v>0</v>
      </c>
      <c r="DF671" s="6">
        <f t="shared" si="602"/>
        <v>0</v>
      </c>
      <c r="DG671" s="6">
        <f t="shared" si="602"/>
        <v>0</v>
      </c>
      <c r="DH671" s="6">
        <f t="shared" si="602"/>
        <v>0</v>
      </c>
      <c r="DI671" s="6">
        <f t="shared" si="602"/>
        <v>0</v>
      </c>
      <c r="DJ671" s="6">
        <f t="shared" si="602"/>
        <v>0</v>
      </c>
      <c r="DK671" s="6">
        <f t="shared" si="602"/>
        <v>0</v>
      </c>
      <c r="DL671" s="6">
        <f t="shared" si="602"/>
        <v>0</v>
      </c>
      <c r="DM671" s="6">
        <f t="shared" si="602"/>
        <v>121</v>
      </c>
      <c r="DN671" s="6">
        <f t="shared" si="602"/>
        <v>44</v>
      </c>
      <c r="DO671" s="6">
        <f t="shared" si="602"/>
        <v>153</v>
      </c>
      <c r="DP671" s="6">
        <f t="shared" si="602"/>
        <v>12</v>
      </c>
      <c r="DQ671" s="6">
        <f t="shared" si="602"/>
        <v>139</v>
      </c>
      <c r="DR671" s="6">
        <f t="shared" si="602"/>
        <v>24</v>
      </c>
      <c r="DS671" s="6">
        <f t="shared" si="602"/>
        <v>140</v>
      </c>
      <c r="DT671" s="6">
        <f t="shared" si="602"/>
        <v>21</v>
      </c>
      <c r="DU671" s="6">
        <f t="shared" si="602"/>
        <v>128</v>
      </c>
      <c r="DV671" s="6">
        <f t="shared" si="602"/>
        <v>25</v>
      </c>
      <c r="DW671" s="6">
        <f t="shared" si="602"/>
        <v>103</v>
      </c>
      <c r="DX671" s="6">
        <f t="shared" si="602"/>
        <v>54</v>
      </c>
      <c r="DY671" s="6">
        <f t="shared" si="602"/>
        <v>0</v>
      </c>
      <c r="DZ671" s="6">
        <f t="shared" si="602"/>
        <v>0</v>
      </c>
      <c r="EA671" s="6">
        <f t="shared" si="602"/>
        <v>0</v>
      </c>
      <c r="EB671" s="6">
        <f t="shared" si="602"/>
        <v>0</v>
      </c>
      <c r="EC671" s="6">
        <f t="shared" si="602"/>
        <v>0</v>
      </c>
      <c r="ED671" s="6">
        <f t="shared" si="602"/>
        <v>0</v>
      </c>
      <c r="EE671" s="6">
        <f t="shared" si="602"/>
        <v>0</v>
      </c>
      <c r="EF671" s="6">
        <f t="shared" si="602"/>
        <v>0</v>
      </c>
      <c r="EG671" s="6">
        <f t="shared" si="602"/>
        <v>0</v>
      </c>
      <c r="EH671" s="6">
        <f t="shared" si="602"/>
        <v>0</v>
      </c>
      <c r="EI671" s="6">
        <f t="shared" si="602"/>
        <v>0</v>
      </c>
      <c r="EJ671" s="6">
        <f t="shared" si="602"/>
        <v>0</v>
      </c>
      <c r="EK671" s="6">
        <f t="shared" si="602"/>
        <v>0</v>
      </c>
      <c r="EL671" s="6">
        <f t="shared" si="602"/>
        <v>0</v>
      </c>
      <c r="EM671" s="6">
        <f t="shared" si="602"/>
        <v>0</v>
      </c>
      <c r="EN671" s="6">
        <f t="shared" ref="EN671:GR671" si="603">SUM(EN189:EN198)+EN232+EN234+SUM(EN247:EN255)+EN417+SUM(EN530:EN531)+EN536+EN539+EN542+SUM(EN544:EN550)+EN552</f>
        <v>0</v>
      </c>
      <c r="EO671" s="6">
        <f t="shared" si="603"/>
        <v>0</v>
      </c>
      <c r="EP671" s="6">
        <f t="shared" si="603"/>
        <v>0</v>
      </c>
      <c r="EQ671" s="6">
        <f t="shared" si="603"/>
        <v>0</v>
      </c>
      <c r="ER671" s="6">
        <f t="shared" si="603"/>
        <v>0</v>
      </c>
      <c r="ES671" s="6">
        <f t="shared" si="603"/>
        <v>0</v>
      </c>
      <c r="ET671" s="6">
        <f t="shared" si="603"/>
        <v>0</v>
      </c>
      <c r="EU671" s="6">
        <f t="shared" si="603"/>
        <v>0</v>
      </c>
      <c r="EV671" s="6">
        <f t="shared" si="603"/>
        <v>0</v>
      </c>
      <c r="EW671" s="6">
        <f t="shared" si="603"/>
        <v>0</v>
      </c>
      <c r="EX671" s="6">
        <f t="shared" si="603"/>
        <v>0</v>
      </c>
      <c r="EY671" s="6">
        <f t="shared" si="603"/>
        <v>0</v>
      </c>
      <c r="EZ671" s="6">
        <f t="shared" si="603"/>
        <v>0</v>
      </c>
      <c r="FA671" s="6">
        <f t="shared" si="603"/>
        <v>0</v>
      </c>
      <c r="FB671" s="6">
        <f t="shared" si="603"/>
        <v>0</v>
      </c>
      <c r="FC671" s="6">
        <f t="shared" si="603"/>
        <v>0</v>
      </c>
      <c r="FD671" s="6">
        <f t="shared" si="603"/>
        <v>0</v>
      </c>
      <c r="FE671" s="6">
        <f t="shared" si="603"/>
        <v>0</v>
      </c>
      <c r="FF671" s="6">
        <f t="shared" si="603"/>
        <v>0</v>
      </c>
      <c r="FG671" s="6">
        <f t="shared" si="603"/>
        <v>0</v>
      </c>
      <c r="FH671" s="6">
        <f t="shared" si="603"/>
        <v>0</v>
      </c>
      <c r="FI671" s="6">
        <f t="shared" si="603"/>
        <v>0</v>
      </c>
      <c r="FJ671" s="6">
        <f t="shared" si="603"/>
        <v>0</v>
      </c>
      <c r="FK671" s="6">
        <f t="shared" si="603"/>
        <v>0</v>
      </c>
      <c r="FL671" s="6">
        <f t="shared" si="603"/>
        <v>0</v>
      </c>
      <c r="FM671" s="6">
        <f t="shared" si="603"/>
        <v>0</v>
      </c>
      <c r="FN671" s="6">
        <f t="shared" si="603"/>
        <v>0</v>
      </c>
      <c r="FO671" s="6">
        <f t="shared" si="603"/>
        <v>0</v>
      </c>
      <c r="FP671" s="6">
        <f t="shared" si="603"/>
        <v>0</v>
      </c>
      <c r="FQ671" s="6">
        <f t="shared" si="603"/>
        <v>0</v>
      </c>
      <c r="FR671" s="6">
        <f t="shared" si="603"/>
        <v>0</v>
      </c>
      <c r="FS671" s="6">
        <f t="shared" si="603"/>
        <v>0</v>
      </c>
      <c r="FT671" s="6">
        <f t="shared" si="603"/>
        <v>0</v>
      </c>
      <c r="FU671" s="6">
        <f t="shared" si="603"/>
        <v>0</v>
      </c>
      <c r="FV671" s="6">
        <f t="shared" si="603"/>
        <v>0</v>
      </c>
      <c r="FW671" s="6">
        <f t="shared" si="603"/>
        <v>0</v>
      </c>
      <c r="FX671" s="6">
        <f t="shared" si="603"/>
        <v>0</v>
      </c>
      <c r="FY671" s="6">
        <f t="shared" si="603"/>
        <v>0</v>
      </c>
      <c r="FZ671" s="6">
        <f t="shared" si="603"/>
        <v>0</v>
      </c>
      <c r="GA671" s="6">
        <f t="shared" si="603"/>
        <v>0</v>
      </c>
      <c r="GB671" s="6">
        <f t="shared" si="603"/>
        <v>0</v>
      </c>
      <c r="GC671" s="6">
        <f t="shared" si="603"/>
        <v>0</v>
      </c>
      <c r="GD671" s="6">
        <f t="shared" si="603"/>
        <v>0</v>
      </c>
      <c r="GE671" s="6">
        <f t="shared" si="603"/>
        <v>0</v>
      </c>
      <c r="GF671" s="6">
        <f t="shared" si="603"/>
        <v>0</v>
      </c>
      <c r="GG671" s="6">
        <f t="shared" si="603"/>
        <v>0</v>
      </c>
      <c r="GH671" s="6">
        <f t="shared" si="603"/>
        <v>0</v>
      </c>
      <c r="GI671" s="6">
        <f t="shared" si="603"/>
        <v>11786</v>
      </c>
      <c r="GJ671" s="6">
        <f t="shared" si="603"/>
        <v>7584</v>
      </c>
      <c r="GK671" s="6">
        <f t="shared" si="603"/>
        <v>0</v>
      </c>
      <c r="GL671" s="6">
        <f t="shared" si="603"/>
        <v>0</v>
      </c>
      <c r="GM671" s="6">
        <f t="shared" si="603"/>
        <v>0</v>
      </c>
      <c r="GN671" s="6">
        <f t="shared" si="603"/>
        <v>0</v>
      </c>
      <c r="GO671" s="6">
        <f t="shared" si="603"/>
        <v>18112</v>
      </c>
      <c r="GP671" s="6">
        <f t="shared" si="603"/>
        <v>6538</v>
      </c>
      <c r="GQ671" s="6">
        <f t="shared" si="603"/>
        <v>18209</v>
      </c>
      <c r="GR671" s="6">
        <f t="shared" si="603"/>
        <v>6280</v>
      </c>
    </row>
    <row r="672" spans="1:200">
      <c r="A672" s="6"/>
      <c r="B672" s="16" t="s">
        <v>105</v>
      </c>
      <c r="C672" s="17">
        <v>18778</v>
      </c>
      <c r="D672" s="17">
        <v>14143</v>
      </c>
      <c r="E672" s="15">
        <f t="shared" si="351"/>
        <v>0.7531686015550112</v>
      </c>
      <c r="F672" s="66">
        <f>SUM(F207:F211)+SUM(F213:F219)+F301+SUM(F466:F468)+SUM(F504:F506)+F520+F522+F526</f>
        <v>10575</v>
      </c>
      <c r="G672" s="6">
        <f>SUM(G207:G211)+SUM(G213:G219)+G301+SUM(G466:G468)+SUM(G504:G506)+G520+G522+G526</f>
        <v>50</v>
      </c>
      <c r="H672" s="6">
        <f>SUM(H207:H211)+SUM(H213:H219)+H301+SUM(H466:H468)+SUM(H504:H506)+H520+H522+H526</f>
        <v>440</v>
      </c>
      <c r="I672" s="6">
        <f>SUM(I207:I211)+SUM(I213:I219)+I301+SUM(I466:I468)+SUM(I504:I506)+I520+I522+I526</f>
        <v>156</v>
      </c>
      <c r="J672" s="59">
        <f>SUM(J207:J211)+SUM(J213:J219)+J301+SUM(J466:J468)+SUM(J504:J506)+J520+J522+J526</f>
        <v>4854</v>
      </c>
      <c r="K672" s="6">
        <f t="shared" ref="K672" si="604">SUM(K207:K211)+SUM(K213:K219)+K301+SUM(K466:K468)+SUM(K504:K506)+K520+K522+K526</f>
        <v>0</v>
      </c>
      <c r="L672" s="6">
        <f t="shared" ref="L672:AB672" si="605">SUM(L207:L211)+SUM(L213:L219)+L301+SUM(L466:L468)+SUM(L504:L506)+L520+L522+L526</f>
        <v>0</v>
      </c>
      <c r="M672" s="6">
        <f t="shared" si="605"/>
        <v>1</v>
      </c>
      <c r="N672" s="6">
        <f t="shared" si="605"/>
        <v>0</v>
      </c>
      <c r="O672" s="6">
        <f t="shared" si="605"/>
        <v>0</v>
      </c>
      <c r="P672" s="6">
        <f t="shared" si="605"/>
        <v>2</v>
      </c>
      <c r="Q672" s="6">
        <f t="shared" si="605"/>
        <v>0</v>
      </c>
      <c r="R672" s="6">
        <f t="shared" si="605"/>
        <v>0</v>
      </c>
      <c r="S672" s="6">
        <f t="shared" si="605"/>
        <v>0</v>
      </c>
      <c r="T672" s="6">
        <f t="shared" si="605"/>
        <v>0</v>
      </c>
      <c r="U672" s="6">
        <f t="shared" si="605"/>
        <v>0</v>
      </c>
      <c r="V672" s="6">
        <f t="shared" si="605"/>
        <v>5</v>
      </c>
      <c r="W672" s="6">
        <f t="shared" si="605"/>
        <v>31</v>
      </c>
      <c r="X672" s="6">
        <f t="shared" si="605"/>
        <v>0</v>
      </c>
      <c r="Y672" s="6">
        <f t="shared" si="605"/>
        <v>0</v>
      </c>
      <c r="Z672" s="6">
        <f t="shared" si="605"/>
        <v>0</v>
      </c>
      <c r="AA672" s="6">
        <f t="shared" si="605"/>
        <v>0</v>
      </c>
      <c r="AB672" s="6">
        <f t="shared" si="605"/>
        <v>0</v>
      </c>
      <c r="AC672" s="6">
        <f t="shared" ref="AC672:BZ672" si="606">SUM(AC207:AC211)+SUM(AC213:AC219)+AC301+SUM(AC466:AC468)+SUM(AC504:AC506)+AC520+AC522+AC526</f>
        <v>199</v>
      </c>
      <c r="AD672" s="6">
        <f t="shared" si="606"/>
        <v>253</v>
      </c>
      <c r="AE672" s="6">
        <f t="shared" si="606"/>
        <v>6286</v>
      </c>
      <c r="AF672" s="6">
        <f t="shared" si="606"/>
        <v>166</v>
      </c>
      <c r="AG672" s="6">
        <f t="shared" si="606"/>
        <v>0</v>
      </c>
      <c r="AH672" s="6">
        <f t="shared" si="606"/>
        <v>8947</v>
      </c>
      <c r="AI672" s="6">
        <f t="shared" si="606"/>
        <v>1896</v>
      </c>
      <c r="AJ672" s="6">
        <f t="shared" si="606"/>
        <v>2</v>
      </c>
      <c r="AK672" s="6">
        <f t="shared" si="606"/>
        <v>0</v>
      </c>
      <c r="AL672" s="6">
        <f t="shared" si="606"/>
        <v>6468</v>
      </c>
      <c r="AM672" s="6">
        <f t="shared" si="606"/>
        <v>258</v>
      </c>
      <c r="AN672" s="6">
        <f t="shared" si="606"/>
        <v>2749</v>
      </c>
      <c r="AO672" s="6">
        <f t="shared" si="606"/>
        <v>4211</v>
      </c>
      <c r="AP672" s="6">
        <f t="shared" si="606"/>
        <v>7470</v>
      </c>
      <c r="AQ672" s="6">
        <f t="shared" si="606"/>
        <v>2489</v>
      </c>
      <c r="AR672" s="6">
        <f t="shared" si="606"/>
        <v>0</v>
      </c>
      <c r="AS672" s="6">
        <f t="shared" si="606"/>
        <v>0</v>
      </c>
      <c r="AT672" s="6">
        <f t="shared" si="606"/>
        <v>2945</v>
      </c>
      <c r="AU672" s="6">
        <f t="shared" si="606"/>
        <v>7140</v>
      </c>
      <c r="AV672" s="6">
        <f t="shared" si="606"/>
        <v>0</v>
      </c>
      <c r="AW672" s="6">
        <f t="shared" si="606"/>
        <v>0</v>
      </c>
      <c r="AX672" s="6">
        <f t="shared" si="606"/>
        <v>0</v>
      </c>
      <c r="AY672" s="6">
        <f t="shared" si="606"/>
        <v>0</v>
      </c>
      <c r="AZ672" s="6">
        <f t="shared" si="606"/>
        <v>0</v>
      </c>
      <c r="BA672" s="6">
        <f t="shared" si="606"/>
        <v>0</v>
      </c>
      <c r="BB672" s="6">
        <f t="shared" si="606"/>
        <v>0</v>
      </c>
      <c r="BC672" s="6">
        <f t="shared" si="606"/>
        <v>2842</v>
      </c>
      <c r="BD672" s="6">
        <f t="shared" si="606"/>
        <v>2603</v>
      </c>
      <c r="BE672" s="6">
        <f t="shared" si="606"/>
        <v>4616</v>
      </c>
      <c r="BF672" s="6">
        <f t="shared" si="606"/>
        <v>10855</v>
      </c>
      <c r="BG672" s="6">
        <f t="shared" si="606"/>
        <v>5661</v>
      </c>
      <c r="BH672" s="6">
        <f t="shared" si="606"/>
        <v>9878</v>
      </c>
      <c r="BI672" s="6">
        <f t="shared" si="606"/>
        <v>6364</v>
      </c>
      <c r="BJ672" s="6">
        <f t="shared" si="606"/>
        <v>9122</v>
      </c>
      <c r="BK672" s="6">
        <f t="shared" si="606"/>
        <v>9924</v>
      </c>
      <c r="BL672" s="6">
        <f t="shared" si="606"/>
        <v>5540</v>
      </c>
      <c r="BM672" s="6">
        <f t="shared" si="606"/>
        <v>4437</v>
      </c>
      <c r="BN672" s="6">
        <f t="shared" si="606"/>
        <v>10936</v>
      </c>
      <c r="BO672" s="6">
        <f t="shared" si="606"/>
        <v>10008</v>
      </c>
      <c r="BP672" s="6">
        <f t="shared" si="606"/>
        <v>5249</v>
      </c>
      <c r="BQ672" s="6">
        <f t="shared" si="606"/>
        <v>6102</v>
      </c>
      <c r="BR672" s="6">
        <f t="shared" si="606"/>
        <v>9161</v>
      </c>
      <c r="BS672" s="6">
        <f t="shared" si="606"/>
        <v>8329</v>
      </c>
      <c r="BT672" s="6">
        <f t="shared" si="606"/>
        <v>4117</v>
      </c>
      <c r="BU672" s="6">
        <f t="shared" si="606"/>
        <v>11065</v>
      </c>
      <c r="BV672" s="6">
        <f t="shared" si="606"/>
        <v>9108</v>
      </c>
      <c r="BW672" s="6">
        <f t="shared" si="606"/>
        <v>5573</v>
      </c>
      <c r="BX672" s="6">
        <f t="shared" si="606"/>
        <v>7141</v>
      </c>
      <c r="BY672" s="6">
        <f t="shared" si="606"/>
        <v>6321</v>
      </c>
      <c r="BZ672" s="6">
        <f t="shared" si="606"/>
        <v>7454</v>
      </c>
      <c r="CA672" s="6">
        <f t="shared" ref="CA672:CP672" si="607">SUM(CA207:CA211)+SUM(CA213:CA219)+CA301+SUM(CA466:CA468)+SUM(CA504:CA506)+CA520+CA522+CA526</f>
        <v>8216</v>
      </c>
      <c r="CB672" s="6">
        <f t="shared" si="607"/>
        <v>4398</v>
      </c>
      <c r="CC672" s="6">
        <f t="shared" si="607"/>
        <v>8179</v>
      </c>
      <c r="CD672" s="6">
        <f t="shared" si="607"/>
        <v>9457</v>
      </c>
      <c r="CE672" s="6">
        <f t="shared" si="607"/>
        <v>7671</v>
      </c>
      <c r="CF672" s="6">
        <f t="shared" si="607"/>
        <v>5080</v>
      </c>
      <c r="CG672" s="6">
        <f t="shared" si="607"/>
        <v>5112</v>
      </c>
      <c r="CH672" s="6">
        <f t="shared" si="607"/>
        <v>6955</v>
      </c>
      <c r="CI672" s="6">
        <f t="shared" si="607"/>
        <v>5923</v>
      </c>
      <c r="CJ672" s="6">
        <f t="shared" si="607"/>
        <v>6691</v>
      </c>
      <c r="CK672" s="6">
        <f t="shared" si="607"/>
        <v>5948</v>
      </c>
      <c r="CL672" s="6">
        <f t="shared" si="607"/>
        <v>6729</v>
      </c>
      <c r="CM672" s="6">
        <f t="shared" si="607"/>
        <v>7927</v>
      </c>
      <c r="CN672" s="6">
        <f t="shared" si="607"/>
        <v>8213</v>
      </c>
      <c r="CO672" s="6">
        <f t="shared" si="607"/>
        <v>6716</v>
      </c>
      <c r="CP672" s="6">
        <f t="shared" si="607"/>
        <v>5909</v>
      </c>
      <c r="CQ672" s="6">
        <f t="shared" ref="CQ672:EM672" si="608">SUM(CQ207:CQ211)+SUM(CQ213:CQ219)+CQ301+SUM(CQ466:CQ468)+SUM(CQ504:CQ506)+CQ520+CQ522+CQ526</f>
        <v>0</v>
      </c>
      <c r="CR672" s="6">
        <f t="shared" si="608"/>
        <v>0</v>
      </c>
      <c r="CS672" s="6">
        <f t="shared" si="608"/>
        <v>0</v>
      </c>
      <c r="CT672" s="6">
        <f t="shared" si="608"/>
        <v>0</v>
      </c>
      <c r="CU672" s="6">
        <f t="shared" si="608"/>
        <v>0</v>
      </c>
      <c r="CV672" s="6">
        <f t="shared" si="608"/>
        <v>0</v>
      </c>
      <c r="CW672" s="6">
        <f t="shared" si="608"/>
        <v>0</v>
      </c>
      <c r="CX672" s="6">
        <f t="shared" si="608"/>
        <v>0</v>
      </c>
      <c r="CY672" s="6">
        <f t="shared" si="608"/>
        <v>0</v>
      </c>
      <c r="CZ672" s="6">
        <f t="shared" si="608"/>
        <v>0</v>
      </c>
      <c r="DA672" s="6">
        <f t="shared" si="608"/>
        <v>0</v>
      </c>
      <c r="DB672" s="6">
        <f t="shared" si="608"/>
        <v>0</v>
      </c>
      <c r="DC672" s="6">
        <f t="shared" si="608"/>
        <v>0</v>
      </c>
      <c r="DD672" s="6">
        <f t="shared" si="608"/>
        <v>0</v>
      </c>
      <c r="DE672" s="6">
        <f t="shared" si="608"/>
        <v>732</v>
      </c>
      <c r="DF672" s="6">
        <f t="shared" si="608"/>
        <v>229</v>
      </c>
      <c r="DG672" s="6">
        <f t="shared" si="608"/>
        <v>0</v>
      </c>
      <c r="DH672" s="6">
        <f t="shared" si="608"/>
        <v>0</v>
      </c>
      <c r="DI672" s="6">
        <f t="shared" si="608"/>
        <v>0</v>
      </c>
      <c r="DJ672" s="6">
        <f t="shared" si="608"/>
        <v>0</v>
      </c>
      <c r="DK672" s="6">
        <f t="shared" si="608"/>
        <v>0</v>
      </c>
      <c r="DL672" s="6">
        <f t="shared" si="608"/>
        <v>0</v>
      </c>
      <c r="DM672" s="6">
        <f t="shared" si="608"/>
        <v>0</v>
      </c>
      <c r="DN672" s="6">
        <f t="shared" si="608"/>
        <v>0</v>
      </c>
      <c r="DO672" s="6">
        <f t="shared" si="608"/>
        <v>0</v>
      </c>
      <c r="DP672" s="6">
        <f t="shared" si="608"/>
        <v>0</v>
      </c>
      <c r="DQ672" s="6">
        <f t="shared" si="608"/>
        <v>0</v>
      </c>
      <c r="DR672" s="6">
        <f t="shared" si="608"/>
        <v>0</v>
      </c>
      <c r="DS672" s="6">
        <f t="shared" si="608"/>
        <v>0</v>
      </c>
      <c r="DT672" s="6">
        <f t="shared" si="608"/>
        <v>0</v>
      </c>
      <c r="DU672" s="6">
        <f t="shared" si="608"/>
        <v>0</v>
      </c>
      <c r="DV672" s="6">
        <f t="shared" si="608"/>
        <v>0</v>
      </c>
      <c r="DW672" s="6">
        <f t="shared" si="608"/>
        <v>0</v>
      </c>
      <c r="DX672" s="6">
        <f t="shared" si="608"/>
        <v>0</v>
      </c>
      <c r="DY672" s="6">
        <f t="shared" si="608"/>
        <v>0</v>
      </c>
      <c r="DZ672" s="6">
        <f t="shared" si="608"/>
        <v>0</v>
      </c>
      <c r="EA672" s="6">
        <f t="shared" si="608"/>
        <v>0</v>
      </c>
      <c r="EB672" s="6">
        <f t="shared" si="608"/>
        <v>0</v>
      </c>
      <c r="EC672" s="6">
        <f t="shared" si="608"/>
        <v>0</v>
      </c>
      <c r="ED672" s="6">
        <f t="shared" si="608"/>
        <v>0</v>
      </c>
      <c r="EE672" s="6">
        <f t="shared" si="608"/>
        <v>0</v>
      </c>
      <c r="EF672" s="6">
        <f t="shared" si="608"/>
        <v>0</v>
      </c>
      <c r="EG672" s="6">
        <f t="shared" si="608"/>
        <v>1204</v>
      </c>
      <c r="EH672" s="6">
        <f t="shared" si="608"/>
        <v>714</v>
      </c>
      <c r="EI672" s="6">
        <f t="shared" si="608"/>
        <v>0</v>
      </c>
      <c r="EJ672" s="6">
        <f t="shared" si="608"/>
        <v>0</v>
      </c>
      <c r="EK672" s="6">
        <f t="shared" si="608"/>
        <v>0</v>
      </c>
      <c r="EL672" s="6">
        <f t="shared" si="608"/>
        <v>0</v>
      </c>
      <c r="EM672" s="6">
        <f t="shared" si="608"/>
        <v>0</v>
      </c>
      <c r="EN672" s="6">
        <f t="shared" ref="EN672:GR672" si="609">SUM(EN207:EN211)+SUM(EN213:EN219)+EN301+SUM(EN466:EN468)+SUM(EN504:EN506)+EN520+EN522+EN526</f>
        <v>0</v>
      </c>
      <c r="EO672" s="6">
        <f t="shared" si="609"/>
        <v>0</v>
      </c>
      <c r="EP672" s="6">
        <f t="shared" si="609"/>
        <v>0</v>
      </c>
      <c r="EQ672" s="6">
        <f t="shared" si="609"/>
        <v>0</v>
      </c>
      <c r="ER672" s="6">
        <f t="shared" si="609"/>
        <v>0</v>
      </c>
      <c r="ES672" s="6">
        <f t="shared" si="609"/>
        <v>0</v>
      </c>
      <c r="ET672" s="6">
        <f t="shared" si="609"/>
        <v>0</v>
      </c>
      <c r="EU672" s="6">
        <f t="shared" si="609"/>
        <v>0</v>
      </c>
      <c r="EV672" s="6">
        <f t="shared" si="609"/>
        <v>0</v>
      </c>
      <c r="EW672" s="6">
        <f t="shared" si="609"/>
        <v>0</v>
      </c>
      <c r="EX672" s="6">
        <f t="shared" si="609"/>
        <v>0</v>
      </c>
      <c r="EY672" s="6">
        <f t="shared" si="609"/>
        <v>0</v>
      </c>
      <c r="EZ672" s="6">
        <f t="shared" si="609"/>
        <v>0</v>
      </c>
      <c r="FA672" s="6">
        <f t="shared" si="609"/>
        <v>0</v>
      </c>
      <c r="FB672" s="6">
        <f t="shared" si="609"/>
        <v>0</v>
      </c>
      <c r="FC672" s="6">
        <f t="shared" si="609"/>
        <v>0</v>
      </c>
      <c r="FD672" s="6">
        <f t="shared" si="609"/>
        <v>0</v>
      </c>
      <c r="FE672" s="6">
        <f t="shared" si="609"/>
        <v>0</v>
      </c>
      <c r="FF672" s="6">
        <f t="shared" si="609"/>
        <v>0</v>
      </c>
      <c r="FG672" s="6">
        <f t="shared" si="609"/>
        <v>0</v>
      </c>
      <c r="FH672" s="6">
        <f t="shared" si="609"/>
        <v>0</v>
      </c>
      <c r="FI672" s="6">
        <f t="shared" si="609"/>
        <v>0</v>
      </c>
      <c r="FJ672" s="6">
        <f t="shared" si="609"/>
        <v>0</v>
      </c>
      <c r="FK672" s="6">
        <f t="shared" si="609"/>
        <v>0</v>
      </c>
      <c r="FL672" s="6">
        <f t="shared" si="609"/>
        <v>0</v>
      </c>
      <c r="FM672" s="6">
        <f t="shared" si="609"/>
        <v>0</v>
      </c>
      <c r="FN672" s="6">
        <f t="shared" si="609"/>
        <v>0</v>
      </c>
      <c r="FO672" s="6">
        <f t="shared" si="609"/>
        <v>0</v>
      </c>
      <c r="FP672" s="6">
        <f t="shared" si="609"/>
        <v>0</v>
      </c>
      <c r="FQ672" s="6">
        <f t="shared" si="609"/>
        <v>0</v>
      </c>
      <c r="FR672" s="6">
        <f t="shared" si="609"/>
        <v>0</v>
      </c>
      <c r="FS672" s="6">
        <f t="shared" si="609"/>
        <v>0</v>
      </c>
      <c r="FT672" s="6">
        <f t="shared" si="609"/>
        <v>0</v>
      </c>
      <c r="FU672" s="6">
        <f t="shared" si="609"/>
        <v>0</v>
      </c>
      <c r="FV672" s="6">
        <f t="shared" si="609"/>
        <v>0</v>
      </c>
      <c r="FW672" s="6">
        <f t="shared" si="609"/>
        <v>0</v>
      </c>
      <c r="FX672" s="6">
        <f t="shared" si="609"/>
        <v>0</v>
      </c>
      <c r="FY672" s="6">
        <f t="shared" si="609"/>
        <v>0</v>
      </c>
      <c r="FZ672" s="6">
        <f t="shared" si="609"/>
        <v>0</v>
      </c>
      <c r="GA672" s="6">
        <f t="shared" si="609"/>
        <v>0</v>
      </c>
      <c r="GB672" s="6">
        <f t="shared" si="609"/>
        <v>0</v>
      </c>
      <c r="GC672" s="6">
        <f t="shared" si="609"/>
        <v>0</v>
      </c>
      <c r="GD672" s="6">
        <f t="shared" si="609"/>
        <v>0</v>
      </c>
      <c r="GE672" s="6">
        <f t="shared" si="609"/>
        <v>0</v>
      </c>
      <c r="GF672" s="6">
        <f t="shared" si="609"/>
        <v>0</v>
      </c>
      <c r="GG672" s="6">
        <f t="shared" si="609"/>
        <v>0</v>
      </c>
      <c r="GH672" s="6">
        <f t="shared" si="609"/>
        <v>0</v>
      </c>
      <c r="GI672" s="6">
        <f t="shared" si="609"/>
        <v>0</v>
      </c>
      <c r="GJ672" s="6">
        <f t="shared" si="609"/>
        <v>0</v>
      </c>
      <c r="GK672" s="6">
        <f t="shared" si="609"/>
        <v>7147</v>
      </c>
      <c r="GL672" s="6">
        <f t="shared" si="609"/>
        <v>6374</v>
      </c>
      <c r="GM672" s="6">
        <f t="shared" si="609"/>
        <v>0</v>
      </c>
      <c r="GN672" s="6">
        <f t="shared" si="609"/>
        <v>0</v>
      </c>
      <c r="GO672" s="6">
        <f t="shared" si="609"/>
        <v>10366</v>
      </c>
      <c r="GP672" s="6">
        <f t="shared" si="609"/>
        <v>5257</v>
      </c>
      <c r="GQ672" s="6">
        <f t="shared" si="609"/>
        <v>10849</v>
      </c>
      <c r="GR672" s="6">
        <f t="shared" si="609"/>
        <v>4709</v>
      </c>
    </row>
    <row r="673" spans="1:200">
      <c r="A673" s="32"/>
      <c r="B673" s="16" t="s">
        <v>106</v>
      </c>
      <c r="C673" s="17">
        <v>6591</v>
      </c>
      <c r="D673" s="17">
        <v>5432</v>
      </c>
      <c r="E673" s="15">
        <f t="shared" si="351"/>
        <v>0.82415414959793654</v>
      </c>
      <c r="F673" s="66">
        <f t="shared" ref="F673:AB673" si="610">SUM(F301:F305)</f>
        <v>3315</v>
      </c>
      <c r="G673" s="6">
        <f t="shared" si="610"/>
        <v>9</v>
      </c>
      <c r="H673" s="6">
        <f t="shared" si="610"/>
        <v>269</v>
      </c>
      <c r="I673" s="6">
        <f t="shared" si="610"/>
        <v>51</v>
      </c>
      <c r="J673" s="59">
        <f t="shared" si="610"/>
        <v>1773</v>
      </c>
      <c r="K673" s="6">
        <f t="shared" si="610"/>
        <v>0</v>
      </c>
      <c r="L673" s="6">
        <f t="shared" si="610"/>
        <v>0</v>
      </c>
      <c r="M673" s="6">
        <f t="shared" si="610"/>
        <v>1</v>
      </c>
      <c r="N673" s="6">
        <f t="shared" si="610"/>
        <v>0</v>
      </c>
      <c r="O673" s="6">
        <f t="shared" si="610"/>
        <v>0</v>
      </c>
      <c r="P673" s="6">
        <f t="shared" si="610"/>
        <v>0</v>
      </c>
      <c r="Q673" s="6">
        <f t="shared" si="610"/>
        <v>0</v>
      </c>
      <c r="R673" s="6">
        <f t="shared" si="610"/>
        <v>0</v>
      </c>
      <c r="S673" s="6">
        <f t="shared" si="610"/>
        <v>0</v>
      </c>
      <c r="T673" s="6">
        <f t="shared" si="610"/>
        <v>0</v>
      </c>
      <c r="U673" s="6">
        <f t="shared" si="610"/>
        <v>0</v>
      </c>
      <c r="V673" s="6">
        <f t="shared" si="610"/>
        <v>1</v>
      </c>
      <c r="W673" s="6">
        <f t="shared" si="610"/>
        <v>15</v>
      </c>
      <c r="X673" s="6">
        <f t="shared" si="610"/>
        <v>0</v>
      </c>
      <c r="Y673" s="6">
        <f t="shared" si="610"/>
        <v>0</v>
      </c>
      <c r="Z673" s="6">
        <f t="shared" si="610"/>
        <v>0</v>
      </c>
      <c r="AA673" s="6">
        <f t="shared" si="610"/>
        <v>0</v>
      </c>
      <c r="AB673" s="6">
        <f t="shared" si="610"/>
        <v>0</v>
      </c>
      <c r="AC673" s="6">
        <f t="shared" ref="AC673:BZ673" si="611">SUM(AC301:AC305)</f>
        <v>39</v>
      </c>
      <c r="AD673" s="6">
        <f t="shared" si="611"/>
        <v>72</v>
      </c>
      <c r="AE673" s="6">
        <f t="shared" si="611"/>
        <v>2810</v>
      </c>
      <c r="AF673" s="6">
        <f t="shared" si="611"/>
        <v>28</v>
      </c>
      <c r="AG673" s="6">
        <f t="shared" si="611"/>
        <v>1</v>
      </c>
      <c r="AH673" s="6">
        <f t="shared" si="611"/>
        <v>2463</v>
      </c>
      <c r="AI673" s="6">
        <f t="shared" si="611"/>
        <v>0</v>
      </c>
      <c r="AJ673" s="6">
        <f t="shared" si="611"/>
        <v>0</v>
      </c>
      <c r="AK673" s="6">
        <f t="shared" si="611"/>
        <v>0</v>
      </c>
      <c r="AL673" s="6">
        <f t="shared" si="611"/>
        <v>0</v>
      </c>
      <c r="AM673" s="6">
        <f t="shared" si="611"/>
        <v>423</v>
      </c>
      <c r="AN673" s="6">
        <f t="shared" si="611"/>
        <v>2185</v>
      </c>
      <c r="AO673" s="6">
        <f t="shared" si="611"/>
        <v>2621</v>
      </c>
      <c r="AP673" s="6">
        <f t="shared" si="611"/>
        <v>0</v>
      </c>
      <c r="AQ673" s="6">
        <f t="shared" si="611"/>
        <v>0</v>
      </c>
      <c r="AR673" s="6">
        <f t="shared" si="611"/>
        <v>0</v>
      </c>
      <c r="AS673" s="6">
        <f t="shared" si="611"/>
        <v>0</v>
      </c>
      <c r="AT673" s="6">
        <f t="shared" si="611"/>
        <v>0</v>
      </c>
      <c r="AU673" s="6">
        <f t="shared" si="611"/>
        <v>0</v>
      </c>
      <c r="AV673" s="6">
        <f t="shared" si="611"/>
        <v>0</v>
      </c>
      <c r="AW673" s="6">
        <f t="shared" si="611"/>
        <v>0</v>
      </c>
      <c r="AX673" s="6">
        <f t="shared" si="611"/>
        <v>0</v>
      </c>
      <c r="AY673" s="6">
        <f t="shared" si="611"/>
        <v>0</v>
      </c>
      <c r="AZ673" s="6">
        <f t="shared" si="611"/>
        <v>0</v>
      </c>
      <c r="BA673" s="6">
        <f t="shared" si="611"/>
        <v>0</v>
      </c>
      <c r="BB673" s="6">
        <f t="shared" si="611"/>
        <v>0</v>
      </c>
      <c r="BC673" s="6">
        <f t="shared" si="611"/>
        <v>2397</v>
      </c>
      <c r="BD673" s="6">
        <f t="shared" si="611"/>
        <v>2866</v>
      </c>
      <c r="BE673" s="6">
        <f t="shared" si="611"/>
        <v>2094</v>
      </c>
      <c r="BF673" s="6">
        <f t="shared" si="611"/>
        <v>3162</v>
      </c>
      <c r="BG673" s="6">
        <f t="shared" si="611"/>
        <v>2348</v>
      </c>
      <c r="BH673" s="6">
        <f t="shared" si="611"/>
        <v>2917</v>
      </c>
      <c r="BI673" s="6">
        <f t="shared" si="611"/>
        <v>2797</v>
      </c>
      <c r="BJ673" s="6">
        <f t="shared" si="611"/>
        <v>2423</v>
      </c>
      <c r="BK673" s="6">
        <f t="shared" si="611"/>
        <v>2989</v>
      </c>
      <c r="BL673" s="6">
        <f t="shared" si="611"/>
        <v>2216</v>
      </c>
      <c r="BM673" s="6">
        <f t="shared" si="611"/>
        <v>2000</v>
      </c>
      <c r="BN673" s="6">
        <f t="shared" si="611"/>
        <v>3127</v>
      </c>
      <c r="BO673" s="6">
        <f t="shared" si="611"/>
        <v>2792</v>
      </c>
      <c r="BP673" s="6">
        <f t="shared" si="611"/>
        <v>2294</v>
      </c>
      <c r="BQ673" s="6">
        <f t="shared" si="611"/>
        <v>2728</v>
      </c>
      <c r="BR673" s="6">
        <f t="shared" si="611"/>
        <v>2350</v>
      </c>
      <c r="BS673" s="6">
        <f t="shared" si="611"/>
        <v>3187</v>
      </c>
      <c r="BT673" s="6">
        <f t="shared" si="611"/>
        <v>1779</v>
      </c>
      <c r="BU673" s="6">
        <f t="shared" si="611"/>
        <v>3306</v>
      </c>
      <c r="BV673" s="6">
        <f t="shared" si="611"/>
        <v>3239</v>
      </c>
      <c r="BW673" s="6">
        <f t="shared" si="611"/>
        <v>2107</v>
      </c>
      <c r="BX673" s="6">
        <f t="shared" si="611"/>
        <v>2059</v>
      </c>
      <c r="BY673" s="6">
        <f t="shared" si="611"/>
        <v>2191</v>
      </c>
      <c r="BZ673" s="6">
        <f t="shared" si="611"/>
        <v>2371</v>
      </c>
      <c r="CA673" s="6">
        <f t="shared" ref="CA673:CP673" si="612">SUM(CA301:CA305)</f>
        <v>2888</v>
      </c>
      <c r="CB673" s="6">
        <f t="shared" si="612"/>
        <v>1725</v>
      </c>
      <c r="CC673" s="6">
        <f t="shared" si="612"/>
        <v>2438</v>
      </c>
      <c r="CD673" s="6">
        <f t="shared" si="612"/>
        <v>3082</v>
      </c>
      <c r="CE673" s="6">
        <f t="shared" si="612"/>
        <v>2352</v>
      </c>
      <c r="CF673" s="6">
        <f t="shared" si="612"/>
        <v>1896</v>
      </c>
      <c r="CG673" s="6">
        <f t="shared" si="612"/>
        <v>1846</v>
      </c>
      <c r="CH673" s="6">
        <f t="shared" si="612"/>
        <v>2196</v>
      </c>
      <c r="CI673" s="6">
        <f t="shared" si="612"/>
        <v>1641</v>
      </c>
      <c r="CJ673" s="6">
        <f t="shared" si="612"/>
        <v>2484</v>
      </c>
      <c r="CK673" s="6">
        <f t="shared" si="612"/>
        <v>2059</v>
      </c>
      <c r="CL673" s="6">
        <f t="shared" si="612"/>
        <v>1993</v>
      </c>
      <c r="CM673" s="6">
        <f t="shared" si="612"/>
        <v>2676</v>
      </c>
      <c r="CN673" s="6">
        <f t="shared" si="612"/>
        <v>2766</v>
      </c>
      <c r="CO673" s="6">
        <f t="shared" si="612"/>
        <v>1940</v>
      </c>
      <c r="CP673" s="6">
        <f t="shared" si="612"/>
        <v>2223</v>
      </c>
      <c r="CQ673" s="6">
        <f t="shared" ref="CQ673:EM673" si="613">SUM(CQ301:CQ305)</f>
        <v>0</v>
      </c>
      <c r="CR673" s="6">
        <f t="shared" si="613"/>
        <v>0</v>
      </c>
      <c r="CS673" s="6">
        <f t="shared" si="613"/>
        <v>0</v>
      </c>
      <c r="CT673" s="6">
        <f t="shared" si="613"/>
        <v>0</v>
      </c>
      <c r="CU673" s="6">
        <f t="shared" si="613"/>
        <v>0</v>
      </c>
      <c r="CV673" s="6">
        <f t="shared" si="613"/>
        <v>0</v>
      </c>
      <c r="CW673" s="6">
        <f t="shared" si="613"/>
        <v>0</v>
      </c>
      <c r="CX673" s="6">
        <f t="shared" si="613"/>
        <v>0</v>
      </c>
      <c r="CY673" s="6">
        <f t="shared" si="613"/>
        <v>0</v>
      </c>
      <c r="CZ673" s="6">
        <f t="shared" si="613"/>
        <v>0</v>
      </c>
      <c r="DA673" s="6">
        <f t="shared" si="613"/>
        <v>0</v>
      </c>
      <c r="DB673" s="6">
        <f t="shared" si="613"/>
        <v>0</v>
      </c>
      <c r="DC673" s="6">
        <f t="shared" si="613"/>
        <v>0</v>
      </c>
      <c r="DD673" s="6">
        <f t="shared" si="613"/>
        <v>0</v>
      </c>
      <c r="DE673" s="6">
        <f t="shared" si="613"/>
        <v>3240</v>
      </c>
      <c r="DF673" s="6">
        <f t="shared" si="613"/>
        <v>1096</v>
      </c>
      <c r="DG673" s="6">
        <f t="shared" si="613"/>
        <v>0</v>
      </c>
      <c r="DH673" s="6">
        <f t="shared" si="613"/>
        <v>0</v>
      </c>
      <c r="DI673" s="6">
        <f t="shared" si="613"/>
        <v>0</v>
      </c>
      <c r="DJ673" s="6">
        <f t="shared" si="613"/>
        <v>0</v>
      </c>
      <c r="DK673" s="6">
        <f t="shared" si="613"/>
        <v>0</v>
      </c>
      <c r="DL673" s="6">
        <f t="shared" si="613"/>
        <v>0</v>
      </c>
      <c r="DM673" s="6">
        <f t="shared" si="613"/>
        <v>0</v>
      </c>
      <c r="DN673" s="6">
        <f t="shared" si="613"/>
        <v>0</v>
      </c>
      <c r="DO673" s="6">
        <f t="shared" si="613"/>
        <v>0</v>
      </c>
      <c r="DP673" s="6">
        <f t="shared" si="613"/>
        <v>0</v>
      </c>
      <c r="DQ673" s="6">
        <f t="shared" si="613"/>
        <v>0</v>
      </c>
      <c r="DR673" s="6">
        <f t="shared" si="613"/>
        <v>0</v>
      </c>
      <c r="DS673" s="6">
        <f t="shared" si="613"/>
        <v>0</v>
      </c>
      <c r="DT673" s="6">
        <f t="shared" si="613"/>
        <v>0</v>
      </c>
      <c r="DU673" s="6">
        <f t="shared" si="613"/>
        <v>0</v>
      </c>
      <c r="DV673" s="6">
        <f t="shared" si="613"/>
        <v>0</v>
      </c>
      <c r="DW673" s="6">
        <f t="shared" si="613"/>
        <v>0</v>
      </c>
      <c r="DX673" s="6">
        <f t="shared" si="613"/>
        <v>0</v>
      </c>
      <c r="DY673" s="6">
        <f t="shared" si="613"/>
        <v>0</v>
      </c>
      <c r="DZ673" s="6">
        <f t="shared" si="613"/>
        <v>0</v>
      </c>
      <c r="EA673" s="6">
        <f t="shared" si="613"/>
        <v>0</v>
      </c>
      <c r="EB673" s="6">
        <f t="shared" si="613"/>
        <v>0</v>
      </c>
      <c r="EC673" s="6">
        <f t="shared" si="613"/>
        <v>0</v>
      </c>
      <c r="ED673" s="6">
        <f t="shared" si="613"/>
        <v>0</v>
      </c>
      <c r="EE673" s="6">
        <f t="shared" si="613"/>
        <v>0</v>
      </c>
      <c r="EF673" s="6">
        <f t="shared" si="613"/>
        <v>0</v>
      </c>
      <c r="EG673" s="6">
        <f t="shared" si="613"/>
        <v>0</v>
      </c>
      <c r="EH673" s="6">
        <f t="shared" si="613"/>
        <v>0</v>
      </c>
      <c r="EI673" s="6">
        <f t="shared" si="613"/>
        <v>0</v>
      </c>
      <c r="EJ673" s="6">
        <f t="shared" si="613"/>
        <v>0</v>
      </c>
      <c r="EK673" s="6">
        <f t="shared" si="613"/>
        <v>0</v>
      </c>
      <c r="EL673" s="6">
        <f t="shared" si="613"/>
        <v>0</v>
      </c>
      <c r="EM673" s="6">
        <f t="shared" si="613"/>
        <v>0</v>
      </c>
      <c r="EN673" s="6">
        <f t="shared" ref="EN673:GR673" si="614">SUM(EN301:EN305)</f>
        <v>0</v>
      </c>
      <c r="EO673" s="6">
        <f t="shared" si="614"/>
        <v>0</v>
      </c>
      <c r="EP673" s="6">
        <f t="shared" si="614"/>
        <v>0</v>
      </c>
      <c r="EQ673" s="6">
        <f t="shared" si="614"/>
        <v>0</v>
      </c>
      <c r="ER673" s="6">
        <f t="shared" si="614"/>
        <v>0</v>
      </c>
      <c r="ES673" s="6">
        <f t="shared" si="614"/>
        <v>0</v>
      </c>
      <c r="ET673" s="6">
        <f t="shared" si="614"/>
        <v>0</v>
      </c>
      <c r="EU673" s="6">
        <f t="shared" si="614"/>
        <v>0</v>
      </c>
      <c r="EV673" s="6">
        <f t="shared" si="614"/>
        <v>0</v>
      </c>
      <c r="EW673" s="6">
        <f t="shared" si="614"/>
        <v>0</v>
      </c>
      <c r="EX673" s="6">
        <f t="shared" si="614"/>
        <v>0</v>
      </c>
      <c r="EY673" s="6">
        <f t="shared" si="614"/>
        <v>0</v>
      </c>
      <c r="EZ673" s="6">
        <f t="shared" si="614"/>
        <v>0</v>
      </c>
      <c r="FA673" s="6">
        <f t="shared" si="614"/>
        <v>0</v>
      </c>
      <c r="FB673" s="6">
        <f t="shared" si="614"/>
        <v>0</v>
      </c>
      <c r="FC673" s="6">
        <f t="shared" si="614"/>
        <v>0</v>
      </c>
      <c r="FD673" s="6">
        <f t="shared" si="614"/>
        <v>0</v>
      </c>
      <c r="FE673" s="6">
        <f t="shared" si="614"/>
        <v>0</v>
      </c>
      <c r="FF673" s="6">
        <f t="shared" si="614"/>
        <v>0</v>
      </c>
      <c r="FG673" s="6">
        <f t="shared" si="614"/>
        <v>0</v>
      </c>
      <c r="FH673" s="6">
        <f t="shared" si="614"/>
        <v>0</v>
      </c>
      <c r="FI673" s="6">
        <f t="shared" si="614"/>
        <v>0</v>
      </c>
      <c r="FJ673" s="6">
        <f t="shared" si="614"/>
        <v>0</v>
      </c>
      <c r="FK673" s="6">
        <f t="shared" si="614"/>
        <v>0</v>
      </c>
      <c r="FL673" s="6">
        <f t="shared" si="614"/>
        <v>0</v>
      </c>
      <c r="FM673" s="6">
        <f t="shared" si="614"/>
        <v>0</v>
      </c>
      <c r="FN673" s="6">
        <f t="shared" si="614"/>
        <v>0</v>
      </c>
      <c r="FO673" s="6">
        <f t="shared" si="614"/>
        <v>0</v>
      </c>
      <c r="FP673" s="6">
        <f t="shared" si="614"/>
        <v>0</v>
      </c>
      <c r="FQ673" s="6">
        <f t="shared" si="614"/>
        <v>0</v>
      </c>
      <c r="FR673" s="6">
        <f t="shared" si="614"/>
        <v>0</v>
      </c>
      <c r="FS673" s="6">
        <f t="shared" si="614"/>
        <v>0</v>
      </c>
      <c r="FT673" s="6">
        <f t="shared" si="614"/>
        <v>0</v>
      </c>
      <c r="FU673" s="6">
        <f t="shared" si="614"/>
        <v>0</v>
      </c>
      <c r="FV673" s="6">
        <f t="shared" si="614"/>
        <v>0</v>
      </c>
      <c r="FW673" s="6">
        <f t="shared" si="614"/>
        <v>0</v>
      </c>
      <c r="FX673" s="6">
        <f t="shared" si="614"/>
        <v>0</v>
      </c>
      <c r="FY673" s="6">
        <f t="shared" si="614"/>
        <v>0</v>
      </c>
      <c r="FZ673" s="6">
        <f t="shared" si="614"/>
        <v>0</v>
      </c>
      <c r="GA673" s="6">
        <f t="shared" si="614"/>
        <v>0</v>
      </c>
      <c r="GB673" s="6">
        <f t="shared" si="614"/>
        <v>0</v>
      </c>
      <c r="GC673" s="6">
        <f t="shared" si="614"/>
        <v>0</v>
      </c>
      <c r="GD673" s="6">
        <f t="shared" si="614"/>
        <v>0</v>
      </c>
      <c r="GE673" s="6">
        <f t="shared" si="614"/>
        <v>0</v>
      </c>
      <c r="GF673" s="6">
        <f t="shared" si="614"/>
        <v>0</v>
      </c>
      <c r="GG673" s="6">
        <f t="shared" si="614"/>
        <v>0</v>
      </c>
      <c r="GH673" s="6">
        <f t="shared" si="614"/>
        <v>0</v>
      </c>
      <c r="GI673" s="6">
        <f t="shared" si="614"/>
        <v>0</v>
      </c>
      <c r="GJ673" s="6">
        <f t="shared" si="614"/>
        <v>0</v>
      </c>
      <c r="GK673" s="6">
        <f t="shared" si="614"/>
        <v>31</v>
      </c>
      <c r="GL673" s="6">
        <f t="shared" si="614"/>
        <v>51</v>
      </c>
      <c r="GM673" s="6">
        <f t="shared" si="614"/>
        <v>0</v>
      </c>
      <c r="GN673" s="6">
        <f t="shared" si="614"/>
        <v>0</v>
      </c>
      <c r="GO673" s="6">
        <f t="shared" si="614"/>
        <v>4329</v>
      </c>
      <c r="GP673" s="6">
        <f t="shared" si="614"/>
        <v>990</v>
      </c>
      <c r="GQ673" s="6">
        <f t="shared" si="614"/>
        <v>4242</v>
      </c>
      <c r="GR673" s="6">
        <f t="shared" si="614"/>
        <v>1049</v>
      </c>
    </row>
    <row r="674" spans="1:200">
      <c r="A674" s="32"/>
      <c r="B674" s="16" t="s">
        <v>107</v>
      </c>
      <c r="C674" s="17">
        <v>8077</v>
      </c>
      <c r="D674" s="17">
        <v>6717</v>
      </c>
      <c r="E674" s="15">
        <f t="shared" si="351"/>
        <v>0.83162065123189299</v>
      </c>
      <c r="F674" s="66">
        <f t="shared" ref="F674:AB674" si="615">SUM(F145)+F500+F501+F512+F516+F517+SUM(F519:F521)+F524</f>
        <v>4721</v>
      </c>
      <c r="G674" s="6">
        <f t="shared" si="615"/>
        <v>21</v>
      </c>
      <c r="H674" s="6">
        <f t="shared" si="615"/>
        <v>258</v>
      </c>
      <c r="I674" s="6">
        <f t="shared" si="615"/>
        <v>58</v>
      </c>
      <c r="J674" s="59">
        <f t="shared" si="615"/>
        <v>3073</v>
      </c>
      <c r="K674" s="6">
        <f t="shared" si="615"/>
        <v>0</v>
      </c>
      <c r="L674" s="6">
        <f t="shared" si="615"/>
        <v>0</v>
      </c>
      <c r="M674" s="6">
        <f t="shared" si="615"/>
        <v>0</v>
      </c>
      <c r="N674" s="6">
        <f t="shared" si="615"/>
        <v>0</v>
      </c>
      <c r="O674" s="6">
        <f t="shared" si="615"/>
        <v>1</v>
      </c>
      <c r="P674" s="6">
        <f t="shared" si="615"/>
        <v>0</v>
      </c>
      <c r="Q674" s="6">
        <f t="shared" si="615"/>
        <v>0</v>
      </c>
      <c r="R674" s="6">
        <f t="shared" si="615"/>
        <v>0</v>
      </c>
      <c r="S674" s="6">
        <f t="shared" si="615"/>
        <v>0</v>
      </c>
      <c r="T674" s="6">
        <f t="shared" si="615"/>
        <v>0</v>
      </c>
      <c r="U674" s="6">
        <f t="shared" si="615"/>
        <v>0</v>
      </c>
      <c r="V674" s="6">
        <f t="shared" si="615"/>
        <v>0</v>
      </c>
      <c r="W674" s="6">
        <f t="shared" si="615"/>
        <v>40</v>
      </c>
      <c r="X674" s="6">
        <f t="shared" si="615"/>
        <v>0</v>
      </c>
      <c r="Y674" s="6">
        <f t="shared" si="615"/>
        <v>0</v>
      </c>
      <c r="Z674" s="6">
        <f t="shared" si="615"/>
        <v>0</v>
      </c>
      <c r="AA674" s="6">
        <f t="shared" si="615"/>
        <v>0</v>
      </c>
      <c r="AB674" s="6">
        <f t="shared" si="615"/>
        <v>0</v>
      </c>
      <c r="AC674" s="6">
        <f t="shared" ref="AC674:BZ674" si="616">SUM(AC145)+AC500+AC501+AC512+AC516+AC517+SUM(AC519:AC521)+AC524</f>
        <v>78</v>
      </c>
      <c r="AD674" s="6">
        <f t="shared" si="616"/>
        <v>152</v>
      </c>
      <c r="AE674" s="6">
        <f t="shared" si="616"/>
        <v>3953</v>
      </c>
      <c r="AF674" s="6">
        <f t="shared" si="616"/>
        <v>81</v>
      </c>
      <c r="AG674" s="6">
        <f t="shared" si="616"/>
        <v>1</v>
      </c>
      <c r="AH674" s="6">
        <f t="shared" si="616"/>
        <v>3827</v>
      </c>
      <c r="AI674" s="6">
        <f t="shared" si="616"/>
        <v>225</v>
      </c>
      <c r="AJ674" s="6">
        <f t="shared" si="616"/>
        <v>0</v>
      </c>
      <c r="AK674" s="6">
        <f t="shared" si="616"/>
        <v>0</v>
      </c>
      <c r="AL674" s="6">
        <f t="shared" si="616"/>
        <v>601</v>
      </c>
      <c r="AM674" s="6">
        <f t="shared" si="616"/>
        <v>229</v>
      </c>
      <c r="AN674" s="6">
        <f t="shared" si="616"/>
        <v>3255</v>
      </c>
      <c r="AO674" s="6">
        <f t="shared" si="616"/>
        <v>3574</v>
      </c>
      <c r="AP674" s="6">
        <f t="shared" si="616"/>
        <v>0</v>
      </c>
      <c r="AQ674" s="6">
        <f t="shared" si="616"/>
        <v>0</v>
      </c>
      <c r="AR674" s="6">
        <f t="shared" si="616"/>
        <v>0</v>
      </c>
      <c r="AS674" s="6">
        <f t="shared" si="616"/>
        <v>0</v>
      </c>
      <c r="AT674" s="6">
        <f t="shared" si="616"/>
        <v>0</v>
      </c>
      <c r="AU674" s="6">
        <f t="shared" si="616"/>
        <v>0</v>
      </c>
      <c r="AV674" s="6">
        <f t="shared" si="616"/>
        <v>0</v>
      </c>
      <c r="AW674" s="6">
        <f t="shared" si="616"/>
        <v>0</v>
      </c>
      <c r="AX674" s="6">
        <f t="shared" si="616"/>
        <v>0</v>
      </c>
      <c r="AY674" s="6">
        <f t="shared" si="616"/>
        <v>0</v>
      </c>
      <c r="AZ674" s="6">
        <f t="shared" si="616"/>
        <v>0</v>
      </c>
      <c r="BA674" s="6">
        <f t="shared" si="616"/>
        <v>632</v>
      </c>
      <c r="BB674" s="6">
        <f t="shared" si="616"/>
        <v>175</v>
      </c>
      <c r="BC674" s="6">
        <f t="shared" si="616"/>
        <v>3341</v>
      </c>
      <c r="BD674" s="6">
        <f t="shared" si="616"/>
        <v>3778</v>
      </c>
      <c r="BE674" s="6">
        <f t="shared" si="616"/>
        <v>2948</v>
      </c>
      <c r="BF674" s="6">
        <f t="shared" si="616"/>
        <v>4929</v>
      </c>
      <c r="BG674" s="6">
        <f t="shared" si="616"/>
        <v>3571</v>
      </c>
      <c r="BH674" s="6">
        <f t="shared" si="616"/>
        <v>4353</v>
      </c>
      <c r="BI674" s="6">
        <f t="shared" si="616"/>
        <v>3926</v>
      </c>
      <c r="BJ674" s="6">
        <f t="shared" si="616"/>
        <v>3923</v>
      </c>
      <c r="BK674" s="6">
        <f t="shared" si="616"/>
        <v>4462</v>
      </c>
      <c r="BL674" s="6">
        <f t="shared" si="616"/>
        <v>3419</v>
      </c>
      <c r="BM674" s="6">
        <f t="shared" si="616"/>
        <v>2734</v>
      </c>
      <c r="BN674" s="6">
        <f t="shared" si="616"/>
        <v>5037</v>
      </c>
      <c r="BO674" s="6">
        <f t="shared" si="616"/>
        <v>4266</v>
      </c>
      <c r="BP674" s="6">
        <f t="shared" si="616"/>
        <v>3458</v>
      </c>
      <c r="BQ674" s="6">
        <f t="shared" si="616"/>
        <v>3856</v>
      </c>
      <c r="BR674" s="6">
        <f t="shared" si="616"/>
        <v>3887</v>
      </c>
      <c r="BS674" s="6">
        <f t="shared" si="616"/>
        <v>4667</v>
      </c>
      <c r="BT674" s="6">
        <f t="shared" si="616"/>
        <v>2514</v>
      </c>
      <c r="BU674" s="6">
        <f t="shared" si="616"/>
        <v>5222</v>
      </c>
      <c r="BV674" s="6">
        <f t="shared" si="616"/>
        <v>4883</v>
      </c>
      <c r="BW674" s="6">
        <f t="shared" si="616"/>
        <v>3201</v>
      </c>
      <c r="BX674" s="6">
        <f t="shared" si="616"/>
        <v>3249</v>
      </c>
      <c r="BY674" s="6">
        <f t="shared" si="616"/>
        <v>3611</v>
      </c>
      <c r="BZ674" s="6">
        <f t="shared" si="616"/>
        <v>3405</v>
      </c>
      <c r="CA674" s="6">
        <f t="shared" ref="CA674:CP674" si="617">SUM(CA145)+CA500+CA501+CA512+CA516+CA517+SUM(CA519:CA521)+CA524</f>
        <v>4331</v>
      </c>
      <c r="CB674" s="6">
        <f t="shared" si="617"/>
        <v>2770</v>
      </c>
      <c r="CC674" s="6">
        <f t="shared" si="617"/>
        <v>3632</v>
      </c>
      <c r="CD674" s="6">
        <f t="shared" si="617"/>
        <v>4784</v>
      </c>
      <c r="CE674" s="6">
        <f t="shared" si="617"/>
        <v>3475</v>
      </c>
      <c r="CF674" s="6">
        <f t="shared" si="617"/>
        <v>3092</v>
      </c>
      <c r="CG674" s="6">
        <f t="shared" si="617"/>
        <v>3059</v>
      </c>
      <c r="CH674" s="6">
        <f t="shared" si="617"/>
        <v>3121</v>
      </c>
      <c r="CI674" s="6">
        <f t="shared" si="617"/>
        <v>2628</v>
      </c>
      <c r="CJ674" s="6">
        <f t="shared" si="617"/>
        <v>3830</v>
      </c>
      <c r="CK674" s="6">
        <f t="shared" si="617"/>
        <v>3227</v>
      </c>
      <c r="CL674" s="6">
        <f t="shared" si="617"/>
        <v>3144</v>
      </c>
      <c r="CM674" s="6">
        <f t="shared" si="617"/>
        <v>4219</v>
      </c>
      <c r="CN674" s="6">
        <f t="shared" si="617"/>
        <v>4354</v>
      </c>
      <c r="CO674" s="6">
        <f t="shared" si="617"/>
        <v>3084</v>
      </c>
      <c r="CP674" s="6">
        <f t="shared" si="617"/>
        <v>3393</v>
      </c>
      <c r="CQ674" s="6">
        <f t="shared" ref="CQ674:EM674" si="618">SUM(CQ145)+CQ500+CQ501+CQ512+CQ516+CQ517+SUM(CQ519:CQ521)+CQ524</f>
        <v>0</v>
      </c>
      <c r="CR674" s="6">
        <f t="shared" si="618"/>
        <v>0</v>
      </c>
      <c r="CS674" s="6">
        <f t="shared" si="618"/>
        <v>0</v>
      </c>
      <c r="CT674" s="6">
        <f t="shared" si="618"/>
        <v>0</v>
      </c>
      <c r="CU674" s="6">
        <f t="shared" si="618"/>
        <v>0</v>
      </c>
      <c r="CV674" s="6">
        <f t="shared" si="618"/>
        <v>0</v>
      </c>
      <c r="CW674" s="6">
        <f t="shared" si="618"/>
        <v>0</v>
      </c>
      <c r="CX674" s="6">
        <f t="shared" si="618"/>
        <v>0</v>
      </c>
      <c r="CY674" s="6">
        <f t="shared" si="618"/>
        <v>0</v>
      </c>
      <c r="CZ674" s="6">
        <f t="shared" si="618"/>
        <v>0</v>
      </c>
      <c r="DA674" s="6">
        <f t="shared" si="618"/>
        <v>0</v>
      </c>
      <c r="DB674" s="6">
        <f t="shared" si="618"/>
        <v>0</v>
      </c>
      <c r="DC674" s="6">
        <f t="shared" si="618"/>
        <v>0</v>
      </c>
      <c r="DD674" s="6">
        <f t="shared" si="618"/>
        <v>0</v>
      </c>
      <c r="DE674" s="6">
        <f t="shared" si="618"/>
        <v>0</v>
      </c>
      <c r="DF674" s="6">
        <f t="shared" si="618"/>
        <v>0</v>
      </c>
      <c r="DG674" s="6">
        <f t="shared" si="618"/>
        <v>0</v>
      </c>
      <c r="DH674" s="6">
        <f t="shared" si="618"/>
        <v>0</v>
      </c>
      <c r="DI674" s="6">
        <f t="shared" si="618"/>
        <v>0</v>
      </c>
      <c r="DJ674" s="6">
        <f t="shared" si="618"/>
        <v>0</v>
      </c>
      <c r="DK674" s="6">
        <f t="shared" si="618"/>
        <v>0</v>
      </c>
      <c r="DL674" s="6">
        <f t="shared" si="618"/>
        <v>0</v>
      </c>
      <c r="DM674" s="6">
        <f t="shared" si="618"/>
        <v>0</v>
      </c>
      <c r="DN674" s="6">
        <f t="shared" si="618"/>
        <v>0</v>
      </c>
      <c r="DO674" s="6">
        <f t="shared" si="618"/>
        <v>0</v>
      </c>
      <c r="DP674" s="6">
        <f t="shared" si="618"/>
        <v>0</v>
      </c>
      <c r="DQ674" s="6">
        <f t="shared" si="618"/>
        <v>0</v>
      </c>
      <c r="DR674" s="6">
        <f t="shared" si="618"/>
        <v>0</v>
      </c>
      <c r="DS674" s="6">
        <f t="shared" si="618"/>
        <v>0</v>
      </c>
      <c r="DT674" s="6">
        <f t="shared" si="618"/>
        <v>0</v>
      </c>
      <c r="DU674" s="6">
        <f t="shared" si="618"/>
        <v>0</v>
      </c>
      <c r="DV674" s="6">
        <f t="shared" si="618"/>
        <v>0</v>
      </c>
      <c r="DW674" s="6">
        <f t="shared" si="618"/>
        <v>0</v>
      </c>
      <c r="DX674" s="6">
        <f t="shared" si="618"/>
        <v>0</v>
      </c>
      <c r="DY674" s="6">
        <f t="shared" si="618"/>
        <v>0</v>
      </c>
      <c r="DZ674" s="6">
        <f t="shared" si="618"/>
        <v>0</v>
      </c>
      <c r="EA674" s="6">
        <f t="shared" si="618"/>
        <v>0</v>
      </c>
      <c r="EB674" s="6">
        <f t="shared" si="618"/>
        <v>0</v>
      </c>
      <c r="EC674" s="6">
        <f t="shared" si="618"/>
        <v>0</v>
      </c>
      <c r="ED674" s="6">
        <f t="shared" si="618"/>
        <v>0</v>
      </c>
      <c r="EE674" s="6">
        <f t="shared" si="618"/>
        <v>0</v>
      </c>
      <c r="EF674" s="6">
        <f t="shared" si="618"/>
        <v>0</v>
      </c>
      <c r="EG674" s="6">
        <f t="shared" si="618"/>
        <v>0</v>
      </c>
      <c r="EH674" s="6">
        <f t="shared" si="618"/>
        <v>0</v>
      </c>
      <c r="EI674" s="6">
        <f t="shared" si="618"/>
        <v>0</v>
      </c>
      <c r="EJ674" s="6">
        <f t="shared" si="618"/>
        <v>0</v>
      </c>
      <c r="EK674" s="6">
        <f t="shared" si="618"/>
        <v>0</v>
      </c>
      <c r="EL674" s="6">
        <f t="shared" si="618"/>
        <v>0</v>
      </c>
      <c r="EM674" s="6">
        <f t="shared" si="618"/>
        <v>0</v>
      </c>
      <c r="EN674" s="6">
        <f t="shared" ref="EN674:GR674" si="619">SUM(EN145)+EN500+EN501+EN512+EN516+EN517+SUM(EN519:EN521)+EN524</f>
        <v>0</v>
      </c>
      <c r="EO674" s="6">
        <f t="shared" si="619"/>
        <v>0</v>
      </c>
      <c r="EP674" s="6">
        <f t="shared" si="619"/>
        <v>0</v>
      </c>
      <c r="EQ674" s="6">
        <f t="shared" si="619"/>
        <v>0</v>
      </c>
      <c r="ER674" s="6">
        <f t="shared" si="619"/>
        <v>0</v>
      </c>
      <c r="ES674" s="6">
        <f t="shared" si="619"/>
        <v>0</v>
      </c>
      <c r="ET674" s="6">
        <f t="shared" si="619"/>
        <v>0</v>
      </c>
      <c r="EU674" s="6">
        <f t="shared" si="619"/>
        <v>0</v>
      </c>
      <c r="EV674" s="6">
        <f t="shared" si="619"/>
        <v>0</v>
      </c>
      <c r="EW674" s="6">
        <f t="shared" si="619"/>
        <v>0</v>
      </c>
      <c r="EX674" s="6">
        <f t="shared" si="619"/>
        <v>0</v>
      </c>
      <c r="EY674" s="6">
        <f t="shared" si="619"/>
        <v>0</v>
      </c>
      <c r="EZ674" s="6">
        <f t="shared" si="619"/>
        <v>0</v>
      </c>
      <c r="FA674" s="6">
        <f t="shared" si="619"/>
        <v>0</v>
      </c>
      <c r="FB674" s="6">
        <f t="shared" si="619"/>
        <v>0</v>
      </c>
      <c r="FC674" s="6">
        <f t="shared" si="619"/>
        <v>0</v>
      </c>
      <c r="FD674" s="6">
        <f t="shared" si="619"/>
        <v>0</v>
      </c>
      <c r="FE674" s="6">
        <f t="shared" si="619"/>
        <v>0</v>
      </c>
      <c r="FF674" s="6">
        <f t="shared" si="619"/>
        <v>0</v>
      </c>
      <c r="FG674" s="6">
        <f t="shared" si="619"/>
        <v>0</v>
      </c>
      <c r="FH674" s="6">
        <f t="shared" si="619"/>
        <v>0</v>
      </c>
      <c r="FI674" s="6">
        <f t="shared" si="619"/>
        <v>0</v>
      </c>
      <c r="FJ674" s="6">
        <f t="shared" si="619"/>
        <v>0</v>
      </c>
      <c r="FK674" s="6">
        <f t="shared" si="619"/>
        <v>604</v>
      </c>
      <c r="FL674" s="6">
        <f t="shared" si="619"/>
        <v>266</v>
      </c>
      <c r="FM674" s="6">
        <f t="shared" si="619"/>
        <v>0</v>
      </c>
      <c r="FN674" s="6">
        <f t="shared" si="619"/>
        <v>0</v>
      </c>
      <c r="FO674" s="6">
        <f t="shared" si="619"/>
        <v>0</v>
      </c>
      <c r="FP674" s="6">
        <f t="shared" si="619"/>
        <v>0</v>
      </c>
      <c r="FQ674" s="6">
        <f t="shared" si="619"/>
        <v>0</v>
      </c>
      <c r="FR674" s="6">
        <f t="shared" si="619"/>
        <v>0</v>
      </c>
      <c r="FS674" s="6">
        <f t="shared" si="619"/>
        <v>0</v>
      </c>
      <c r="FT674" s="6">
        <f t="shared" si="619"/>
        <v>0</v>
      </c>
      <c r="FU674" s="6">
        <f t="shared" si="619"/>
        <v>0</v>
      </c>
      <c r="FV674" s="6">
        <f t="shared" si="619"/>
        <v>0</v>
      </c>
      <c r="FW674" s="6">
        <f t="shared" si="619"/>
        <v>0</v>
      </c>
      <c r="FX674" s="6">
        <f t="shared" si="619"/>
        <v>0</v>
      </c>
      <c r="FY674" s="6">
        <f t="shared" si="619"/>
        <v>481</v>
      </c>
      <c r="FZ674" s="6">
        <f t="shared" si="619"/>
        <v>339</v>
      </c>
      <c r="GA674" s="6">
        <f t="shared" si="619"/>
        <v>0</v>
      </c>
      <c r="GB674" s="6">
        <f t="shared" si="619"/>
        <v>0</v>
      </c>
      <c r="GC674" s="6">
        <f t="shared" si="619"/>
        <v>0</v>
      </c>
      <c r="GD674" s="6">
        <f t="shared" si="619"/>
        <v>0</v>
      </c>
      <c r="GE674" s="6">
        <f t="shared" si="619"/>
        <v>0</v>
      </c>
      <c r="GF674" s="6">
        <f t="shared" si="619"/>
        <v>0</v>
      </c>
      <c r="GG674" s="6">
        <f t="shared" si="619"/>
        <v>0</v>
      </c>
      <c r="GH674" s="6">
        <f t="shared" si="619"/>
        <v>0</v>
      </c>
      <c r="GI674" s="6">
        <f t="shared" si="619"/>
        <v>0</v>
      </c>
      <c r="GJ674" s="6">
        <f t="shared" si="619"/>
        <v>0</v>
      </c>
      <c r="GK674" s="6">
        <f t="shared" si="619"/>
        <v>223</v>
      </c>
      <c r="GL674" s="6">
        <f t="shared" si="619"/>
        <v>550</v>
      </c>
      <c r="GM674" s="6">
        <f t="shared" si="619"/>
        <v>0</v>
      </c>
      <c r="GN674" s="6">
        <f t="shared" si="619"/>
        <v>0</v>
      </c>
      <c r="GO674" s="6">
        <f t="shared" si="619"/>
        <v>5672</v>
      </c>
      <c r="GP674" s="6">
        <f t="shared" si="619"/>
        <v>2283</v>
      </c>
      <c r="GQ674" s="6">
        <f t="shared" si="619"/>
        <v>5765</v>
      </c>
      <c r="GR674" s="6">
        <f t="shared" si="619"/>
        <v>2167</v>
      </c>
    </row>
    <row r="675" spans="1:200">
      <c r="A675" s="6"/>
      <c r="B675" s="16" t="s">
        <v>108</v>
      </c>
      <c r="C675" s="17">
        <f>SUM(C310:C341)+SUM(C490:C491)</f>
        <v>34795</v>
      </c>
      <c r="D675" s="17">
        <v>28506</v>
      </c>
      <c r="E675" s="15">
        <f t="shared" si="351"/>
        <v>0.81925564017818653</v>
      </c>
      <c r="F675" s="66">
        <f t="shared" ref="F675:AB675" si="620">SUM(F310:F341)+SUM(F490:F491)</f>
        <v>10479</v>
      </c>
      <c r="G675" s="6">
        <f t="shared" si="620"/>
        <v>62</v>
      </c>
      <c r="H675" s="6">
        <f t="shared" si="620"/>
        <v>1227</v>
      </c>
      <c r="I675" s="6">
        <f t="shared" si="620"/>
        <v>208</v>
      </c>
      <c r="J675" s="59">
        <f t="shared" si="620"/>
        <v>15599</v>
      </c>
      <c r="K675" s="6">
        <f t="shared" si="620"/>
        <v>0</v>
      </c>
      <c r="L675" s="6">
        <f t="shared" si="620"/>
        <v>0</v>
      </c>
      <c r="M675" s="6">
        <f t="shared" si="620"/>
        <v>7</v>
      </c>
      <c r="N675" s="6">
        <f t="shared" si="620"/>
        <v>0</v>
      </c>
      <c r="O675" s="6">
        <f t="shared" si="620"/>
        <v>1</v>
      </c>
      <c r="P675" s="6">
        <f t="shared" si="620"/>
        <v>0</v>
      </c>
      <c r="Q675" s="6">
        <f t="shared" si="620"/>
        <v>0</v>
      </c>
      <c r="R675" s="6">
        <f t="shared" si="620"/>
        <v>0</v>
      </c>
      <c r="S675" s="6">
        <f t="shared" si="620"/>
        <v>0</v>
      </c>
      <c r="T675" s="6">
        <f t="shared" si="620"/>
        <v>2</v>
      </c>
      <c r="U675" s="6">
        <f t="shared" si="620"/>
        <v>0</v>
      </c>
      <c r="V675" s="6">
        <f t="shared" si="620"/>
        <v>8</v>
      </c>
      <c r="W675" s="6">
        <f t="shared" si="620"/>
        <v>151</v>
      </c>
      <c r="X675" s="6">
        <f t="shared" si="620"/>
        <v>0</v>
      </c>
      <c r="Y675" s="6">
        <f t="shared" si="620"/>
        <v>1</v>
      </c>
      <c r="Z675" s="6">
        <f t="shared" si="620"/>
        <v>0</v>
      </c>
      <c r="AA675" s="6">
        <f t="shared" si="620"/>
        <v>0</v>
      </c>
      <c r="AB675" s="6">
        <f t="shared" si="620"/>
        <v>0</v>
      </c>
      <c r="AC675" s="6">
        <f t="shared" ref="AC675:BZ675" si="621">SUM(AC310:AC341)+SUM(AC490:AC491)</f>
        <v>218</v>
      </c>
      <c r="AD675" s="6">
        <f t="shared" si="621"/>
        <v>347</v>
      </c>
      <c r="AE675" s="6">
        <f t="shared" si="621"/>
        <v>19895</v>
      </c>
      <c r="AF675" s="6">
        <f t="shared" si="621"/>
        <v>236</v>
      </c>
      <c r="AG675" s="6">
        <f t="shared" si="621"/>
        <v>0</v>
      </c>
      <c r="AH675" s="6">
        <f t="shared" si="621"/>
        <v>6951</v>
      </c>
      <c r="AI675" s="6">
        <f t="shared" si="621"/>
        <v>0</v>
      </c>
      <c r="AJ675" s="6">
        <f t="shared" si="621"/>
        <v>0</v>
      </c>
      <c r="AK675" s="6">
        <f t="shared" si="621"/>
        <v>0</v>
      </c>
      <c r="AL675" s="6">
        <f t="shared" si="621"/>
        <v>0</v>
      </c>
      <c r="AM675" s="6">
        <f t="shared" si="621"/>
        <v>736</v>
      </c>
      <c r="AN675" s="6">
        <f t="shared" si="621"/>
        <v>6508</v>
      </c>
      <c r="AO675" s="6">
        <f t="shared" si="621"/>
        <v>19762</v>
      </c>
      <c r="AP675" s="6">
        <f t="shared" si="621"/>
        <v>0</v>
      </c>
      <c r="AQ675" s="6">
        <f t="shared" si="621"/>
        <v>0</v>
      </c>
      <c r="AR675" s="6">
        <f t="shared" si="621"/>
        <v>18410</v>
      </c>
      <c r="AS675" s="6">
        <f t="shared" si="621"/>
        <v>8093</v>
      </c>
      <c r="AT675" s="6">
        <f t="shared" si="621"/>
        <v>0</v>
      </c>
      <c r="AU675" s="6">
        <f t="shared" si="621"/>
        <v>0</v>
      </c>
      <c r="AV675" s="6">
        <f t="shared" si="621"/>
        <v>0</v>
      </c>
      <c r="AW675" s="6">
        <f t="shared" si="621"/>
        <v>0</v>
      </c>
      <c r="AX675" s="6">
        <f t="shared" si="621"/>
        <v>0</v>
      </c>
      <c r="AY675" s="6">
        <f t="shared" si="621"/>
        <v>0</v>
      </c>
      <c r="AZ675" s="6">
        <f t="shared" si="621"/>
        <v>0</v>
      </c>
      <c r="BA675" s="6">
        <f t="shared" si="621"/>
        <v>0</v>
      </c>
      <c r="BB675" s="6">
        <f t="shared" si="621"/>
        <v>0</v>
      </c>
      <c r="BC675" s="6">
        <f t="shared" si="621"/>
        <v>0</v>
      </c>
      <c r="BD675" s="6">
        <f t="shared" si="621"/>
        <v>0</v>
      </c>
      <c r="BE675" s="6">
        <f t="shared" si="621"/>
        <v>16872</v>
      </c>
      <c r="BF675" s="6">
        <f t="shared" si="621"/>
        <v>10038</v>
      </c>
      <c r="BG675" s="6">
        <f t="shared" si="621"/>
        <v>17775</v>
      </c>
      <c r="BH675" s="6">
        <f t="shared" si="621"/>
        <v>8914</v>
      </c>
      <c r="BI675" s="6">
        <f t="shared" si="621"/>
        <v>18802</v>
      </c>
      <c r="BJ675" s="6">
        <f t="shared" si="621"/>
        <v>7743</v>
      </c>
      <c r="BK675" s="6">
        <f t="shared" si="621"/>
        <v>10216</v>
      </c>
      <c r="BL675" s="6">
        <f t="shared" si="621"/>
        <v>16120</v>
      </c>
      <c r="BM675" s="6">
        <f t="shared" si="621"/>
        <v>13970</v>
      </c>
      <c r="BN675" s="6">
        <f t="shared" si="621"/>
        <v>12253</v>
      </c>
      <c r="BO675" s="6">
        <f t="shared" si="621"/>
        <v>8309</v>
      </c>
      <c r="BP675" s="6">
        <f t="shared" si="621"/>
        <v>17295</v>
      </c>
      <c r="BQ675" s="6">
        <f t="shared" si="621"/>
        <v>18973</v>
      </c>
      <c r="BR675" s="6">
        <f t="shared" si="621"/>
        <v>6857</v>
      </c>
      <c r="BS675" s="6">
        <f t="shared" si="621"/>
        <v>19497</v>
      </c>
      <c r="BT675" s="6">
        <f t="shared" si="621"/>
        <v>13315</v>
      </c>
      <c r="BU675" s="6">
        <f t="shared" si="621"/>
        <v>12323</v>
      </c>
      <c r="BV675" s="6">
        <f t="shared" si="621"/>
        <v>18815</v>
      </c>
      <c r="BW675" s="6">
        <f t="shared" si="621"/>
        <v>13982</v>
      </c>
      <c r="BX675" s="6">
        <f t="shared" si="621"/>
        <v>7449</v>
      </c>
      <c r="BY675" s="6">
        <f t="shared" si="621"/>
        <v>15745</v>
      </c>
      <c r="BZ675" s="6">
        <f t="shared" si="621"/>
        <v>7517</v>
      </c>
      <c r="CA675" s="6">
        <f t="shared" ref="CA675:CP675" si="622">SUM(CA310:CA341)+SUM(CA490:CA491)</f>
        <v>16998</v>
      </c>
      <c r="CB675" s="6">
        <f t="shared" si="622"/>
        <v>15051</v>
      </c>
      <c r="CC675" s="6">
        <f t="shared" si="622"/>
        <v>7057</v>
      </c>
      <c r="CD675" s="6">
        <f t="shared" si="622"/>
        <v>15255</v>
      </c>
      <c r="CE675" s="6">
        <f t="shared" si="622"/>
        <v>8066</v>
      </c>
      <c r="CF675" s="6">
        <f t="shared" si="622"/>
        <v>13599</v>
      </c>
      <c r="CG675" s="6">
        <f t="shared" si="622"/>
        <v>14701</v>
      </c>
      <c r="CH675" s="6">
        <f t="shared" si="622"/>
        <v>6174</v>
      </c>
      <c r="CI675" s="6">
        <f t="shared" si="622"/>
        <v>4490</v>
      </c>
      <c r="CJ675" s="6">
        <f t="shared" si="622"/>
        <v>16779</v>
      </c>
      <c r="CK675" s="6">
        <f t="shared" si="622"/>
        <v>13653</v>
      </c>
      <c r="CL675" s="6">
        <f t="shared" si="622"/>
        <v>7032</v>
      </c>
      <c r="CM675" s="6">
        <f t="shared" si="622"/>
        <v>16257</v>
      </c>
      <c r="CN675" s="6">
        <f t="shared" si="622"/>
        <v>16364</v>
      </c>
      <c r="CO675" s="6">
        <f t="shared" si="622"/>
        <v>6043</v>
      </c>
      <c r="CP675" s="6">
        <f t="shared" si="622"/>
        <v>14731</v>
      </c>
      <c r="CQ675" s="6">
        <f t="shared" ref="CQ675:EM675" si="623">SUM(CQ310:CQ341)+SUM(CQ490:CQ491)</f>
        <v>0</v>
      </c>
      <c r="CR675" s="6">
        <f t="shared" si="623"/>
        <v>0</v>
      </c>
      <c r="CS675" s="6">
        <f t="shared" si="623"/>
        <v>0</v>
      </c>
      <c r="CT675" s="6">
        <f t="shared" si="623"/>
        <v>0</v>
      </c>
      <c r="CU675" s="6">
        <f t="shared" si="623"/>
        <v>0</v>
      </c>
      <c r="CV675" s="6">
        <f t="shared" si="623"/>
        <v>0</v>
      </c>
      <c r="CW675" s="6">
        <f t="shared" si="623"/>
        <v>0</v>
      </c>
      <c r="CX675" s="6">
        <f t="shared" si="623"/>
        <v>0</v>
      </c>
      <c r="CY675" s="6">
        <f t="shared" si="623"/>
        <v>0</v>
      </c>
      <c r="CZ675" s="6">
        <f t="shared" si="623"/>
        <v>0</v>
      </c>
      <c r="DA675" s="6">
        <f t="shared" si="623"/>
        <v>0</v>
      </c>
      <c r="DB675" s="6">
        <f t="shared" si="623"/>
        <v>0</v>
      </c>
      <c r="DC675" s="6">
        <f t="shared" si="623"/>
        <v>0</v>
      </c>
      <c r="DD675" s="6">
        <f t="shared" si="623"/>
        <v>0</v>
      </c>
      <c r="DE675" s="6">
        <f t="shared" si="623"/>
        <v>0</v>
      </c>
      <c r="DF675" s="6">
        <f t="shared" si="623"/>
        <v>0</v>
      </c>
      <c r="DG675" s="6">
        <f t="shared" si="623"/>
        <v>0</v>
      </c>
      <c r="DH675" s="6">
        <f t="shared" si="623"/>
        <v>0</v>
      </c>
      <c r="DI675" s="6">
        <f t="shared" si="623"/>
        <v>0</v>
      </c>
      <c r="DJ675" s="6">
        <f t="shared" si="623"/>
        <v>0</v>
      </c>
      <c r="DK675" s="6">
        <f t="shared" si="623"/>
        <v>0</v>
      </c>
      <c r="DL675" s="6">
        <f t="shared" si="623"/>
        <v>0</v>
      </c>
      <c r="DM675" s="6">
        <f t="shared" si="623"/>
        <v>0</v>
      </c>
      <c r="DN675" s="6">
        <f t="shared" si="623"/>
        <v>0</v>
      </c>
      <c r="DO675" s="6">
        <f t="shared" si="623"/>
        <v>0</v>
      </c>
      <c r="DP675" s="6">
        <f t="shared" si="623"/>
        <v>0</v>
      </c>
      <c r="DQ675" s="6">
        <f t="shared" si="623"/>
        <v>0</v>
      </c>
      <c r="DR675" s="6">
        <f t="shared" si="623"/>
        <v>0</v>
      </c>
      <c r="DS675" s="6">
        <f t="shared" si="623"/>
        <v>0</v>
      </c>
      <c r="DT675" s="6">
        <f t="shared" si="623"/>
        <v>0</v>
      </c>
      <c r="DU675" s="6">
        <f t="shared" si="623"/>
        <v>0</v>
      </c>
      <c r="DV675" s="6">
        <f t="shared" si="623"/>
        <v>0</v>
      </c>
      <c r="DW675" s="6">
        <f t="shared" si="623"/>
        <v>0</v>
      </c>
      <c r="DX675" s="6">
        <f t="shared" si="623"/>
        <v>0</v>
      </c>
      <c r="DY675" s="6">
        <f t="shared" si="623"/>
        <v>0</v>
      </c>
      <c r="DZ675" s="6">
        <f t="shared" si="623"/>
        <v>0</v>
      </c>
      <c r="EA675" s="6">
        <f t="shared" si="623"/>
        <v>0</v>
      </c>
      <c r="EB675" s="6">
        <f t="shared" si="623"/>
        <v>0</v>
      </c>
      <c r="EC675" s="6">
        <f t="shared" si="623"/>
        <v>0</v>
      </c>
      <c r="ED675" s="6">
        <f t="shared" si="623"/>
        <v>0</v>
      </c>
      <c r="EE675" s="6">
        <f t="shared" si="623"/>
        <v>0</v>
      </c>
      <c r="EF675" s="6">
        <f t="shared" si="623"/>
        <v>0</v>
      </c>
      <c r="EG675" s="6">
        <f t="shared" si="623"/>
        <v>0</v>
      </c>
      <c r="EH675" s="6">
        <f t="shared" si="623"/>
        <v>0</v>
      </c>
      <c r="EI675" s="6">
        <f t="shared" si="623"/>
        <v>0</v>
      </c>
      <c r="EJ675" s="6">
        <f t="shared" si="623"/>
        <v>0</v>
      </c>
      <c r="EK675" s="6">
        <f t="shared" si="623"/>
        <v>0</v>
      </c>
      <c r="EL675" s="6">
        <f t="shared" si="623"/>
        <v>0</v>
      </c>
      <c r="EM675" s="6">
        <f t="shared" si="623"/>
        <v>0</v>
      </c>
      <c r="EN675" s="6">
        <f t="shared" ref="EN675:GR675" si="624">SUM(EN310:EN341)+SUM(EN490:EN491)</f>
        <v>0</v>
      </c>
      <c r="EO675" s="6">
        <f t="shared" si="624"/>
        <v>0</v>
      </c>
      <c r="EP675" s="6">
        <f t="shared" si="624"/>
        <v>0</v>
      </c>
      <c r="EQ675" s="6">
        <f t="shared" si="624"/>
        <v>0</v>
      </c>
      <c r="ER675" s="6">
        <f t="shared" si="624"/>
        <v>0</v>
      </c>
      <c r="ES675" s="6">
        <f t="shared" si="624"/>
        <v>0</v>
      </c>
      <c r="ET675" s="6">
        <f t="shared" si="624"/>
        <v>0</v>
      </c>
      <c r="EU675" s="6">
        <f t="shared" si="624"/>
        <v>0</v>
      </c>
      <c r="EV675" s="6">
        <f t="shared" si="624"/>
        <v>0</v>
      </c>
      <c r="EW675" s="6">
        <f t="shared" si="624"/>
        <v>17117</v>
      </c>
      <c r="EX675" s="6">
        <f t="shared" si="624"/>
        <v>8669</v>
      </c>
      <c r="EY675" s="6">
        <f t="shared" si="624"/>
        <v>14343</v>
      </c>
      <c r="EZ675" s="6">
        <f t="shared" si="624"/>
        <v>9081</v>
      </c>
      <c r="FA675" s="6">
        <f t="shared" si="624"/>
        <v>0</v>
      </c>
      <c r="FB675" s="6">
        <f t="shared" si="624"/>
        <v>0</v>
      </c>
      <c r="FC675" s="6">
        <f t="shared" si="624"/>
        <v>0</v>
      </c>
      <c r="FD675" s="6">
        <f t="shared" si="624"/>
        <v>0</v>
      </c>
      <c r="FE675" s="6">
        <f t="shared" si="624"/>
        <v>0</v>
      </c>
      <c r="FF675" s="6">
        <f t="shared" si="624"/>
        <v>0</v>
      </c>
      <c r="FG675" s="6">
        <f t="shared" si="624"/>
        <v>0</v>
      </c>
      <c r="FH675" s="6">
        <f t="shared" si="624"/>
        <v>0</v>
      </c>
      <c r="FI675" s="6">
        <f t="shared" si="624"/>
        <v>0</v>
      </c>
      <c r="FJ675" s="6">
        <f t="shared" si="624"/>
        <v>0</v>
      </c>
      <c r="FK675" s="6">
        <f t="shared" si="624"/>
        <v>0</v>
      </c>
      <c r="FL675" s="6">
        <f t="shared" si="624"/>
        <v>0</v>
      </c>
      <c r="FM675" s="6">
        <f t="shared" si="624"/>
        <v>0</v>
      </c>
      <c r="FN675" s="6">
        <f t="shared" si="624"/>
        <v>0</v>
      </c>
      <c r="FO675" s="6">
        <f t="shared" si="624"/>
        <v>0</v>
      </c>
      <c r="FP675" s="6">
        <f t="shared" si="624"/>
        <v>0</v>
      </c>
      <c r="FQ675" s="6">
        <f t="shared" si="624"/>
        <v>0</v>
      </c>
      <c r="FR675" s="6">
        <f t="shared" si="624"/>
        <v>0</v>
      </c>
      <c r="FS675" s="6">
        <f t="shared" si="624"/>
        <v>0</v>
      </c>
      <c r="FT675" s="6">
        <f t="shared" si="624"/>
        <v>0</v>
      </c>
      <c r="FU675" s="6">
        <f t="shared" si="624"/>
        <v>0</v>
      </c>
      <c r="FV675" s="6">
        <f t="shared" si="624"/>
        <v>0</v>
      </c>
      <c r="FW675" s="6">
        <f t="shared" si="624"/>
        <v>0</v>
      </c>
      <c r="FX675" s="6">
        <f t="shared" si="624"/>
        <v>0</v>
      </c>
      <c r="FY675" s="6">
        <f t="shared" si="624"/>
        <v>0</v>
      </c>
      <c r="FZ675" s="6">
        <f t="shared" si="624"/>
        <v>0</v>
      </c>
      <c r="GA675" s="6">
        <f t="shared" si="624"/>
        <v>0</v>
      </c>
      <c r="GB675" s="6">
        <f t="shared" si="624"/>
        <v>0</v>
      </c>
      <c r="GC675" s="6">
        <f t="shared" si="624"/>
        <v>0</v>
      </c>
      <c r="GD675" s="6">
        <f t="shared" si="624"/>
        <v>0</v>
      </c>
      <c r="GE675" s="6">
        <f t="shared" si="624"/>
        <v>0</v>
      </c>
      <c r="GF675" s="6">
        <f t="shared" si="624"/>
        <v>0</v>
      </c>
      <c r="GG675" s="6">
        <f t="shared" si="624"/>
        <v>0</v>
      </c>
      <c r="GH675" s="6">
        <f t="shared" si="624"/>
        <v>0</v>
      </c>
      <c r="GI675" s="6">
        <f t="shared" si="624"/>
        <v>0</v>
      </c>
      <c r="GJ675" s="6">
        <f t="shared" si="624"/>
        <v>0</v>
      </c>
      <c r="GK675" s="6">
        <f t="shared" si="624"/>
        <v>0</v>
      </c>
      <c r="GL675" s="6">
        <f t="shared" si="624"/>
        <v>0</v>
      </c>
      <c r="GM675" s="6">
        <f t="shared" si="624"/>
        <v>15849</v>
      </c>
      <c r="GN675" s="6">
        <f t="shared" si="624"/>
        <v>10159</v>
      </c>
      <c r="GO675" s="6">
        <f t="shared" si="624"/>
        <v>18061</v>
      </c>
      <c r="GP675" s="6">
        <f t="shared" si="624"/>
        <v>9253</v>
      </c>
      <c r="GQ675" s="6">
        <f t="shared" si="624"/>
        <v>19548</v>
      </c>
      <c r="GR675" s="6">
        <f t="shared" si="624"/>
        <v>7965</v>
      </c>
    </row>
    <row r="676" spans="1:200">
      <c r="A676" s="6"/>
      <c r="B676" s="16" t="s">
        <v>109</v>
      </c>
      <c r="C676" s="17">
        <f>SUM(C342)+SUM(C474:C475)</f>
        <v>2773</v>
      </c>
      <c r="D676" s="17">
        <f>SUM(D342)+SUM(D474:D475)</f>
        <v>1641</v>
      </c>
      <c r="E676" s="15">
        <f t="shared" si="351"/>
        <v>0.59177785791561488</v>
      </c>
      <c r="F676" s="66">
        <f t="shared" ref="F676:AB676" si="625">SUM(F342)+SUM(F474:F475)</f>
        <v>794</v>
      </c>
      <c r="G676" s="6">
        <f t="shared" si="625"/>
        <v>8</v>
      </c>
      <c r="H676" s="6">
        <f t="shared" si="625"/>
        <v>32</v>
      </c>
      <c r="I676" s="6">
        <f t="shared" si="625"/>
        <v>19</v>
      </c>
      <c r="J676" s="59">
        <f t="shared" si="625"/>
        <v>764</v>
      </c>
      <c r="K676" s="6">
        <f t="shared" si="625"/>
        <v>0</v>
      </c>
      <c r="L676" s="6">
        <f t="shared" si="625"/>
        <v>0</v>
      </c>
      <c r="M676" s="6">
        <f t="shared" si="625"/>
        <v>0</v>
      </c>
      <c r="N676" s="6">
        <f t="shared" si="625"/>
        <v>0</v>
      </c>
      <c r="O676" s="6">
        <f t="shared" si="625"/>
        <v>0</v>
      </c>
      <c r="P676" s="6">
        <f t="shared" si="625"/>
        <v>0</v>
      </c>
      <c r="Q676" s="6">
        <f t="shared" si="625"/>
        <v>0</v>
      </c>
      <c r="R676" s="6">
        <f t="shared" si="625"/>
        <v>0</v>
      </c>
      <c r="S676" s="6">
        <f t="shared" si="625"/>
        <v>0</v>
      </c>
      <c r="T676" s="6">
        <f t="shared" si="625"/>
        <v>0</v>
      </c>
      <c r="U676" s="6">
        <f t="shared" si="625"/>
        <v>0</v>
      </c>
      <c r="V676" s="6">
        <f t="shared" si="625"/>
        <v>0</v>
      </c>
      <c r="W676" s="6">
        <f t="shared" si="625"/>
        <v>1</v>
      </c>
      <c r="X676" s="6">
        <f t="shared" si="625"/>
        <v>0</v>
      </c>
      <c r="Y676" s="6">
        <f t="shared" si="625"/>
        <v>0</v>
      </c>
      <c r="Z676" s="6">
        <f t="shared" si="625"/>
        <v>0</v>
      </c>
      <c r="AA676" s="6">
        <f t="shared" si="625"/>
        <v>0</v>
      </c>
      <c r="AB676" s="6">
        <f t="shared" si="625"/>
        <v>0</v>
      </c>
      <c r="AC676" s="6">
        <f t="shared" ref="AC676:BZ676" si="626">SUM(AC342)+SUM(AC474:AC475)</f>
        <v>29</v>
      </c>
      <c r="AD676" s="6">
        <f t="shared" si="626"/>
        <v>36</v>
      </c>
      <c r="AE676" s="6">
        <f t="shared" si="626"/>
        <v>786</v>
      </c>
      <c r="AF676" s="6">
        <f t="shared" si="626"/>
        <v>31</v>
      </c>
      <c r="AG676" s="6">
        <f t="shared" si="626"/>
        <v>0</v>
      </c>
      <c r="AH676" s="6">
        <f t="shared" si="626"/>
        <v>670</v>
      </c>
      <c r="AI676" s="6">
        <f t="shared" si="626"/>
        <v>0</v>
      </c>
      <c r="AJ676" s="6">
        <f t="shared" si="626"/>
        <v>0</v>
      </c>
      <c r="AK676" s="6">
        <f t="shared" si="626"/>
        <v>0</v>
      </c>
      <c r="AL676" s="6">
        <f t="shared" si="626"/>
        <v>0</v>
      </c>
      <c r="AM676" s="6">
        <f t="shared" si="626"/>
        <v>17</v>
      </c>
      <c r="AN676" s="6">
        <f t="shared" si="626"/>
        <v>722</v>
      </c>
      <c r="AO676" s="6">
        <f t="shared" si="626"/>
        <v>740</v>
      </c>
      <c r="AP676" s="6">
        <f t="shared" si="626"/>
        <v>0</v>
      </c>
      <c r="AQ676" s="6">
        <f t="shared" si="626"/>
        <v>0</v>
      </c>
      <c r="AR676" s="6">
        <f t="shared" si="626"/>
        <v>0</v>
      </c>
      <c r="AS676" s="6">
        <f t="shared" si="626"/>
        <v>0</v>
      </c>
      <c r="AT676" s="6">
        <f t="shared" si="626"/>
        <v>0</v>
      </c>
      <c r="AU676" s="6">
        <f t="shared" si="626"/>
        <v>0</v>
      </c>
      <c r="AV676" s="6">
        <f t="shared" si="626"/>
        <v>0</v>
      </c>
      <c r="AW676" s="6">
        <f t="shared" si="626"/>
        <v>0</v>
      </c>
      <c r="AX676" s="6">
        <f t="shared" si="626"/>
        <v>0</v>
      </c>
      <c r="AY676" s="6">
        <f t="shared" si="626"/>
        <v>0</v>
      </c>
      <c r="AZ676" s="6">
        <f t="shared" si="626"/>
        <v>0</v>
      </c>
      <c r="BA676" s="6">
        <f t="shared" si="626"/>
        <v>0</v>
      </c>
      <c r="BB676" s="6">
        <f t="shared" si="626"/>
        <v>0</v>
      </c>
      <c r="BC676" s="6">
        <f t="shared" si="626"/>
        <v>693</v>
      </c>
      <c r="BD676" s="6">
        <f t="shared" si="626"/>
        <v>816</v>
      </c>
      <c r="BE676" s="6">
        <f t="shared" si="626"/>
        <v>570</v>
      </c>
      <c r="BF676" s="6">
        <f t="shared" si="626"/>
        <v>908</v>
      </c>
      <c r="BG676" s="6">
        <f t="shared" si="626"/>
        <v>782</v>
      </c>
      <c r="BH676" s="6">
        <f t="shared" si="626"/>
        <v>724</v>
      </c>
      <c r="BI676" s="6">
        <f t="shared" si="626"/>
        <v>812</v>
      </c>
      <c r="BJ676" s="6">
        <f t="shared" si="626"/>
        <v>682</v>
      </c>
      <c r="BK676" s="6">
        <f t="shared" si="626"/>
        <v>775</v>
      </c>
      <c r="BL676" s="6">
        <f t="shared" si="626"/>
        <v>710</v>
      </c>
      <c r="BM676" s="6">
        <f t="shared" si="626"/>
        <v>520</v>
      </c>
      <c r="BN676" s="6">
        <f t="shared" si="626"/>
        <v>969</v>
      </c>
      <c r="BO676" s="6">
        <f t="shared" si="626"/>
        <v>758</v>
      </c>
      <c r="BP676" s="6">
        <f t="shared" si="626"/>
        <v>703</v>
      </c>
      <c r="BQ676" s="6">
        <f t="shared" si="626"/>
        <v>776</v>
      </c>
      <c r="BR676" s="6">
        <f t="shared" si="626"/>
        <v>684</v>
      </c>
      <c r="BS676" s="6">
        <f t="shared" si="626"/>
        <v>937</v>
      </c>
      <c r="BT676" s="6">
        <f t="shared" si="626"/>
        <v>596</v>
      </c>
      <c r="BU676" s="6">
        <f t="shared" si="626"/>
        <v>858</v>
      </c>
      <c r="BV676" s="6">
        <f t="shared" si="626"/>
        <v>966</v>
      </c>
      <c r="BW676" s="6">
        <f t="shared" si="626"/>
        <v>610</v>
      </c>
      <c r="BX676" s="6">
        <f t="shared" si="626"/>
        <v>567</v>
      </c>
      <c r="BY676" s="6">
        <f t="shared" si="626"/>
        <v>806</v>
      </c>
      <c r="BZ676" s="6">
        <f t="shared" si="626"/>
        <v>498</v>
      </c>
      <c r="CA676" s="6">
        <f t="shared" ref="CA676:CP676" si="627">SUM(CA342)+SUM(CA474:CA475)</f>
        <v>875</v>
      </c>
      <c r="CB676" s="6">
        <f t="shared" si="627"/>
        <v>568</v>
      </c>
      <c r="CC676" s="6">
        <f t="shared" si="627"/>
        <v>588</v>
      </c>
      <c r="CD676" s="6">
        <f t="shared" si="627"/>
        <v>859</v>
      </c>
      <c r="CE676" s="6">
        <f t="shared" si="627"/>
        <v>580</v>
      </c>
      <c r="CF676" s="6">
        <f t="shared" si="627"/>
        <v>603</v>
      </c>
      <c r="CG676" s="6">
        <f t="shared" si="627"/>
        <v>588</v>
      </c>
      <c r="CH676" s="6">
        <f t="shared" si="627"/>
        <v>467</v>
      </c>
      <c r="CI676" s="6">
        <f t="shared" si="627"/>
        <v>355</v>
      </c>
      <c r="CJ676" s="6">
        <f t="shared" si="627"/>
        <v>774</v>
      </c>
      <c r="CK676" s="6">
        <f t="shared" si="627"/>
        <v>657</v>
      </c>
      <c r="CL676" s="6">
        <f t="shared" si="627"/>
        <v>477</v>
      </c>
      <c r="CM676" s="6">
        <f t="shared" si="627"/>
        <v>836</v>
      </c>
      <c r="CN676" s="6">
        <f t="shared" si="627"/>
        <v>900</v>
      </c>
      <c r="CO676" s="6">
        <f t="shared" si="627"/>
        <v>497</v>
      </c>
      <c r="CP676" s="6">
        <f t="shared" si="627"/>
        <v>654</v>
      </c>
      <c r="CQ676" s="6">
        <f t="shared" ref="CQ676:EM676" si="628">SUM(CQ342)+SUM(CQ474:CQ475)</f>
        <v>0</v>
      </c>
      <c r="CR676" s="6">
        <f t="shared" si="628"/>
        <v>0</v>
      </c>
      <c r="CS676" s="6">
        <f t="shared" si="628"/>
        <v>0</v>
      </c>
      <c r="CT676" s="6">
        <f t="shared" si="628"/>
        <v>0</v>
      </c>
      <c r="CU676" s="6">
        <f t="shared" si="628"/>
        <v>0</v>
      </c>
      <c r="CV676" s="6">
        <f t="shared" si="628"/>
        <v>0</v>
      </c>
      <c r="CW676" s="6">
        <f t="shared" si="628"/>
        <v>0</v>
      </c>
      <c r="CX676" s="6">
        <f t="shared" si="628"/>
        <v>0</v>
      </c>
      <c r="CY676" s="6">
        <f t="shared" si="628"/>
        <v>0</v>
      </c>
      <c r="CZ676" s="6">
        <f t="shared" si="628"/>
        <v>0</v>
      </c>
      <c r="DA676" s="6">
        <f t="shared" si="628"/>
        <v>0</v>
      </c>
      <c r="DB676" s="6">
        <f t="shared" si="628"/>
        <v>0</v>
      </c>
      <c r="DC676" s="6">
        <f t="shared" si="628"/>
        <v>0</v>
      </c>
      <c r="DD676" s="6">
        <f t="shared" si="628"/>
        <v>0</v>
      </c>
      <c r="DE676" s="6">
        <f t="shared" si="628"/>
        <v>0</v>
      </c>
      <c r="DF676" s="6">
        <f t="shared" si="628"/>
        <v>0</v>
      </c>
      <c r="DG676" s="6">
        <f t="shared" si="628"/>
        <v>0</v>
      </c>
      <c r="DH676" s="6">
        <f t="shared" si="628"/>
        <v>0</v>
      </c>
      <c r="DI676" s="6">
        <f t="shared" si="628"/>
        <v>0</v>
      </c>
      <c r="DJ676" s="6">
        <f t="shared" si="628"/>
        <v>0</v>
      </c>
      <c r="DK676" s="6">
        <f t="shared" si="628"/>
        <v>0</v>
      </c>
      <c r="DL676" s="6">
        <f t="shared" si="628"/>
        <v>0</v>
      </c>
      <c r="DM676" s="6">
        <f t="shared" si="628"/>
        <v>0</v>
      </c>
      <c r="DN676" s="6">
        <f t="shared" si="628"/>
        <v>0</v>
      </c>
      <c r="DO676" s="6">
        <f t="shared" si="628"/>
        <v>0</v>
      </c>
      <c r="DP676" s="6">
        <f t="shared" si="628"/>
        <v>0</v>
      </c>
      <c r="DQ676" s="6">
        <f t="shared" si="628"/>
        <v>0</v>
      </c>
      <c r="DR676" s="6">
        <f t="shared" si="628"/>
        <v>0</v>
      </c>
      <c r="DS676" s="6">
        <f t="shared" si="628"/>
        <v>0</v>
      </c>
      <c r="DT676" s="6">
        <f t="shared" si="628"/>
        <v>0</v>
      </c>
      <c r="DU676" s="6">
        <f t="shared" si="628"/>
        <v>0</v>
      </c>
      <c r="DV676" s="6">
        <f t="shared" si="628"/>
        <v>0</v>
      </c>
      <c r="DW676" s="6">
        <f t="shared" si="628"/>
        <v>0</v>
      </c>
      <c r="DX676" s="6">
        <f t="shared" si="628"/>
        <v>0</v>
      </c>
      <c r="DY676" s="6">
        <f t="shared" si="628"/>
        <v>0</v>
      </c>
      <c r="DZ676" s="6">
        <f t="shared" si="628"/>
        <v>0</v>
      </c>
      <c r="EA676" s="6">
        <f t="shared" si="628"/>
        <v>0</v>
      </c>
      <c r="EB676" s="6">
        <f t="shared" si="628"/>
        <v>0</v>
      </c>
      <c r="EC676" s="6">
        <f t="shared" si="628"/>
        <v>0</v>
      </c>
      <c r="ED676" s="6">
        <f t="shared" si="628"/>
        <v>0</v>
      </c>
      <c r="EE676" s="6">
        <f t="shared" si="628"/>
        <v>0</v>
      </c>
      <c r="EF676" s="6">
        <f t="shared" si="628"/>
        <v>0</v>
      </c>
      <c r="EG676" s="6">
        <f t="shared" si="628"/>
        <v>0</v>
      </c>
      <c r="EH676" s="6">
        <f t="shared" si="628"/>
        <v>0</v>
      </c>
      <c r="EI676" s="6">
        <f t="shared" si="628"/>
        <v>801</v>
      </c>
      <c r="EJ676" s="6">
        <f t="shared" si="628"/>
        <v>413</v>
      </c>
      <c r="EK676" s="6">
        <f t="shared" si="628"/>
        <v>708</v>
      </c>
      <c r="EL676" s="6">
        <f t="shared" si="628"/>
        <v>509</v>
      </c>
      <c r="EM676" s="6">
        <f t="shared" si="628"/>
        <v>0</v>
      </c>
      <c r="EN676" s="6">
        <f t="shared" ref="EN676:GR676" si="629">SUM(EN342)+SUM(EN474:EN475)</f>
        <v>0</v>
      </c>
      <c r="EO676" s="6">
        <f t="shared" si="629"/>
        <v>0</v>
      </c>
      <c r="EP676" s="6">
        <f t="shared" si="629"/>
        <v>0</v>
      </c>
      <c r="EQ676" s="6">
        <f t="shared" si="629"/>
        <v>0</v>
      </c>
      <c r="ER676" s="6">
        <f t="shared" si="629"/>
        <v>0</v>
      </c>
      <c r="ES676" s="6">
        <f t="shared" si="629"/>
        <v>0</v>
      </c>
      <c r="ET676" s="6">
        <f t="shared" si="629"/>
        <v>0</v>
      </c>
      <c r="EU676" s="6">
        <f t="shared" si="629"/>
        <v>0</v>
      </c>
      <c r="EV676" s="6">
        <f t="shared" si="629"/>
        <v>0</v>
      </c>
      <c r="EW676" s="6">
        <f t="shared" si="629"/>
        <v>0</v>
      </c>
      <c r="EX676" s="6">
        <f t="shared" si="629"/>
        <v>0</v>
      </c>
      <c r="EY676" s="6">
        <f t="shared" si="629"/>
        <v>0</v>
      </c>
      <c r="EZ676" s="6">
        <f t="shared" si="629"/>
        <v>0</v>
      </c>
      <c r="FA676" s="6">
        <f t="shared" si="629"/>
        <v>0</v>
      </c>
      <c r="FB676" s="6">
        <f t="shared" si="629"/>
        <v>0</v>
      </c>
      <c r="FC676" s="6">
        <f t="shared" si="629"/>
        <v>0</v>
      </c>
      <c r="FD676" s="6">
        <f t="shared" si="629"/>
        <v>0</v>
      </c>
      <c r="FE676" s="6">
        <f t="shared" si="629"/>
        <v>0</v>
      </c>
      <c r="FF676" s="6">
        <f t="shared" si="629"/>
        <v>0</v>
      </c>
      <c r="FG676" s="6">
        <f t="shared" si="629"/>
        <v>0</v>
      </c>
      <c r="FH676" s="6">
        <f t="shared" si="629"/>
        <v>0</v>
      </c>
      <c r="FI676" s="6">
        <f t="shared" si="629"/>
        <v>0</v>
      </c>
      <c r="FJ676" s="6">
        <f t="shared" si="629"/>
        <v>0</v>
      </c>
      <c r="FK676" s="6">
        <f t="shared" si="629"/>
        <v>0</v>
      </c>
      <c r="FL676" s="6">
        <f t="shared" si="629"/>
        <v>0</v>
      </c>
      <c r="FM676" s="6">
        <f t="shared" si="629"/>
        <v>0</v>
      </c>
      <c r="FN676" s="6">
        <f t="shared" si="629"/>
        <v>0</v>
      </c>
      <c r="FO676" s="6">
        <f t="shared" si="629"/>
        <v>0</v>
      </c>
      <c r="FP676" s="6">
        <f t="shared" si="629"/>
        <v>0</v>
      </c>
      <c r="FQ676" s="6">
        <f t="shared" si="629"/>
        <v>0</v>
      </c>
      <c r="FR676" s="6">
        <f t="shared" si="629"/>
        <v>0</v>
      </c>
      <c r="FS676" s="6">
        <f t="shared" si="629"/>
        <v>0</v>
      </c>
      <c r="FT676" s="6">
        <f t="shared" si="629"/>
        <v>0</v>
      </c>
      <c r="FU676" s="6">
        <f t="shared" si="629"/>
        <v>0</v>
      </c>
      <c r="FV676" s="6">
        <f t="shared" si="629"/>
        <v>0</v>
      </c>
      <c r="FW676" s="6">
        <f t="shared" si="629"/>
        <v>0</v>
      </c>
      <c r="FX676" s="6">
        <f t="shared" si="629"/>
        <v>0</v>
      </c>
      <c r="FY676" s="6">
        <f t="shared" si="629"/>
        <v>0</v>
      </c>
      <c r="FZ676" s="6">
        <f t="shared" si="629"/>
        <v>0</v>
      </c>
      <c r="GA676" s="6">
        <f t="shared" si="629"/>
        <v>0</v>
      </c>
      <c r="GB676" s="6">
        <f t="shared" si="629"/>
        <v>0</v>
      </c>
      <c r="GC676" s="6">
        <f t="shared" si="629"/>
        <v>0</v>
      </c>
      <c r="GD676" s="6">
        <f t="shared" si="629"/>
        <v>0</v>
      </c>
      <c r="GE676" s="6">
        <f t="shared" si="629"/>
        <v>0</v>
      </c>
      <c r="GF676" s="6">
        <f t="shared" si="629"/>
        <v>0</v>
      </c>
      <c r="GG676" s="6">
        <f t="shared" si="629"/>
        <v>0</v>
      </c>
      <c r="GH676" s="6">
        <f t="shared" si="629"/>
        <v>0</v>
      </c>
      <c r="GI676" s="6">
        <f t="shared" si="629"/>
        <v>0</v>
      </c>
      <c r="GJ676" s="6">
        <f t="shared" si="629"/>
        <v>0</v>
      </c>
      <c r="GK676" s="6">
        <f t="shared" si="629"/>
        <v>0</v>
      </c>
      <c r="GL676" s="6">
        <f t="shared" si="629"/>
        <v>0</v>
      </c>
      <c r="GM676" s="6">
        <f t="shared" si="629"/>
        <v>0</v>
      </c>
      <c r="GN676" s="6">
        <f t="shared" si="629"/>
        <v>0</v>
      </c>
      <c r="GO676" s="6">
        <f t="shared" si="629"/>
        <v>975</v>
      </c>
      <c r="GP676" s="6">
        <f t="shared" si="629"/>
        <v>527</v>
      </c>
      <c r="GQ676" s="6">
        <f t="shared" si="629"/>
        <v>945</v>
      </c>
      <c r="GR676" s="6">
        <f t="shared" si="629"/>
        <v>548</v>
      </c>
    </row>
    <row r="677" spans="1:200">
      <c r="A677" s="32"/>
      <c r="B677" s="16" t="s">
        <v>110</v>
      </c>
      <c r="C677" s="17">
        <v>52164</v>
      </c>
      <c r="D677" s="17">
        <v>43701</v>
      </c>
      <c r="E677" s="15">
        <f t="shared" si="351"/>
        <v>0.8377616747181964</v>
      </c>
      <c r="F677" s="66">
        <f t="shared" ref="F677:AB677" si="630">SUM(F212)+F262+SUM(F343:F380)+F424+F425+F432+F433+F437+F438+F444+F446+F447+F453+F454+F456+F457+F460+F502+F518+F525</f>
        <v>16927</v>
      </c>
      <c r="G677" s="6">
        <f t="shared" si="630"/>
        <v>156</v>
      </c>
      <c r="H677" s="6">
        <f t="shared" si="630"/>
        <v>1352</v>
      </c>
      <c r="I677" s="6">
        <f t="shared" si="630"/>
        <v>356</v>
      </c>
      <c r="J677" s="59">
        <f t="shared" si="630"/>
        <v>25934</v>
      </c>
      <c r="K677" s="6">
        <f t="shared" si="630"/>
        <v>0</v>
      </c>
      <c r="L677" s="6">
        <f t="shared" si="630"/>
        <v>0</v>
      </c>
      <c r="M677" s="6">
        <f t="shared" si="630"/>
        <v>8</v>
      </c>
      <c r="N677" s="6">
        <f t="shared" si="630"/>
        <v>0</v>
      </c>
      <c r="O677" s="6">
        <f t="shared" si="630"/>
        <v>1</v>
      </c>
      <c r="P677" s="6">
        <f t="shared" si="630"/>
        <v>0</v>
      </c>
      <c r="Q677" s="6">
        <f t="shared" si="630"/>
        <v>0</v>
      </c>
      <c r="R677" s="6">
        <f t="shared" si="630"/>
        <v>0</v>
      </c>
      <c r="S677" s="6">
        <f t="shared" si="630"/>
        <v>0</v>
      </c>
      <c r="T677" s="6">
        <f t="shared" si="630"/>
        <v>1</v>
      </c>
      <c r="U677" s="6">
        <f t="shared" si="630"/>
        <v>0</v>
      </c>
      <c r="V677" s="6">
        <f t="shared" si="630"/>
        <v>6</v>
      </c>
      <c r="W677" s="6">
        <f t="shared" si="630"/>
        <v>140</v>
      </c>
      <c r="X677" s="6">
        <f t="shared" si="630"/>
        <v>0</v>
      </c>
      <c r="Y677" s="6">
        <f t="shared" si="630"/>
        <v>2</v>
      </c>
      <c r="Z677" s="6">
        <f t="shared" si="630"/>
        <v>0</v>
      </c>
      <c r="AA677" s="6">
        <f t="shared" si="630"/>
        <v>0</v>
      </c>
      <c r="AB677" s="6">
        <f t="shared" si="630"/>
        <v>0</v>
      </c>
      <c r="AC677" s="6">
        <f t="shared" ref="AC677:BZ677" si="631">SUM(AC212)+AC262+SUM(AC343:AC380)+AC424+AC425+AC432+AC433+AC437+AC438+AC444+AC446+AC447+AC453+AC454+AC456+AC457+AC460+AC502+AC518+AC525</f>
        <v>582</v>
      </c>
      <c r="AD677" s="6">
        <f t="shared" si="631"/>
        <v>625</v>
      </c>
      <c r="AE677" s="6">
        <f t="shared" si="631"/>
        <v>28907</v>
      </c>
      <c r="AF677" s="6">
        <f t="shared" si="631"/>
        <v>565</v>
      </c>
      <c r="AG677" s="6">
        <f t="shared" si="631"/>
        <v>0</v>
      </c>
      <c r="AH677" s="6">
        <f t="shared" si="631"/>
        <v>13480</v>
      </c>
      <c r="AI677" s="6">
        <f t="shared" si="631"/>
        <v>28924</v>
      </c>
      <c r="AJ677" s="6">
        <f t="shared" si="631"/>
        <v>10</v>
      </c>
      <c r="AK677" s="6">
        <f t="shared" si="631"/>
        <v>2</v>
      </c>
      <c r="AL677" s="6">
        <f t="shared" si="631"/>
        <v>14654</v>
      </c>
      <c r="AM677" s="6">
        <f t="shared" si="631"/>
        <v>11</v>
      </c>
      <c r="AN677" s="6">
        <f t="shared" si="631"/>
        <v>448</v>
      </c>
      <c r="AO677" s="6">
        <f t="shared" si="631"/>
        <v>163</v>
      </c>
      <c r="AP677" s="6">
        <f t="shared" si="631"/>
        <v>15375</v>
      </c>
      <c r="AQ677" s="6">
        <f t="shared" si="631"/>
        <v>25716</v>
      </c>
      <c r="AR677" s="6">
        <f t="shared" si="631"/>
        <v>0</v>
      </c>
      <c r="AS677" s="6">
        <f t="shared" si="631"/>
        <v>0</v>
      </c>
      <c r="AT677" s="6">
        <f t="shared" si="631"/>
        <v>1121</v>
      </c>
      <c r="AU677" s="6">
        <f t="shared" si="631"/>
        <v>1652</v>
      </c>
      <c r="AV677" s="6">
        <f t="shared" si="631"/>
        <v>19628</v>
      </c>
      <c r="AW677" s="6">
        <f t="shared" si="631"/>
        <v>2758</v>
      </c>
      <c r="AX677" s="6">
        <f t="shared" si="631"/>
        <v>7996</v>
      </c>
      <c r="AY677" s="6">
        <f t="shared" si="631"/>
        <v>0</v>
      </c>
      <c r="AZ677" s="6">
        <f t="shared" si="631"/>
        <v>0</v>
      </c>
      <c r="BA677" s="6">
        <f t="shared" si="631"/>
        <v>477</v>
      </c>
      <c r="BB677" s="6">
        <f t="shared" si="631"/>
        <v>147</v>
      </c>
      <c r="BC677" s="6">
        <f t="shared" si="631"/>
        <v>0</v>
      </c>
      <c r="BD677" s="6">
        <f t="shared" si="631"/>
        <v>0</v>
      </c>
      <c r="BE677" s="6">
        <f t="shared" si="631"/>
        <v>21663</v>
      </c>
      <c r="BF677" s="6">
        <f t="shared" si="631"/>
        <v>20750</v>
      </c>
      <c r="BG677" s="6">
        <f t="shared" si="631"/>
        <v>26858</v>
      </c>
      <c r="BH677" s="6">
        <f t="shared" si="631"/>
        <v>16176</v>
      </c>
      <c r="BI677" s="6">
        <f t="shared" si="631"/>
        <v>27813</v>
      </c>
      <c r="BJ677" s="6">
        <f t="shared" si="631"/>
        <v>14710</v>
      </c>
      <c r="BK677" s="6">
        <f t="shared" si="631"/>
        <v>16975</v>
      </c>
      <c r="BL677" s="6">
        <f t="shared" si="631"/>
        <v>25843</v>
      </c>
      <c r="BM677" s="6">
        <f t="shared" si="631"/>
        <v>19571</v>
      </c>
      <c r="BN677" s="6">
        <f t="shared" si="631"/>
        <v>23270</v>
      </c>
      <c r="BO677" s="6">
        <f t="shared" si="631"/>
        <v>15321</v>
      </c>
      <c r="BP677" s="6">
        <f t="shared" si="631"/>
        <v>26310</v>
      </c>
      <c r="BQ677" s="6">
        <f t="shared" si="631"/>
        <v>28112</v>
      </c>
      <c r="BR677" s="6">
        <f t="shared" si="631"/>
        <v>13909</v>
      </c>
      <c r="BS677" s="6">
        <f t="shared" si="631"/>
        <v>30006</v>
      </c>
      <c r="BT677" s="6">
        <f t="shared" si="631"/>
        <v>19421</v>
      </c>
      <c r="BU677" s="6">
        <f t="shared" si="631"/>
        <v>21924</v>
      </c>
      <c r="BV677" s="6">
        <f t="shared" si="631"/>
        <v>28798</v>
      </c>
      <c r="BW677" s="6">
        <f t="shared" si="631"/>
        <v>20933</v>
      </c>
      <c r="BX677" s="6">
        <f t="shared" si="631"/>
        <v>13837</v>
      </c>
      <c r="BY677" s="6">
        <f t="shared" si="631"/>
        <v>25623</v>
      </c>
      <c r="BZ677" s="6">
        <f t="shared" si="631"/>
        <v>12214</v>
      </c>
      <c r="CA677" s="6">
        <f t="shared" ref="CA677:CP677" si="632">SUM(CA212)+CA262+SUM(CA343:CA380)+CA424+CA425+CA432+CA433+CA437+CA438+CA444+CA446+CA447+CA453+CA454+CA456+CA457+CA460+CA502+CA518+CA525</f>
        <v>26437</v>
      </c>
      <c r="CB677" s="6">
        <f t="shared" si="632"/>
        <v>19835</v>
      </c>
      <c r="CC677" s="6">
        <f t="shared" si="632"/>
        <v>14040</v>
      </c>
      <c r="CD677" s="6">
        <f t="shared" si="632"/>
        <v>25382</v>
      </c>
      <c r="CE677" s="6">
        <f t="shared" si="632"/>
        <v>13268</v>
      </c>
      <c r="CF677" s="6">
        <f t="shared" si="632"/>
        <v>21942</v>
      </c>
      <c r="CG677" s="6">
        <f t="shared" si="632"/>
        <v>20281</v>
      </c>
      <c r="CH677" s="6">
        <f t="shared" si="632"/>
        <v>12214</v>
      </c>
      <c r="CI677" s="6">
        <f t="shared" si="632"/>
        <v>8771</v>
      </c>
      <c r="CJ677" s="6">
        <f t="shared" si="632"/>
        <v>25286</v>
      </c>
      <c r="CK677" s="6">
        <f t="shared" si="632"/>
        <v>20828</v>
      </c>
      <c r="CL677" s="6">
        <f t="shared" si="632"/>
        <v>13067</v>
      </c>
      <c r="CM677" s="6">
        <f t="shared" si="632"/>
        <v>25649</v>
      </c>
      <c r="CN677" s="6">
        <f t="shared" si="632"/>
        <v>25707</v>
      </c>
      <c r="CO677" s="6">
        <f t="shared" si="632"/>
        <v>11511</v>
      </c>
      <c r="CP677" s="6">
        <f t="shared" si="632"/>
        <v>22799</v>
      </c>
      <c r="CQ677" s="6">
        <f t="shared" ref="CQ677:EM677" si="633">SUM(CQ212)+CQ262+SUM(CQ343:CQ380)+CQ424+CQ425+CQ432+CQ433+CQ437+CQ438+CQ444+CQ446+CQ447+CQ453+CQ454+CQ456+CQ457+CQ460+CQ502+CQ518+CQ525</f>
        <v>0</v>
      </c>
      <c r="CR677" s="6">
        <f t="shared" si="633"/>
        <v>0</v>
      </c>
      <c r="CS677" s="6">
        <f t="shared" si="633"/>
        <v>0</v>
      </c>
      <c r="CT677" s="6">
        <f t="shared" si="633"/>
        <v>0</v>
      </c>
      <c r="CU677" s="6">
        <f t="shared" si="633"/>
        <v>0</v>
      </c>
      <c r="CV677" s="6">
        <f t="shared" si="633"/>
        <v>0</v>
      </c>
      <c r="CW677" s="6">
        <f t="shared" si="633"/>
        <v>365</v>
      </c>
      <c r="CX677" s="6">
        <f t="shared" si="633"/>
        <v>243</v>
      </c>
      <c r="CY677" s="6">
        <f t="shared" si="633"/>
        <v>0</v>
      </c>
      <c r="CZ677" s="6">
        <f t="shared" si="633"/>
        <v>0</v>
      </c>
      <c r="DA677" s="6">
        <f t="shared" si="633"/>
        <v>0</v>
      </c>
      <c r="DB677" s="6">
        <f t="shared" si="633"/>
        <v>0</v>
      </c>
      <c r="DC677" s="6">
        <f t="shared" si="633"/>
        <v>0</v>
      </c>
      <c r="DD677" s="6">
        <f t="shared" si="633"/>
        <v>0</v>
      </c>
      <c r="DE677" s="6">
        <f t="shared" si="633"/>
        <v>0</v>
      </c>
      <c r="DF677" s="6">
        <f t="shared" si="633"/>
        <v>0</v>
      </c>
      <c r="DG677" s="6">
        <f t="shared" si="633"/>
        <v>0</v>
      </c>
      <c r="DH677" s="6">
        <f t="shared" si="633"/>
        <v>0</v>
      </c>
      <c r="DI677" s="6">
        <f t="shared" si="633"/>
        <v>0</v>
      </c>
      <c r="DJ677" s="6">
        <f t="shared" si="633"/>
        <v>0</v>
      </c>
      <c r="DK677" s="6">
        <f t="shared" si="633"/>
        <v>0</v>
      </c>
      <c r="DL677" s="6">
        <f t="shared" si="633"/>
        <v>0</v>
      </c>
      <c r="DM677" s="6">
        <f t="shared" si="633"/>
        <v>0</v>
      </c>
      <c r="DN677" s="6">
        <f t="shared" si="633"/>
        <v>0</v>
      </c>
      <c r="DO677" s="6">
        <f t="shared" si="633"/>
        <v>0</v>
      </c>
      <c r="DP677" s="6">
        <f t="shared" si="633"/>
        <v>0</v>
      </c>
      <c r="DQ677" s="6">
        <f t="shared" si="633"/>
        <v>0</v>
      </c>
      <c r="DR677" s="6">
        <f t="shared" si="633"/>
        <v>0</v>
      </c>
      <c r="DS677" s="6">
        <f t="shared" si="633"/>
        <v>0</v>
      </c>
      <c r="DT677" s="6">
        <f t="shared" si="633"/>
        <v>0</v>
      </c>
      <c r="DU677" s="6">
        <f t="shared" si="633"/>
        <v>0</v>
      </c>
      <c r="DV677" s="6">
        <f t="shared" si="633"/>
        <v>0</v>
      </c>
      <c r="DW677" s="6">
        <f t="shared" si="633"/>
        <v>0</v>
      </c>
      <c r="DX677" s="6">
        <f t="shared" si="633"/>
        <v>0</v>
      </c>
      <c r="DY677" s="6">
        <f t="shared" si="633"/>
        <v>0</v>
      </c>
      <c r="DZ677" s="6">
        <f t="shared" si="633"/>
        <v>0</v>
      </c>
      <c r="EA677" s="6">
        <f t="shared" si="633"/>
        <v>0</v>
      </c>
      <c r="EB677" s="6">
        <f t="shared" si="633"/>
        <v>0</v>
      </c>
      <c r="EC677" s="6">
        <f t="shared" si="633"/>
        <v>0</v>
      </c>
      <c r="ED677" s="6">
        <f t="shared" si="633"/>
        <v>0</v>
      </c>
      <c r="EE677" s="6">
        <f t="shared" si="633"/>
        <v>0</v>
      </c>
      <c r="EF677" s="6">
        <f t="shared" si="633"/>
        <v>0</v>
      </c>
      <c r="EG677" s="6">
        <f t="shared" si="633"/>
        <v>0</v>
      </c>
      <c r="EH677" s="6">
        <f t="shared" si="633"/>
        <v>0</v>
      </c>
      <c r="EI677" s="6">
        <f t="shared" si="633"/>
        <v>0</v>
      </c>
      <c r="EJ677" s="6">
        <f t="shared" si="633"/>
        <v>0</v>
      </c>
      <c r="EK677" s="6">
        <f t="shared" si="633"/>
        <v>0</v>
      </c>
      <c r="EL677" s="6">
        <f t="shared" si="633"/>
        <v>0</v>
      </c>
      <c r="EM677" s="6">
        <f t="shared" si="633"/>
        <v>0</v>
      </c>
      <c r="EN677" s="6">
        <f t="shared" ref="EN677:GR677" si="634">SUM(EN212)+EN262+SUM(EN343:EN380)+EN424+EN425+EN432+EN433+EN437+EN438+EN444+EN446+EN447+EN453+EN454+EN456+EN457+EN460+EN502+EN518+EN525</f>
        <v>0</v>
      </c>
      <c r="EO677" s="6">
        <f t="shared" si="634"/>
        <v>0</v>
      </c>
      <c r="EP677" s="6">
        <f t="shared" si="634"/>
        <v>0</v>
      </c>
      <c r="EQ677" s="6">
        <f t="shared" si="634"/>
        <v>0</v>
      </c>
      <c r="ER677" s="6">
        <f t="shared" si="634"/>
        <v>0</v>
      </c>
      <c r="ES677" s="6">
        <f t="shared" si="634"/>
        <v>0</v>
      </c>
      <c r="ET677" s="6">
        <f t="shared" si="634"/>
        <v>0</v>
      </c>
      <c r="EU677" s="6">
        <f t="shared" si="634"/>
        <v>0</v>
      </c>
      <c r="EV677" s="6">
        <f t="shared" si="634"/>
        <v>0</v>
      </c>
      <c r="EW677" s="6">
        <f t="shared" si="634"/>
        <v>0</v>
      </c>
      <c r="EX677" s="6">
        <f t="shared" si="634"/>
        <v>0</v>
      </c>
      <c r="EY677" s="6">
        <f t="shared" si="634"/>
        <v>0</v>
      </c>
      <c r="EZ677" s="6">
        <f t="shared" si="634"/>
        <v>0</v>
      </c>
      <c r="FA677" s="6">
        <f t="shared" si="634"/>
        <v>0</v>
      </c>
      <c r="FB677" s="6">
        <f t="shared" si="634"/>
        <v>0</v>
      </c>
      <c r="FC677" s="6">
        <f t="shared" si="634"/>
        <v>0</v>
      </c>
      <c r="FD677" s="6">
        <f t="shared" si="634"/>
        <v>0</v>
      </c>
      <c r="FE677" s="6">
        <f t="shared" si="634"/>
        <v>8312</v>
      </c>
      <c r="FF677" s="6">
        <f t="shared" si="634"/>
        <v>2848</v>
      </c>
      <c r="FG677" s="6">
        <f t="shared" si="634"/>
        <v>9134</v>
      </c>
      <c r="FH677" s="6">
        <f t="shared" si="634"/>
        <v>2109</v>
      </c>
      <c r="FI677" s="6">
        <f t="shared" si="634"/>
        <v>0</v>
      </c>
      <c r="FJ677" s="6">
        <f t="shared" si="634"/>
        <v>0</v>
      </c>
      <c r="FK677" s="6">
        <f t="shared" si="634"/>
        <v>0</v>
      </c>
      <c r="FL677" s="6">
        <f t="shared" si="634"/>
        <v>0</v>
      </c>
      <c r="FM677" s="6">
        <f t="shared" si="634"/>
        <v>0</v>
      </c>
      <c r="FN677" s="6">
        <f t="shared" si="634"/>
        <v>0</v>
      </c>
      <c r="FO677" s="6">
        <f t="shared" si="634"/>
        <v>0</v>
      </c>
      <c r="FP677" s="6">
        <f t="shared" si="634"/>
        <v>0</v>
      </c>
      <c r="FQ677" s="6">
        <f t="shared" si="634"/>
        <v>0</v>
      </c>
      <c r="FR677" s="6">
        <f t="shared" si="634"/>
        <v>0</v>
      </c>
      <c r="FS677" s="6">
        <f t="shared" si="634"/>
        <v>0</v>
      </c>
      <c r="FT677" s="6">
        <f t="shared" si="634"/>
        <v>0</v>
      </c>
      <c r="FU677" s="6">
        <f t="shared" si="634"/>
        <v>0</v>
      </c>
      <c r="FV677" s="6">
        <f t="shared" si="634"/>
        <v>0</v>
      </c>
      <c r="FW677" s="6">
        <f t="shared" si="634"/>
        <v>0</v>
      </c>
      <c r="FX677" s="6">
        <f t="shared" si="634"/>
        <v>0</v>
      </c>
      <c r="FY677" s="6">
        <f t="shared" si="634"/>
        <v>302</v>
      </c>
      <c r="FZ677" s="6">
        <f t="shared" si="634"/>
        <v>631</v>
      </c>
      <c r="GA677" s="6">
        <f t="shared" si="634"/>
        <v>0</v>
      </c>
      <c r="GB677" s="6">
        <f t="shared" si="634"/>
        <v>0</v>
      </c>
      <c r="GC677" s="6">
        <f t="shared" si="634"/>
        <v>0</v>
      </c>
      <c r="GD677" s="6">
        <f t="shared" si="634"/>
        <v>0</v>
      </c>
      <c r="GE677" s="6">
        <f t="shared" si="634"/>
        <v>0</v>
      </c>
      <c r="GF677" s="6">
        <f t="shared" si="634"/>
        <v>0</v>
      </c>
      <c r="GG677" s="6">
        <f t="shared" si="634"/>
        <v>0</v>
      </c>
      <c r="GH677" s="6">
        <f t="shared" si="634"/>
        <v>0</v>
      </c>
      <c r="GI677" s="6">
        <f t="shared" si="634"/>
        <v>0</v>
      </c>
      <c r="GJ677" s="6">
        <f t="shared" si="634"/>
        <v>0</v>
      </c>
      <c r="GK677" s="6">
        <f t="shared" si="634"/>
        <v>0</v>
      </c>
      <c r="GL677" s="6">
        <f t="shared" si="634"/>
        <v>0</v>
      </c>
      <c r="GM677" s="6">
        <f t="shared" si="634"/>
        <v>0</v>
      </c>
      <c r="GN677" s="6">
        <f t="shared" si="634"/>
        <v>0</v>
      </c>
      <c r="GO677" s="6">
        <f t="shared" si="634"/>
        <v>28307</v>
      </c>
      <c r="GP677" s="6">
        <f t="shared" si="634"/>
        <v>15242</v>
      </c>
      <c r="GQ677" s="6">
        <f t="shared" si="634"/>
        <v>28281</v>
      </c>
      <c r="GR677" s="6">
        <f t="shared" si="634"/>
        <v>15173</v>
      </c>
    </row>
    <row r="678" spans="1:200">
      <c r="A678" s="32"/>
      <c r="B678" s="16" t="s">
        <v>111</v>
      </c>
      <c r="C678" s="17">
        <v>45036</v>
      </c>
      <c r="D678" s="17">
        <v>37192</v>
      </c>
      <c r="E678" s="15">
        <f t="shared" si="351"/>
        <v>0.82582822630784258</v>
      </c>
      <c r="F678" s="66">
        <f>SUM(F116)+SUM(F395:F413)+F423+SUM(F426:F429)+F431+SUM(F434:F436)+SUM(F438:F443)+SUM(F445:F446)+SUM(F448:F452)+F455+SUM(F459:F465)</f>
        <v>9827</v>
      </c>
      <c r="G678" s="6">
        <f>SUM(G116)+SUM(G395:G413)+G423+SUM(G426:G429)+G431+SUM(G434:G436)+SUM(G438:G443)+SUM(G445:G446)+SUM(G448:G452)+G455+SUM(G459:G465)</f>
        <v>138</v>
      </c>
      <c r="H678" s="6">
        <f>SUM(H116)+SUM(H395:H413)+H423+SUM(H426:H429)+H431+SUM(H434:H436)+SUM(H438:H443)+SUM(H445:H446)+SUM(H448:H452)+H455+SUM(H459:H465)</f>
        <v>1381</v>
      </c>
      <c r="I678" s="6">
        <f>SUM(I116)+SUM(I395:I413)+I423+SUM(I426:I429)+I431+SUM(I434:I436)+SUM(I438:I443)+SUM(I445:I446)+SUM(I448:I452)+I455+SUM(I459:I465)</f>
        <v>273</v>
      </c>
      <c r="J678" s="59">
        <f>SUM(J116)+SUM(J395:J413)+J423+SUM(J426:J429)+J431+SUM(J434:J436)+SUM(J438:J443)+SUM(J445:J446)+SUM(J448:J452)+J455+SUM(J459:J465)</f>
        <v>28598</v>
      </c>
      <c r="K678" s="6">
        <f t="shared" ref="K678" si="635">SUM(K116)+SUM(K395:K413)+K423+SUM(K426:K429)+K431+SUM(K434:K436)+SUM(K438:K443)+SUM(K445:K446)+SUM(K448:K452)+K455+SUM(K459:K465)</f>
        <v>0</v>
      </c>
      <c r="L678" s="6">
        <f t="shared" ref="L678:AB678" si="636">SUM(L116)+SUM(L395:L413)+L423+SUM(L426:L429)+L431+SUM(L434:L436)+SUM(L438:L443)+SUM(L445:L446)+SUM(L448:L452)+L455+SUM(L459:L465)</f>
        <v>0</v>
      </c>
      <c r="M678" s="6">
        <f t="shared" si="636"/>
        <v>5</v>
      </c>
      <c r="N678" s="6">
        <f t="shared" si="636"/>
        <v>0</v>
      </c>
      <c r="O678" s="6">
        <f t="shared" si="636"/>
        <v>1</v>
      </c>
      <c r="P678" s="6">
        <f t="shared" si="636"/>
        <v>1</v>
      </c>
      <c r="Q678" s="6">
        <f t="shared" si="636"/>
        <v>0</v>
      </c>
      <c r="R678" s="6">
        <f t="shared" si="636"/>
        <v>1</v>
      </c>
      <c r="S678" s="6">
        <f t="shared" si="636"/>
        <v>0</v>
      </c>
      <c r="T678" s="6">
        <f t="shared" si="636"/>
        <v>0</v>
      </c>
      <c r="U678" s="6">
        <f t="shared" si="636"/>
        <v>0</v>
      </c>
      <c r="V678" s="6">
        <f t="shared" si="636"/>
        <v>5</v>
      </c>
      <c r="W678" s="6">
        <f t="shared" si="636"/>
        <v>98</v>
      </c>
      <c r="X678" s="6">
        <f t="shared" si="636"/>
        <v>0</v>
      </c>
      <c r="Y678" s="6">
        <f t="shared" si="636"/>
        <v>1</v>
      </c>
      <c r="Z678" s="6">
        <f t="shared" si="636"/>
        <v>1</v>
      </c>
      <c r="AA678" s="6">
        <f t="shared" si="636"/>
        <v>1</v>
      </c>
      <c r="AB678" s="6">
        <f t="shared" si="636"/>
        <v>1</v>
      </c>
      <c r="AC678" s="6">
        <f t="shared" ref="AC678:BZ678" si="637">SUM(AC116)+SUM(AC395:AC413)+AC423+SUM(AC426:AC429)+AC431+SUM(AC434:AC436)+SUM(AC438:AC443)+SUM(AC445:AC446)+SUM(AC448:AC452)+AC455+SUM(AC459:AC465)</f>
        <v>414</v>
      </c>
      <c r="AD678" s="6">
        <f t="shared" si="637"/>
        <v>538</v>
      </c>
      <c r="AE678" s="6">
        <f t="shared" si="637"/>
        <v>31523</v>
      </c>
      <c r="AF678" s="6">
        <f t="shared" si="637"/>
        <v>459</v>
      </c>
      <c r="AG678" s="6">
        <f t="shared" si="637"/>
        <v>0</v>
      </c>
      <c r="AH678" s="6">
        <f t="shared" si="637"/>
        <v>6814</v>
      </c>
      <c r="AI678" s="6">
        <f t="shared" si="637"/>
        <v>31778</v>
      </c>
      <c r="AJ678" s="6">
        <f t="shared" si="637"/>
        <v>4</v>
      </c>
      <c r="AK678" s="6">
        <f t="shared" si="637"/>
        <v>0</v>
      </c>
      <c r="AL678" s="6">
        <f t="shared" si="637"/>
        <v>8197</v>
      </c>
      <c r="AM678" s="6">
        <f t="shared" si="637"/>
        <v>0</v>
      </c>
      <c r="AN678" s="6">
        <f t="shared" si="637"/>
        <v>0</v>
      </c>
      <c r="AO678" s="6">
        <f t="shared" si="637"/>
        <v>0</v>
      </c>
      <c r="AP678" s="6">
        <f t="shared" si="637"/>
        <v>9127</v>
      </c>
      <c r="AQ678" s="6">
        <f t="shared" si="637"/>
        <v>28840</v>
      </c>
      <c r="AR678" s="6">
        <f t="shared" si="637"/>
        <v>0</v>
      </c>
      <c r="AS678" s="6">
        <f t="shared" si="637"/>
        <v>0</v>
      </c>
      <c r="AT678" s="6">
        <f t="shared" si="637"/>
        <v>0</v>
      </c>
      <c r="AU678" s="6">
        <f t="shared" si="637"/>
        <v>0</v>
      </c>
      <c r="AV678" s="6">
        <f t="shared" si="637"/>
        <v>436</v>
      </c>
      <c r="AW678" s="6">
        <f t="shared" si="637"/>
        <v>7801</v>
      </c>
      <c r="AX678" s="6">
        <f t="shared" si="637"/>
        <v>29388</v>
      </c>
      <c r="AY678" s="6">
        <f t="shared" si="637"/>
        <v>0</v>
      </c>
      <c r="AZ678" s="6">
        <f t="shared" si="637"/>
        <v>0</v>
      </c>
      <c r="BA678" s="6">
        <f t="shared" si="637"/>
        <v>0</v>
      </c>
      <c r="BB678" s="6">
        <f t="shared" si="637"/>
        <v>0</v>
      </c>
      <c r="BC678" s="6">
        <f t="shared" si="637"/>
        <v>0</v>
      </c>
      <c r="BD678" s="6">
        <f t="shared" si="637"/>
        <v>0</v>
      </c>
      <c r="BE678" s="6">
        <f t="shared" si="637"/>
        <v>23357</v>
      </c>
      <c r="BF678" s="6">
        <f t="shared" si="637"/>
        <v>14958</v>
      </c>
      <c r="BG678" s="6">
        <f t="shared" si="637"/>
        <v>28946</v>
      </c>
      <c r="BH678" s="6">
        <f t="shared" si="637"/>
        <v>10024</v>
      </c>
      <c r="BI678" s="6">
        <f t="shared" si="637"/>
        <v>30137</v>
      </c>
      <c r="BJ678" s="6">
        <f t="shared" si="637"/>
        <v>7996</v>
      </c>
      <c r="BK678" s="6">
        <f t="shared" si="637"/>
        <v>10697</v>
      </c>
      <c r="BL678" s="6">
        <f t="shared" si="637"/>
        <v>27855</v>
      </c>
      <c r="BM678" s="6">
        <f t="shared" si="637"/>
        <v>20451</v>
      </c>
      <c r="BN678" s="6">
        <f t="shared" si="637"/>
        <v>17983</v>
      </c>
      <c r="BO678" s="6">
        <f t="shared" si="637"/>
        <v>8623</v>
      </c>
      <c r="BP678" s="6">
        <f t="shared" si="637"/>
        <v>28751</v>
      </c>
      <c r="BQ678" s="6">
        <f t="shared" si="637"/>
        <v>30683</v>
      </c>
      <c r="BR678" s="6">
        <f t="shared" si="637"/>
        <v>7024</v>
      </c>
      <c r="BS678" s="6">
        <f t="shared" si="637"/>
        <v>30150</v>
      </c>
      <c r="BT678" s="6">
        <f t="shared" si="637"/>
        <v>20020</v>
      </c>
      <c r="BU678" s="6">
        <f t="shared" si="637"/>
        <v>16882</v>
      </c>
      <c r="BV678" s="6">
        <f t="shared" si="637"/>
        <v>27370</v>
      </c>
      <c r="BW678" s="6">
        <f t="shared" si="637"/>
        <v>21212</v>
      </c>
      <c r="BX678" s="6">
        <f t="shared" si="637"/>
        <v>10017</v>
      </c>
      <c r="BY678" s="6">
        <f t="shared" si="637"/>
        <v>26605</v>
      </c>
      <c r="BZ678" s="6">
        <f t="shared" si="637"/>
        <v>7450</v>
      </c>
      <c r="CA678" s="6">
        <f t="shared" ref="CA678:CP678" si="638">SUM(CA116)+SUM(CA395:CA413)+CA423+SUM(CA426:CA429)+CA431+SUM(CA434:CA436)+SUM(CA438:CA443)+SUM(CA445:CA446)+SUM(CA448:CA452)+CA455+SUM(CA459:CA465)</f>
        <v>25188</v>
      </c>
      <c r="CB678" s="6">
        <f t="shared" si="638"/>
        <v>22353</v>
      </c>
      <c r="CC678" s="6">
        <f t="shared" si="638"/>
        <v>7997</v>
      </c>
      <c r="CD678" s="6">
        <f t="shared" si="638"/>
        <v>22528</v>
      </c>
      <c r="CE678" s="6">
        <f t="shared" si="638"/>
        <v>7586</v>
      </c>
      <c r="CF678" s="6">
        <f t="shared" si="638"/>
        <v>25130</v>
      </c>
      <c r="CG678" s="6">
        <f t="shared" si="638"/>
        <v>21821</v>
      </c>
      <c r="CH678" s="6">
        <f t="shared" si="638"/>
        <v>7671</v>
      </c>
      <c r="CI678" s="6">
        <f t="shared" si="638"/>
        <v>4765</v>
      </c>
      <c r="CJ678" s="6">
        <f t="shared" si="638"/>
        <v>25993</v>
      </c>
      <c r="CK678" s="6">
        <f t="shared" si="638"/>
        <v>21567</v>
      </c>
      <c r="CL678" s="6">
        <f t="shared" si="638"/>
        <v>8997</v>
      </c>
      <c r="CM678" s="6">
        <f t="shared" si="638"/>
        <v>24909</v>
      </c>
      <c r="CN678" s="6">
        <f t="shared" si="638"/>
        <v>24010</v>
      </c>
      <c r="CO678" s="6">
        <f t="shared" si="638"/>
        <v>7025</v>
      </c>
      <c r="CP678" s="6">
        <f t="shared" si="638"/>
        <v>23470</v>
      </c>
      <c r="CQ678" s="6">
        <f t="shared" ref="CQ678:EM678" si="639">SUM(CQ116)+SUM(CQ395:CQ413)+CQ423+SUM(CQ426:CQ429)+CQ431+SUM(CQ434:CQ436)+SUM(CQ438:CQ443)+SUM(CQ445:CQ446)+SUM(CQ448:CQ452)+CQ455+SUM(CQ459:CQ465)</f>
        <v>0</v>
      </c>
      <c r="CR678" s="6">
        <f t="shared" si="639"/>
        <v>0</v>
      </c>
      <c r="CS678" s="6">
        <f t="shared" si="639"/>
        <v>0</v>
      </c>
      <c r="CT678" s="6">
        <f t="shared" si="639"/>
        <v>0</v>
      </c>
      <c r="CU678" s="6">
        <f t="shared" si="639"/>
        <v>0</v>
      </c>
      <c r="CV678" s="6">
        <f t="shared" si="639"/>
        <v>0</v>
      </c>
      <c r="CW678" s="6">
        <f t="shared" si="639"/>
        <v>0</v>
      </c>
      <c r="CX678" s="6">
        <f t="shared" si="639"/>
        <v>0</v>
      </c>
      <c r="CY678" s="6">
        <f t="shared" si="639"/>
        <v>0</v>
      </c>
      <c r="CZ678" s="6">
        <f t="shared" si="639"/>
        <v>0</v>
      </c>
      <c r="DA678" s="6">
        <f t="shared" si="639"/>
        <v>0</v>
      </c>
      <c r="DB678" s="6">
        <f t="shared" si="639"/>
        <v>0</v>
      </c>
      <c r="DC678" s="6">
        <f t="shared" si="639"/>
        <v>0</v>
      </c>
      <c r="DD678" s="6">
        <f t="shared" si="639"/>
        <v>0</v>
      </c>
      <c r="DE678" s="6">
        <f t="shared" si="639"/>
        <v>0</v>
      </c>
      <c r="DF678" s="6">
        <f t="shared" si="639"/>
        <v>0</v>
      </c>
      <c r="DG678" s="6">
        <f t="shared" si="639"/>
        <v>0</v>
      </c>
      <c r="DH678" s="6">
        <f t="shared" si="639"/>
        <v>0</v>
      </c>
      <c r="DI678" s="6">
        <f t="shared" si="639"/>
        <v>0</v>
      </c>
      <c r="DJ678" s="6">
        <f t="shared" si="639"/>
        <v>0</v>
      </c>
      <c r="DK678" s="6">
        <f t="shared" si="639"/>
        <v>0</v>
      </c>
      <c r="DL678" s="6">
        <f t="shared" si="639"/>
        <v>0</v>
      </c>
      <c r="DM678" s="6">
        <f t="shared" si="639"/>
        <v>0</v>
      </c>
      <c r="DN678" s="6">
        <f t="shared" si="639"/>
        <v>0</v>
      </c>
      <c r="DO678" s="6">
        <f t="shared" si="639"/>
        <v>0</v>
      </c>
      <c r="DP678" s="6">
        <f t="shared" si="639"/>
        <v>0</v>
      </c>
      <c r="DQ678" s="6">
        <f t="shared" si="639"/>
        <v>0</v>
      </c>
      <c r="DR678" s="6">
        <f t="shared" si="639"/>
        <v>0</v>
      </c>
      <c r="DS678" s="6">
        <f t="shared" si="639"/>
        <v>0</v>
      </c>
      <c r="DT678" s="6">
        <f t="shared" si="639"/>
        <v>0</v>
      </c>
      <c r="DU678" s="6">
        <f t="shared" si="639"/>
        <v>0</v>
      </c>
      <c r="DV678" s="6">
        <f t="shared" si="639"/>
        <v>0</v>
      </c>
      <c r="DW678" s="6">
        <f t="shared" si="639"/>
        <v>0</v>
      </c>
      <c r="DX678" s="6">
        <f t="shared" si="639"/>
        <v>0</v>
      </c>
      <c r="DY678" s="6">
        <f t="shared" si="639"/>
        <v>0</v>
      </c>
      <c r="DZ678" s="6">
        <f t="shared" si="639"/>
        <v>0</v>
      </c>
      <c r="EA678" s="6">
        <f t="shared" si="639"/>
        <v>0</v>
      </c>
      <c r="EB678" s="6">
        <f t="shared" si="639"/>
        <v>0</v>
      </c>
      <c r="EC678" s="6">
        <f t="shared" si="639"/>
        <v>0</v>
      </c>
      <c r="ED678" s="6">
        <f t="shared" si="639"/>
        <v>0</v>
      </c>
      <c r="EE678" s="6">
        <f t="shared" si="639"/>
        <v>0</v>
      </c>
      <c r="EF678" s="6">
        <f t="shared" si="639"/>
        <v>0</v>
      </c>
      <c r="EG678" s="6">
        <f t="shared" si="639"/>
        <v>0</v>
      </c>
      <c r="EH678" s="6">
        <f t="shared" si="639"/>
        <v>0</v>
      </c>
      <c r="EI678" s="6">
        <f t="shared" si="639"/>
        <v>0</v>
      </c>
      <c r="EJ678" s="6">
        <f t="shared" si="639"/>
        <v>0</v>
      </c>
      <c r="EK678" s="6">
        <f t="shared" si="639"/>
        <v>0</v>
      </c>
      <c r="EL678" s="6">
        <f t="shared" si="639"/>
        <v>0</v>
      </c>
      <c r="EM678" s="6">
        <f t="shared" si="639"/>
        <v>0</v>
      </c>
      <c r="EN678" s="6">
        <f t="shared" ref="EN678:GR678" si="640">SUM(EN116)+SUM(EN395:EN413)+EN423+SUM(EN426:EN429)+EN431+SUM(EN434:EN436)+SUM(EN438:EN443)+SUM(EN445:EN446)+SUM(EN448:EN452)+EN455+SUM(EN459:EN465)</f>
        <v>0</v>
      </c>
      <c r="EO678" s="6">
        <f t="shared" si="640"/>
        <v>0</v>
      </c>
      <c r="EP678" s="6">
        <f t="shared" si="640"/>
        <v>0</v>
      </c>
      <c r="EQ678" s="6">
        <f t="shared" si="640"/>
        <v>0</v>
      </c>
      <c r="ER678" s="6">
        <f t="shared" si="640"/>
        <v>0</v>
      </c>
      <c r="ES678" s="6">
        <f t="shared" si="640"/>
        <v>0</v>
      </c>
      <c r="ET678" s="6">
        <f t="shared" si="640"/>
        <v>0</v>
      </c>
      <c r="EU678" s="6">
        <f t="shared" si="640"/>
        <v>0</v>
      </c>
      <c r="EV678" s="6">
        <f t="shared" si="640"/>
        <v>0</v>
      </c>
      <c r="EW678" s="6">
        <f t="shared" si="640"/>
        <v>0</v>
      </c>
      <c r="EX678" s="6">
        <f t="shared" si="640"/>
        <v>0</v>
      </c>
      <c r="EY678" s="6">
        <f t="shared" si="640"/>
        <v>0</v>
      </c>
      <c r="EZ678" s="6">
        <f t="shared" si="640"/>
        <v>0</v>
      </c>
      <c r="FA678" s="6">
        <f t="shared" si="640"/>
        <v>0</v>
      </c>
      <c r="FB678" s="6">
        <f t="shared" si="640"/>
        <v>0</v>
      </c>
      <c r="FC678" s="6">
        <f t="shared" si="640"/>
        <v>8405</v>
      </c>
      <c r="FD678" s="6">
        <f t="shared" si="640"/>
        <v>6456</v>
      </c>
      <c r="FE678" s="6">
        <f t="shared" si="640"/>
        <v>17908</v>
      </c>
      <c r="FF678" s="6">
        <f t="shared" si="640"/>
        <v>5749</v>
      </c>
      <c r="FG678" s="6">
        <f t="shared" si="640"/>
        <v>19583</v>
      </c>
      <c r="FH678" s="6">
        <f t="shared" si="640"/>
        <v>4197</v>
      </c>
      <c r="FI678" s="6">
        <f t="shared" si="640"/>
        <v>0</v>
      </c>
      <c r="FJ678" s="6">
        <f t="shared" si="640"/>
        <v>0</v>
      </c>
      <c r="FK678" s="6">
        <f t="shared" si="640"/>
        <v>0</v>
      </c>
      <c r="FL678" s="6">
        <f t="shared" si="640"/>
        <v>0</v>
      </c>
      <c r="FM678" s="6">
        <f t="shared" si="640"/>
        <v>0</v>
      </c>
      <c r="FN678" s="6">
        <f t="shared" si="640"/>
        <v>0</v>
      </c>
      <c r="FO678" s="6">
        <f t="shared" si="640"/>
        <v>0</v>
      </c>
      <c r="FP678" s="6">
        <f t="shared" si="640"/>
        <v>0</v>
      </c>
      <c r="FQ678" s="6">
        <f t="shared" si="640"/>
        <v>0</v>
      </c>
      <c r="FR678" s="6">
        <f t="shared" si="640"/>
        <v>0</v>
      </c>
      <c r="FS678" s="6">
        <f t="shared" si="640"/>
        <v>0</v>
      </c>
      <c r="FT678" s="6">
        <f t="shared" si="640"/>
        <v>0</v>
      </c>
      <c r="FU678" s="6">
        <f t="shared" si="640"/>
        <v>0</v>
      </c>
      <c r="FV678" s="6">
        <f t="shared" si="640"/>
        <v>0</v>
      </c>
      <c r="FW678" s="6">
        <f t="shared" si="640"/>
        <v>0</v>
      </c>
      <c r="FX678" s="6">
        <f t="shared" si="640"/>
        <v>0</v>
      </c>
      <c r="FY678" s="6">
        <f t="shared" si="640"/>
        <v>761</v>
      </c>
      <c r="FZ678" s="6">
        <f t="shared" si="640"/>
        <v>1755</v>
      </c>
      <c r="GA678" s="6">
        <f t="shared" si="640"/>
        <v>0</v>
      </c>
      <c r="GB678" s="6">
        <f t="shared" si="640"/>
        <v>0</v>
      </c>
      <c r="GC678" s="6">
        <f t="shared" si="640"/>
        <v>0</v>
      </c>
      <c r="GD678" s="6">
        <f t="shared" si="640"/>
        <v>0</v>
      </c>
      <c r="GE678" s="6">
        <f t="shared" si="640"/>
        <v>0</v>
      </c>
      <c r="GF678" s="6">
        <f t="shared" si="640"/>
        <v>0</v>
      </c>
      <c r="GG678" s="6">
        <f t="shared" si="640"/>
        <v>0</v>
      </c>
      <c r="GH678" s="6">
        <f t="shared" si="640"/>
        <v>0</v>
      </c>
      <c r="GI678" s="6">
        <f t="shared" si="640"/>
        <v>0</v>
      </c>
      <c r="GJ678" s="6">
        <f t="shared" si="640"/>
        <v>0</v>
      </c>
      <c r="GK678" s="6">
        <f t="shared" si="640"/>
        <v>0</v>
      </c>
      <c r="GL678" s="6">
        <f t="shared" si="640"/>
        <v>0</v>
      </c>
      <c r="GM678" s="6">
        <f t="shared" si="640"/>
        <v>0</v>
      </c>
      <c r="GN678" s="6">
        <f t="shared" si="640"/>
        <v>0</v>
      </c>
      <c r="GO678" s="6">
        <f t="shared" si="640"/>
        <v>25013</v>
      </c>
      <c r="GP678" s="6">
        <f t="shared" si="640"/>
        <v>14294</v>
      </c>
      <c r="GQ678" s="6">
        <f t="shared" si="640"/>
        <v>25626</v>
      </c>
      <c r="GR678" s="6">
        <f t="shared" si="640"/>
        <v>13512</v>
      </c>
    </row>
    <row r="679" spans="1:200">
      <c r="A679" s="6"/>
      <c r="B679" s="16" t="s">
        <v>112</v>
      </c>
      <c r="C679" s="14">
        <v>14141</v>
      </c>
      <c r="D679" s="14">
        <f t="shared" ref="D679" si="641">SUM(D220:D224)+SUM(D393:D394)+SUM(D469:D471)+SUM(D555:D557)</f>
        <v>11098</v>
      </c>
      <c r="E679" s="15">
        <f t="shared" si="351"/>
        <v>0.78481012658227844</v>
      </c>
      <c r="F679" s="66">
        <f>SUM(F220:F224)+SUM(F393:F394)+SUM(F469:F471)+SUM(F555:F557)</f>
        <v>2030</v>
      </c>
      <c r="G679" s="6">
        <f>SUM(G220:G224)+SUM(G393:G394)+SUM(G469:G471)+SUM(G555:G557)</f>
        <v>33</v>
      </c>
      <c r="H679" s="6">
        <f>SUM(H220:H224)+SUM(H393:H394)+SUM(H469:H471)+SUM(H555:H557)</f>
        <v>335</v>
      </c>
      <c r="I679" s="6">
        <f>SUM(I220:I224)+SUM(I393:I394)+SUM(I469:I471)+SUM(I555:I557)</f>
        <v>74</v>
      </c>
      <c r="J679" s="59">
        <f>SUM(J220:J224)+SUM(J393:J394)+SUM(J469:J471)+SUM(J555:J557)</f>
        <v>8428</v>
      </c>
      <c r="K679" s="6">
        <f t="shared" ref="K679" si="642">SUM(K220:K224)+SUM(K393:K394)+SUM(K469:K471)+SUM(K555:K557)</f>
        <v>0</v>
      </c>
      <c r="L679" s="6">
        <f t="shared" ref="L679:AB679" si="643">SUM(L220:L224)+SUM(L393:L394)+SUM(L469:L471)+SUM(L555:L557)</f>
        <v>0</v>
      </c>
      <c r="M679" s="6">
        <f t="shared" si="643"/>
        <v>0</v>
      </c>
      <c r="N679" s="6">
        <f t="shared" si="643"/>
        <v>0</v>
      </c>
      <c r="O679" s="6">
        <f t="shared" si="643"/>
        <v>0</v>
      </c>
      <c r="P679" s="6">
        <f t="shared" si="643"/>
        <v>2</v>
      </c>
      <c r="Q679" s="6">
        <f t="shared" si="643"/>
        <v>0</v>
      </c>
      <c r="R679" s="6">
        <f t="shared" si="643"/>
        <v>0</v>
      </c>
      <c r="S679" s="6">
        <f t="shared" si="643"/>
        <v>0</v>
      </c>
      <c r="T679" s="6">
        <f t="shared" si="643"/>
        <v>0</v>
      </c>
      <c r="U679" s="6">
        <f t="shared" si="643"/>
        <v>0</v>
      </c>
      <c r="V679" s="6">
        <f t="shared" si="643"/>
        <v>1</v>
      </c>
      <c r="W679" s="6">
        <f t="shared" si="643"/>
        <v>23</v>
      </c>
      <c r="X679" s="6">
        <f t="shared" si="643"/>
        <v>0</v>
      </c>
      <c r="Y679" s="6">
        <f t="shared" si="643"/>
        <v>0</v>
      </c>
      <c r="Z679" s="6">
        <f t="shared" si="643"/>
        <v>0</v>
      </c>
      <c r="AA679" s="6">
        <f t="shared" si="643"/>
        <v>0</v>
      </c>
      <c r="AB679" s="6">
        <f t="shared" si="643"/>
        <v>0</v>
      </c>
      <c r="AC679" s="6">
        <f t="shared" ref="AC679:BZ679" si="644">SUM(AC220:AC224)+SUM(AC393:AC394)+SUM(AC469:AC471)+SUM(AC555:AC557)</f>
        <v>199</v>
      </c>
      <c r="AD679" s="6">
        <f t="shared" si="644"/>
        <v>146</v>
      </c>
      <c r="AE679" s="6">
        <f t="shared" si="644"/>
        <v>8629</v>
      </c>
      <c r="AF679" s="6">
        <f t="shared" si="644"/>
        <v>148</v>
      </c>
      <c r="AG679" s="6">
        <f t="shared" si="644"/>
        <v>0</v>
      </c>
      <c r="AH679" s="6">
        <f t="shared" si="644"/>
        <v>1545</v>
      </c>
      <c r="AI679" s="6">
        <f t="shared" si="644"/>
        <v>8687</v>
      </c>
      <c r="AJ679" s="6">
        <f t="shared" si="644"/>
        <v>0</v>
      </c>
      <c r="AK679" s="6">
        <f t="shared" si="644"/>
        <v>0</v>
      </c>
      <c r="AL679" s="6">
        <f t="shared" si="644"/>
        <v>1984</v>
      </c>
      <c r="AM679" s="6">
        <f t="shared" si="644"/>
        <v>0</v>
      </c>
      <c r="AN679" s="6">
        <f t="shared" si="644"/>
        <v>0</v>
      </c>
      <c r="AO679" s="6">
        <f t="shared" si="644"/>
        <v>0</v>
      </c>
      <c r="AP679" s="6">
        <f t="shared" si="644"/>
        <v>2160</v>
      </c>
      <c r="AQ679" s="6">
        <f t="shared" si="644"/>
        <v>7887</v>
      </c>
      <c r="AR679" s="6">
        <f t="shared" si="644"/>
        <v>0</v>
      </c>
      <c r="AS679" s="6">
        <f t="shared" si="644"/>
        <v>0</v>
      </c>
      <c r="AT679" s="6">
        <f t="shared" si="644"/>
        <v>0</v>
      </c>
      <c r="AU679" s="6">
        <f t="shared" si="644"/>
        <v>0</v>
      </c>
      <c r="AV679" s="6">
        <f t="shared" si="644"/>
        <v>7957</v>
      </c>
      <c r="AW679" s="6">
        <f t="shared" si="644"/>
        <v>0</v>
      </c>
      <c r="AX679" s="6">
        <f t="shared" si="644"/>
        <v>0</v>
      </c>
      <c r="AY679" s="6">
        <f t="shared" si="644"/>
        <v>0</v>
      </c>
      <c r="AZ679" s="6">
        <f t="shared" si="644"/>
        <v>0</v>
      </c>
      <c r="BA679" s="6">
        <f t="shared" si="644"/>
        <v>0</v>
      </c>
      <c r="BB679" s="6">
        <f t="shared" si="644"/>
        <v>0</v>
      </c>
      <c r="BC679" s="6">
        <f t="shared" si="644"/>
        <v>0</v>
      </c>
      <c r="BD679" s="6">
        <f t="shared" si="644"/>
        <v>0</v>
      </c>
      <c r="BE679" s="6">
        <f t="shared" si="644"/>
        <v>6847</v>
      </c>
      <c r="BF679" s="6">
        <f t="shared" si="644"/>
        <v>3405</v>
      </c>
      <c r="BG679" s="6">
        <f t="shared" si="644"/>
        <v>8217</v>
      </c>
      <c r="BH679" s="6">
        <f t="shared" si="644"/>
        <v>2193</v>
      </c>
      <c r="BI679" s="6">
        <f t="shared" si="644"/>
        <v>8279</v>
      </c>
      <c r="BJ679" s="6">
        <f t="shared" si="644"/>
        <v>2038</v>
      </c>
      <c r="BK679" s="6">
        <f t="shared" si="644"/>
        <v>2589</v>
      </c>
      <c r="BL679" s="6">
        <f t="shared" si="644"/>
        <v>7705</v>
      </c>
      <c r="BM679" s="6">
        <f t="shared" si="644"/>
        <v>5688</v>
      </c>
      <c r="BN679" s="6">
        <f t="shared" si="644"/>
        <v>4689</v>
      </c>
      <c r="BO679" s="6">
        <f t="shared" si="644"/>
        <v>2055</v>
      </c>
      <c r="BP679" s="6">
        <f t="shared" si="644"/>
        <v>7942</v>
      </c>
      <c r="BQ679" s="6">
        <f t="shared" si="644"/>
        <v>8588</v>
      </c>
      <c r="BR679" s="6">
        <f t="shared" si="644"/>
        <v>1602</v>
      </c>
      <c r="BS679" s="6">
        <f t="shared" si="644"/>
        <v>8145</v>
      </c>
      <c r="BT679" s="6">
        <f t="shared" si="644"/>
        <v>6287</v>
      </c>
      <c r="BU679" s="6">
        <f t="shared" si="644"/>
        <v>3554</v>
      </c>
      <c r="BV679" s="6">
        <f t="shared" si="644"/>
        <v>7214</v>
      </c>
      <c r="BW679" s="6">
        <f t="shared" si="644"/>
        <v>5149</v>
      </c>
      <c r="BX679" s="6">
        <f t="shared" si="644"/>
        <v>2985</v>
      </c>
      <c r="BY679" s="6">
        <f t="shared" si="644"/>
        <v>6977</v>
      </c>
      <c r="BZ679" s="6">
        <f t="shared" si="644"/>
        <v>1974</v>
      </c>
      <c r="CA679" s="6">
        <f t="shared" ref="CA679:CP679" si="645">SUM(CA220:CA224)+SUM(CA393:CA394)+SUM(CA469:CA471)+SUM(CA555:CA557)</f>
        <v>6575</v>
      </c>
      <c r="CB679" s="6">
        <f t="shared" si="645"/>
        <v>5392</v>
      </c>
      <c r="CC679" s="6">
        <f t="shared" si="645"/>
        <v>2376</v>
      </c>
      <c r="CD679" s="6">
        <f t="shared" si="645"/>
        <v>5997</v>
      </c>
      <c r="CE679" s="6">
        <f t="shared" si="645"/>
        <v>2161</v>
      </c>
      <c r="CF679" s="6">
        <f t="shared" si="645"/>
        <v>6205</v>
      </c>
      <c r="CG679" s="6">
        <f t="shared" si="645"/>
        <v>5116</v>
      </c>
      <c r="CH679" s="6">
        <f t="shared" si="645"/>
        <v>2515</v>
      </c>
      <c r="CI679" s="6">
        <f t="shared" si="645"/>
        <v>1450</v>
      </c>
      <c r="CJ679" s="6">
        <f t="shared" si="645"/>
        <v>6603</v>
      </c>
      <c r="CK679" s="6">
        <f t="shared" si="645"/>
        <v>5263</v>
      </c>
      <c r="CL679" s="6">
        <f t="shared" si="645"/>
        <v>2711</v>
      </c>
      <c r="CM679" s="6">
        <f t="shared" si="645"/>
        <v>6416</v>
      </c>
      <c r="CN679" s="6">
        <f t="shared" si="645"/>
        <v>6326</v>
      </c>
      <c r="CO679" s="6">
        <f t="shared" si="645"/>
        <v>2418</v>
      </c>
      <c r="CP679" s="6">
        <f t="shared" si="645"/>
        <v>5574</v>
      </c>
      <c r="CQ679" s="6">
        <f t="shared" ref="CQ679:EM679" si="646">SUM(CQ220:CQ224)+SUM(CQ393:CQ394)+SUM(CQ469:CQ471)+SUM(CQ555:CQ557)</f>
        <v>0</v>
      </c>
      <c r="CR679" s="6">
        <f t="shared" si="646"/>
        <v>0</v>
      </c>
      <c r="CS679" s="6">
        <f t="shared" si="646"/>
        <v>0</v>
      </c>
      <c r="CT679" s="6">
        <f t="shared" si="646"/>
        <v>0</v>
      </c>
      <c r="CU679" s="6">
        <f t="shared" si="646"/>
        <v>0</v>
      </c>
      <c r="CV679" s="6">
        <f t="shared" si="646"/>
        <v>0</v>
      </c>
      <c r="CW679" s="6">
        <f t="shared" si="646"/>
        <v>0</v>
      </c>
      <c r="CX679" s="6">
        <f t="shared" si="646"/>
        <v>0</v>
      </c>
      <c r="CY679" s="6">
        <f t="shared" si="646"/>
        <v>0</v>
      </c>
      <c r="CZ679" s="6">
        <f t="shared" si="646"/>
        <v>0</v>
      </c>
      <c r="DA679" s="6">
        <f t="shared" si="646"/>
        <v>0</v>
      </c>
      <c r="DB679" s="6">
        <f t="shared" si="646"/>
        <v>0</v>
      </c>
      <c r="DC679" s="6">
        <f t="shared" si="646"/>
        <v>0</v>
      </c>
      <c r="DD679" s="6">
        <f t="shared" si="646"/>
        <v>0</v>
      </c>
      <c r="DE679" s="6">
        <f t="shared" si="646"/>
        <v>0</v>
      </c>
      <c r="DF679" s="6">
        <f t="shared" si="646"/>
        <v>0</v>
      </c>
      <c r="DG679" s="6">
        <f t="shared" si="646"/>
        <v>0</v>
      </c>
      <c r="DH679" s="6">
        <f t="shared" si="646"/>
        <v>0</v>
      </c>
      <c r="DI679" s="6">
        <f t="shared" si="646"/>
        <v>0</v>
      </c>
      <c r="DJ679" s="6">
        <f t="shared" si="646"/>
        <v>0</v>
      </c>
      <c r="DK679" s="6">
        <f t="shared" si="646"/>
        <v>0</v>
      </c>
      <c r="DL679" s="6">
        <f t="shared" si="646"/>
        <v>0</v>
      </c>
      <c r="DM679" s="6">
        <f t="shared" si="646"/>
        <v>0</v>
      </c>
      <c r="DN679" s="6">
        <f t="shared" si="646"/>
        <v>0</v>
      </c>
      <c r="DO679" s="6">
        <f t="shared" si="646"/>
        <v>0</v>
      </c>
      <c r="DP679" s="6">
        <f t="shared" si="646"/>
        <v>0</v>
      </c>
      <c r="DQ679" s="6">
        <f t="shared" si="646"/>
        <v>0</v>
      </c>
      <c r="DR679" s="6">
        <f t="shared" si="646"/>
        <v>0</v>
      </c>
      <c r="DS679" s="6">
        <f t="shared" si="646"/>
        <v>0</v>
      </c>
      <c r="DT679" s="6">
        <f t="shared" si="646"/>
        <v>0</v>
      </c>
      <c r="DU679" s="6">
        <f t="shared" si="646"/>
        <v>0</v>
      </c>
      <c r="DV679" s="6">
        <f t="shared" si="646"/>
        <v>0</v>
      </c>
      <c r="DW679" s="6">
        <f t="shared" si="646"/>
        <v>0</v>
      </c>
      <c r="DX679" s="6">
        <f t="shared" si="646"/>
        <v>0</v>
      </c>
      <c r="DY679" s="6">
        <f t="shared" si="646"/>
        <v>0</v>
      </c>
      <c r="DZ679" s="6">
        <f t="shared" si="646"/>
        <v>0</v>
      </c>
      <c r="EA679" s="6">
        <f t="shared" si="646"/>
        <v>0</v>
      </c>
      <c r="EB679" s="6">
        <f t="shared" si="646"/>
        <v>0</v>
      </c>
      <c r="EC679" s="6">
        <f t="shared" si="646"/>
        <v>0</v>
      </c>
      <c r="ED679" s="6">
        <f t="shared" si="646"/>
        <v>0</v>
      </c>
      <c r="EE679" s="6">
        <f t="shared" si="646"/>
        <v>0</v>
      </c>
      <c r="EF679" s="6">
        <f t="shared" si="646"/>
        <v>0</v>
      </c>
      <c r="EG679" s="6">
        <f t="shared" si="646"/>
        <v>0</v>
      </c>
      <c r="EH679" s="6">
        <f t="shared" si="646"/>
        <v>0</v>
      </c>
      <c r="EI679" s="6">
        <f t="shared" si="646"/>
        <v>0</v>
      </c>
      <c r="EJ679" s="6">
        <f t="shared" si="646"/>
        <v>0</v>
      </c>
      <c r="EK679" s="6">
        <f t="shared" si="646"/>
        <v>0</v>
      </c>
      <c r="EL679" s="6">
        <f t="shared" si="646"/>
        <v>0</v>
      </c>
      <c r="EM679" s="6">
        <f t="shared" si="646"/>
        <v>0</v>
      </c>
      <c r="EN679" s="6">
        <f t="shared" ref="EN679:GR679" si="647">SUM(EN220:EN224)+SUM(EN393:EN394)+SUM(EN469:EN471)+SUM(EN555:EN557)</f>
        <v>0</v>
      </c>
      <c r="EO679" s="6">
        <f t="shared" si="647"/>
        <v>0</v>
      </c>
      <c r="EP679" s="6">
        <f t="shared" si="647"/>
        <v>0</v>
      </c>
      <c r="EQ679" s="6">
        <f t="shared" si="647"/>
        <v>0</v>
      </c>
      <c r="ER679" s="6">
        <f t="shared" si="647"/>
        <v>0</v>
      </c>
      <c r="ES679" s="6">
        <f t="shared" si="647"/>
        <v>0</v>
      </c>
      <c r="ET679" s="6">
        <f t="shared" si="647"/>
        <v>0</v>
      </c>
      <c r="EU679" s="6">
        <f t="shared" si="647"/>
        <v>0</v>
      </c>
      <c r="EV679" s="6">
        <f t="shared" si="647"/>
        <v>0</v>
      </c>
      <c r="EW679" s="6">
        <f t="shared" si="647"/>
        <v>0</v>
      </c>
      <c r="EX679" s="6">
        <f t="shared" si="647"/>
        <v>0</v>
      </c>
      <c r="EY679" s="6">
        <f t="shared" si="647"/>
        <v>0</v>
      </c>
      <c r="EZ679" s="6">
        <f t="shared" si="647"/>
        <v>0</v>
      </c>
      <c r="FA679" s="6">
        <f t="shared" si="647"/>
        <v>0</v>
      </c>
      <c r="FB679" s="6">
        <f t="shared" si="647"/>
        <v>0</v>
      </c>
      <c r="FC679" s="6">
        <f t="shared" si="647"/>
        <v>0</v>
      </c>
      <c r="FD679" s="6">
        <f t="shared" si="647"/>
        <v>0</v>
      </c>
      <c r="FE679" s="6">
        <f t="shared" si="647"/>
        <v>0</v>
      </c>
      <c r="FF679" s="6">
        <f t="shared" si="647"/>
        <v>0</v>
      </c>
      <c r="FG679" s="6">
        <f t="shared" si="647"/>
        <v>0</v>
      </c>
      <c r="FH679" s="6">
        <f t="shared" si="647"/>
        <v>0</v>
      </c>
      <c r="FI679" s="6">
        <f t="shared" si="647"/>
        <v>0</v>
      </c>
      <c r="FJ679" s="6">
        <f t="shared" si="647"/>
        <v>0</v>
      </c>
      <c r="FK679" s="6">
        <f t="shared" si="647"/>
        <v>0</v>
      </c>
      <c r="FL679" s="6">
        <f t="shared" si="647"/>
        <v>0</v>
      </c>
      <c r="FM679" s="6">
        <f t="shared" si="647"/>
        <v>0</v>
      </c>
      <c r="FN679" s="6">
        <f t="shared" si="647"/>
        <v>0</v>
      </c>
      <c r="FO679" s="6">
        <f t="shared" si="647"/>
        <v>0</v>
      </c>
      <c r="FP679" s="6">
        <f t="shared" si="647"/>
        <v>0</v>
      </c>
      <c r="FQ679" s="6">
        <f t="shared" si="647"/>
        <v>0</v>
      </c>
      <c r="FR679" s="6">
        <f t="shared" si="647"/>
        <v>0</v>
      </c>
      <c r="FS679" s="6">
        <f t="shared" si="647"/>
        <v>0</v>
      </c>
      <c r="FT679" s="6">
        <f t="shared" si="647"/>
        <v>0</v>
      </c>
      <c r="FU679" s="6">
        <f t="shared" si="647"/>
        <v>0</v>
      </c>
      <c r="FV679" s="6">
        <f t="shared" si="647"/>
        <v>0</v>
      </c>
      <c r="FW679" s="6">
        <f t="shared" si="647"/>
        <v>0</v>
      </c>
      <c r="FX679" s="6">
        <f t="shared" si="647"/>
        <v>0</v>
      </c>
      <c r="FY679" s="6">
        <f t="shared" si="647"/>
        <v>0</v>
      </c>
      <c r="FZ679" s="6">
        <f t="shared" si="647"/>
        <v>0</v>
      </c>
      <c r="GA679" s="6">
        <f t="shared" si="647"/>
        <v>0</v>
      </c>
      <c r="GB679" s="6">
        <f t="shared" si="647"/>
        <v>0</v>
      </c>
      <c r="GC679" s="6">
        <f t="shared" si="647"/>
        <v>0</v>
      </c>
      <c r="GD679" s="6">
        <f t="shared" si="647"/>
        <v>0</v>
      </c>
      <c r="GE679" s="6">
        <f t="shared" si="647"/>
        <v>0</v>
      </c>
      <c r="GF679" s="6">
        <f t="shared" si="647"/>
        <v>0</v>
      </c>
      <c r="GG679" s="6">
        <f t="shared" si="647"/>
        <v>0</v>
      </c>
      <c r="GH679" s="6">
        <f t="shared" si="647"/>
        <v>0</v>
      </c>
      <c r="GI679" s="6">
        <f t="shared" si="647"/>
        <v>0</v>
      </c>
      <c r="GJ679" s="6">
        <f t="shared" si="647"/>
        <v>0</v>
      </c>
      <c r="GK679" s="6">
        <f t="shared" si="647"/>
        <v>0</v>
      </c>
      <c r="GL679" s="6">
        <f t="shared" si="647"/>
        <v>0</v>
      </c>
      <c r="GM679" s="6">
        <f t="shared" si="647"/>
        <v>0</v>
      </c>
      <c r="GN679" s="6">
        <f t="shared" si="647"/>
        <v>0</v>
      </c>
      <c r="GO679" s="6">
        <f t="shared" si="647"/>
        <v>6388</v>
      </c>
      <c r="GP679" s="6">
        <f t="shared" si="647"/>
        <v>4288</v>
      </c>
      <c r="GQ679" s="6">
        <f t="shared" si="647"/>
        <v>5814</v>
      </c>
      <c r="GR679" s="6">
        <f t="shared" si="647"/>
        <v>4760</v>
      </c>
    </row>
    <row r="680" spans="1:200">
      <c r="A680" s="6"/>
      <c r="B680" s="16" t="s">
        <v>113</v>
      </c>
      <c r="C680" s="14">
        <f>SUM(C478:C489)</f>
        <v>11461</v>
      </c>
      <c r="D680" s="14">
        <f>SUM(D478:D489)</f>
        <v>9110</v>
      </c>
      <c r="E680" s="15">
        <f t="shared" si="351"/>
        <v>0.79486955763022427</v>
      </c>
      <c r="F680" s="66">
        <f t="shared" ref="F680:AB680" si="648">SUM(F478:F489)</f>
        <v>1711</v>
      </c>
      <c r="G680" s="6">
        <f t="shared" si="648"/>
        <v>34</v>
      </c>
      <c r="H680" s="6">
        <f t="shared" si="648"/>
        <v>283</v>
      </c>
      <c r="I680" s="6">
        <f t="shared" si="648"/>
        <v>41</v>
      </c>
      <c r="J680" s="59">
        <f t="shared" si="648"/>
        <v>6848</v>
      </c>
      <c r="K680" s="6">
        <f t="shared" si="648"/>
        <v>0</v>
      </c>
      <c r="L680" s="6">
        <f t="shared" si="648"/>
        <v>0</v>
      </c>
      <c r="M680" s="6">
        <f t="shared" si="648"/>
        <v>3</v>
      </c>
      <c r="N680" s="6">
        <f t="shared" si="648"/>
        <v>0</v>
      </c>
      <c r="O680" s="6">
        <f t="shared" si="648"/>
        <v>0</v>
      </c>
      <c r="P680" s="6">
        <f t="shared" si="648"/>
        <v>1</v>
      </c>
      <c r="Q680" s="6">
        <f t="shared" si="648"/>
        <v>0</v>
      </c>
      <c r="R680" s="6">
        <f t="shared" si="648"/>
        <v>0</v>
      </c>
      <c r="S680" s="6">
        <f t="shared" si="648"/>
        <v>0</v>
      </c>
      <c r="T680" s="6">
        <f t="shared" si="648"/>
        <v>0</v>
      </c>
      <c r="U680" s="6">
        <f t="shared" si="648"/>
        <v>0</v>
      </c>
      <c r="V680" s="6">
        <f t="shared" si="648"/>
        <v>0</v>
      </c>
      <c r="W680" s="6">
        <f t="shared" si="648"/>
        <v>18</v>
      </c>
      <c r="X680" s="6">
        <f t="shared" si="648"/>
        <v>0</v>
      </c>
      <c r="Y680" s="6">
        <f t="shared" si="648"/>
        <v>0</v>
      </c>
      <c r="Z680" s="6">
        <f t="shared" si="648"/>
        <v>0</v>
      </c>
      <c r="AA680" s="6">
        <f t="shared" si="648"/>
        <v>0</v>
      </c>
      <c r="AB680" s="6">
        <f t="shared" si="648"/>
        <v>0</v>
      </c>
      <c r="AC680" s="6">
        <f t="shared" ref="AC680:BZ680" si="649">SUM(AC478:AC489)</f>
        <v>116</v>
      </c>
      <c r="AD680" s="6">
        <f t="shared" si="649"/>
        <v>104</v>
      </c>
      <c r="AE680" s="6">
        <f t="shared" si="649"/>
        <v>7259</v>
      </c>
      <c r="AF680" s="6">
        <f t="shared" si="649"/>
        <v>105</v>
      </c>
      <c r="AG680" s="6">
        <f t="shared" si="649"/>
        <v>0</v>
      </c>
      <c r="AH680" s="6">
        <f t="shared" si="649"/>
        <v>1196</v>
      </c>
      <c r="AI680" s="6">
        <f t="shared" si="649"/>
        <v>7356</v>
      </c>
      <c r="AJ680" s="6">
        <f t="shared" si="649"/>
        <v>2</v>
      </c>
      <c r="AK680" s="6">
        <f t="shared" si="649"/>
        <v>0</v>
      </c>
      <c r="AL680" s="6">
        <f t="shared" si="649"/>
        <v>1455</v>
      </c>
      <c r="AM680" s="6">
        <f t="shared" si="649"/>
        <v>0</v>
      </c>
      <c r="AN680" s="6">
        <f t="shared" si="649"/>
        <v>0</v>
      </c>
      <c r="AO680" s="6">
        <f t="shared" si="649"/>
        <v>0</v>
      </c>
      <c r="AP680" s="6">
        <f t="shared" si="649"/>
        <v>1572</v>
      </c>
      <c r="AQ680" s="6">
        <f t="shared" si="649"/>
        <v>6769</v>
      </c>
      <c r="AR680" s="6">
        <f t="shared" si="649"/>
        <v>0</v>
      </c>
      <c r="AS680" s="6">
        <f t="shared" si="649"/>
        <v>0</v>
      </c>
      <c r="AT680" s="6">
        <f t="shared" si="649"/>
        <v>0</v>
      </c>
      <c r="AU680" s="6">
        <f t="shared" si="649"/>
        <v>0</v>
      </c>
      <c r="AV680" s="6">
        <f t="shared" si="649"/>
        <v>6428</v>
      </c>
      <c r="AW680" s="6">
        <f t="shared" si="649"/>
        <v>0</v>
      </c>
      <c r="AX680" s="6">
        <f t="shared" si="649"/>
        <v>0</v>
      </c>
      <c r="AY680" s="6">
        <f t="shared" si="649"/>
        <v>0</v>
      </c>
      <c r="AZ680" s="6">
        <f t="shared" si="649"/>
        <v>0</v>
      </c>
      <c r="BA680" s="6">
        <f t="shared" si="649"/>
        <v>0</v>
      </c>
      <c r="BB680" s="6">
        <f t="shared" si="649"/>
        <v>0</v>
      </c>
      <c r="BC680" s="6">
        <f t="shared" si="649"/>
        <v>0</v>
      </c>
      <c r="BD680" s="6">
        <f t="shared" si="649"/>
        <v>0</v>
      </c>
      <c r="BE680" s="6">
        <f t="shared" si="649"/>
        <v>5604</v>
      </c>
      <c r="BF680" s="6">
        <f t="shared" si="649"/>
        <v>2805</v>
      </c>
      <c r="BG680" s="6">
        <f t="shared" si="649"/>
        <v>6726</v>
      </c>
      <c r="BH680" s="6">
        <f t="shared" si="649"/>
        <v>1836</v>
      </c>
      <c r="BI680" s="6">
        <f t="shared" si="649"/>
        <v>6918</v>
      </c>
      <c r="BJ680" s="6">
        <f t="shared" si="649"/>
        <v>1534</v>
      </c>
      <c r="BK680" s="6">
        <f t="shared" si="649"/>
        <v>1960</v>
      </c>
      <c r="BL680" s="6">
        <f t="shared" si="649"/>
        <v>6536</v>
      </c>
      <c r="BM680" s="6">
        <f t="shared" si="649"/>
        <v>4512</v>
      </c>
      <c r="BN680" s="6">
        <f t="shared" si="649"/>
        <v>4005</v>
      </c>
      <c r="BO680" s="6">
        <f t="shared" si="649"/>
        <v>1540</v>
      </c>
      <c r="BP680" s="6">
        <f t="shared" si="649"/>
        <v>6660</v>
      </c>
      <c r="BQ680" s="6">
        <f t="shared" si="649"/>
        <v>7155</v>
      </c>
      <c r="BR680" s="6">
        <f t="shared" si="649"/>
        <v>1183</v>
      </c>
      <c r="BS680" s="6">
        <f t="shared" si="649"/>
        <v>6602</v>
      </c>
      <c r="BT680" s="6">
        <f t="shared" si="649"/>
        <v>4913</v>
      </c>
      <c r="BU680" s="6">
        <f t="shared" si="649"/>
        <v>3176</v>
      </c>
      <c r="BV680" s="6">
        <f t="shared" si="649"/>
        <v>5800</v>
      </c>
      <c r="BW680" s="6">
        <f t="shared" si="649"/>
        <v>4513</v>
      </c>
      <c r="BX680" s="6">
        <f t="shared" si="649"/>
        <v>2107</v>
      </c>
      <c r="BY680" s="6">
        <f t="shared" si="649"/>
        <v>5894</v>
      </c>
      <c r="BZ680" s="6">
        <f t="shared" si="649"/>
        <v>1439</v>
      </c>
      <c r="CA680" s="6">
        <f t="shared" ref="CA680:CP680" si="650">SUM(CA478:CA489)</f>
        <v>5293</v>
      </c>
      <c r="CB680" s="6">
        <f t="shared" si="650"/>
        <v>5028</v>
      </c>
      <c r="CC680" s="6">
        <f t="shared" si="650"/>
        <v>1428</v>
      </c>
      <c r="CD680" s="6">
        <f t="shared" si="650"/>
        <v>4774</v>
      </c>
      <c r="CE680" s="6">
        <f t="shared" si="650"/>
        <v>1356</v>
      </c>
      <c r="CF680" s="6">
        <f t="shared" si="650"/>
        <v>6150</v>
      </c>
      <c r="CG680" s="6">
        <f t="shared" si="650"/>
        <v>4848</v>
      </c>
      <c r="CH680" s="6">
        <f t="shared" si="650"/>
        <v>1436</v>
      </c>
      <c r="CI680" s="6">
        <f t="shared" si="650"/>
        <v>1007</v>
      </c>
      <c r="CJ680" s="6">
        <f t="shared" si="650"/>
        <v>5579</v>
      </c>
      <c r="CK680" s="6">
        <f t="shared" si="650"/>
        <v>4913</v>
      </c>
      <c r="CL680" s="6">
        <f t="shared" si="650"/>
        <v>1738</v>
      </c>
      <c r="CM680" s="6">
        <f t="shared" si="650"/>
        <v>5192</v>
      </c>
      <c r="CN680" s="6">
        <f t="shared" si="650"/>
        <v>5020</v>
      </c>
      <c r="CO680" s="6">
        <f t="shared" si="650"/>
        <v>1483</v>
      </c>
      <c r="CP680" s="6">
        <f t="shared" si="650"/>
        <v>4974</v>
      </c>
      <c r="CQ680" s="6">
        <f t="shared" ref="CQ680:EM680" si="651">SUM(CQ478:CQ489)</f>
        <v>0</v>
      </c>
      <c r="CR680" s="6">
        <f t="shared" si="651"/>
        <v>0</v>
      </c>
      <c r="CS680" s="6">
        <f t="shared" si="651"/>
        <v>0</v>
      </c>
      <c r="CT680" s="6">
        <f t="shared" si="651"/>
        <v>0</v>
      </c>
      <c r="CU680" s="6">
        <f t="shared" si="651"/>
        <v>0</v>
      </c>
      <c r="CV680" s="6">
        <f t="shared" si="651"/>
        <v>0</v>
      </c>
      <c r="CW680" s="6">
        <f t="shared" si="651"/>
        <v>0</v>
      </c>
      <c r="CX680" s="6">
        <f t="shared" si="651"/>
        <v>0</v>
      </c>
      <c r="CY680" s="6">
        <f t="shared" si="651"/>
        <v>0</v>
      </c>
      <c r="CZ680" s="6">
        <f t="shared" si="651"/>
        <v>0</v>
      </c>
      <c r="DA680" s="6">
        <f t="shared" si="651"/>
        <v>0</v>
      </c>
      <c r="DB680" s="6">
        <f t="shared" si="651"/>
        <v>0</v>
      </c>
      <c r="DC680" s="6">
        <f t="shared" si="651"/>
        <v>0</v>
      </c>
      <c r="DD680" s="6">
        <f t="shared" si="651"/>
        <v>0</v>
      </c>
      <c r="DE680" s="6">
        <f t="shared" si="651"/>
        <v>0</v>
      </c>
      <c r="DF680" s="6">
        <f t="shared" si="651"/>
        <v>0</v>
      </c>
      <c r="DG680" s="6">
        <f t="shared" si="651"/>
        <v>191</v>
      </c>
      <c r="DH680" s="6">
        <f t="shared" si="651"/>
        <v>107</v>
      </c>
      <c r="DI680" s="6">
        <f t="shared" si="651"/>
        <v>186</v>
      </c>
      <c r="DJ680" s="6">
        <f t="shared" si="651"/>
        <v>110</v>
      </c>
      <c r="DK680" s="6">
        <f t="shared" si="651"/>
        <v>968</v>
      </c>
      <c r="DL680" s="6">
        <f t="shared" si="651"/>
        <v>485</v>
      </c>
      <c r="DM680" s="6">
        <f t="shared" si="651"/>
        <v>0</v>
      </c>
      <c r="DN680" s="6">
        <f t="shared" si="651"/>
        <v>0</v>
      </c>
      <c r="DO680" s="6">
        <f t="shared" si="651"/>
        <v>0</v>
      </c>
      <c r="DP680" s="6">
        <f t="shared" si="651"/>
        <v>0</v>
      </c>
      <c r="DQ680" s="6">
        <f t="shared" si="651"/>
        <v>0</v>
      </c>
      <c r="DR680" s="6">
        <f t="shared" si="651"/>
        <v>0</v>
      </c>
      <c r="DS680" s="6">
        <f t="shared" si="651"/>
        <v>0</v>
      </c>
      <c r="DT680" s="6">
        <f t="shared" si="651"/>
        <v>0</v>
      </c>
      <c r="DU680" s="6">
        <f t="shared" si="651"/>
        <v>0</v>
      </c>
      <c r="DV680" s="6">
        <f t="shared" si="651"/>
        <v>0</v>
      </c>
      <c r="DW680" s="6">
        <f t="shared" si="651"/>
        <v>0</v>
      </c>
      <c r="DX680" s="6">
        <f t="shared" si="651"/>
        <v>0</v>
      </c>
      <c r="DY680" s="6">
        <f t="shared" si="651"/>
        <v>0</v>
      </c>
      <c r="DZ680" s="6">
        <f t="shared" si="651"/>
        <v>0</v>
      </c>
      <c r="EA680" s="6">
        <f t="shared" si="651"/>
        <v>0</v>
      </c>
      <c r="EB680" s="6">
        <f t="shared" si="651"/>
        <v>0</v>
      </c>
      <c r="EC680" s="6">
        <f t="shared" si="651"/>
        <v>0</v>
      </c>
      <c r="ED680" s="6">
        <f t="shared" si="651"/>
        <v>0</v>
      </c>
      <c r="EE680" s="6">
        <f t="shared" si="651"/>
        <v>0</v>
      </c>
      <c r="EF680" s="6">
        <f t="shared" si="651"/>
        <v>0</v>
      </c>
      <c r="EG680" s="6">
        <f t="shared" si="651"/>
        <v>0</v>
      </c>
      <c r="EH680" s="6">
        <f t="shared" si="651"/>
        <v>0</v>
      </c>
      <c r="EI680" s="6">
        <f t="shared" si="651"/>
        <v>0</v>
      </c>
      <c r="EJ680" s="6">
        <f t="shared" si="651"/>
        <v>0</v>
      </c>
      <c r="EK680" s="6">
        <f t="shared" si="651"/>
        <v>0</v>
      </c>
      <c r="EL680" s="6">
        <f t="shared" si="651"/>
        <v>0</v>
      </c>
      <c r="EM680" s="6">
        <f t="shared" si="651"/>
        <v>0</v>
      </c>
      <c r="EN680" s="6">
        <f t="shared" ref="EN680:GR680" si="652">SUM(EN478:EN489)</f>
        <v>0</v>
      </c>
      <c r="EO680" s="6">
        <f t="shared" si="652"/>
        <v>0</v>
      </c>
      <c r="EP680" s="6">
        <f t="shared" si="652"/>
        <v>0</v>
      </c>
      <c r="EQ680" s="6">
        <f t="shared" si="652"/>
        <v>439</v>
      </c>
      <c r="ER680" s="6">
        <f t="shared" si="652"/>
        <v>161</v>
      </c>
      <c r="ES680" s="6">
        <f t="shared" si="652"/>
        <v>0</v>
      </c>
      <c r="ET680" s="6">
        <f t="shared" si="652"/>
        <v>0</v>
      </c>
      <c r="EU680" s="6">
        <f t="shared" si="652"/>
        <v>0</v>
      </c>
      <c r="EV680" s="6">
        <f t="shared" si="652"/>
        <v>0</v>
      </c>
      <c r="EW680" s="6">
        <f t="shared" si="652"/>
        <v>0</v>
      </c>
      <c r="EX680" s="6">
        <f t="shared" si="652"/>
        <v>0</v>
      </c>
      <c r="EY680" s="6">
        <f t="shared" si="652"/>
        <v>0</v>
      </c>
      <c r="EZ680" s="6">
        <f t="shared" si="652"/>
        <v>0</v>
      </c>
      <c r="FA680" s="6">
        <f t="shared" si="652"/>
        <v>0</v>
      </c>
      <c r="FB680" s="6">
        <f t="shared" si="652"/>
        <v>0</v>
      </c>
      <c r="FC680" s="6">
        <f t="shared" si="652"/>
        <v>0</v>
      </c>
      <c r="FD680" s="6">
        <f t="shared" si="652"/>
        <v>0</v>
      </c>
      <c r="FE680" s="6">
        <f t="shared" si="652"/>
        <v>0</v>
      </c>
      <c r="FF680" s="6">
        <f t="shared" si="652"/>
        <v>0</v>
      </c>
      <c r="FG680" s="6">
        <f t="shared" si="652"/>
        <v>0</v>
      </c>
      <c r="FH680" s="6">
        <f t="shared" si="652"/>
        <v>0</v>
      </c>
      <c r="FI680" s="6">
        <f t="shared" si="652"/>
        <v>5682</v>
      </c>
      <c r="FJ680" s="6">
        <f t="shared" si="652"/>
        <v>2867</v>
      </c>
      <c r="FK680" s="6">
        <f t="shared" si="652"/>
        <v>0</v>
      </c>
      <c r="FL680" s="6">
        <f t="shared" si="652"/>
        <v>0</v>
      </c>
      <c r="FM680" s="6">
        <f t="shared" si="652"/>
        <v>0</v>
      </c>
      <c r="FN680" s="6">
        <f t="shared" si="652"/>
        <v>0</v>
      </c>
      <c r="FO680" s="6">
        <f t="shared" si="652"/>
        <v>0</v>
      </c>
      <c r="FP680" s="6">
        <f t="shared" si="652"/>
        <v>0</v>
      </c>
      <c r="FQ680" s="6">
        <f t="shared" si="652"/>
        <v>0</v>
      </c>
      <c r="FR680" s="6">
        <f t="shared" si="652"/>
        <v>0</v>
      </c>
      <c r="FS680" s="6">
        <f t="shared" si="652"/>
        <v>0</v>
      </c>
      <c r="FT680" s="6">
        <f t="shared" si="652"/>
        <v>0</v>
      </c>
      <c r="FU680" s="6">
        <f t="shared" si="652"/>
        <v>0</v>
      </c>
      <c r="FV680" s="6">
        <f t="shared" si="652"/>
        <v>0</v>
      </c>
      <c r="FW680" s="6">
        <f t="shared" si="652"/>
        <v>0</v>
      </c>
      <c r="FX680" s="6">
        <f t="shared" si="652"/>
        <v>0</v>
      </c>
      <c r="FY680" s="6">
        <f t="shared" si="652"/>
        <v>0</v>
      </c>
      <c r="FZ680" s="6">
        <f t="shared" si="652"/>
        <v>0</v>
      </c>
      <c r="GA680" s="6">
        <f t="shared" si="652"/>
        <v>0</v>
      </c>
      <c r="GB680" s="6">
        <f t="shared" si="652"/>
        <v>0</v>
      </c>
      <c r="GC680" s="6">
        <f t="shared" si="652"/>
        <v>0</v>
      </c>
      <c r="GD680" s="6">
        <f t="shared" si="652"/>
        <v>0</v>
      </c>
      <c r="GE680" s="6">
        <f t="shared" si="652"/>
        <v>0</v>
      </c>
      <c r="GF680" s="6">
        <f t="shared" si="652"/>
        <v>0</v>
      </c>
      <c r="GG680" s="6">
        <f t="shared" si="652"/>
        <v>0</v>
      </c>
      <c r="GH680" s="6">
        <f t="shared" si="652"/>
        <v>0</v>
      </c>
      <c r="GI680" s="6">
        <f t="shared" si="652"/>
        <v>0</v>
      </c>
      <c r="GJ680" s="6">
        <f t="shared" si="652"/>
        <v>0</v>
      </c>
      <c r="GK680" s="6">
        <f t="shared" si="652"/>
        <v>0</v>
      </c>
      <c r="GL680" s="6">
        <f t="shared" si="652"/>
        <v>0</v>
      </c>
      <c r="GM680" s="6">
        <f t="shared" si="652"/>
        <v>0</v>
      </c>
      <c r="GN680" s="6">
        <f t="shared" si="652"/>
        <v>0</v>
      </c>
      <c r="GO680" s="6">
        <f t="shared" si="652"/>
        <v>5896</v>
      </c>
      <c r="GP680" s="6">
        <f t="shared" si="652"/>
        <v>2819</v>
      </c>
      <c r="GQ680" s="6">
        <f t="shared" si="652"/>
        <v>5538</v>
      </c>
      <c r="GR680" s="6">
        <f t="shared" si="652"/>
        <v>3090</v>
      </c>
    </row>
    <row r="681" spans="1:200">
      <c r="A681" s="6"/>
      <c r="B681" s="16" t="s">
        <v>114</v>
      </c>
      <c r="C681" s="14">
        <f>SUM(C469:C471)</f>
        <v>2804</v>
      </c>
      <c r="D681" s="14">
        <f>SUM(D469:D471)</f>
        <v>2196</v>
      </c>
      <c r="E681" s="15">
        <f t="shared" si="351"/>
        <v>0.7831669044222539</v>
      </c>
      <c r="F681" s="66">
        <f t="shared" ref="F681:AB681" si="653">SUM(F469:F471)</f>
        <v>412</v>
      </c>
      <c r="G681" s="6">
        <f t="shared" si="653"/>
        <v>2</v>
      </c>
      <c r="H681" s="6">
        <f t="shared" si="653"/>
        <v>58</v>
      </c>
      <c r="I681" s="6">
        <f t="shared" si="653"/>
        <v>4</v>
      </c>
      <c r="J681" s="59">
        <f t="shared" si="653"/>
        <v>1680</v>
      </c>
      <c r="K681" s="6">
        <f t="shared" si="653"/>
        <v>0</v>
      </c>
      <c r="L681" s="6">
        <f t="shared" si="653"/>
        <v>0</v>
      </c>
      <c r="M681" s="6">
        <f t="shared" si="653"/>
        <v>0</v>
      </c>
      <c r="N681" s="6">
        <f t="shared" si="653"/>
        <v>0</v>
      </c>
      <c r="O681" s="6">
        <f t="shared" si="653"/>
        <v>0</v>
      </c>
      <c r="P681" s="6">
        <f t="shared" si="653"/>
        <v>0</v>
      </c>
      <c r="Q681" s="6">
        <f t="shared" si="653"/>
        <v>0</v>
      </c>
      <c r="R681" s="6">
        <f t="shared" si="653"/>
        <v>0</v>
      </c>
      <c r="S681" s="6">
        <f t="shared" si="653"/>
        <v>0</v>
      </c>
      <c r="T681" s="6">
        <f t="shared" si="653"/>
        <v>0</v>
      </c>
      <c r="U681" s="6">
        <f t="shared" si="653"/>
        <v>0</v>
      </c>
      <c r="V681" s="6">
        <f t="shared" si="653"/>
        <v>1</v>
      </c>
      <c r="W681" s="6">
        <f t="shared" si="653"/>
        <v>5</v>
      </c>
      <c r="X681" s="6">
        <f t="shared" si="653"/>
        <v>0</v>
      </c>
      <c r="Y681" s="6">
        <f t="shared" si="653"/>
        <v>0</v>
      </c>
      <c r="Z681" s="6">
        <f t="shared" si="653"/>
        <v>0</v>
      </c>
      <c r="AA681" s="6">
        <f t="shared" si="653"/>
        <v>0</v>
      </c>
      <c r="AB681" s="6">
        <f t="shared" si="653"/>
        <v>0</v>
      </c>
      <c r="AC681" s="6">
        <f t="shared" ref="AC681:BZ681" si="654">SUM(AC469:AC471)</f>
        <v>38</v>
      </c>
      <c r="AD681" s="6">
        <f t="shared" si="654"/>
        <v>24</v>
      </c>
      <c r="AE681" s="6">
        <f t="shared" si="654"/>
        <v>1736</v>
      </c>
      <c r="AF681" s="6">
        <f t="shared" si="654"/>
        <v>31</v>
      </c>
      <c r="AG681" s="6">
        <f t="shared" si="654"/>
        <v>0</v>
      </c>
      <c r="AH681" s="6">
        <f t="shared" si="654"/>
        <v>286</v>
      </c>
      <c r="AI681" s="6">
        <f t="shared" si="654"/>
        <v>1742</v>
      </c>
      <c r="AJ681" s="6">
        <f t="shared" si="654"/>
        <v>0</v>
      </c>
      <c r="AK681" s="6">
        <f t="shared" si="654"/>
        <v>0</v>
      </c>
      <c r="AL681" s="6">
        <f t="shared" si="654"/>
        <v>383</v>
      </c>
      <c r="AM681" s="6">
        <f t="shared" si="654"/>
        <v>0</v>
      </c>
      <c r="AN681" s="6">
        <f t="shared" si="654"/>
        <v>0</v>
      </c>
      <c r="AO681" s="6">
        <f t="shared" si="654"/>
        <v>0</v>
      </c>
      <c r="AP681" s="6">
        <f t="shared" si="654"/>
        <v>401</v>
      </c>
      <c r="AQ681" s="6">
        <f t="shared" si="654"/>
        <v>1585</v>
      </c>
      <c r="AR681" s="6">
        <f t="shared" si="654"/>
        <v>0</v>
      </c>
      <c r="AS681" s="6">
        <f t="shared" si="654"/>
        <v>0</v>
      </c>
      <c r="AT681" s="6">
        <f t="shared" si="654"/>
        <v>0</v>
      </c>
      <c r="AU681" s="6">
        <f t="shared" si="654"/>
        <v>0</v>
      </c>
      <c r="AV681" s="6">
        <f t="shared" si="654"/>
        <v>1564</v>
      </c>
      <c r="AW681" s="6">
        <f t="shared" si="654"/>
        <v>0</v>
      </c>
      <c r="AX681" s="6">
        <f t="shared" si="654"/>
        <v>0</v>
      </c>
      <c r="AY681" s="6">
        <f t="shared" si="654"/>
        <v>0</v>
      </c>
      <c r="AZ681" s="6">
        <f t="shared" si="654"/>
        <v>0</v>
      </c>
      <c r="BA681" s="6">
        <f t="shared" si="654"/>
        <v>0</v>
      </c>
      <c r="BB681" s="6">
        <f t="shared" si="654"/>
        <v>0</v>
      </c>
      <c r="BC681" s="6">
        <f t="shared" si="654"/>
        <v>0</v>
      </c>
      <c r="BD681" s="6">
        <f t="shared" si="654"/>
        <v>0</v>
      </c>
      <c r="BE681" s="6">
        <f t="shared" si="654"/>
        <v>1386</v>
      </c>
      <c r="BF681" s="6">
        <f t="shared" si="654"/>
        <v>652</v>
      </c>
      <c r="BG681" s="6">
        <f t="shared" si="654"/>
        <v>1646</v>
      </c>
      <c r="BH681" s="6">
        <f t="shared" si="654"/>
        <v>421</v>
      </c>
      <c r="BI681" s="6">
        <f t="shared" si="654"/>
        <v>1663</v>
      </c>
      <c r="BJ681" s="6">
        <f t="shared" si="654"/>
        <v>380</v>
      </c>
      <c r="BK681" s="6">
        <f t="shared" si="654"/>
        <v>515</v>
      </c>
      <c r="BL681" s="6">
        <f t="shared" si="654"/>
        <v>1532</v>
      </c>
      <c r="BM681" s="6">
        <f t="shared" si="654"/>
        <v>1165</v>
      </c>
      <c r="BN681" s="6">
        <f t="shared" si="654"/>
        <v>882</v>
      </c>
      <c r="BO681" s="6">
        <f t="shared" si="654"/>
        <v>391</v>
      </c>
      <c r="BP681" s="6">
        <f t="shared" si="654"/>
        <v>1580</v>
      </c>
      <c r="BQ681" s="6">
        <f t="shared" si="654"/>
        <v>1734</v>
      </c>
      <c r="BR681" s="6">
        <f t="shared" si="654"/>
        <v>291</v>
      </c>
      <c r="BS681" s="6">
        <f t="shared" si="654"/>
        <v>1582</v>
      </c>
      <c r="BT681" s="6">
        <f t="shared" si="654"/>
        <v>1206</v>
      </c>
      <c r="BU681" s="6">
        <f t="shared" si="654"/>
        <v>710</v>
      </c>
      <c r="BV681" s="6">
        <f t="shared" si="654"/>
        <v>1363</v>
      </c>
      <c r="BW681" s="6">
        <f t="shared" si="654"/>
        <v>993</v>
      </c>
      <c r="BX681" s="6">
        <f t="shared" si="654"/>
        <v>585</v>
      </c>
      <c r="BY681" s="6">
        <f t="shared" si="654"/>
        <v>1344</v>
      </c>
      <c r="BZ681" s="6">
        <f t="shared" si="654"/>
        <v>391</v>
      </c>
      <c r="CA681" s="6">
        <f t="shared" ref="CA681:CP681" si="655">SUM(CA469:CA471)</f>
        <v>1243</v>
      </c>
      <c r="CB681" s="6">
        <f t="shared" si="655"/>
        <v>1034</v>
      </c>
      <c r="CC681" s="6">
        <f t="shared" si="655"/>
        <v>454</v>
      </c>
      <c r="CD681" s="6">
        <f t="shared" si="655"/>
        <v>1147</v>
      </c>
      <c r="CE681" s="6">
        <f t="shared" si="655"/>
        <v>400</v>
      </c>
      <c r="CF681" s="6">
        <f t="shared" si="655"/>
        <v>1228</v>
      </c>
      <c r="CG681" s="6">
        <f t="shared" si="655"/>
        <v>959</v>
      </c>
      <c r="CH681" s="6">
        <f t="shared" si="655"/>
        <v>514</v>
      </c>
      <c r="CI681" s="6">
        <f t="shared" si="655"/>
        <v>281</v>
      </c>
      <c r="CJ681" s="6">
        <f t="shared" si="655"/>
        <v>1266</v>
      </c>
      <c r="CK681" s="6">
        <f t="shared" si="655"/>
        <v>994</v>
      </c>
      <c r="CL681" s="6">
        <f t="shared" si="655"/>
        <v>526</v>
      </c>
      <c r="CM681" s="6">
        <f t="shared" si="655"/>
        <v>1213</v>
      </c>
      <c r="CN681" s="6">
        <f t="shared" si="655"/>
        <v>1187</v>
      </c>
      <c r="CO681" s="6">
        <f t="shared" si="655"/>
        <v>503</v>
      </c>
      <c r="CP681" s="6">
        <f t="shared" si="655"/>
        <v>1032</v>
      </c>
      <c r="CQ681" s="6">
        <f t="shared" ref="CQ681:EM681" si="656">SUM(CQ469:CQ471)</f>
        <v>0</v>
      </c>
      <c r="CR681" s="6">
        <f t="shared" si="656"/>
        <v>0</v>
      </c>
      <c r="CS681" s="6">
        <f t="shared" si="656"/>
        <v>0</v>
      </c>
      <c r="CT681" s="6">
        <f t="shared" si="656"/>
        <v>0</v>
      </c>
      <c r="CU681" s="6">
        <f t="shared" si="656"/>
        <v>0</v>
      </c>
      <c r="CV681" s="6">
        <f t="shared" si="656"/>
        <v>0</v>
      </c>
      <c r="CW681" s="6">
        <f t="shared" si="656"/>
        <v>0</v>
      </c>
      <c r="CX681" s="6">
        <f t="shared" si="656"/>
        <v>0</v>
      </c>
      <c r="CY681" s="6">
        <f t="shared" si="656"/>
        <v>0</v>
      </c>
      <c r="CZ681" s="6">
        <f t="shared" si="656"/>
        <v>0</v>
      </c>
      <c r="DA681" s="6">
        <f t="shared" si="656"/>
        <v>0</v>
      </c>
      <c r="DB681" s="6">
        <f t="shared" si="656"/>
        <v>0</v>
      </c>
      <c r="DC681" s="6">
        <f t="shared" si="656"/>
        <v>0</v>
      </c>
      <c r="DD681" s="6">
        <f t="shared" si="656"/>
        <v>0</v>
      </c>
      <c r="DE681" s="6">
        <f t="shared" si="656"/>
        <v>0</v>
      </c>
      <c r="DF681" s="6">
        <f t="shared" si="656"/>
        <v>0</v>
      </c>
      <c r="DG681" s="6">
        <f t="shared" si="656"/>
        <v>0</v>
      </c>
      <c r="DH681" s="6">
        <f t="shared" si="656"/>
        <v>0</v>
      </c>
      <c r="DI681" s="6">
        <f t="shared" si="656"/>
        <v>0</v>
      </c>
      <c r="DJ681" s="6">
        <f t="shared" si="656"/>
        <v>0</v>
      </c>
      <c r="DK681" s="6">
        <f t="shared" si="656"/>
        <v>0</v>
      </c>
      <c r="DL681" s="6">
        <f t="shared" si="656"/>
        <v>0</v>
      </c>
      <c r="DM681" s="6">
        <f t="shared" si="656"/>
        <v>0</v>
      </c>
      <c r="DN681" s="6">
        <f t="shared" si="656"/>
        <v>0</v>
      </c>
      <c r="DO681" s="6">
        <f t="shared" si="656"/>
        <v>0</v>
      </c>
      <c r="DP681" s="6">
        <f t="shared" si="656"/>
        <v>0</v>
      </c>
      <c r="DQ681" s="6">
        <f t="shared" si="656"/>
        <v>0</v>
      </c>
      <c r="DR681" s="6">
        <f t="shared" si="656"/>
        <v>0</v>
      </c>
      <c r="DS681" s="6">
        <f t="shared" si="656"/>
        <v>0</v>
      </c>
      <c r="DT681" s="6">
        <f t="shared" si="656"/>
        <v>0</v>
      </c>
      <c r="DU681" s="6">
        <f t="shared" si="656"/>
        <v>0</v>
      </c>
      <c r="DV681" s="6">
        <f t="shared" si="656"/>
        <v>0</v>
      </c>
      <c r="DW681" s="6">
        <f t="shared" si="656"/>
        <v>0</v>
      </c>
      <c r="DX681" s="6">
        <f t="shared" si="656"/>
        <v>0</v>
      </c>
      <c r="DY681" s="6">
        <f t="shared" si="656"/>
        <v>0</v>
      </c>
      <c r="DZ681" s="6">
        <f t="shared" si="656"/>
        <v>0</v>
      </c>
      <c r="EA681" s="6">
        <f t="shared" si="656"/>
        <v>0</v>
      </c>
      <c r="EB681" s="6">
        <f t="shared" si="656"/>
        <v>0</v>
      </c>
      <c r="EC681" s="6">
        <f t="shared" si="656"/>
        <v>0</v>
      </c>
      <c r="ED681" s="6">
        <f t="shared" si="656"/>
        <v>0</v>
      </c>
      <c r="EE681" s="6">
        <f t="shared" si="656"/>
        <v>0</v>
      </c>
      <c r="EF681" s="6">
        <f t="shared" si="656"/>
        <v>0</v>
      </c>
      <c r="EG681" s="6">
        <f t="shared" si="656"/>
        <v>0</v>
      </c>
      <c r="EH681" s="6">
        <f t="shared" si="656"/>
        <v>0</v>
      </c>
      <c r="EI681" s="6">
        <f t="shared" si="656"/>
        <v>0</v>
      </c>
      <c r="EJ681" s="6">
        <f t="shared" si="656"/>
        <v>0</v>
      </c>
      <c r="EK681" s="6">
        <f t="shared" si="656"/>
        <v>0</v>
      </c>
      <c r="EL681" s="6">
        <f t="shared" si="656"/>
        <v>0</v>
      </c>
      <c r="EM681" s="6">
        <f t="shared" si="656"/>
        <v>0</v>
      </c>
      <c r="EN681" s="6">
        <f t="shared" ref="EN681:GR681" si="657">SUM(EN469:EN471)</f>
        <v>0</v>
      </c>
      <c r="EO681" s="6">
        <f t="shared" si="657"/>
        <v>0</v>
      </c>
      <c r="EP681" s="6">
        <f t="shared" si="657"/>
        <v>0</v>
      </c>
      <c r="EQ681" s="6">
        <f t="shared" si="657"/>
        <v>0</v>
      </c>
      <c r="ER681" s="6">
        <f t="shared" si="657"/>
        <v>0</v>
      </c>
      <c r="ES681" s="6">
        <f t="shared" si="657"/>
        <v>0</v>
      </c>
      <c r="ET681" s="6">
        <f t="shared" si="657"/>
        <v>0</v>
      </c>
      <c r="EU681" s="6">
        <f t="shared" si="657"/>
        <v>0</v>
      </c>
      <c r="EV681" s="6">
        <f t="shared" si="657"/>
        <v>0</v>
      </c>
      <c r="EW681" s="6">
        <f t="shared" si="657"/>
        <v>0</v>
      </c>
      <c r="EX681" s="6">
        <f t="shared" si="657"/>
        <v>0</v>
      </c>
      <c r="EY681" s="6">
        <f t="shared" si="657"/>
        <v>0</v>
      </c>
      <c r="EZ681" s="6">
        <f t="shared" si="657"/>
        <v>0</v>
      </c>
      <c r="FA681" s="6">
        <f t="shared" si="657"/>
        <v>0</v>
      </c>
      <c r="FB681" s="6">
        <f t="shared" si="657"/>
        <v>0</v>
      </c>
      <c r="FC681" s="6">
        <f t="shared" si="657"/>
        <v>0</v>
      </c>
      <c r="FD681" s="6">
        <f t="shared" si="657"/>
        <v>0</v>
      </c>
      <c r="FE681" s="6">
        <f t="shared" si="657"/>
        <v>0</v>
      </c>
      <c r="FF681" s="6">
        <f t="shared" si="657"/>
        <v>0</v>
      </c>
      <c r="FG681" s="6">
        <f t="shared" si="657"/>
        <v>0</v>
      </c>
      <c r="FH681" s="6">
        <f t="shared" si="657"/>
        <v>0</v>
      </c>
      <c r="FI681" s="6">
        <f t="shared" si="657"/>
        <v>0</v>
      </c>
      <c r="FJ681" s="6">
        <f t="shared" si="657"/>
        <v>0</v>
      </c>
      <c r="FK681" s="6">
        <f t="shared" si="657"/>
        <v>0</v>
      </c>
      <c r="FL681" s="6">
        <f t="shared" si="657"/>
        <v>0</v>
      </c>
      <c r="FM681" s="6">
        <f t="shared" si="657"/>
        <v>0</v>
      </c>
      <c r="FN681" s="6">
        <f t="shared" si="657"/>
        <v>0</v>
      </c>
      <c r="FO681" s="6">
        <f t="shared" si="657"/>
        <v>0</v>
      </c>
      <c r="FP681" s="6">
        <f t="shared" si="657"/>
        <v>0</v>
      </c>
      <c r="FQ681" s="6">
        <f t="shared" si="657"/>
        <v>0</v>
      </c>
      <c r="FR681" s="6">
        <f t="shared" si="657"/>
        <v>0</v>
      </c>
      <c r="FS681" s="6">
        <f t="shared" si="657"/>
        <v>0</v>
      </c>
      <c r="FT681" s="6">
        <f t="shared" si="657"/>
        <v>0</v>
      </c>
      <c r="FU681" s="6">
        <f t="shared" si="657"/>
        <v>0</v>
      </c>
      <c r="FV681" s="6">
        <f t="shared" si="657"/>
        <v>0</v>
      </c>
      <c r="FW681" s="6">
        <f t="shared" si="657"/>
        <v>0</v>
      </c>
      <c r="FX681" s="6">
        <f t="shared" si="657"/>
        <v>0</v>
      </c>
      <c r="FY681" s="6">
        <f t="shared" si="657"/>
        <v>0</v>
      </c>
      <c r="FZ681" s="6">
        <f t="shared" si="657"/>
        <v>0</v>
      </c>
      <c r="GA681" s="6">
        <f t="shared" si="657"/>
        <v>0</v>
      </c>
      <c r="GB681" s="6">
        <f t="shared" si="657"/>
        <v>0</v>
      </c>
      <c r="GC681" s="6">
        <f t="shared" si="657"/>
        <v>0</v>
      </c>
      <c r="GD681" s="6">
        <f t="shared" si="657"/>
        <v>0</v>
      </c>
      <c r="GE681" s="6">
        <f t="shared" si="657"/>
        <v>0</v>
      </c>
      <c r="GF681" s="6">
        <f t="shared" si="657"/>
        <v>0</v>
      </c>
      <c r="GG681" s="6">
        <f t="shared" si="657"/>
        <v>0</v>
      </c>
      <c r="GH681" s="6">
        <f t="shared" si="657"/>
        <v>0</v>
      </c>
      <c r="GI681" s="6">
        <f t="shared" si="657"/>
        <v>0</v>
      </c>
      <c r="GJ681" s="6">
        <f t="shared" si="657"/>
        <v>0</v>
      </c>
      <c r="GK681" s="6">
        <f t="shared" si="657"/>
        <v>0</v>
      </c>
      <c r="GL681" s="6">
        <f t="shared" si="657"/>
        <v>0</v>
      </c>
      <c r="GM681" s="6">
        <f t="shared" si="657"/>
        <v>0</v>
      </c>
      <c r="GN681" s="6">
        <f t="shared" si="657"/>
        <v>0</v>
      </c>
      <c r="GO681" s="6">
        <f t="shared" si="657"/>
        <v>1198</v>
      </c>
      <c r="GP681" s="6">
        <f t="shared" si="657"/>
        <v>931</v>
      </c>
      <c r="GQ681" s="6">
        <f t="shared" si="657"/>
        <v>1075</v>
      </c>
      <c r="GR681" s="6">
        <f t="shared" si="657"/>
        <v>1037</v>
      </c>
    </row>
    <row r="682" spans="1:200">
      <c r="A682" s="6"/>
      <c r="B682" s="16" t="s">
        <v>115</v>
      </c>
      <c r="C682" s="14">
        <f>SUM(C482:C489)</f>
        <v>7976</v>
      </c>
      <c r="D682" s="14">
        <f>SUM(D482:D489)</f>
        <v>6652</v>
      </c>
      <c r="E682" s="15">
        <f t="shared" si="351"/>
        <v>0.83400200601805419</v>
      </c>
      <c r="F682" s="66">
        <f t="shared" ref="F682:AB682" si="658">SUM(F482:F489)</f>
        <v>1203</v>
      </c>
      <c r="G682" s="6">
        <f t="shared" si="658"/>
        <v>28</v>
      </c>
      <c r="H682" s="6">
        <f t="shared" si="658"/>
        <v>209</v>
      </c>
      <c r="I682" s="6">
        <f t="shared" si="658"/>
        <v>32</v>
      </c>
      <c r="J682" s="59">
        <f t="shared" si="658"/>
        <v>5026</v>
      </c>
      <c r="K682" s="6">
        <f t="shared" si="658"/>
        <v>0</v>
      </c>
      <c r="L682" s="6">
        <f t="shared" si="658"/>
        <v>0</v>
      </c>
      <c r="M682" s="6">
        <f t="shared" si="658"/>
        <v>3</v>
      </c>
      <c r="N682" s="6">
        <f t="shared" si="658"/>
        <v>0</v>
      </c>
      <c r="O682" s="6">
        <f t="shared" si="658"/>
        <v>0</v>
      </c>
      <c r="P682" s="6">
        <f t="shared" si="658"/>
        <v>1</v>
      </c>
      <c r="Q682" s="6">
        <f t="shared" si="658"/>
        <v>0</v>
      </c>
      <c r="R682" s="6">
        <f t="shared" si="658"/>
        <v>0</v>
      </c>
      <c r="S682" s="6">
        <f t="shared" si="658"/>
        <v>0</v>
      </c>
      <c r="T682" s="6">
        <f t="shared" si="658"/>
        <v>0</v>
      </c>
      <c r="U682" s="6">
        <f t="shared" si="658"/>
        <v>0</v>
      </c>
      <c r="V682" s="6">
        <f t="shared" si="658"/>
        <v>0</v>
      </c>
      <c r="W682" s="6">
        <f t="shared" si="658"/>
        <v>16</v>
      </c>
      <c r="X682" s="6">
        <f t="shared" si="658"/>
        <v>0</v>
      </c>
      <c r="Y682" s="6">
        <f t="shared" si="658"/>
        <v>0</v>
      </c>
      <c r="Z682" s="6">
        <f t="shared" si="658"/>
        <v>0</v>
      </c>
      <c r="AA682" s="6">
        <f t="shared" si="658"/>
        <v>0</v>
      </c>
      <c r="AB682" s="6">
        <f t="shared" si="658"/>
        <v>0</v>
      </c>
      <c r="AC682" s="6">
        <f t="shared" ref="AC682:BZ682" si="659">SUM(AC482:AC489)</f>
        <v>71</v>
      </c>
      <c r="AD682" s="6">
        <f t="shared" si="659"/>
        <v>71</v>
      </c>
      <c r="AE682" s="6">
        <f t="shared" si="659"/>
        <v>5372</v>
      </c>
      <c r="AF682" s="6">
        <f t="shared" si="659"/>
        <v>74</v>
      </c>
      <c r="AG682" s="6">
        <f t="shared" si="659"/>
        <v>0</v>
      </c>
      <c r="AH682" s="6">
        <f t="shared" si="659"/>
        <v>817</v>
      </c>
      <c r="AI682" s="6">
        <f t="shared" si="659"/>
        <v>5436</v>
      </c>
      <c r="AJ682" s="6">
        <f t="shared" si="659"/>
        <v>1</v>
      </c>
      <c r="AK682" s="6">
        <f t="shared" si="659"/>
        <v>0</v>
      </c>
      <c r="AL682" s="6">
        <f t="shared" si="659"/>
        <v>1005</v>
      </c>
      <c r="AM682" s="6">
        <f t="shared" si="659"/>
        <v>0</v>
      </c>
      <c r="AN682" s="6">
        <f t="shared" si="659"/>
        <v>0</v>
      </c>
      <c r="AO682" s="6">
        <f t="shared" si="659"/>
        <v>0</v>
      </c>
      <c r="AP682" s="6">
        <f t="shared" si="659"/>
        <v>1077</v>
      </c>
      <c r="AQ682" s="6">
        <f t="shared" si="659"/>
        <v>5009</v>
      </c>
      <c r="AR682" s="6">
        <f t="shared" si="659"/>
        <v>0</v>
      </c>
      <c r="AS682" s="6">
        <f t="shared" si="659"/>
        <v>0</v>
      </c>
      <c r="AT682" s="6">
        <f t="shared" si="659"/>
        <v>0</v>
      </c>
      <c r="AU682" s="6">
        <f t="shared" si="659"/>
        <v>0</v>
      </c>
      <c r="AV682" s="6">
        <f t="shared" si="659"/>
        <v>4736</v>
      </c>
      <c r="AW682" s="6">
        <f t="shared" si="659"/>
        <v>0</v>
      </c>
      <c r="AX682" s="6">
        <f t="shared" si="659"/>
        <v>0</v>
      </c>
      <c r="AY682" s="6">
        <f t="shared" si="659"/>
        <v>0</v>
      </c>
      <c r="AZ682" s="6">
        <f t="shared" si="659"/>
        <v>0</v>
      </c>
      <c r="BA682" s="6">
        <f t="shared" si="659"/>
        <v>0</v>
      </c>
      <c r="BB682" s="6">
        <f t="shared" si="659"/>
        <v>0</v>
      </c>
      <c r="BC682" s="6">
        <f t="shared" si="659"/>
        <v>0</v>
      </c>
      <c r="BD682" s="6">
        <f t="shared" si="659"/>
        <v>0</v>
      </c>
      <c r="BE682" s="6">
        <f t="shared" si="659"/>
        <v>4140</v>
      </c>
      <c r="BF682" s="6">
        <f t="shared" si="659"/>
        <v>1998</v>
      </c>
      <c r="BG682" s="6">
        <f t="shared" si="659"/>
        <v>4966</v>
      </c>
      <c r="BH682" s="6">
        <f t="shared" si="659"/>
        <v>1289</v>
      </c>
      <c r="BI682" s="6">
        <f t="shared" si="659"/>
        <v>5078</v>
      </c>
      <c r="BJ682" s="6">
        <f t="shared" si="659"/>
        <v>1081</v>
      </c>
      <c r="BK682" s="6">
        <f t="shared" si="659"/>
        <v>1386</v>
      </c>
      <c r="BL682" s="6">
        <f t="shared" si="659"/>
        <v>4809</v>
      </c>
      <c r="BM682" s="6">
        <f t="shared" si="659"/>
        <v>3340</v>
      </c>
      <c r="BN682" s="6">
        <f t="shared" si="659"/>
        <v>2867</v>
      </c>
      <c r="BO682" s="6">
        <f t="shared" si="659"/>
        <v>1087</v>
      </c>
      <c r="BP682" s="6">
        <f t="shared" si="659"/>
        <v>4900</v>
      </c>
      <c r="BQ682" s="6">
        <f t="shared" si="659"/>
        <v>5268</v>
      </c>
      <c r="BR682" s="6">
        <f t="shared" si="659"/>
        <v>824</v>
      </c>
      <c r="BS682" s="6">
        <f t="shared" si="659"/>
        <v>4850</v>
      </c>
      <c r="BT682" s="6">
        <f t="shared" si="659"/>
        <v>3589</v>
      </c>
      <c r="BU682" s="6">
        <f t="shared" si="659"/>
        <v>2318</v>
      </c>
      <c r="BV682" s="6">
        <f t="shared" si="659"/>
        <v>4264</v>
      </c>
      <c r="BW682" s="6">
        <f t="shared" si="659"/>
        <v>3351</v>
      </c>
      <c r="BX682" s="6">
        <f t="shared" si="659"/>
        <v>1463</v>
      </c>
      <c r="BY682" s="6">
        <f t="shared" si="659"/>
        <v>4323</v>
      </c>
      <c r="BZ682" s="6">
        <f t="shared" si="659"/>
        <v>1030</v>
      </c>
      <c r="CA682" s="6">
        <f t="shared" ref="CA682:CP682" si="660">SUM(CA482:CA489)</f>
        <v>3894</v>
      </c>
      <c r="CB682" s="6">
        <f t="shared" si="660"/>
        <v>3723</v>
      </c>
      <c r="CC682" s="6">
        <f t="shared" si="660"/>
        <v>990</v>
      </c>
      <c r="CD682" s="6">
        <f t="shared" si="660"/>
        <v>3501</v>
      </c>
      <c r="CE682" s="6">
        <f t="shared" si="660"/>
        <v>956</v>
      </c>
      <c r="CF682" s="6">
        <f t="shared" si="660"/>
        <v>4528</v>
      </c>
      <c r="CG682" s="6">
        <f t="shared" si="660"/>
        <v>3602</v>
      </c>
      <c r="CH682" s="6">
        <f t="shared" si="660"/>
        <v>1003</v>
      </c>
      <c r="CI682" s="6">
        <f t="shared" si="660"/>
        <v>697</v>
      </c>
      <c r="CJ682" s="6">
        <f t="shared" si="660"/>
        <v>4119</v>
      </c>
      <c r="CK682" s="6">
        <f t="shared" si="660"/>
        <v>3631</v>
      </c>
      <c r="CL682" s="6">
        <f t="shared" si="660"/>
        <v>1229</v>
      </c>
      <c r="CM682" s="6">
        <f t="shared" si="660"/>
        <v>3826</v>
      </c>
      <c r="CN682" s="6">
        <f t="shared" si="660"/>
        <v>3692</v>
      </c>
      <c r="CO682" s="6">
        <f t="shared" si="660"/>
        <v>1045</v>
      </c>
      <c r="CP682" s="6">
        <f t="shared" si="660"/>
        <v>3675</v>
      </c>
      <c r="CQ682" s="6">
        <f t="shared" ref="CQ682:EM682" si="661">SUM(CQ482:CQ489)</f>
        <v>0</v>
      </c>
      <c r="CR682" s="6">
        <f t="shared" si="661"/>
        <v>0</v>
      </c>
      <c r="CS682" s="6">
        <f t="shared" si="661"/>
        <v>0</v>
      </c>
      <c r="CT682" s="6">
        <f t="shared" si="661"/>
        <v>0</v>
      </c>
      <c r="CU682" s="6">
        <f t="shared" si="661"/>
        <v>0</v>
      </c>
      <c r="CV682" s="6">
        <f t="shared" si="661"/>
        <v>0</v>
      </c>
      <c r="CW682" s="6">
        <f t="shared" si="661"/>
        <v>0</v>
      </c>
      <c r="CX682" s="6">
        <f t="shared" si="661"/>
        <v>0</v>
      </c>
      <c r="CY682" s="6">
        <f t="shared" si="661"/>
        <v>0</v>
      </c>
      <c r="CZ682" s="6">
        <f t="shared" si="661"/>
        <v>0</v>
      </c>
      <c r="DA682" s="6">
        <f t="shared" si="661"/>
        <v>0</v>
      </c>
      <c r="DB682" s="6">
        <f t="shared" si="661"/>
        <v>0</v>
      </c>
      <c r="DC682" s="6">
        <f t="shared" si="661"/>
        <v>0</v>
      </c>
      <c r="DD682" s="6">
        <f t="shared" si="661"/>
        <v>0</v>
      </c>
      <c r="DE682" s="6">
        <f t="shared" si="661"/>
        <v>0</v>
      </c>
      <c r="DF682" s="6">
        <f t="shared" si="661"/>
        <v>0</v>
      </c>
      <c r="DG682" s="6">
        <f t="shared" si="661"/>
        <v>0</v>
      </c>
      <c r="DH682" s="6">
        <f t="shared" si="661"/>
        <v>0</v>
      </c>
      <c r="DI682" s="6">
        <f t="shared" si="661"/>
        <v>0</v>
      </c>
      <c r="DJ682" s="6">
        <f t="shared" si="661"/>
        <v>0</v>
      </c>
      <c r="DK682" s="6">
        <f t="shared" si="661"/>
        <v>0</v>
      </c>
      <c r="DL682" s="6">
        <f t="shared" si="661"/>
        <v>0</v>
      </c>
      <c r="DM682" s="6">
        <f t="shared" si="661"/>
        <v>0</v>
      </c>
      <c r="DN682" s="6">
        <f t="shared" si="661"/>
        <v>0</v>
      </c>
      <c r="DO682" s="6">
        <f t="shared" si="661"/>
        <v>0</v>
      </c>
      <c r="DP682" s="6">
        <f t="shared" si="661"/>
        <v>0</v>
      </c>
      <c r="DQ682" s="6">
        <f t="shared" si="661"/>
        <v>0</v>
      </c>
      <c r="DR682" s="6">
        <f t="shared" si="661"/>
        <v>0</v>
      </c>
      <c r="DS682" s="6">
        <f t="shared" si="661"/>
        <v>0</v>
      </c>
      <c r="DT682" s="6">
        <f t="shared" si="661"/>
        <v>0</v>
      </c>
      <c r="DU682" s="6">
        <f t="shared" si="661"/>
        <v>0</v>
      </c>
      <c r="DV682" s="6">
        <f t="shared" si="661"/>
        <v>0</v>
      </c>
      <c r="DW682" s="6">
        <f t="shared" si="661"/>
        <v>0</v>
      </c>
      <c r="DX682" s="6">
        <f t="shared" si="661"/>
        <v>0</v>
      </c>
      <c r="DY682" s="6">
        <f t="shared" si="661"/>
        <v>0</v>
      </c>
      <c r="DZ682" s="6">
        <f t="shared" si="661"/>
        <v>0</v>
      </c>
      <c r="EA682" s="6">
        <f t="shared" si="661"/>
        <v>0</v>
      </c>
      <c r="EB682" s="6">
        <f t="shared" si="661"/>
        <v>0</v>
      </c>
      <c r="EC682" s="6">
        <f t="shared" si="661"/>
        <v>0</v>
      </c>
      <c r="ED682" s="6">
        <f t="shared" si="661"/>
        <v>0</v>
      </c>
      <c r="EE682" s="6">
        <f t="shared" si="661"/>
        <v>0</v>
      </c>
      <c r="EF682" s="6">
        <f t="shared" si="661"/>
        <v>0</v>
      </c>
      <c r="EG682" s="6">
        <f t="shared" si="661"/>
        <v>0</v>
      </c>
      <c r="EH682" s="6">
        <f t="shared" si="661"/>
        <v>0</v>
      </c>
      <c r="EI682" s="6">
        <f t="shared" si="661"/>
        <v>0</v>
      </c>
      <c r="EJ682" s="6">
        <f t="shared" si="661"/>
        <v>0</v>
      </c>
      <c r="EK682" s="6">
        <f t="shared" si="661"/>
        <v>0</v>
      </c>
      <c r="EL682" s="6">
        <f t="shared" si="661"/>
        <v>0</v>
      </c>
      <c r="EM682" s="6">
        <f t="shared" si="661"/>
        <v>0</v>
      </c>
      <c r="EN682" s="6">
        <f t="shared" ref="EN682:GR682" si="662">SUM(EN482:EN489)</f>
        <v>0</v>
      </c>
      <c r="EO682" s="6">
        <f t="shared" si="662"/>
        <v>0</v>
      </c>
      <c r="EP682" s="6">
        <f t="shared" si="662"/>
        <v>0</v>
      </c>
      <c r="EQ682" s="6">
        <f t="shared" si="662"/>
        <v>0</v>
      </c>
      <c r="ER682" s="6">
        <f t="shared" si="662"/>
        <v>0</v>
      </c>
      <c r="ES682" s="6">
        <f t="shared" si="662"/>
        <v>0</v>
      </c>
      <c r="ET682" s="6">
        <f t="shared" si="662"/>
        <v>0</v>
      </c>
      <c r="EU682" s="6">
        <f t="shared" si="662"/>
        <v>0</v>
      </c>
      <c r="EV682" s="6">
        <f t="shared" si="662"/>
        <v>0</v>
      </c>
      <c r="EW682" s="6">
        <f t="shared" si="662"/>
        <v>0</v>
      </c>
      <c r="EX682" s="6">
        <f t="shared" si="662"/>
        <v>0</v>
      </c>
      <c r="EY682" s="6">
        <f t="shared" si="662"/>
        <v>0</v>
      </c>
      <c r="EZ682" s="6">
        <f t="shared" si="662"/>
        <v>0</v>
      </c>
      <c r="FA682" s="6">
        <f t="shared" si="662"/>
        <v>0</v>
      </c>
      <c r="FB682" s="6">
        <f t="shared" si="662"/>
        <v>0</v>
      </c>
      <c r="FC682" s="6">
        <f t="shared" si="662"/>
        <v>0</v>
      </c>
      <c r="FD682" s="6">
        <f t="shared" si="662"/>
        <v>0</v>
      </c>
      <c r="FE682" s="6">
        <f t="shared" si="662"/>
        <v>0</v>
      </c>
      <c r="FF682" s="6">
        <f t="shared" si="662"/>
        <v>0</v>
      </c>
      <c r="FG682" s="6">
        <f t="shared" si="662"/>
        <v>0</v>
      </c>
      <c r="FH682" s="6">
        <f t="shared" si="662"/>
        <v>0</v>
      </c>
      <c r="FI682" s="6">
        <f t="shared" si="662"/>
        <v>4208</v>
      </c>
      <c r="FJ682" s="6">
        <f t="shared" si="662"/>
        <v>2043</v>
      </c>
      <c r="FK682" s="6">
        <f t="shared" si="662"/>
        <v>0</v>
      </c>
      <c r="FL682" s="6">
        <f t="shared" si="662"/>
        <v>0</v>
      </c>
      <c r="FM682" s="6">
        <f t="shared" si="662"/>
        <v>0</v>
      </c>
      <c r="FN682" s="6">
        <f t="shared" si="662"/>
        <v>0</v>
      </c>
      <c r="FO682" s="6">
        <f t="shared" si="662"/>
        <v>0</v>
      </c>
      <c r="FP682" s="6">
        <f t="shared" si="662"/>
        <v>0</v>
      </c>
      <c r="FQ682" s="6">
        <f t="shared" si="662"/>
        <v>0</v>
      </c>
      <c r="FR682" s="6">
        <f t="shared" si="662"/>
        <v>0</v>
      </c>
      <c r="FS682" s="6">
        <f t="shared" si="662"/>
        <v>0</v>
      </c>
      <c r="FT682" s="6">
        <f t="shared" si="662"/>
        <v>0</v>
      </c>
      <c r="FU682" s="6">
        <f t="shared" si="662"/>
        <v>0</v>
      </c>
      <c r="FV682" s="6">
        <f t="shared" si="662"/>
        <v>0</v>
      </c>
      <c r="FW682" s="6">
        <f t="shared" si="662"/>
        <v>0</v>
      </c>
      <c r="FX682" s="6">
        <f t="shared" si="662"/>
        <v>0</v>
      </c>
      <c r="FY682" s="6">
        <f t="shared" si="662"/>
        <v>0</v>
      </c>
      <c r="FZ682" s="6">
        <f t="shared" si="662"/>
        <v>0</v>
      </c>
      <c r="GA682" s="6">
        <f t="shared" si="662"/>
        <v>0</v>
      </c>
      <c r="GB682" s="6">
        <f t="shared" si="662"/>
        <v>0</v>
      </c>
      <c r="GC682" s="6">
        <f t="shared" si="662"/>
        <v>0</v>
      </c>
      <c r="GD682" s="6">
        <f t="shared" si="662"/>
        <v>0</v>
      </c>
      <c r="GE682" s="6">
        <f t="shared" si="662"/>
        <v>0</v>
      </c>
      <c r="GF682" s="6">
        <f t="shared" si="662"/>
        <v>0</v>
      </c>
      <c r="GG682" s="6">
        <f t="shared" si="662"/>
        <v>0</v>
      </c>
      <c r="GH682" s="6">
        <f t="shared" si="662"/>
        <v>0</v>
      </c>
      <c r="GI682" s="6">
        <f t="shared" si="662"/>
        <v>0</v>
      </c>
      <c r="GJ682" s="6">
        <f t="shared" si="662"/>
        <v>0</v>
      </c>
      <c r="GK682" s="6">
        <f t="shared" si="662"/>
        <v>0</v>
      </c>
      <c r="GL682" s="6">
        <f t="shared" si="662"/>
        <v>0</v>
      </c>
      <c r="GM682" s="6">
        <f t="shared" si="662"/>
        <v>0</v>
      </c>
      <c r="GN682" s="6">
        <f t="shared" si="662"/>
        <v>0</v>
      </c>
      <c r="GO682" s="6">
        <f t="shared" si="662"/>
        <v>4287</v>
      </c>
      <c r="GP682" s="6">
        <f t="shared" si="662"/>
        <v>2087</v>
      </c>
      <c r="GQ682" s="6">
        <f t="shared" si="662"/>
        <v>4026</v>
      </c>
      <c r="GR682" s="6">
        <f t="shared" si="662"/>
        <v>2276</v>
      </c>
    </row>
    <row r="685" spans="1:200">
      <c r="B685" s="18"/>
    </row>
    <row r="686" spans="1:200">
      <c r="B686" s="18"/>
    </row>
  </sheetData>
  <mergeCells count="86">
    <mergeCell ref="CE1:CF2"/>
    <mergeCell ref="CD1:CD2"/>
    <mergeCell ref="CO1:CP2"/>
    <mergeCell ref="CG1:CH2"/>
    <mergeCell ref="CN1:CN2"/>
    <mergeCell ref="CM1:CM2"/>
    <mergeCell ref="CI1:CJ2"/>
    <mergeCell ref="CK1:CL2"/>
    <mergeCell ref="AR1:AS1"/>
    <mergeCell ref="AP1:AQ1"/>
    <mergeCell ref="AY1:AZ1"/>
    <mergeCell ref="AW1:AX1"/>
    <mergeCell ref="A1:E2"/>
    <mergeCell ref="F1:AB1"/>
    <mergeCell ref="AC1:AH1"/>
    <mergeCell ref="AI1:AL1"/>
    <mergeCell ref="AM1:AO1"/>
    <mergeCell ref="BW1:BX2"/>
    <mergeCell ref="BY1:BZ2"/>
    <mergeCell ref="CB1:CC2"/>
    <mergeCell ref="CA1:CA2"/>
    <mergeCell ref="AT1:AU1"/>
    <mergeCell ref="BV1:BV2"/>
    <mergeCell ref="BK1:BL1"/>
    <mergeCell ref="BO1:BP1"/>
    <mergeCell ref="BQ1:BR1"/>
    <mergeCell ref="BT1:BU1"/>
    <mergeCell ref="BM1:BN1"/>
    <mergeCell ref="BI1:BJ1"/>
    <mergeCell ref="BE1:BF1"/>
    <mergeCell ref="BC1:BD1"/>
    <mergeCell ref="BA1:BB1"/>
    <mergeCell ref="BG1:BH1"/>
    <mergeCell ref="DA1:DB2"/>
    <mergeCell ref="DC1:DD2"/>
    <mergeCell ref="DG1:DH2"/>
    <mergeCell ref="DI1:DJ2"/>
    <mergeCell ref="DK1:DL2"/>
    <mergeCell ref="DE1:DF2"/>
    <mergeCell ref="CQ1:CR2"/>
    <mergeCell ref="CS1:CT2"/>
    <mergeCell ref="CU1:CV2"/>
    <mergeCell ref="CW1:CX2"/>
    <mergeCell ref="CY1:CZ2"/>
    <mergeCell ref="DM1:DN2"/>
    <mergeCell ref="DQ1:DR2"/>
    <mergeCell ref="DS1:DT2"/>
    <mergeCell ref="DU1:DV2"/>
    <mergeCell ref="DW1:DX2"/>
    <mergeCell ref="DO1:DP2"/>
    <mergeCell ref="EI1:EJ2"/>
    <mergeCell ref="EM1:EN2"/>
    <mergeCell ref="EO1:EP2"/>
    <mergeCell ref="EQ1:ER2"/>
    <mergeCell ref="DY1:DZ2"/>
    <mergeCell ref="EA1:EB2"/>
    <mergeCell ref="EC1:ED2"/>
    <mergeCell ref="EE1:EF2"/>
    <mergeCell ref="EG1:EH2"/>
    <mergeCell ref="EK1:EL2"/>
    <mergeCell ref="ES1:ET2"/>
    <mergeCell ref="EW1:EX2"/>
    <mergeCell ref="EY1:EZ2"/>
    <mergeCell ref="FA1:FB2"/>
    <mergeCell ref="FC1:FD2"/>
    <mergeCell ref="EU1:EV2"/>
    <mergeCell ref="FE1:FF2"/>
    <mergeCell ref="FG1:FH2"/>
    <mergeCell ref="FI1:FJ2"/>
    <mergeCell ref="FU1:FV2"/>
    <mergeCell ref="FW1:FX2"/>
    <mergeCell ref="FS1:FT2"/>
    <mergeCell ref="FK1:FL2"/>
    <mergeCell ref="FM1:FN2"/>
    <mergeCell ref="FO1:FP2"/>
    <mergeCell ref="FQ1:FR2"/>
    <mergeCell ref="FY1:FZ2"/>
    <mergeCell ref="GA1:GB2"/>
    <mergeCell ref="GC1:GD2"/>
    <mergeCell ref="GE1:GF2"/>
    <mergeCell ref="GG1:GH2"/>
    <mergeCell ref="GI1:GJ2"/>
    <mergeCell ref="GK1:GL2"/>
    <mergeCell ref="GM1:GN2"/>
    <mergeCell ref="GO1:GP2"/>
    <mergeCell ref="GQ1:GR2"/>
  </mergeCells>
  <pageMargins left="0.39" right="0.35" top="0.75" bottom="0.75" header="0.3" footer="0.3"/>
  <pageSetup paperSize="5" orientation="landscape" r:id="rId1"/>
  <ignoredErrors>
    <ignoredError sqref="C635:D638 C680:D682 C627:D633 C621:D625 C564:D619 BX564:CP682 DY626:DZ626 GO564:GR682 F564:AA682 AC564:AH682 AB564:AB682" formulaRange="1"/>
    <ignoredError sqref="E679:E682 E664 E651:E663 E665:E677 E642:E650 E611:E641 E564:E610 E560" formula="1"/>
    <ignoredError sqref="EN560:GN560 CR560:CT560 CQ560 AC560:CP560 CU560:EM560 DC564:DV604 DC654:DF654 DE651:DV653 DC674:DD682 DC644:DD649 DC608:DV620 DG605:DV607 DC624:DV631 DC621:DD623 DK621:DV623 DC633:DV638 DC632:DF632 DK632:DV632 DC639:DD639 DC655:DD672 DK654:DV654 DW564:EQ612 DW637:EQ638 DW626:DX626 EQ626 DW625:DX625 DW627:DX636 EQ627:EQ636 DW613:EB624 DW667:EQ667 DW640:DX663 DW639:DX639 DW664:DX666 ER564:FM610 FM682 ER624:ER681 FM623 ER618:ER622 FM618:FM622 FM624:FM639 ER612:FM617 ER611:FB611 FE611:FM611 FM641:FM681 FN564:GH564 FN649:FX682 FN635:FX639 FN634:GH634 FN633:GF633 FN628:GH632 FN607:FX627 FN605:GH606 FN577:FX604 GG577:GH604 FN565:FX576 GA565:GH576" emptyCellReference="1"/>
    <ignoredError sqref="AI564:AT682 AU564:BC666 BD564:BP682 AU668:BC682 AU667:BB667 BC667 BQ564:BW682 CS572:DB574 CS565:DB565 CS564:DB564 CS566:DB571 CS575:DB682 CR575:CR682 CR566:CR571 CR564 CR565 CR572:CR574 CQ575:CQ682 CQ564:CQ565 CQ566:CQ571 CQ572:CQ574 DC650:DD653 DC673:DD673 DC640:DD643 DC605:DF607 DE621:DJ623 DG632:DJ632 DE639:DV639 DE640:DV643 DE644:DV649 DE650:DV650 DE673:DV673 DE674:DV682 DE655:DV672 DG654:DJ654 EA626:EP626 DY627:EP636 DY625:EB625 EQ625 EC613:EQ624 EC625:EP625 DW668:EQ682 EA640:EQ663 DY664:EQ666 DY639:EQ639 DY640:DZ663 ER682 ER623 ES623:FL623 ES624:FL681 ES682:FL682 ES618:FL622 FC611:FD611 FM640 FY649:GH682 FN646:FX648 FN641:GH645 FY646:GH648 FN640:FX640 FY635:GH639 FY640:GH640 GG633:GH633 FY607:GH627 FY577:GF604 FY565:FZ576 GI646:GN682 GI610:GN645 GI595:GN609 GI564:GN594" formulaRange="1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ER226"/>
  <sheetViews>
    <sheetView workbookViewId="0">
      <selection sqref="A1:C226"/>
    </sheetView>
  </sheetViews>
  <sheetFormatPr defaultColWidth="11.42578125" defaultRowHeight="12.75"/>
  <cols>
    <col min="1" max="16384" width="11.42578125" style="21"/>
  </cols>
  <sheetData>
    <row r="1" spans="1:3">
      <c r="A1" s="52" t="s">
        <v>132</v>
      </c>
      <c r="B1" s="49">
        <v>49</v>
      </c>
      <c r="C1" s="49">
        <v>140</v>
      </c>
    </row>
    <row r="2" spans="1:3">
      <c r="A2" s="52" t="s">
        <v>133</v>
      </c>
      <c r="B2" s="49">
        <v>449</v>
      </c>
      <c r="C2" s="49">
        <v>470</v>
      </c>
    </row>
    <row r="3" spans="1:3">
      <c r="A3" s="52" t="s">
        <v>134</v>
      </c>
      <c r="B3" s="49">
        <v>534</v>
      </c>
      <c r="C3" s="49">
        <v>465</v>
      </c>
    </row>
    <row r="4" spans="1:3">
      <c r="A4" s="52" t="s">
        <v>135</v>
      </c>
      <c r="B4" s="49">
        <v>256</v>
      </c>
      <c r="C4" s="49">
        <v>209</v>
      </c>
    </row>
    <row r="5" spans="1:3">
      <c r="A5" s="52" t="s">
        <v>136</v>
      </c>
      <c r="B5" s="49">
        <v>424</v>
      </c>
      <c r="C5" s="49">
        <v>346</v>
      </c>
    </row>
    <row r="6" spans="1:3">
      <c r="A6" s="52" t="s">
        <v>137</v>
      </c>
      <c r="B6" s="49">
        <v>414</v>
      </c>
      <c r="C6" s="49">
        <v>440</v>
      </c>
    </row>
    <row r="7" spans="1:3">
      <c r="A7" s="52" t="s">
        <v>138</v>
      </c>
      <c r="B7" s="49">
        <v>226</v>
      </c>
      <c r="C7" s="49">
        <v>223</v>
      </c>
    </row>
    <row r="8" spans="1:3">
      <c r="A8" s="52" t="s">
        <v>139</v>
      </c>
      <c r="B8" s="49">
        <v>235</v>
      </c>
      <c r="C8" s="49">
        <v>253</v>
      </c>
    </row>
    <row r="9" spans="1:3">
      <c r="A9" s="52" t="s">
        <v>140</v>
      </c>
      <c r="B9" s="49">
        <v>396</v>
      </c>
      <c r="C9" s="49">
        <v>398</v>
      </c>
    </row>
    <row r="10" spans="1:3">
      <c r="A10" s="52" t="s">
        <v>141</v>
      </c>
      <c r="B10" s="49">
        <v>395</v>
      </c>
      <c r="C10" s="49">
        <v>374</v>
      </c>
    </row>
    <row r="11" spans="1:3">
      <c r="A11" s="52" t="s">
        <v>142</v>
      </c>
      <c r="B11" s="49">
        <v>386</v>
      </c>
      <c r="C11" s="49">
        <v>320</v>
      </c>
    </row>
    <row r="12" spans="1:3">
      <c r="A12" s="52" t="s">
        <v>143</v>
      </c>
      <c r="B12" s="49">
        <v>212</v>
      </c>
      <c r="C12" s="49">
        <v>286</v>
      </c>
    </row>
    <row r="13" spans="1:3">
      <c r="A13" s="52" t="s">
        <v>144</v>
      </c>
      <c r="B13" s="49">
        <v>315</v>
      </c>
      <c r="C13" s="49">
        <v>408</v>
      </c>
    </row>
    <row r="14" spans="1:3">
      <c r="A14" s="52" t="s">
        <v>145</v>
      </c>
      <c r="B14" s="49">
        <v>498</v>
      </c>
      <c r="C14" s="49">
        <v>271</v>
      </c>
    </row>
    <row r="15" spans="1:3">
      <c r="A15" s="52" t="s">
        <v>146</v>
      </c>
      <c r="B15" s="49">
        <v>662</v>
      </c>
      <c r="C15" s="49">
        <v>291</v>
      </c>
    </row>
    <row r="16" spans="1:3">
      <c r="A16" s="52" t="s">
        <v>147</v>
      </c>
      <c r="B16" s="49">
        <v>645</v>
      </c>
      <c r="C16" s="49">
        <v>441</v>
      </c>
    </row>
    <row r="17" spans="1:3">
      <c r="A17" s="52" t="s">
        <v>148</v>
      </c>
      <c r="B17" s="49">
        <v>541</v>
      </c>
      <c r="C17" s="49">
        <v>370</v>
      </c>
    </row>
    <row r="18" spans="1:3">
      <c r="A18" s="52" t="s">
        <v>149</v>
      </c>
      <c r="B18" s="49">
        <v>401</v>
      </c>
      <c r="C18" s="49">
        <v>358</v>
      </c>
    </row>
    <row r="19" spans="1:3">
      <c r="A19" s="52" t="s">
        <v>150</v>
      </c>
      <c r="B19" s="49">
        <v>567</v>
      </c>
      <c r="C19" s="49">
        <v>263</v>
      </c>
    </row>
    <row r="20" spans="1:3">
      <c r="A20" s="52" t="s">
        <v>151</v>
      </c>
      <c r="B20" s="49">
        <v>321</v>
      </c>
      <c r="C20" s="49">
        <v>316</v>
      </c>
    </row>
    <row r="21" spans="1:3">
      <c r="A21" s="52" t="s">
        <v>152</v>
      </c>
      <c r="B21" s="49">
        <v>386</v>
      </c>
      <c r="C21" s="49">
        <v>171</v>
      </c>
    </row>
    <row r="22" spans="1:3">
      <c r="A22" s="52" t="s">
        <v>153</v>
      </c>
      <c r="B22" s="49">
        <v>469</v>
      </c>
      <c r="C22" s="49">
        <v>332</v>
      </c>
    </row>
    <row r="23" spans="1:3">
      <c r="A23" s="52" t="s">
        <v>154</v>
      </c>
      <c r="B23" s="49">
        <v>468</v>
      </c>
      <c r="C23" s="49">
        <v>366</v>
      </c>
    </row>
    <row r="24" spans="1:3">
      <c r="A24" s="52" t="s">
        <v>155</v>
      </c>
      <c r="B24" s="49">
        <v>583</v>
      </c>
      <c r="C24" s="49">
        <v>436</v>
      </c>
    </row>
    <row r="25" spans="1:3">
      <c r="A25" s="52" t="s">
        <v>156</v>
      </c>
      <c r="B25" s="49">
        <v>508</v>
      </c>
      <c r="C25" s="49">
        <v>163</v>
      </c>
    </row>
    <row r="26" spans="1:3">
      <c r="A26" s="52" t="s">
        <v>157</v>
      </c>
      <c r="B26" s="49">
        <v>396</v>
      </c>
      <c r="C26" s="49">
        <v>209</v>
      </c>
    </row>
    <row r="27" spans="1:3">
      <c r="A27" s="52" t="s">
        <v>158</v>
      </c>
      <c r="B27" s="49">
        <v>493</v>
      </c>
      <c r="C27" s="49">
        <v>291</v>
      </c>
    </row>
    <row r="28" spans="1:3">
      <c r="A28" s="52" t="s">
        <v>159</v>
      </c>
      <c r="B28" s="49">
        <v>675</v>
      </c>
      <c r="C28" s="49">
        <v>189</v>
      </c>
    </row>
    <row r="29" spans="1:3">
      <c r="A29" s="52" t="s">
        <v>160</v>
      </c>
      <c r="B29" s="49">
        <v>576</v>
      </c>
      <c r="C29" s="49">
        <v>202</v>
      </c>
    </row>
    <row r="30" spans="1:3">
      <c r="A30" s="52" t="s">
        <v>161</v>
      </c>
      <c r="B30" s="49">
        <v>377</v>
      </c>
      <c r="C30" s="49">
        <v>319</v>
      </c>
    </row>
    <row r="31" spans="1:3">
      <c r="A31" s="52" t="s">
        <v>162</v>
      </c>
      <c r="B31" s="49">
        <v>423</v>
      </c>
      <c r="C31" s="49">
        <v>358</v>
      </c>
    </row>
    <row r="32" spans="1:3">
      <c r="A32" s="52" t="s">
        <v>163</v>
      </c>
      <c r="B32" s="49">
        <v>375</v>
      </c>
      <c r="C32" s="49">
        <v>227</v>
      </c>
    </row>
    <row r="33" spans="1:3">
      <c r="A33" s="52" t="s">
        <v>164</v>
      </c>
      <c r="B33" s="49">
        <v>539</v>
      </c>
      <c r="C33" s="49">
        <v>362</v>
      </c>
    </row>
    <row r="34" spans="1:3">
      <c r="A34" s="52" t="s">
        <v>165</v>
      </c>
      <c r="B34" s="49">
        <v>489</v>
      </c>
      <c r="C34" s="49">
        <v>331</v>
      </c>
    </row>
    <row r="35" spans="1:3">
      <c r="A35" s="52" t="s">
        <v>166</v>
      </c>
      <c r="B35" s="49">
        <v>425</v>
      </c>
      <c r="C35" s="49">
        <v>264</v>
      </c>
    </row>
    <row r="36" spans="1:3">
      <c r="A36" s="52" t="s">
        <v>167</v>
      </c>
      <c r="B36" s="49">
        <v>421</v>
      </c>
      <c r="C36" s="49">
        <v>531</v>
      </c>
    </row>
    <row r="37" spans="1:3">
      <c r="A37" s="52" t="s">
        <v>168</v>
      </c>
      <c r="B37" s="49">
        <v>569</v>
      </c>
      <c r="C37" s="49">
        <v>460</v>
      </c>
    </row>
    <row r="38" spans="1:3">
      <c r="A38" s="52" t="s">
        <v>169</v>
      </c>
      <c r="B38" s="49">
        <v>417</v>
      </c>
      <c r="C38" s="49">
        <v>392</v>
      </c>
    </row>
    <row r="39" spans="1:3">
      <c r="A39" s="52" t="s">
        <v>170</v>
      </c>
      <c r="B39" s="49">
        <v>432</v>
      </c>
      <c r="C39" s="49">
        <v>352</v>
      </c>
    </row>
    <row r="40" spans="1:3">
      <c r="A40" s="52" t="s">
        <v>171</v>
      </c>
      <c r="B40" s="49">
        <v>350</v>
      </c>
      <c r="C40" s="49">
        <v>254</v>
      </c>
    </row>
    <row r="41" spans="1:3">
      <c r="A41" s="52" t="s">
        <v>172</v>
      </c>
      <c r="B41" s="49">
        <v>539</v>
      </c>
      <c r="C41" s="49">
        <v>497</v>
      </c>
    </row>
    <row r="42" spans="1:3">
      <c r="A42" s="52" t="s">
        <v>173</v>
      </c>
      <c r="B42" s="49">
        <v>446</v>
      </c>
      <c r="C42" s="49">
        <v>389</v>
      </c>
    </row>
    <row r="43" spans="1:3">
      <c r="A43" s="52" t="s">
        <v>174</v>
      </c>
      <c r="B43" s="49">
        <v>343</v>
      </c>
      <c r="C43" s="49">
        <v>344</v>
      </c>
    </row>
    <row r="44" spans="1:3">
      <c r="A44" s="52" t="s">
        <v>175</v>
      </c>
      <c r="B44" s="49">
        <v>533</v>
      </c>
      <c r="C44" s="49">
        <v>474</v>
      </c>
    </row>
    <row r="45" spans="1:3">
      <c r="A45" s="52" t="s">
        <v>176</v>
      </c>
      <c r="B45" s="49">
        <v>439</v>
      </c>
      <c r="C45" s="49">
        <v>142</v>
      </c>
    </row>
    <row r="46" spans="1:3">
      <c r="A46" s="52" t="s">
        <v>177</v>
      </c>
      <c r="B46" s="49">
        <v>565</v>
      </c>
      <c r="C46" s="49">
        <v>611</v>
      </c>
    </row>
    <row r="47" spans="1:3">
      <c r="A47" s="52" t="s">
        <v>178</v>
      </c>
      <c r="B47" s="49">
        <v>603</v>
      </c>
      <c r="C47" s="49">
        <v>311</v>
      </c>
    </row>
    <row r="48" spans="1:3">
      <c r="A48" s="52" t="s">
        <v>179</v>
      </c>
      <c r="B48" s="49">
        <v>554</v>
      </c>
      <c r="C48" s="49">
        <v>286</v>
      </c>
    </row>
    <row r="49" spans="1:3">
      <c r="A49" s="52" t="s">
        <v>180</v>
      </c>
      <c r="B49" s="49">
        <v>590</v>
      </c>
      <c r="C49" s="49">
        <v>172</v>
      </c>
    </row>
    <row r="50" spans="1:3">
      <c r="A50" s="52" t="s">
        <v>181</v>
      </c>
      <c r="B50" s="49">
        <v>593</v>
      </c>
      <c r="C50" s="49">
        <v>127</v>
      </c>
    </row>
    <row r="51" spans="1:3">
      <c r="A51" s="52" t="s">
        <v>182</v>
      </c>
      <c r="B51" s="49">
        <v>595</v>
      </c>
      <c r="C51" s="49">
        <v>254</v>
      </c>
    </row>
    <row r="52" spans="1:3">
      <c r="A52" s="52" t="s">
        <v>183</v>
      </c>
      <c r="B52" s="49">
        <v>273</v>
      </c>
      <c r="C52" s="49">
        <v>71</v>
      </c>
    </row>
    <row r="53" spans="1:3">
      <c r="A53" s="52" t="s">
        <v>184</v>
      </c>
      <c r="B53" s="49">
        <v>532</v>
      </c>
      <c r="C53" s="49">
        <v>234</v>
      </c>
    </row>
    <row r="54" spans="1:3">
      <c r="A54" s="52" t="s">
        <v>185</v>
      </c>
      <c r="B54" s="49">
        <v>550</v>
      </c>
      <c r="C54" s="49">
        <v>192</v>
      </c>
    </row>
    <row r="55" spans="1:3">
      <c r="A55" s="52" t="s">
        <v>186</v>
      </c>
      <c r="B55" s="49">
        <v>288</v>
      </c>
      <c r="C55" s="49">
        <v>128</v>
      </c>
    </row>
    <row r="56" spans="1:3">
      <c r="A56" s="52" t="s">
        <v>187</v>
      </c>
      <c r="B56" s="49">
        <v>425</v>
      </c>
      <c r="C56" s="49">
        <v>130</v>
      </c>
    </row>
    <row r="57" spans="1:3">
      <c r="A57" s="52" t="s">
        <v>188</v>
      </c>
      <c r="B57" s="49">
        <v>610</v>
      </c>
      <c r="C57" s="49">
        <v>216</v>
      </c>
    </row>
    <row r="58" spans="1:3">
      <c r="A58" s="52" t="s">
        <v>189</v>
      </c>
      <c r="B58" s="49">
        <v>535</v>
      </c>
      <c r="C58" s="49">
        <v>177</v>
      </c>
    </row>
    <row r="59" spans="1:3">
      <c r="A59" s="52" t="s">
        <v>190</v>
      </c>
      <c r="B59" s="49">
        <v>558</v>
      </c>
      <c r="C59" s="49">
        <v>207</v>
      </c>
    </row>
    <row r="60" spans="1:3">
      <c r="A60" s="52" t="s">
        <v>191</v>
      </c>
      <c r="B60" s="49">
        <v>217</v>
      </c>
      <c r="C60" s="49">
        <v>93</v>
      </c>
    </row>
    <row r="61" spans="1:3">
      <c r="A61" s="52" t="s">
        <v>192</v>
      </c>
      <c r="B61" s="49">
        <v>423</v>
      </c>
      <c r="C61" s="49">
        <v>185</v>
      </c>
    </row>
    <row r="62" spans="1:3">
      <c r="A62" s="52" t="s">
        <v>193</v>
      </c>
      <c r="B62" s="49">
        <v>718</v>
      </c>
      <c r="C62" s="49">
        <v>242</v>
      </c>
    </row>
    <row r="63" spans="1:3">
      <c r="A63" s="52" t="s">
        <v>194</v>
      </c>
      <c r="B63" s="49">
        <v>466</v>
      </c>
      <c r="C63" s="49">
        <v>248</v>
      </c>
    </row>
    <row r="64" spans="1:3">
      <c r="A64" s="52" t="s">
        <v>195</v>
      </c>
      <c r="B64" s="49">
        <v>491</v>
      </c>
      <c r="C64" s="49">
        <v>503</v>
      </c>
    </row>
    <row r="65" spans="1:3">
      <c r="A65" s="52" t="s">
        <v>196</v>
      </c>
      <c r="B65" s="49">
        <v>484</v>
      </c>
      <c r="C65" s="49">
        <v>128</v>
      </c>
    </row>
    <row r="66" spans="1:3">
      <c r="A66" s="52" t="s">
        <v>197</v>
      </c>
      <c r="B66" s="49">
        <v>392</v>
      </c>
      <c r="C66" s="49">
        <v>117</v>
      </c>
    </row>
    <row r="67" spans="1:3">
      <c r="A67" s="52" t="s">
        <v>198</v>
      </c>
      <c r="B67" s="49">
        <v>695</v>
      </c>
      <c r="C67" s="49">
        <v>244</v>
      </c>
    </row>
    <row r="68" spans="1:3">
      <c r="A68" s="52" t="s">
        <v>199</v>
      </c>
      <c r="B68" s="49">
        <v>488</v>
      </c>
      <c r="C68" s="49">
        <v>107</v>
      </c>
    </row>
    <row r="69" spans="1:3">
      <c r="A69" s="52" t="s">
        <v>200</v>
      </c>
      <c r="B69" s="49">
        <v>453</v>
      </c>
      <c r="C69" s="49">
        <v>128</v>
      </c>
    </row>
    <row r="70" spans="1:3">
      <c r="A70" s="52" t="s">
        <v>201</v>
      </c>
      <c r="B70" s="49">
        <v>515</v>
      </c>
      <c r="C70" s="49">
        <v>285</v>
      </c>
    </row>
    <row r="71" spans="1:3">
      <c r="A71" s="52" t="s">
        <v>202</v>
      </c>
      <c r="B71" s="49">
        <v>290</v>
      </c>
      <c r="C71" s="49">
        <v>79</v>
      </c>
    </row>
    <row r="72" spans="1:3">
      <c r="A72" s="52" t="s">
        <v>203</v>
      </c>
      <c r="B72" s="49">
        <v>459</v>
      </c>
      <c r="C72" s="49">
        <v>125</v>
      </c>
    </row>
    <row r="73" spans="1:3">
      <c r="A73" s="52" t="s">
        <v>204</v>
      </c>
      <c r="B73" s="49">
        <v>649</v>
      </c>
      <c r="C73" s="49">
        <v>248</v>
      </c>
    </row>
    <row r="74" spans="1:3">
      <c r="A74" s="52" t="s">
        <v>205</v>
      </c>
      <c r="B74" s="49">
        <v>667</v>
      </c>
      <c r="C74" s="49">
        <v>252</v>
      </c>
    </row>
    <row r="75" spans="1:3">
      <c r="A75" s="52" t="s">
        <v>206</v>
      </c>
      <c r="B75" s="49">
        <v>602</v>
      </c>
      <c r="C75" s="49">
        <v>206</v>
      </c>
    </row>
    <row r="76" spans="1:3">
      <c r="A76" s="52" t="s">
        <v>207</v>
      </c>
      <c r="B76" s="49">
        <v>875</v>
      </c>
      <c r="C76" s="49">
        <v>308</v>
      </c>
    </row>
    <row r="77" spans="1:3">
      <c r="A77" s="52" t="s">
        <v>208</v>
      </c>
      <c r="B77" s="49">
        <v>1199</v>
      </c>
      <c r="C77" s="49">
        <v>354</v>
      </c>
    </row>
    <row r="78" spans="1:3">
      <c r="A78" s="52" t="s">
        <v>209</v>
      </c>
      <c r="B78" s="49">
        <v>871</v>
      </c>
      <c r="C78" s="49">
        <v>242</v>
      </c>
    </row>
    <row r="79" spans="1:3">
      <c r="A79" s="52" t="s">
        <v>210</v>
      </c>
      <c r="B79" s="49">
        <v>475</v>
      </c>
      <c r="C79" s="49">
        <v>117</v>
      </c>
    </row>
    <row r="80" spans="1:3">
      <c r="A80" s="52" t="s">
        <v>211</v>
      </c>
      <c r="B80" s="49">
        <v>815</v>
      </c>
      <c r="C80" s="49">
        <v>272</v>
      </c>
    </row>
    <row r="81" spans="1:3">
      <c r="A81" s="52" t="s">
        <v>212</v>
      </c>
      <c r="B81" s="49">
        <v>438</v>
      </c>
      <c r="C81" s="49">
        <v>111</v>
      </c>
    </row>
    <row r="82" spans="1:3">
      <c r="A82" s="52" t="s">
        <v>213</v>
      </c>
      <c r="B82" s="49">
        <v>507</v>
      </c>
      <c r="C82" s="49">
        <v>150</v>
      </c>
    </row>
    <row r="83" spans="1:3">
      <c r="A83" s="52" t="s">
        <v>214</v>
      </c>
      <c r="B83" s="49">
        <v>658</v>
      </c>
      <c r="C83" s="49">
        <v>274</v>
      </c>
    </row>
    <row r="84" spans="1:3">
      <c r="A84" s="52" t="s">
        <v>215</v>
      </c>
      <c r="B84" s="49">
        <v>495</v>
      </c>
      <c r="C84" s="49">
        <v>184</v>
      </c>
    </row>
    <row r="85" spans="1:3">
      <c r="A85" s="52" t="s">
        <v>216</v>
      </c>
      <c r="B85" s="49">
        <v>539</v>
      </c>
      <c r="C85" s="49">
        <v>162</v>
      </c>
    </row>
    <row r="86" spans="1:3">
      <c r="A86" s="52" t="s">
        <v>217</v>
      </c>
      <c r="B86" s="49">
        <v>577</v>
      </c>
      <c r="C86" s="49">
        <v>331</v>
      </c>
    </row>
    <row r="87" spans="1:3">
      <c r="A87" s="52" t="s">
        <v>218</v>
      </c>
      <c r="B87" s="49">
        <v>593</v>
      </c>
      <c r="C87" s="49">
        <v>236</v>
      </c>
    </row>
    <row r="88" spans="1:3">
      <c r="A88" s="52" t="s">
        <v>219</v>
      </c>
      <c r="B88" s="49">
        <v>242</v>
      </c>
      <c r="C88" s="49">
        <v>159</v>
      </c>
    </row>
    <row r="89" spans="1:3">
      <c r="A89" s="52" t="s">
        <v>220</v>
      </c>
      <c r="B89" s="49">
        <v>737</v>
      </c>
      <c r="C89" s="49">
        <v>327</v>
      </c>
    </row>
    <row r="90" spans="1:3">
      <c r="A90" s="52" t="s">
        <v>221</v>
      </c>
      <c r="B90" s="49">
        <v>617</v>
      </c>
      <c r="C90" s="49">
        <v>267</v>
      </c>
    </row>
    <row r="91" spans="1:3">
      <c r="A91" s="52" t="s">
        <v>222</v>
      </c>
      <c r="B91" s="49">
        <v>480</v>
      </c>
      <c r="C91" s="49">
        <v>266</v>
      </c>
    </row>
    <row r="92" spans="1:3">
      <c r="A92" s="52" t="s">
        <v>223</v>
      </c>
      <c r="B92" s="49">
        <v>512</v>
      </c>
      <c r="C92" s="49">
        <v>322</v>
      </c>
    </row>
    <row r="93" spans="1:3">
      <c r="A93" s="52" t="s">
        <v>224</v>
      </c>
      <c r="B93" s="49">
        <v>571</v>
      </c>
      <c r="C93" s="49">
        <v>258</v>
      </c>
    </row>
    <row r="94" spans="1:3">
      <c r="A94" s="52" t="s">
        <v>225</v>
      </c>
      <c r="B94" s="49">
        <v>606</v>
      </c>
      <c r="C94" s="49">
        <v>318</v>
      </c>
    </row>
    <row r="95" spans="1:3">
      <c r="A95" s="52" t="s">
        <v>226</v>
      </c>
      <c r="B95" s="49">
        <v>765</v>
      </c>
      <c r="C95" s="49">
        <v>198</v>
      </c>
    </row>
    <row r="96" spans="1:3">
      <c r="A96" s="52" t="s">
        <v>227</v>
      </c>
      <c r="B96" s="49">
        <v>767</v>
      </c>
      <c r="C96" s="49">
        <v>276</v>
      </c>
    </row>
    <row r="97" spans="1:3">
      <c r="A97" s="52" t="s">
        <v>228</v>
      </c>
      <c r="B97" s="49">
        <v>347</v>
      </c>
      <c r="C97" s="49">
        <v>119</v>
      </c>
    </row>
    <row r="98" spans="1:3">
      <c r="A98" s="52" t="s">
        <v>229</v>
      </c>
      <c r="B98" s="49">
        <v>405</v>
      </c>
      <c r="C98" s="49">
        <v>143</v>
      </c>
    </row>
    <row r="99" spans="1:3">
      <c r="A99" s="52" t="s">
        <v>230</v>
      </c>
      <c r="B99" s="49">
        <v>752</v>
      </c>
      <c r="C99" s="49">
        <v>208</v>
      </c>
    </row>
    <row r="100" spans="1:3">
      <c r="A100" s="52" t="s">
        <v>231</v>
      </c>
      <c r="B100" s="49">
        <v>281</v>
      </c>
      <c r="C100" s="49">
        <v>120</v>
      </c>
    </row>
    <row r="101" spans="1:3">
      <c r="A101" s="52" t="s">
        <v>232</v>
      </c>
      <c r="B101" s="49">
        <v>294</v>
      </c>
      <c r="C101" s="49">
        <v>160</v>
      </c>
    </row>
    <row r="102" spans="1:3">
      <c r="A102" s="52" t="s">
        <v>233</v>
      </c>
      <c r="B102" s="49">
        <v>566</v>
      </c>
      <c r="C102" s="49">
        <v>334</v>
      </c>
    </row>
    <row r="103" spans="1:3">
      <c r="A103" s="52" t="s">
        <v>234</v>
      </c>
      <c r="B103" s="49">
        <v>471</v>
      </c>
      <c r="C103" s="49">
        <v>177</v>
      </c>
    </row>
    <row r="104" spans="1:3">
      <c r="A104" s="52" t="s">
        <v>235</v>
      </c>
      <c r="B104" s="49">
        <v>356</v>
      </c>
      <c r="C104" s="49">
        <v>110</v>
      </c>
    </row>
    <row r="105" spans="1:3">
      <c r="A105" s="52" t="s">
        <v>236</v>
      </c>
      <c r="B105" s="49">
        <v>359</v>
      </c>
      <c r="C105" s="49">
        <v>196</v>
      </c>
    </row>
    <row r="106" spans="1:3">
      <c r="A106" s="52" t="s">
        <v>237</v>
      </c>
      <c r="B106" s="49">
        <v>729</v>
      </c>
      <c r="C106" s="49">
        <v>126</v>
      </c>
    </row>
    <row r="107" spans="1:3">
      <c r="A107" s="52" t="s">
        <v>238</v>
      </c>
      <c r="B107" s="49">
        <v>458</v>
      </c>
      <c r="C107" s="49">
        <v>141</v>
      </c>
    </row>
    <row r="108" spans="1:3">
      <c r="A108" s="52" t="s">
        <v>239</v>
      </c>
      <c r="B108" s="49">
        <v>494</v>
      </c>
      <c r="C108" s="49">
        <v>158</v>
      </c>
    </row>
    <row r="109" spans="1:3">
      <c r="A109" s="52" t="s">
        <v>240</v>
      </c>
      <c r="B109" s="49">
        <v>352</v>
      </c>
      <c r="C109" s="49">
        <v>120</v>
      </c>
    </row>
    <row r="110" spans="1:3">
      <c r="A110" s="52" t="s">
        <v>241</v>
      </c>
      <c r="B110" s="49">
        <v>215</v>
      </c>
      <c r="C110" s="49">
        <v>60</v>
      </c>
    </row>
    <row r="111" spans="1:3">
      <c r="A111" s="52" t="s">
        <v>242</v>
      </c>
      <c r="B111" s="49">
        <v>184</v>
      </c>
      <c r="C111" s="49">
        <v>392</v>
      </c>
    </row>
    <row r="112" spans="1:3">
      <c r="A112" s="52" t="s">
        <v>243</v>
      </c>
      <c r="B112" s="49">
        <v>274</v>
      </c>
      <c r="C112" s="49">
        <v>564</v>
      </c>
    </row>
    <row r="113" spans="1:3">
      <c r="A113" s="52" t="s">
        <v>244</v>
      </c>
      <c r="B113" s="49">
        <v>281</v>
      </c>
      <c r="C113" s="49">
        <v>437</v>
      </c>
    </row>
    <row r="114" spans="1:3">
      <c r="A114" s="52" t="s">
        <v>245</v>
      </c>
      <c r="B114" s="49">
        <v>80</v>
      </c>
      <c r="C114" s="49">
        <v>40</v>
      </c>
    </row>
    <row r="115" spans="1:3">
      <c r="A115" s="52" t="s">
        <v>246</v>
      </c>
      <c r="B115" s="49">
        <v>341</v>
      </c>
      <c r="C115" s="49">
        <v>219</v>
      </c>
    </row>
    <row r="116" spans="1:3">
      <c r="A116" s="52" t="s">
        <v>247</v>
      </c>
      <c r="B116" s="49">
        <v>308</v>
      </c>
      <c r="C116" s="49">
        <v>215</v>
      </c>
    </row>
    <row r="117" spans="1:3">
      <c r="A117" s="52" t="s">
        <v>248</v>
      </c>
      <c r="B117" s="49">
        <v>466</v>
      </c>
      <c r="C117" s="49">
        <v>360</v>
      </c>
    </row>
    <row r="118" spans="1:3">
      <c r="A118" s="52" t="s">
        <v>249</v>
      </c>
      <c r="B118" s="49">
        <v>455</v>
      </c>
      <c r="C118" s="49">
        <v>296</v>
      </c>
    </row>
    <row r="119" spans="1:3">
      <c r="A119" s="52" t="s">
        <v>250</v>
      </c>
      <c r="B119" s="49">
        <v>272</v>
      </c>
      <c r="C119" s="49">
        <v>161</v>
      </c>
    </row>
    <row r="120" spans="1:3">
      <c r="A120" s="52" t="s">
        <v>251</v>
      </c>
      <c r="B120" s="49">
        <v>178</v>
      </c>
      <c r="C120" s="49">
        <v>107</v>
      </c>
    </row>
    <row r="121" spans="1:3">
      <c r="A121" s="52" t="s">
        <v>252</v>
      </c>
      <c r="B121" s="49">
        <v>223</v>
      </c>
      <c r="C121" s="49">
        <v>99</v>
      </c>
    </row>
    <row r="122" spans="1:3">
      <c r="A122" s="52" t="s">
        <v>253</v>
      </c>
      <c r="B122" s="49">
        <v>354</v>
      </c>
      <c r="C122" s="49">
        <v>178</v>
      </c>
    </row>
    <row r="123" spans="1:3">
      <c r="A123" s="52" t="s">
        <v>254</v>
      </c>
      <c r="B123" s="49">
        <v>240</v>
      </c>
      <c r="C123" s="49">
        <v>155</v>
      </c>
    </row>
    <row r="124" spans="1:3">
      <c r="A124" s="52" t="s">
        <v>255</v>
      </c>
      <c r="B124" s="49">
        <v>292</v>
      </c>
      <c r="C124" s="49">
        <v>75</v>
      </c>
    </row>
    <row r="125" spans="1:3">
      <c r="A125" s="52" t="s">
        <v>256</v>
      </c>
      <c r="B125" s="49">
        <v>615</v>
      </c>
      <c r="C125" s="49">
        <v>223</v>
      </c>
    </row>
    <row r="126" spans="1:3">
      <c r="A126" s="52" t="s">
        <v>257</v>
      </c>
      <c r="B126" s="49">
        <v>347</v>
      </c>
      <c r="C126" s="49">
        <v>147</v>
      </c>
    </row>
    <row r="127" spans="1:3">
      <c r="A127" s="52" t="s">
        <v>258</v>
      </c>
      <c r="B127" s="49">
        <v>503</v>
      </c>
      <c r="C127" s="49">
        <v>128</v>
      </c>
    </row>
    <row r="128" spans="1:3">
      <c r="A128" s="52" t="s">
        <v>259</v>
      </c>
      <c r="B128" s="49">
        <v>671</v>
      </c>
      <c r="C128" s="49">
        <v>318</v>
      </c>
    </row>
    <row r="129" spans="1:16372">
      <c r="A129" s="52" t="s">
        <v>260</v>
      </c>
      <c r="B129" s="49">
        <v>562</v>
      </c>
      <c r="C129" s="49">
        <v>195</v>
      </c>
    </row>
    <row r="130" spans="1:16372">
      <c r="A130" s="52" t="s">
        <v>261</v>
      </c>
      <c r="B130" s="49">
        <v>268</v>
      </c>
      <c r="C130" s="49">
        <v>82</v>
      </c>
    </row>
    <row r="131" spans="1:16372">
      <c r="A131" s="52" t="s">
        <v>262</v>
      </c>
      <c r="B131" s="49">
        <v>747</v>
      </c>
      <c r="C131" s="49">
        <v>217</v>
      </c>
    </row>
    <row r="132" spans="1:16372">
      <c r="A132" s="52" t="s">
        <v>263</v>
      </c>
      <c r="B132" s="49">
        <v>509</v>
      </c>
      <c r="C132" s="49">
        <v>187</v>
      </c>
    </row>
    <row r="133" spans="1:16372">
      <c r="A133" s="52" t="s">
        <v>264</v>
      </c>
      <c r="B133" s="49">
        <v>587</v>
      </c>
      <c r="C133" s="49">
        <v>282</v>
      </c>
    </row>
    <row r="134" spans="1:16372">
      <c r="A134" s="52" t="s">
        <v>265</v>
      </c>
      <c r="B134" s="49">
        <v>260</v>
      </c>
      <c r="C134" s="49">
        <v>143</v>
      </c>
    </row>
    <row r="135" spans="1:16372">
      <c r="A135" s="52" t="s">
        <v>266</v>
      </c>
      <c r="B135" s="49">
        <v>455</v>
      </c>
      <c r="C135" s="49">
        <v>316</v>
      </c>
    </row>
    <row r="136" spans="1:16372">
      <c r="A136" s="52" t="s">
        <v>267</v>
      </c>
      <c r="B136" s="49">
        <v>348</v>
      </c>
      <c r="C136" s="49">
        <v>236</v>
      </c>
    </row>
    <row r="137" spans="1:16372">
      <c r="A137" s="52" t="s">
        <v>268</v>
      </c>
      <c r="B137" s="49">
        <v>414</v>
      </c>
      <c r="C137" s="49">
        <v>352</v>
      </c>
    </row>
    <row r="138" spans="1:16372">
      <c r="A138" s="52" t="s">
        <v>269</v>
      </c>
      <c r="B138" s="49">
        <v>609</v>
      </c>
      <c r="C138" s="49">
        <v>267</v>
      </c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  <c r="EN138" s="26"/>
      <c r="EO138" s="26"/>
      <c r="EP138" s="26"/>
      <c r="EQ138" s="26"/>
      <c r="ER138" s="26"/>
      <c r="ES138" s="26"/>
      <c r="ET138" s="26"/>
      <c r="EU138" s="26"/>
      <c r="EV138" s="26"/>
      <c r="EW138" s="26"/>
      <c r="EX138" s="26"/>
      <c r="EY138" s="26"/>
      <c r="EZ138" s="26"/>
      <c r="FA138" s="26"/>
      <c r="FB138" s="26"/>
      <c r="FC138" s="26"/>
      <c r="FD138" s="26"/>
      <c r="FE138" s="26"/>
      <c r="FF138" s="26"/>
      <c r="FG138" s="26"/>
      <c r="FH138" s="26"/>
      <c r="FI138" s="26"/>
      <c r="FJ138" s="26"/>
      <c r="FK138" s="26"/>
      <c r="FL138" s="26"/>
      <c r="FM138" s="26"/>
      <c r="FN138" s="26"/>
      <c r="FO138" s="26"/>
      <c r="FP138" s="26"/>
      <c r="FQ138" s="26"/>
      <c r="FR138" s="26"/>
      <c r="FS138" s="26"/>
      <c r="FT138" s="26"/>
      <c r="FU138" s="26"/>
      <c r="FV138" s="26"/>
      <c r="FW138" s="26"/>
      <c r="FX138" s="26"/>
      <c r="FY138" s="26"/>
      <c r="FZ138" s="26"/>
      <c r="GA138" s="26"/>
      <c r="GB138" s="26"/>
      <c r="GC138" s="26"/>
      <c r="GD138" s="26"/>
      <c r="GE138" s="26"/>
      <c r="GF138" s="26"/>
      <c r="GG138" s="26"/>
      <c r="GH138" s="26"/>
      <c r="GI138" s="26"/>
      <c r="GJ138" s="26"/>
      <c r="GK138" s="26"/>
      <c r="GL138" s="26"/>
      <c r="GM138" s="26"/>
      <c r="GN138" s="26"/>
      <c r="GO138" s="26"/>
      <c r="GP138" s="26"/>
      <c r="GQ138" s="26"/>
      <c r="GR138" s="26"/>
      <c r="GS138" s="26"/>
      <c r="GT138" s="26"/>
      <c r="GU138" s="26"/>
      <c r="GV138" s="26"/>
      <c r="GW138" s="26"/>
      <c r="GX138" s="26"/>
      <c r="GY138" s="26"/>
      <c r="GZ138" s="26"/>
      <c r="HA138" s="26"/>
      <c r="HB138" s="26"/>
      <c r="HC138" s="26"/>
      <c r="HD138" s="26"/>
      <c r="HE138" s="26"/>
      <c r="HF138" s="26"/>
      <c r="HG138" s="26"/>
      <c r="HH138" s="26"/>
      <c r="HI138" s="26"/>
      <c r="HJ138" s="26"/>
      <c r="HK138" s="26"/>
      <c r="HL138" s="26"/>
      <c r="HM138" s="26"/>
      <c r="HN138" s="26"/>
      <c r="HO138" s="26"/>
      <c r="HP138" s="26"/>
      <c r="HQ138" s="26"/>
      <c r="HR138" s="26"/>
      <c r="HS138" s="26"/>
      <c r="HT138" s="26"/>
      <c r="HU138" s="26"/>
      <c r="HV138" s="26"/>
      <c r="HW138" s="26"/>
      <c r="HX138" s="26"/>
      <c r="HY138" s="26"/>
      <c r="HZ138" s="26"/>
      <c r="IA138" s="26"/>
      <c r="IB138" s="26"/>
      <c r="IC138" s="26"/>
      <c r="ID138" s="26"/>
      <c r="IE138" s="26"/>
      <c r="IF138" s="26"/>
      <c r="IG138" s="26"/>
      <c r="IH138" s="26"/>
      <c r="II138" s="26"/>
      <c r="IJ138" s="26"/>
      <c r="IK138" s="26"/>
      <c r="IL138" s="26"/>
      <c r="IM138" s="26"/>
      <c r="IN138" s="26"/>
      <c r="IO138" s="26"/>
      <c r="IP138" s="26"/>
      <c r="IQ138" s="26"/>
      <c r="IR138" s="26"/>
      <c r="IS138" s="26"/>
      <c r="IT138" s="26"/>
      <c r="IU138" s="26"/>
      <c r="IV138" s="26"/>
      <c r="IW138" s="26"/>
      <c r="IX138" s="26"/>
      <c r="IY138" s="26"/>
      <c r="IZ138" s="26"/>
      <c r="JA138" s="26"/>
      <c r="JB138" s="26"/>
      <c r="JC138" s="26"/>
      <c r="JD138" s="26"/>
      <c r="JE138" s="26"/>
      <c r="JF138" s="26"/>
      <c r="JG138" s="26"/>
      <c r="JH138" s="26"/>
      <c r="JI138" s="26"/>
      <c r="JJ138" s="26"/>
      <c r="JK138" s="26"/>
      <c r="JL138" s="26"/>
      <c r="JM138" s="26"/>
      <c r="JN138" s="26"/>
      <c r="JO138" s="26"/>
      <c r="JP138" s="26"/>
      <c r="JQ138" s="26"/>
      <c r="JR138" s="26"/>
      <c r="JS138" s="26"/>
      <c r="JT138" s="26"/>
      <c r="JU138" s="26"/>
      <c r="JV138" s="26"/>
      <c r="JW138" s="26"/>
      <c r="JX138" s="26"/>
      <c r="JY138" s="26"/>
      <c r="JZ138" s="26"/>
      <c r="KA138" s="26"/>
      <c r="KB138" s="26"/>
      <c r="KC138" s="26"/>
      <c r="KD138" s="26"/>
      <c r="KE138" s="26"/>
      <c r="KF138" s="26"/>
      <c r="KG138" s="26"/>
      <c r="KH138" s="26"/>
      <c r="KI138" s="26"/>
      <c r="KJ138" s="26"/>
      <c r="KK138" s="26"/>
      <c r="KL138" s="26"/>
      <c r="KM138" s="26"/>
      <c r="KN138" s="26"/>
      <c r="KO138" s="26"/>
      <c r="KP138" s="26"/>
      <c r="KQ138" s="26"/>
      <c r="KR138" s="26"/>
      <c r="KS138" s="26"/>
      <c r="KT138" s="26"/>
      <c r="KU138" s="26"/>
      <c r="KV138" s="26"/>
      <c r="KW138" s="26"/>
      <c r="KX138" s="26"/>
      <c r="KY138" s="26"/>
      <c r="KZ138" s="26"/>
      <c r="LA138" s="26"/>
      <c r="LB138" s="26"/>
      <c r="LC138" s="26"/>
      <c r="LD138" s="26"/>
      <c r="LE138" s="26"/>
      <c r="LF138" s="26"/>
      <c r="LG138" s="26"/>
      <c r="LH138" s="26"/>
      <c r="LI138" s="26"/>
      <c r="LJ138" s="26"/>
      <c r="LK138" s="26"/>
      <c r="LL138" s="26"/>
      <c r="LM138" s="26"/>
      <c r="LN138" s="26"/>
      <c r="LO138" s="26"/>
      <c r="LP138" s="26"/>
      <c r="LQ138" s="26"/>
      <c r="LR138" s="26"/>
      <c r="LS138" s="26"/>
      <c r="LT138" s="26"/>
      <c r="LU138" s="26"/>
      <c r="LV138" s="26"/>
      <c r="LW138" s="26"/>
      <c r="LX138" s="26"/>
      <c r="LY138" s="26"/>
      <c r="LZ138" s="26"/>
      <c r="MA138" s="26"/>
      <c r="MB138" s="26"/>
      <c r="MC138" s="26"/>
      <c r="MD138" s="26"/>
      <c r="ME138" s="26"/>
      <c r="MF138" s="26"/>
      <c r="MG138" s="26"/>
      <c r="MH138" s="26"/>
      <c r="MI138" s="26"/>
      <c r="MJ138" s="26"/>
      <c r="MK138" s="26"/>
      <c r="ML138" s="26"/>
      <c r="MM138" s="26"/>
      <c r="MN138" s="26"/>
      <c r="MO138" s="26"/>
      <c r="MP138" s="26"/>
      <c r="MQ138" s="26"/>
      <c r="MR138" s="26"/>
      <c r="MS138" s="26"/>
      <c r="MT138" s="26"/>
      <c r="MU138" s="26"/>
      <c r="MV138" s="26"/>
      <c r="MW138" s="26"/>
      <c r="MX138" s="26"/>
      <c r="MY138" s="26"/>
      <c r="MZ138" s="26"/>
      <c r="NA138" s="26"/>
      <c r="NB138" s="26"/>
      <c r="NC138" s="26"/>
      <c r="ND138" s="26"/>
      <c r="NE138" s="26"/>
      <c r="NF138" s="26"/>
      <c r="NG138" s="26"/>
      <c r="NH138" s="26"/>
      <c r="NI138" s="26"/>
      <c r="NJ138" s="26"/>
      <c r="NK138" s="26"/>
      <c r="NL138" s="26"/>
      <c r="NM138" s="26"/>
      <c r="NN138" s="26"/>
      <c r="NO138" s="26"/>
      <c r="NP138" s="26"/>
      <c r="NQ138" s="26"/>
      <c r="NR138" s="26"/>
      <c r="NS138" s="26"/>
      <c r="NT138" s="26"/>
      <c r="NU138" s="26"/>
      <c r="NV138" s="26"/>
      <c r="NW138" s="26"/>
      <c r="NX138" s="26"/>
      <c r="NY138" s="26"/>
      <c r="NZ138" s="26"/>
      <c r="OA138" s="26"/>
      <c r="OB138" s="26"/>
      <c r="OC138" s="26"/>
      <c r="OD138" s="26"/>
      <c r="OE138" s="26"/>
      <c r="OF138" s="26"/>
      <c r="OG138" s="26"/>
      <c r="OH138" s="26"/>
      <c r="OI138" s="26"/>
      <c r="OJ138" s="26"/>
      <c r="OK138" s="26"/>
      <c r="OL138" s="26"/>
      <c r="OM138" s="26"/>
      <c r="ON138" s="26"/>
      <c r="OO138" s="26"/>
      <c r="OP138" s="26"/>
      <c r="OQ138" s="26"/>
      <c r="OR138" s="26"/>
      <c r="OS138" s="26"/>
      <c r="OT138" s="26"/>
      <c r="OU138" s="26"/>
      <c r="OV138" s="26"/>
      <c r="OW138" s="26"/>
      <c r="OX138" s="26"/>
      <c r="OY138" s="26"/>
      <c r="OZ138" s="26"/>
      <c r="PA138" s="26"/>
      <c r="PB138" s="26"/>
      <c r="PC138" s="26"/>
      <c r="PD138" s="26"/>
      <c r="PE138" s="26"/>
      <c r="PF138" s="26"/>
      <c r="PG138" s="26"/>
      <c r="PH138" s="26"/>
      <c r="PI138" s="26"/>
      <c r="PJ138" s="26"/>
      <c r="PK138" s="26"/>
      <c r="PL138" s="26"/>
      <c r="PM138" s="26"/>
      <c r="PN138" s="26"/>
      <c r="PO138" s="26"/>
      <c r="PP138" s="26"/>
      <c r="PQ138" s="26"/>
      <c r="PR138" s="26"/>
      <c r="PS138" s="26"/>
      <c r="PT138" s="26"/>
      <c r="PU138" s="26"/>
      <c r="PV138" s="26"/>
      <c r="PW138" s="26"/>
      <c r="PX138" s="26"/>
      <c r="PY138" s="26"/>
      <c r="PZ138" s="26"/>
      <c r="QA138" s="26"/>
      <c r="QB138" s="26"/>
      <c r="QC138" s="26"/>
      <c r="QD138" s="26"/>
      <c r="QE138" s="26"/>
      <c r="QF138" s="26"/>
      <c r="QG138" s="26"/>
      <c r="QH138" s="26"/>
      <c r="QI138" s="26"/>
      <c r="QJ138" s="26"/>
      <c r="QK138" s="26"/>
      <c r="QL138" s="26"/>
      <c r="QM138" s="26"/>
      <c r="QN138" s="26"/>
      <c r="QO138" s="26"/>
      <c r="QP138" s="26"/>
      <c r="QQ138" s="26"/>
      <c r="QR138" s="26"/>
      <c r="QS138" s="26"/>
      <c r="QT138" s="26"/>
      <c r="QU138" s="26"/>
      <c r="QV138" s="26"/>
      <c r="QW138" s="26"/>
      <c r="QX138" s="26"/>
      <c r="QY138" s="26"/>
      <c r="QZ138" s="26"/>
      <c r="RA138" s="26"/>
      <c r="RB138" s="26"/>
      <c r="RC138" s="26"/>
      <c r="RD138" s="26"/>
      <c r="RE138" s="26"/>
      <c r="RF138" s="26"/>
      <c r="RG138" s="26"/>
      <c r="RH138" s="26"/>
      <c r="RI138" s="26"/>
      <c r="RJ138" s="26"/>
      <c r="RK138" s="26"/>
      <c r="RL138" s="26"/>
      <c r="RM138" s="26"/>
      <c r="RN138" s="26"/>
      <c r="RO138" s="26"/>
      <c r="RP138" s="26"/>
      <c r="RQ138" s="26"/>
      <c r="RR138" s="26"/>
      <c r="RS138" s="26"/>
      <c r="RT138" s="26"/>
      <c r="RU138" s="26"/>
      <c r="RV138" s="26"/>
      <c r="RW138" s="26"/>
      <c r="RX138" s="26"/>
      <c r="RY138" s="26"/>
      <c r="RZ138" s="26"/>
      <c r="SA138" s="26"/>
      <c r="SB138" s="26"/>
      <c r="SC138" s="26"/>
      <c r="SD138" s="26"/>
      <c r="SE138" s="26"/>
      <c r="SF138" s="26"/>
      <c r="SG138" s="26"/>
      <c r="SH138" s="26"/>
      <c r="SI138" s="26"/>
      <c r="SJ138" s="26"/>
      <c r="SK138" s="26"/>
      <c r="SL138" s="26"/>
      <c r="SM138" s="26"/>
      <c r="SN138" s="26"/>
      <c r="SO138" s="26"/>
      <c r="SP138" s="26"/>
      <c r="SQ138" s="26"/>
      <c r="SR138" s="26"/>
      <c r="SS138" s="26"/>
      <c r="ST138" s="26"/>
      <c r="SU138" s="26"/>
      <c r="SV138" s="26"/>
      <c r="SW138" s="26"/>
      <c r="SX138" s="26"/>
      <c r="SY138" s="26"/>
      <c r="SZ138" s="26"/>
      <c r="TA138" s="26"/>
      <c r="TB138" s="26"/>
      <c r="TC138" s="26"/>
      <c r="TD138" s="26"/>
      <c r="TE138" s="26"/>
      <c r="TF138" s="26"/>
      <c r="TG138" s="26"/>
      <c r="TH138" s="26"/>
      <c r="TI138" s="26"/>
      <c r="TJ138" s="26"/>
      <c r="TK138" s="26"/>
      <c r="TL138" s="26"/>
      <c r="TM138" s="26"/>
      <c r="TN138" s="26"/>
      <c r="TO138" s="26"/>
      <c r="TP138" s="26"/>
      <c r="TQ138" s="26"/>
      <c r="TR138" s="26"/>
      <c r="TS138" s="26"/>
      <c r="TT138" s="26"/>
      <c r="TU138" s="26"/>
      <c r="TV138" s="26"/>
      <c r="TW138" s="26"/>
      <c r="TX138" s="26"/>
      <c r="TY138" s="26"/>
      <c r="TZ138" s="26"/>
      <c r="UA138" s="26"/>
      <c r="UB138" s="26"/>
      <c r="UC138" s="26"/>
      <c r="UD138" s="26"/>
      <c r="UE138" s="26"/>
      <c r="UF138" s="26"/>
      <c r="UG138" s="26"/>
      <c r="UH138" s="26"/>
      <c r="UI138" s="26"/>
      <c r="UJ138" s="26"/>
      <c r="UK138" s="26"/>
      <c r="UL138" s="26"/>
      <c r="UM138" s="26"/>
      <c r="UN138" s="26"/>
      <c r="UO138" s="26"/>
      <c r="UP138" s="26"/>
      <c r="UQ138" s="26"/>
      <c r="UR138" s="26"/>
      <c r="US138" s="26"/>
      <c r="UT138" s="26"/>
      <c r="UU138" s="26"/>
      <c r="UV138" s="26"/>
      <c r="UW138" s="26"/>
      <c r="UX138" s="26"/>
      <c r="UY138" s="26"/>
      <c r="UZ138" s="26"/>
      <c r="VA138" s="26"/>
      <c r="VB138" s="26"/>
      <c r="VC138" s="26"/>
      <c r="VD138" s="26"/>
      <c r="VE138" s="26"/>
      <c r="VF138" s="26"/>
      <c r="VG138" s="26"/>
      <c r="VH138" s="26"/>
      <c r="VI138" s="26"/>
      <c r="VJ138" s="26"/>
      <c r="VK138" s="26"/>
      <c r="VL138" s="26"/>
      <c r="VM138" s="26"/>
      <c r="VN138" s="26"/>
      <c r="VO138" s="26"/>
      <c r="VP138" s="26"/>
      <c r="VQ138" s="26"/>
      <c r="VR138" s="26"/>
      <c r="VS138" s="26"/>
      <c r="VT138" s="26"/>
      <c r="VU138" s="26"/>
      <c r="VV138" s="26"/>
      <c r="VW138" s="26"/>
      <c r="VX138" s="26"/>
      <c r="VY138" s="26"/>
      <c r="VZ138" s="26"/>
      <c r="WA138" s="26"/>
      <c r="WB138" s="26"/>
      <c r="WC138" s="26"/>
      <c r="WD138" s="26"/>
      <c r="WE138" s="26"/>
      <c r="WF138" s="26"/>
      <c r="WG138" s="26"/>
      <c r="WH138" s="26"/>
      <c r="WI138" s="26"/>
      <c r="WJ138" s="26"/>
      <c r="WK138" s="26"/>
      <c r="WL138" s="26"/>
      <c r="WM138" s="26"/>
      <c r="WN138" s="26"/>
      <c r="WO138" s="26"/>
      <c r="WP138" s="26"/>
      <c r="WQ138" s="26"/>
      <c r="WR138" s="26"/>
      <c r="WS138" s="26"/>
      <c r="WT138" s="26"/>
      <c r="WU138" s="26"/>
      <c r="WV138" s="26"/>
      <c r="WW138" s="26"/>
      <c r="WX138" s="26"/>
      <c r="WY138" s="26"/>
      <c r="WZ138" s="26"/>
      <c r="XA138" s="26"/>
      <c r="XB138" s="26"/>
      <c r="XC138" s="26"/>
      <c r="XD138" s="26"/>
      <c r="XE138" s="26"/>
      <c r="XF138" s="26"/>
      <c r="XG138" s="26"/>
      <c r="XH138" s="26"/>
      <c r="XI138" s="26"/>
      <c r="XJ138" s="26"/>
      <c r="XK138" s="26"/>
      <c r="XL138" s="26"/>
      <c r="XM138" s="26"/>
      <c r="XN138" s="26"/>
      <c r="XO138" s="26"/>
      <c r="XP138" s="26"/>
      <c r="XQ138" s="26"/>
      <c r="XR138" s="26"/>
      <c r="XS138" s="26"/>
      <c r="XT138" s="26"/>
      <c r="XU138" s="26"/>
      <c r="XV138" s="26"/>
      <c r="XW138" s="26"/>
      <c r="XX138" s="26"/>
      <c r="XY138" s="26"/>
      <c r="XZ138" s="26"/>
      <c r="YA138" s="26"/>
      <c r="YB138" s="26"/>
      <c r="YC138" s="26"/>
      <c r="YD138" s="26"/>
      <c r="YE138" s="26"/>
      <c r="YF138" s="26"/>
      <c r="YG138" s="26"/>
      <c r="YH138" s="26"/>
      <c r="YI138" s="26"/>
      <c r="YJ138" s="26"/>
      <c r="YK138" s="26"/>
      <c r="YL138" s="26"/>
      <c r="YM138" s="26"/>
      <c r="YN138" s="26"/>
      <c r="YO138" s="26"/>
      <c r="YP138" s="26"/>
      <c r="YQ138" s="26"/>
      <c r="YR138" s="26"/>
      <c r="YS138" s="26"/>
      <c r="YT138" s="26"/>
      <c r="YU138" s="26"/>
      <c r="YV138" s="26"/>
      <c r="YW138" s="26"/>
      <c r="YX138" s="26"/>
      <c r="YY138" s="26"/>
      <c r="YZ138" s="26"/>
      <c r="ZA138" s="26"/>
      <c r="ZB138" s="26"/>
      <c r="ZC138" s="26"/>
      <c r="ZD138" s="26"/>
      <c r="ZE138" s="26"/>
      <c r="ZF138" s="26"/>
      <c r="ZG138" s="26"/>
      <c r="ZH138" s="26"/>
      <c r="ZI138" s="26"/>
      <c r="ZJ138" s="26"/>
      <c r="ZK138" s="26"/>
      <c r="ZL138" s="26"/>
      <c r="ZM138" s="26"/>
      <c r="ZN138" s="26"/>
      <c r="ZO138" s="26"/>
      <c r="ZP138" s="26"/>
      <c r="ZQ138" s="26"/>
      <c r="ZR138" s="26"/>
      <c r="ZS138" s="26"/>
      <c r="ZT138" s="26"/>
      <c r="ZU138" s="26"/>
      <c r="ZV138" s="26"/>
      <c r="ZW138" s="26"/>
      <c r="ZX138" s="26"/>
      <c r="ZY138" s="26"/>
      <c r="ZZ138" s="26"/>
      <c r="AAA138" s="26"/>
      <c r="AAB138" s="26"/>
      <c r="AAC138" s="26"/>
      <c r="AAD138" s="26"/>
      <c r="AAE138" s="26"/>
      <c r="AAF138" s="26"/>
      <c r="AAG138" s="26"/>
      <c r="AAH138" s="26"/>
      <c r="AAI138" s="26"/>
      <c r="AAJ138" s="26"/>
      <c r="AAK138" s="26"/>
      <c r="AAL138" s="26"/>
      <c r="AAM138" s="26"/>
      <c r="AAN138" s="26"/>
      <c r="AAO138" s="26"/>
      <c r="AAP138" s="26"/>
      <c r="AAQ138" s="26"/>
      <c r="AAR138" s="26"/>
      <c r="AAS138" s="26"/>
      <c r="AAT138" s="26"/>
      <c r="AAU138" s="26"/>
      <c r="AAV138" s="26"/>
      <c r="AAW138" s="26"/>
      <c r="AAX138" s="26"/>
      <c r="AAY138" s="26"/>
      <c r="AAZ138" s="26"/>
      <c r="ABA138" s="26"/>
      <c r="ABB138" s="26"/>
      <c r="ABC138" s="26"/>
      <c r="ABD138" s="26"/>
      <c r="ABE138" s="26"/>
      <c r="ABF138" s="26"/>
      <c r="ABG138" s="26"/>
      <c r="ABH138" s="26"/>
      <c r="ABI138" s="26"/>
      <c r="ABJ138" s="26"/>
      <c r="ABK138" s="26"/>
      <c r="ABL138" s="26"/>
      <c r="ABM138" s="26"/>
      <c r="ABN138" s="26"/>
      <c r="ABO138" s="26"/>
      <c r="ABP138" s="26"/>
      <c r="ABQ138" s="26"/>
      <c r="ABR138" s="26"/>
      <c r="ABS138" s="26"/>
      <c r="ABT138" s="26"/>
      <c r="ABU138" s="26"/>
      <c r="ABV138" s="26"/>
      <c r="ABW138" s="26"/>
      <c r="ABX138" s="26"/>
      <c r="ABY138" s="26"/>
      <c r="ABZ138" s="26"/>
      <c r="ACA138" s="26"/>
      <c r="ACB138" s="26"/>
      <c r="ACC138" s="26"/>
      <c r="ACD138" s="26"/>
      <c r="ACE138" s="26"/>
      <c r="ACF138" s="26"/>
      <c r="ACG138" s="26"/>
      <c r="ACH138" s="26"/>
      <c r="ACI138" s="26"/>
      <c r="ACJ138" s="26"/>
      <c r="ACK138" s="26"/>
      <c r="ACL138" s="26"/>
      <c r="ACM138" s="26"/>
      <c r="ACN138" s="26"/>
      <c r="ACO138" s="26"/>
      <c r="ACP138" s="26"/>
      <c r="ACQ138" s="26"/>
      <c r="ACR138" s="26"/>
      <c r="ACS138" s="26"/>
      <c r="ACT138" s="26"/>
      <c r="ACU138" s="26"/>
      <c r="ACV138" s="26"/>
      <c r="ACW138" s="26"/>
      <c r="ACX138" s="26"/>
      <c r="ACY138" s="26"/>
      <c r="ACZ138" s="26"/>
      <c r="ADA138" s="26"/>
      <c r="ADB138" s="26"/>
      <c r="ADC138" s="26"/>
      <c r="ADD138" s="26"/>
      <c r="ADE138" s="26"/>
      <c r="ADF138" s="26"/>
      <c r="ADG138" s="26"/>
      <c r="ADH138" s="26"/>
      <c r="ADI138" s="26"/>
      <c r="ADJ138" s="26"/>
      <c r="ADK138" s="26"/>
      <c r="ADL138" s="26"/>
      <c r="ADM138" s="26"/>
      <c r="ADN138" s="26"/>
      <c r="ADO138" s="26"/>
      <c r="ADP138" s="26"/>
      <c r="ADQ138" s="26"/>
      <c r="ADR138" s="26"/>
      <c r="ADS138" s="26"/>
      <c r="ADT138" s="26"/>
      <c r="ADU138" s="26"/>
      <c r="ADV138" s="26"/>
      <c r="ADW138" s="26"/>
      <c r="ADX138" s="26"/>
      <c r="ADY138" s="26"/>
      <c r="ADZ138" s="26"/>
      <c r="AEA138" s="26"/>
      <c r="AEB138" s="26"/>
      <c r="AEC138" s="26"/>
      <c r="AED138" s="26"/>
      <c r="AEE138" s="26"/>
      <c r="AEF138" s="26"/>
      <c r="AEG138" s="26"/>
      <c r="AEH138" s="26"/>
      <c r="AEI138" s="26"/>
      <c r="AEJ138" s="26"/>
      <c r="AEK138" s="26"/>
      <c r="AEL138" s="26"/>
      <c r="AEM138" s="26"/>
      <c r="AEN138" s="26"/>
      <c r="AEO138" s="26"/>
      <c r="AEP138" s="26"/>
      <c r="AEQ138" s="26"/>
      <c r="AER138" s="26"/>
      <c r="AES138" s="26"/>
      <c r="AET138" s="26"/>
      <c r="AEU138" s="26"/>
      <c r="AEV138" s="26"/>
      <c r="AEW138" s="26"/>
      <c r="AEX138" s="26"/>
      <c r="AEY138" s="26"/>
      <c r="AEZ138" s="26"/>
      <c r="AFA138" s="26"/>
      <c r="AFB138" s="26"/>
      <c r="AFC138" s="26"/>
      <c r="AFD138" s="26"/>
      <c r="AFE138" s="26"/>
      <c r="AFF138" s="26"/>
      <c r="AFG138" s="26"/>
      <c r="AFH138" s="26"/>
      <c r="AFI138" s="26"/>
      <c r="AFJ138" s="26"/>
      <c r="AFK138" s="26"/>
      <c r="AFL138" s="26"/>
      <c r="AFM138" s="26"/>
      <c r="AFN138" s="26"/>
      <c r="AFO138" s="26"/>
      <c r="AFP138" s="26"/>
      <c r="AFQ138" s="26"/>
      <c r="AFR138" s="26"/>
      <c r="AFS138" s="26"/>
      <c r="AFT138" s="26"/>
      <c r="AFU138" s="26"/>
      <c r="AFV138" s="26"/>
      <c r="AFW138" s="26"/>
      <c r="AFX138" s="26"/>
      <c r="AFY138" s="26"/>
      <c r="AFZ138" s="26"/>
      <c r="AGA138" s="26"/>
      <c r="AGB138" s="26"/>
      <c r="AGC138" s="26"/>
      <c r="AGD138" s="26"/>
      <c r="AGE138" s="26"/>
      <c r="AGF138" s="26"/>
      <c r="AGG138" s="26"/>
      <c r="AGH138" s="26"/>
      <c r="AGI138" s="26"/>
      <c r="AGJ138" s="26"/>
      <c r="AGK138" s="26"/>
      <c r="AGL138" s="26"/>
      <c r="AGM138" s="26"/>
      <c r="AGN138" s="26"/>
      <c r="AGO138" s="26"/>
      <c r="AGP138" s="26"/>
      <c r="AGQ138" s="26"/>
      <c r="AGR138" s="26"/>
      <c r="AGS138" s="26"/>
      <c r="AGT138" s="26"/>
      <c r="AGU138" s="26"/>
      <c r="AGV138" s="26"/>
      <c r="AGW138" s="26"/>
      <c r="AGX138" s="26"/>
      <c r="AGY138" s="26"/>
      <c r="AGZ138" s="26"/>
      <c r="AHA138" s="26"/>
      <c r="AHB138" s="26"/>
      <c r="AHC138" s="26"/>
      <c r="AHD138" s="26"/>
      <c r="AHE138" s="26"/>
      <c r="AHF138" s="26"/>
      <c r="AHG138" s="26"/>
      <c r="AHH138" s="26"/>
      <c r="AHI138" s="26"/>
      <c r="AHJ138" s="26"/>
      <c r="AHK138" s="26"/>
      <c r="AHL138" s="26"/>
      <c r="AHM138" s="26"/>
      <c r="AHN138" s="26"/>
      <c r="AHO138" s="26"/>
      <c r="AHP138" s="26"/>
      <c r="AHQ138" s="26"/>
      <c r="AHR138" s="26"/>
      <c r="AHS138" s="26"/>
      <c r="AHT138" s="26"/>
      <c r="AHU138" s="26"/>
      <c r="AHV138" s="26"/>
      <c r="AHW138" s="26"/>
      <c r="AHX138" s="26"/>
      <c r="AHY138" s="26"/>
      <c r="AHZ138" s="26"/>
      <c r="AIA138" s="26"/>
      <c r="AIB138" s="26"/>
      <c r="AIC138" s="26"/>
      <c r="AID138" s="26"/>
      <c r="AIE138" s="26"/>
      <c r="AIF138" s="26"/>
      <c r="AIG138" s="26"/>
      <c r="AIH138" s="26"/>
      <c r="AII138" s="26"/>
      <c r="AIJ138" s="26"/>
      <c r="AIK138" s="26"/>
      <c r="AIL138" s="26"/>
      <c r="AIM138" s="26"/>
      <c r="AIN138" s="26"/>
      <c r="AIO138" s="26"/>
      <c r="AIP138" s="26"/>
      <c r="AIQ138" s="26"/>
      <c r="AIR138" s="26"/>
      <c r="AIS138" s="26"/>
      <c r="AIT138" s="26"/>
      <c r="AIU138" s="26"/>
      <c r="AIV138" s="26"/>
      <c r="AIW138" s="26"/>
      <c r="AIX138" s="26"/>
      <c r="AIY138" s="26"/>
      <c r="AIZ138" s="26"/>
      <c r="AJA138" s="26"/>
      <c r="AJB138" s="26"/>
      <c r="AJC138" s="26"/>
      <c r="AJD138" s="26"/>
      <c r="AJE138" s="26"/>
      <c r="AJF138" s="26"/>
      <c r="AJG138" s="26"/>
      <c r="AJH138" s="26"/>
      <c r="AJI138" s="26"/>
      <c r="AJJ138" s="26"/>
      <c r="AJK138" s="26"/>
      <c r="AJL138" s="26"/>
      <c r="AJM138" s="26"/>
      <c r="AJN138" s="26"/>
      <c r="AJO138" s="26"/>
      <c r="AJP138" s="26"/>
      <c r="AJQ138" s="26"/>
      <c r="AJR138" s="26"/>
      <c r="AJS138" s="26"/>
      <c r="AJT138" s="26"/>
      <c r="AJU138" s="26"/>
      <c r="AJV138" s="26"/>
      <c r="AJW138" s="26"/>
      <c r="AJX138" s="26"/>
      <c r="AJY138" s="26"/>
      <c r="AJZ138" s="26"/>
      <c r="AKA138" s="26"/>
      <c r="AKB138" s="26"/>
      <c r="AKC138" s="26"/>
      <c r="AKD138" s="26"/>
      <c r="AKE138" s="26"/>
      <c r="AKF138" s="26"/>
      <c r="AKG138" s="26"/>
      <c r="AKH138" s="26"/>
      <c r="AKI138" s="26"/>
      <c r="AKJ138" s="26"/>
      <c r="AKK138" s="26"/>
      <c r="AKL138" s="26"/>
      <c r="AKM138" s="26"/>
      <c r="AKN138" s="26"/>
      <c r="AKO138" s="26"/>
      <c r="AKP138" s="26"/>
      <c r="AKQ138" s="26"/>
      <c r="AKR138" s="26"/>
      <c r="AKS138" s="26"/>
      <c r="AKT138" s="26"/>
      <c r="AKU138" s="26"/>
      <c r="AKV138" s="26"/>
      <c r="AKW138" s="26"/>
      <c r="AKX138" s="26"/>
      <c r="AKY138" s="26"/>
      <c r="AKZ138" s="26"/>
      <c r="ALA138" s="26"/>
      <c r="ALB138" s="26"/>
      <c r="ALC138" s="26"/>
      <c r="ALD138" s="26"/>
      <c r="ALE138" s="26"/>
      <c r="ALF138" s="26"/>
      <c r="ALG138" s="26"/>
      <c r="ALH138" s="26"/>
      <c r="ALI138" s="26"/>
      <c r="ALJ138" s="26"/>
      <c r="ALK138" s="26"/>
      <c r="ALL138" s="26"/>
      <c r="ALM138" s="26"/>
      <c r="ALN138" s="26"/>
      <c r="ALO138" s="26"/>
      <c r="ALP138" s="26"/>
      <c r="ALQ138" s="26"/>
      <c r="ALR138" s="26"/>
      <c r="ALS138" s="26"/>
      <c r="ALT138" s="26"/>
      <c r="ALU138" s="26"/>
      <c r="ALV138" s="26"/>
      <c r="ALW138" s="26"/>
      <c r="ALX138" s="26"/>
      <c r="ALY138" s="26"/>
      <c r="ALZ138" s="26"/>
      <c r="AMA138" s="26"/>
      <c r="AMB138" s="26"/>
      <c r="AMC138" s="26"/>
      <c r="AMD138" s="26"/>
      <c r="AME138" s="26"/>
      <c r="AMF138" s="26"/>
      <c r="AMG138" s="26"/>
      <c r="AMH138" s="26"/>
      <c r="AMI138" s="26"/>
      <c r="AMJ138" s="26"/>
      <c r="AMK138" s="26"/>
      <c r="AML138" s="26"/>
      <c r="AMM138" s="26"/>
      <c r="AMN138" s="26"/>
      <c r="AMO138" s="26"/>
      <c r="AMP138" s="26"/>
      <c r="AMQ138" s="26"/>
      <c r="AMR138" s="26"/>
      <c r="AMS138" s="26"/>
      <c r="AMT138" s="26"/>
      <c r="AMU138" s="26"/>
      <c r="AMV138" s="26"/>
      <c r="AMW138" s="26"/>
      <c r="AMX138" s="26"/>
      <c r="AMY138" s="26"/>
      <c r="AMZ138" s="26"/>
      <c r="ANA138" s="26"/>
      <c r="ANB138" s="26"/>
      <c r="ANC138" s="26"/>
      <c r="AND138" s="26"/>
      <c r="ANE138" s="26"/>
      <c r="ANF138" s="26"/>
      <c r="ANG138" s="26"/>
      <c r="ANH138" s="26"/>
      <c r="ANI138" s="26"/>
      <c r="ANJ138" s="26"/>
      <c r="ANK138" s="26"/>
      <c r="ANL138" s="26"/>
      <c r="ANM138" s="26"/>
      <c r="ANN138" s="26"/>
      <c r="ANO138" s="26"/>
      <c r="ANP138" s="26"/>
      <c r="ANQ138" s="26"/>
      <c r="ANR138" s="26"/>
      <c r="ANS138" s="26"/>
      <c r="ANT138" s="26"/>
      <c r="ANU138" s="26"/>
      <c r="ANV138" s="26"/>
      <c r="ANW138" s="26"/>
      <c r="ANX138" s="26"/>
      <c r="ANY138" s="26"/>
      <c r="ANZ138" s="26"/>
      <c r="AOA138" s="26"/>
      <c r="AOB138" s="26"/>
      <c r="AOC138" s="26"/>
      <c r="AOD138" s="26"/>
      <c r="AOE138" s="26"/>
      <c r="AOF138" s="26"/>
      <c r="AOG138" s="26"/>
      <c r="AOH138" s="26"/>
      <c r="AOI138" s="26"/>
      <c r="AOJ138" s="26"/>
      <c r="AOK138" s="26"/>
      <c r="AOL138" s="26"/>
      <c r="AOM138" s="26"/>
      <c r="AON138" s="26"/>
      <c r="AOO138" s="26"/>
      <c r="AOP138" s="26"/>
      <c r="AOQ138" s="26"/>
      <c r="AOR138" s="26"/>
      <c r="AOS138" s="26"/>
      <c r="AOT138" s="26"/>
      <c r="AOU138" s="26"/>
      <c r="AOV138" s="26"/>
      <c r="AOW138" s="26"/>
      <c r="AOX138" s="26"/>
      <c r="AOY138" s="26"/>
      <c r="AOZ138" s="26"/>
      <c r="APA138" s="26"/>
      <c r="APB138" s="26"/>
      <c r="APC138" s="26"/>
      <c r="APD138" s="26"/>
      <c r="APE138" s="26"/>
      <c r="APF138" s="26"/>
      <c r="APG138" s="26"/>
      <c r="APH138" s="26"/>
      <c r="API138" s="26"/>
      <c r="APJ138" s="26"/>
      <c r="APK138" s="26"/>
      <c r="APL138" s="26"/>
      <c r="APM138" s="26"/>
      <c r="APN138" s="26"/>
      <c r="APO138" s="26"/>
      <c r="APP138" s="26"/>
      <c r="APQ138" s="26"/>
      <c r="APR138" s="26"/>
      <c r="APS138" s="26"/>
      <c r="APT138" s="26"/>
      <c r="APU138" s="26"/>
      <c r="APV138" s="26"/>
      <c r="APW138" s="26"/>
      <c r="APX138" s="26"/>
      <c r="APY138" s="26"/>
      <c r="APZ138" s="26"/>
      <c r="AQA138" s="26"/>
      <c r="AQB138" s="26"/>
      <c r="AQC138" s="26"/>
      <c r="AQD138" s="26"/>
      <c r="AQE138" s="26"/>
      <c r="AQF138" s="26"/>
      <c r="AQG138" s="26"/>
      <c r="AQH138" s="26"/>
      <c r="AQI138" s="26"/>
      <c r="AQJ138" s="26"/>
      <c r="AQK138" s="26"/>
      <c r="AQL138" s="26"/>
      <c r="AQM138" s="26"/>
      <c r="AQN138" s="26"/>
      <c r="AQO138" s="26"/>
      <c r="AQP138" s="26"/>
      <c r="AQQ138" s="26"/>
      <c r="AQR138" s="26"/>
      <c r="AQS138" s="26"/>
      <c r="AQT138" s="26"/>
      <c r="AQU138" s="26"/>
      <c r="AQV138" s="26"/>
      <c r="AQW138" s="26"/>
      <c r="AQX138" s="26"/>
      <c r="AQY138" s="26"/>
      <c r="AQZ138" s="26"/>
      <c r="ARA138" s="26"/>
      <c r="ARB138" s="26"/>
      <c r="ARC138" s="26"/>
      <c r="ARD138" s="26"/>
      <c r="ARE138" s="26"/>
      <c r="ARF138" s="26"/>
      <c r="ARG138" s="26"/>
      <c r="ARH138" s="26"/>
      <c r="ARI138" s="26"/>
      <c r="ARJ138" s="26"/>
      <c r="ARK138" s="26"/>
      <c r="ARL138" s="26"/>
      <c r="ARM138" s="26"/>
      <c r="ARN138" s="26"/>
      <c r="ARO138" s="26"/>
      <c r="ARP138" s="26"/>
      <c r="ARQ138" s="26"/>
      <c r="ARR138" s="26"/>
      <c r="ARS138" s="26"/>
      <c r="ART138" s="26"/>
      <c r="ARU138" s="26"/>
      <c r="ARV138" s="26"/>
      <c r="ARW138" s="26"/>
      <c r="ARX138" s="26"/>
      <c r="ARY138" s="26"/>
      <c r="ARZ138" s="26"/>
      <c r="ASA138" s="26"/>
      <c r="ASB138" s="26"/>
      <c r="ASC138" s="26"/>
      <c r="ASD138" s="26"/>
      <c r="ASE138" s="26"/>
      <c r="ASF138" s="26"/>
      <c r="ASG138" s="26"/>
      <c r="ASH138" s="26"/>
      <c r="ASI138" s="26"/>
      <c r="ASJ138" s="26"/>
      <c r="ASK138" s="26"/>
      <c r="ASL138" s="26"/>
      <c r="ASM138" s="26"/>
      <c r="ASN138" s="26"/>
      <c r="ASO138" s="26"/>
      <c r="ASP138" s="26"/>
      <c r="ASQ138" s="26"/>
      <c r="ASR138" s="26"/>
      <c r="ASS138" s="26"/>
      <c r="AST138" s="26"/>
      <c r="ASU138" s="26"/>
      <c r="ASV138" s="26"/>
      <c r="ASW138" s="26"/>
      <c r="ASX138" s="26"/>
      <c r="ASY138" s="26"/>
      <c r="ASZ138" s="26"/>
      <c r="ATA138" s="26"/>
      <c r="ATB138" s="26"/>
      <c r="ATC138" s="26"/>
      <c r="ATD138" s="26"/>
      <c r="ATE138" s="26"/>
      <c r="ATF138" s="26"/>
      <c r="ATG138" s="26"/>
      <c r="ATH138" s="26"/>
      <c r="ATI138" s="26"/>
      <c r="ATJ138" s="26"/>
      <c r="ATK138" s="26"/>
      <c r="ATL138" s="26"/>
      <c r="ATM138" s="26"/>
      <c r="ATN138" s="26"/>
      <c r="ATO138" s="26"/>
      <c r="ATP138" s="26"/>
      <c r="ATQ138" s="26"/>
      <c r="ATR138" s="26"/>
      <c r="ATS138" s="26"/>
      <c r="ATT138" s="26"/>
      <c r="ATU138" s="26"/>
      <c r="ATV138" s="26"/>
      <c r="ATW138" s="26"/>
      <c r="ATX138" s="26"/>
      <c r="ATY138" s="26"/>
      <c r="ATZ138" s="26"/>
      <c r="AUA138" s="26"/>
      <c r="AUB138" s="26"/>
      <c r="AUC138" s="26"/>
      <c r="AUD138" s="26"/>
      <c r="AUE138" s="26"/>
      <c r="AUF138" s="26"/>
      <c r="AUG138" s="26"/>
      <c r="AUH138" s="26"/>
      <c r="AUI138" s="26"/>
      <c r="AUJ138" s="26"/>
      <c r="AUK138" s="26"/>
      <c r="AUL138" s="26"/>
      <c r="AUM138" s="26"/>
      <c r="AUN138" s="26"/>
      <c r="AUO138" s="26"/>
      <c r="AUP138" s="26"/>
      <c r="AUQ138" s="26"/>
      <c r="AUR138" s="26"/>
      <c r="AUS138" s="26"/>
      <c r="AUT138" s="26"/>
      <c r="AUU138" s="26"/>
      <c r="AUV138" s="26"/>
      <c r="AUW138" s="26"/>
      <c r="AUX138" s="26"/>
      <c r="AUY138" s="26"/>
      <c r="AUZ138" s="26"/>
      <c r="AVA138" s="26"/>
      <c r="AVB138" s="26"/>
      <c r="AVC138" s="26"/>
      <c r="AVD138" s="26"/>
      <c r="AVE138" s="26"/>
      <c r="AVF138" s="26"/>
      <c r="AVG138" s="26"/>
      <c r="AVH138" s="26"/>
      <c r="AVI138" s="26"/>
      <c r="AVJ138" s="26"/>
      <c r="AVK138" s="26"/>
      <c r="AVL138" s="26"/>
      <c r="AVM138" s="26"/>
      <c r="AVN138" s="26"/>
      <c r="AVO138" s="26"/>
      <c r="AVP138" s="26"/>
      <c r="AVQ138" s="26"/>
      <c r="AVR138" s="26"/>
      <c r="AVS138" s="26"/>
      <c r="AVT138" s="26"/>
      <c r="AVU138" s="26"/>
      <c r="AVV138" s="26"/>
      <c r="AVW138" s="26"/>
      <c r="AVX138" s="26"/>
      <c r="AVY138" s="26"/>
      <c r="AVZ138" s="26"/>
      <c r="AWA138" s="26"/>
      <c r="AWB138" s="26"/>
      <c r="AWC138" s="26"/>
      <c r="AWD138" s="26"/>
      <c r="AWE138" s="26"/>
      <c r="AWF138" s="26"/>
      <c r="AWG138" s="26"/>
      <c r="AWH138" s="26"/>
      <c r="AWI138" s="26"/>
      <c r="AWJ138" s="26"/>
      <c r="AWK138" s="26"/>
      <c r="AWL138" s="26"/>
      <c r="AWM138" s="26"/>
      <c r="AWN138" s="26"/>
      <c r="AWO138" s="26"/>
      <c r="AWP138" s="26"/>
      <c r="AWQ138" s="26"/>
      <c r="AWR138" s="26"/>
      <c r="AWS138" s="26"/>
      <c r="AWT138" s="26"/>
      <c r="AWU138" s="26"/>
      <c r="AWV138" s="26"/>
      <c r="AWW138" s="26"/>
      <c r="AWX138" s="26"/>
      <c r="AWY138" s="26"/>
      <c r="AWZ138" s="26"/>
      <c r="AXA138" s="26"/>
      <c r="AXB138" s="26"/>
      <c r="AXC138" s="26"/>
      <c r="AXD138" s="26"/>
      <c r="AXE138" s="26"/>
      <c r="AXF138" s="26"/>
      <c r="AXG138" s="26"/>
      <c r="AXH138" s="26"/>
      <c r="AXI138" s="26"/>
      <c r="AXJ138" s="26"/>
      <c r="AXK138" s="26"/>
      <c r="AXL138" s="26"/>
      <c r="AXM138" s="26"/>
      <c r="AXN138" s="26"/>
      <c r="AXO138" s="26"/>
      <c r="AXP138" s="26"/>
      <c r="AXQ138" s="26"/>
      <c r="AXR138" s="26"/>
      <c r="AXS138" s="26"/>
      <c r="AXT138" s="26"/>
      <c r="AXU138" s="26"/>
      <c r="AXV138" s="26"/>
      <c r="AXW138" s="26"/>
      <c r="AXX138" s="26"/>
      <c r="AXY138" s="26"/>
      <c r="AXZ138" s="26"/>
      <c r="AYA138" s="26"/>
      <c r="AYB138" s="26"/>
      <c r="AYC138" s="26"/>
      <c r="AYD138" s="26"/>
      <c r="AYE138" s="26"/>
      <c r="AYF138" s="26"/>
      <c r="AYG138" s="26"/>
      <c r="AYH138" s="26"/>
      <c r="AYI138" s="26"/>
      <c r="AYJ138" s="26"/>
      <c r="AYK138" s="26"/>
      <c r="AYL138" s="26"/>
      <c r="AYM138" s="26"/>
      <c r="AYN138" s="26"/>
      <c r="AYO138" s="26"/>
      <c r="AYP138" s="26"/>
      <c r="AYQ138" s="26"/>
      <c r="AYR138" s="26"/>
      <c r="AYS138" s="26"/>
      <c r="AYT138" s="26"/>
      <c r="AYU138" s="26"/>
      <c r="AYV138" s="26"/>
      <c r="AYW138" s="26"/>
      <c r="AYX138" s="26"/>
      <c r="AYY138" s="26"/>
      <c r="AYZ138" s="26"/>
      <c r="AZA138" s="26"/>
      <c r="AZB138" s="26"/>
      <c r="AZC138" s="26"/>
      <c r="AZD138" s="26"/>
      <c r="AZE138" s="26"/>
      <c r="AZF138" s="26"/>
      <c r="AZG138" s="26"/>
      <c r="AZH138" s="26"/>
      <c r="AZI138" s="26"/>
      <c r="AZJ138" s="26"/>
      <c r="AZK138" s="26"/>
      <c r="AZL138" s="26"/>
      <c r="AZM138" s="26"/>
      <c r="AZN138" s="26"/>
      <c r="AZO138" s="26"/>
      <c r="AZP138" s="26"/>
      <c r="AZQ138" s="26"/>
      <c r="AZR138" s="26"/>
      <c r="AZS138" s="26"/>
      <c r="AZT138" s="26"/>
      <c r="AZU138" s="26"/>
      <c r="AZV138" s="26"/>
      <c r="AZW138" s="26"/>
      <c r="AZX138" s="26"/>
      <c r="AZY138" s="26"/>
      <c r="AZZ138" s="26"/>
      <c r="BAA138" s="26"/>
      <c r="BAB138" s="26"/>
      <c r="BAC138" s="26"/>
      <c r="BAD138" s="26"/>
      <c r="BAE138" s="26"/>
      <c r="BAF138" s="26"/>
      <c r="BAG138" s="26"/>
      <c r="BAH138" s="26"/>
      <c r="BAI138" s="26"/>
      <c r="BAJ138" s="26"/>
      <c r="BAK138" s="26"/>
      <c r="BAL138" s="26"/>
      <c r="BAM138" s="26"/>
      <c r="BAN138" s="26"/>
      <c r="BAO138" s="26"/>
      <c r="BAP138" s="26"/>
      <c r="BAQ138" s="26"/>
      <c r="BAR138" s="26"/>
      <c r="BAS138" s="26"/>
      <c r="BAT138" s="26"/>
      <c r="BAU138" s="26"/>
      <c r="BAV138" s="26"/>
      <c r="BAW138" s="26"/>
      <c r="BAX138" s="26"/>
      <c r="BAY138" s="26"/>
      <c r="BAZ138" s="26"/>
      <c r="BBA138" s="26"/>
      <c r="BBB138" s="26"/>
      <c r="BBC138" s="26"/>
      <c r="BBD138" s="26"/>
      <c r="BBE138" s="26"/>
      <c r="BBF138" s="26"/>
      <c r="BBG138" s="26"/>
      <c r="BBH138" s="26"/>
      <c r="BBI138" s="26"/>
      <c r="BBJ138" s="26"/>
      <c r="BBK138" s="26"/>
      <c r="BBL138" s="26"/>
      <c r="BBM138" s="26"/>
      <c r="BBN138" s="26"/>
      <c r="BBO138" s="26"/>
      <c r="BBP138" s="26"/>
      <c r="BBQ138" s="26"/>
      <c r="BBR138" s="26"/>
      <c r="BBS138" s="26"/>
      <c r="BBT138" s="26"/>
      <c r="BBU138" s="26"/>
      <c r="BBV138" s="26"/>
      <c r="BBW138" s="26"/>
      <c r="BBX138" s="26"/>
      <c r="BBY138" s="26"/>
      <c r="BBZ138" s="26"/>
      <c r="BCA138" s="26"/>
      <c r="BCB138" s="26"/>
      <c r="BCC138" s="26"/>
      <c r="BCD138" s="26"/>
      <c r="BCE138" s="26"/>
      <c r="BCF138" s="26"/>
      <c r="BCG138" s="26"/>
      <c r="BCH138" s="26"/>
      <c r="BCI138" s="26"/>
      <c r="BCJ138" s="26"/>
      <c r="BCK138" s="26"/>
      <c r="BCL138" s="26"/>
      <c r="BCM138" s="26"/>
      <c r="BCN138" s="26"/>
      <c r="BCO138" s="26"/>
      <c r="BCP138" s="26"/>
      <c r="BCQ138" s="26"/>
      <c r="BCR138" s="26"/>
      <c r="BCS138" s="26"/>
      <c r="BCT138" s="26"/>
      <c r="BCU138" s="26"/>
      <c r="BCV138" s="26"/>
      <c r="BCW138" s="26"/>
      <c r="BCX138" s="26"/>
      <c r="BCY138" s="26"/>
      <c r="BCZ138" s="26"/>
      <c r="BDA138" s="26"/>
      <c r="BDB138" s="26"/>
      <c r="BDC138" s="26"/>
      <c r="BDD138" s="26"/>
      <c r="BDE138" s="26"/>
      <c r="BDF138" s="26"/>
      <c r="BDG138" s="26"/>
      <c r="BDH138" s="26"/>
      <c r="BDI138" s="26"/>
      <c r="BDJ138" s="26"/>
      <c r="BDK138" s="26"/>
      <c r="BDL138" s="26"/>
      <c r="BDM138" s="26"/>
      <c r="BDN138" s="26"/>
      <c r="BDO138" s="26"/>
      <c r="BDP138" s="26"/>
      <c r="BDQ138" s="26"/>
      <c r="BDR138" s="26"/>
      <c r="BDS138" s="26"/>
      <c r="BDT138" s="26"/>
      <c r="BDU138" s="26"/>
      <c r="BDV138" s="26"/>
      <c r="BDW138" s="26"/>
      <c r="BDX138" s="26"/>
      <c r="BDY138" s="26"/>
      <c r="BDZ138" s="26"/>
      <c r="BEA138" s="26"/>
      <c r="BEB138" s="26"/>
      <c r="BEC138" s="26"/>
      <c r="BED138" s="26"/>
      <c r="BEE138" s="26"/>
      <c r="BEF138" s="26"/>
      <c r="BEG138" s="26"/>
      <c r="BEH138" s="26"/>
      <c r="BEI138" s="26"/>
      <c r="BEJ138" s="26"/>
      <c r="BEK138" s="26"/>
      <c r="BEL138" s="26"/>
      <c r="BEM138" s="26"/>
      <c r="BEN138" s="26"/>
      <c r="BEO138" s="26"/>
      <c r="BEP138" s="26"/>
      <c r="BEQ138" s="26"/>
      <c r="BER138" s="26"/>
      <c r="BES138" s="26"/>
      <c r="BET138" s="26"/>
      <c r="BEU138" s="26"/>
      <c r="BEV138" s="26"/>
      <c r="BEW138" s="26"/>
      <c r="BEX138" s="26"/>
      <c r="BEY138" s="26"/>
      <c r="BEZ138" s="26"/>
      <c r="BFA138" s="26"/>
      <c r="BFB138" s="26"/>
      <c r="BFC138" s="26"/>
      <c r="BFD138" s="26"/>
      <c r="BFE138" s="26"/>
      <c r="BFF138" s="26"/>
      <c r="BFG138" s="26"/>
      <c r="BFH138" s="26"/>
      <c r="BFI138" s="26"/>
      <c r="BFJ138" s="26"/>
      <c r="BFK138" s="26"/>
      <c r="BFL138" s="26"/>
      <c r="BFM138" s="26"/>
      <c r="BFN138" s="26"/>
      <c r="BFO138" s="26"/>
      <c r="BFP138" s="26"/>
      <c r="BFQ138" s="26"/>
      <c r="BFR138" s="26"/>
      <c r="BFS138" s="26"/>
      <c r="BFT138" s="26"/>
      <c r="BFU138" s="26"/>
      <c r="BFV138" s="26"/>
      <c r="BFW138" s="26"/>
      <c r="BFX138" s="26"/>
      <c r="BFY138" s="26"/>
      <c r="BFZ138" s="26"/>
      <c r="BGA138" s="26"/>
      <c r="BGB138" s="26"/>
      <c r="BGC138" s="26"/>
      <c r="BGD138" s="26"/>
      <c r="BGE138" s="26"/>
      <c r="BGF138" s="26"/>
      <c r="BGG138" s="26"/>
      <c r="BGH138" s="26"/>
      <c r="BGI138" s="26"/>
      <c r="BGJ138" s="26"/>
      <c r="BGK138" s="26"/>
      <c r="BGL138" s="26"/>
      <c r="BGM138" s="26"/>
      <c r="BGN138" s="26"/>
      <c r="BGO138" s="26"/>
      <c r="BGP138" s="26"/>
      <c r="BGQ138" s="26"/>
      <c r="BGR138" s="26"/>
      <c r="BGS138" s="26"/>
      <c r="BGT138" s="26"/>
      <c r="BGU138" s="26"/>
      <c r="BGV138" s="26"/>
      <c r="BGW138" s="26"/>
      <c r="BGX138" s="26"/>
      <c r="BGY138" s="26"/>
      <c r="BGZ138" s="26"/>
      <c r="BHA138" s="26"/>
      <c r="BHB138" s="26"/>
      <c r="BHC138" s="26"/>
      <c r="BHD138" s="26"/>
      <c r="BHE138" s="26"/>
      <c r="BHF138" s="26"/>
      <c r="BHG138" s="26"/>
      <c r="BHH138" s="26"/>
      <c r="BHI138" s="26"/>
      <c r="BHJ138" s="26"/>
      <c r="BHK138" s="26"/>
      <c r="BHL138" s="26"/>
      <c r="BHM138" s="26"/>
      <c r="BHN138" s="26"/>
      <c r="BHO138" s="26"/>
      <c r="BHP138" s="26"/>
      <c r="BHQ138" s="26"/>
      <c r="BHR138" s="26"/>
      <c r="BHS138" s="26"/>
      <c r="BHT138" s="26"/>
      <c r="BHU138" s="26"/>
      <c r="BHV138" s="26"/>
      <c r="BHW138" s="26"/>
      <c r="BHX138" s="26"/>
      <c r="BHY138" s="26"/>
      <c r="BHZ138" s="26"/>
      <c r="BIA138" s="26"/>
      <c r="BIB138" s="26"/>
      <c r="BIC138" s="26"/>
      <c r="BID138" s="26"/>
      <c r="BIE138" s="26"/>
      <c r="BIF138" s="26"/>
      <c r="BIG138" s="26"/>
      <c r="BIH138" s="26"/>
      <c r="BII138" s="26"/>
      <c r="BIJ138" s="26"/>
      <c r="BIK138" s="26"/>
      <c r="BIL138" s="26"/>
      <c r="BIM138" s="26"/>
      <c r="BIN138" s="26"/>
      <c r="BIO138" s="26"/>
      <c r="BIP138" s="26"/>
      <c r="BIQ138" s="26"/>
      <c r="BIR138" s="26"/>
      <c r="BIS138" s="26"/>
      <c r="BIT138" s="26"/>
      <c r="BIU138" s="26"/>
      <c r="BIV138" s="26"/>
      <c r="BIW138" s="26"/>
      <c r="BIX138" s="26"/>
      <c r="BIY138" s="26"/>
      <c r="BIZ138" s="26"/>
      <c r="BJA138" s="26"/>
      <c r="BJB138" s="26"/>
      <c r="BJC138" s="26"/>
      <c r="BJD138" s="26"/>
      <c r="BJE138" s="26"/>
      <c r="BJF138" s="26"/>
      <c r="BJG138" s="26"/>
      <c r="BJH138" s="26"/>
      <c r="BJI138" s="26"/>
      <c r="BJJ138" s="26"/>
      <c r="BJK138" s="26"/>
      <c r="BJL138" s="26"/>
      <c r="BJM138" s="26"/>
      <c r="BJN138" s="26"/>
      <c r="BJO138" s="26"/>
      <c r="BJP138" s="26"/>
      <c r="BJQ138" s="26"/>
      <c r="BJR138" s="26"/>
      <c r="BJS138" s="26"/>
      <c r="BJT138" s="26"/>
      <c r="BJU138" s="26"/>
      <c r="BJV138" s="26"/>
      <c r="BJW138" s="26"/>
      <c r="BJX138" s="26"/>
      <c r="BJY138" s="26"/>
      <c r="BJZ138" s="26"/>
      <c r="BKA138" s="26"/>
      <c r="BKB138" s="26"/>
      <c r="BKC138" s="26"/>
      <c r="BKD138" s="26"/>
      <c r="BKE138" s="26"/>
      <c r="BKF138" s="26"/>
      <c r="BKG138" s="26"/>
      <c r="BKH138" s="26"/>
      <c r="BKI138" s="26"/>
      <c r="BKJ138" s="26"/>
      <c r="BKK138" s="26"/>
      <c r="BKL138" s="26"/>
      <c r="BKM138" s="26"/>
      <c r="BKN138" s="26"/>
      <c r="BKO138" s="26"/>
      <c r="BKP138" s="26"/>
      <c r="BKQ138" s="26"/>
      <c r="BKR138" s="26"/>
      <c r="BKS138" s="26"/>
      <c r="BKT138" s="26"/>
      <c r="BKU138" s="26"/>
      <c r="BKV138" s="26"/>
      <c r="BKW138" s="26"/>
      <c r="BKX138" s="26"/>
      <c r="BKY138" s="26"/>
      <c r="BKZ138" s="26"/>
      <c r="BLA138" s="26"/>
      <c r="BLB138" s="26"/>
      <c r="BLC138" s="26"/>
      <c r="BLD138" s="26"/>
      <c r="BLE138" s="26"/>
      <c r="BLF138" s="26"/>
      <c r="BLG138" s="26"/>
      <c r="BLH138" s="26"/>
      <c r="BLI138" s="26"/>
      <c r="BLJ138" s="26"/>
      <c r="BLK138" s="26"/>
      <c r="BLL138" s="26"/>
      <c r="BLM138" s="26"/>
      <c r="BLN138" s="26"/>
      <c r="BLO138" s="26"/>
      <c r="BLP138" s="26"/>
      <c r="BLQ138" s="26"/>
      <c r="BLR138" s="26"/>
      <c r="BLS138" s="26"/>
      <c r="BLT138" s="26"/>
      <c r="BLU138" s="26"/>
      <c r="BLV138" s="26"/>
      <c r="BLW138" s="26"/>
      <c r="BLX138" s="26"/>
      <c r="BLY138" s="26"/>
      <c r="BLZ138" s="26"/>
      <c r="BMA138" s="26"/>
      <c r="BMB138" s="26"/>
      <c r="BMC138" s="26"/>
      <c r="BMD138" s="26"/>
      <c r="BME138" s="26"/>
      <c r="BMF138" s="26"/>
      <c r="BMG138" s="26"/>
      <c r="BMH138" s="26"/>
      <c r="BMI138" s="26"/>
      <c r="BMJ138" s="26"/>
      <c r="BMK138" s="26"/>
      <c r="BML138" s="26"/>
      <c r="BMM138" s="26"/>
      <c r="BMN138" s="26"/>
      <c r="BMO138" s="26"/>
      <c r="BMP138" s="26"/>
      <c r="BMQ138" s="26"/>
      <c r="BMR138" s="26"/>
      <c r="BMS138" s="26"/>
      <c r="BMT138" s="26"/>
      <c r="BMU138" s="26"/>
      <c r="BMV138" s="26"/>
      <c r="BMW138" s="26"/>
      <c r="BMX138" s="26"/>
      <c r="BMY138" s="26"/>
      <c r="BMZ138" s="26"/>
      <c r="BNA138" s="26"/>
      <c r="BNB138" s="26"/>
      <c r="BNC138" s="26"/>
      <c r="BND138" s="26"/>
      <c r="BNE138" s="26"/>
      <c r="BNF138" s="26"/>
      <c r="BNG138" s="26"/>
      <c r="BNH138" s="26"/>
      <c r="BNI138" s="26"/>
      <c r="BNJ138" s="26"/>
      <c r="BNK138" s="26"/>
      <c r="BNL138" s="26"/>
      <c r="BNM138" s="26"/>
      <c r="BNN138" s="26"/>
      <c r="BNO138" s="26"/>
      <c r="BNP138" s="26"/>
      <c r="BNQ138" s="26"/>
      <c r="BNR138" s="26"/>
      <c r="BNS138" s="26"/>
      <c r="BNT138" s="26"/>
      <c r="BNU138" s="26">
        <v>4</v>
      </c>
      <c r="BNV138" s="26" t="s">
        <v>794</v>
      </c>
      <c r="BNW138" s="26">
        <v>4</v>
      </c>
      <c r="BNX138" s="26" t="s">
        <v>794</v>
      </c>
      <c r="BNY138" s="26">
        <v>4</v>
      </c>
      <c r="BNZ138" s="26" t="s">
        <v>794</v>
      </c>
      <c r="BOA138" s="26">
        <v>4</v>
      </c>
      <c r="BOB138" s="26" t="s">
        <v>794</v>
      </c>
      <c r="BOC138" s="26">
        <v>4</v>
      </c>
      <c r="BOD138" s="26" t="s">
        <v>794</v>
      </c>
      <c r="BOE138" s="26">
        <v>4</v>
      </c>
      <c r="BOF138" s="26" t="s">
        <v>794</v>
      </c>
      <c r="BOG138" s="26">
        <v>4</v>
      </c>
      <c r="BOH138" s="26" t="s">
        <v>794</v>
      </c>
      <c r="BOI138" s="26">
        <v>4</v>
      </c>
      <c r="BOJ138" s="26" t="s">
        <v>794</v>
      </c>
      <c r="BOK138" s="26">
        <v>4</v>
      </c>
      <c r="BOL138" s="26" t="s">
        <v>794</v>
      </c>
      <c r="BOM138" s="26">
        <v>4</v>
      </c>
      <c r="BON138" s="26" t="s">
        <v>794</v>
      </c>
      <c r="BOO138" s="26">
        <v>4</v>
      </c>
      <c r="BOP138" s="26" t="s">
        <v>794</v>
      </c>
      <c r="BOQ138" s="26">
        <v>4</v>
      </c>
      <c r="BOR138" s="26" t="s">
        <v>794</v>
      </c>
      <c r="BOS138" s="26">
        <v>4</v>
      </c>
      <c r="BOT138" s="26" t="s">
        <v>794</v>
      </c>
      <c r="BOU138" s="26">
        <v>4</v>
      </c>
      <c r="BOV138" s="26" t="s">
        <v>794</v>
      </c>
      <c r="BOW138" s="26">
        <v>4</v>
      </c>
      <c r="BOX138" s="26" t="s">
        <v>794</v>
      </c>
      <c r="BOY138" s="26">
        <v>4</v>
      </c>
      <c r="BOZ138" s="26" t="s">
        <v>794</v>
      </c>
      <c r="BPA138" s="26">
        <v>4</v>
      </c>
      <c r="BPB138" s="26" t="s">
        <v>794</v>
      </c>
      <c r="BPC138" s="26">
        <v>4</v>
      </c>
      <c r="BPD138" s="26" t="s">
        <v>794</v>
      </c>
      <c r="BPE138" s="26">
        <v>4</v>
      </c>
      <c r="BPF138" s="26" t="s">
        <v>794</v>
      </c>
      <c r="BPG138" s="26">
        <v>4</v>
      </c>
      <c r="BPH138" s="26" t="s">
        <v>794</v>
      </c>
      <c r="BPI138" s="26">
        <v>4</v>
      </c>
      <c r="BPJ138" s="26" t="s">
        <v>794</v>
      </c>
      <c r="BPK138" s="26">
        <v>4</v>
      </c>
      <c r="BPL138" s="26" t="s">
        <v>794</v>
      </c>
      <c r="BPM138" s="26">
        <v>4</v>
      </c>
      <c r="BPN138" s="26" t="s">
        <v>794</v>
      </c>
      <c r="BPO138" s="26">
        <v>4</v>
      </c>
      <c r="BPP138" s="26" t="s">
        <v>794</v>
      </c>
      <c r="BPQ138" s="26">
        <v>4</v>
      </c>
      <c r="BPR138" s="26" t="s">
        <v>794</v>
      </c>
      <c r="BPS138" s="26">
        <v>4</v>
      </c>
      <c r="BPT138" s="26" t="s">
        <v>794</v>
      </c>
      <c r="BPU138" s="26">
        <v>4</v>
      </c>
      <c r="BPV138" s="26" t="s">
        <v>794</v>
      </c>
      <c r="BPW138" s="26">
        <v>4</v>
      </c>
      <c r="BPX138" s="26" t="s">
        <v>794</v>
      </c>
      <c r="BPY138" s="26">
        <v>4</v>
      </c>
      <c r="BPZ138" s="26" t="s">
        <v>794</v>
      </c>
      <c r="BQA138" s="26">
        <v>4</v>
      </c>
      <c r="BQB138" s="26" t="s">
        <v>794</v>
      </c>
      <c r="BQC138" s="26">
        <v>4</v>
      </c>
      <c r="BQD138" s="26" t="s">
        <v>794</v>
      </c>
      <c r="BQE138" s="26">
        <v>4</v>
      </c>
      <c r="BQF138" s="26" t="s">
        <v>794</v>
      </c>
      <c r="BQG138" s="26">
        <v>4</v>
      </c>
      <c r="BQH138" s="26" t="s">
        <v>794</v>
      </c>
      <c r="BQI138" s="26">
        <v>4</v>
      </c>
      <c r="BQJ138" s="26" t="s">
        <v>794</v>
      </c>
      <c r="BQK138" s="26">
        <v>4</v>
      </c>
      <c r="BQL138" s="26" t="s">
        <v>794</v>
      </c>
      <c r="BQM138" s="26">
        <v>4</v>
      </c>
      <c r="BQN138" s="26" t="s">
        <v>794</v>
      </c>
      <c r="BQO138" s="26">
        <v>4</v>
      </c>
      <c r="BQP138" s="26" t="s">
        <v>794</v>
      </c>
      <c r="BQQ138" s="26">
        <v>4</v>
      </c>
      <c r="BQR138" s="26" t="s">
        <v>794</v>
      </c>
      <c r="BQS138" s="26">
        <v>4</v>
      </c>
      <c r="BQT138" s="26" t="s">
        <v>794</v>
      </c>
      <c r="BQU138" s="26">
        <v>4</v>
      </c>
      <c r="BQV138" s="26" t="s">
        <v>794</v>
      </c>
      <c r="BQW138" s="26">
        <v>4</v>
      </c>
      <c r="BQX138" s="26" t="s">
        <v>794</v>
      </c>
      <c r="BQY138" s="26">
        <v>4</v>
      </c>
      <c r="BQZ138" s="26" t="s">
        <v>794</v>
      </c>
      <c r="BRA138" s="26">
        <v>4</v>
      </c>
      <c r="BRB138" s="26" t="s">
        <v>794</v>
      </c>
      <c r="BRC138" s="26">
        <v>4</v>
      </c>
      <c r="BRD138" s="26" t="s">
        <v>794</v>
      </c>
      <c r="BRE138" s="26">
        <v>4</v>
      </c>
      <c r="BRF138" s="26" t="s">
        <v>794</v>
      </c>
      <c r="BRG138" s="26">
        <v>4</v>
      </c>
      <c r="BRH138" s="26" t="s">
        <v>794</v>
      </c>
      <c r="BRI138" s="26">
        <v>4</v>
      </c>
      <c r="BRJ138" s="26" t="s">
        <v>794</v>
      </c>
      <c r="BRK138" s="26">
        <v>4</v>
      </c>
      <c r="BRL138" s="26" t="s">
        <v>794</v>
      </c>
      <c r="BRM138" s="26">
        <v>4</v>
      </c>
      <c r="BRN138" s="26" t="s">
        <v>794</v>
      </c>
      <c r="BRO138" s="26">
        <v>4</v>
      </c>
      <c r="BRP138" s="26" t="s">
        <v>794</v>
      </c>
      <c r="BRQ138" s="26">
        <v>4</v>
      </c>
      <c r="BRR138" s="26" t="s">
        <v>794</v>
      </c>
      <c r="BRS138" s="26">
        <v>4</v>
      </c>
      <c r="BRT138" s="26" t="s">
        <v>794</v>
      </c>
      <c r="BRU138" s="26">
        <v>4</v>
      </c>
      <c r="BRV138" s="26" t="s">
        <v>794</v>
      </c>
      <c r="BRW138" s="26">
        <v>4</v>
      </c>
      <c r="BRX138" s="26" t="s">
        <v>794</v>
      </c>
      <c r="BRY138" s="26">
        <v>4</v>
      </c>
      <c r="BRZ138" s="26" t="s">
        <v>794</v>
      </c>
      <c r="BSA138" s="26">
        <v>4</v>
      </c>
      <c r="BSB138" s="26" t="s">
        <v>794</v>
      </c>
      <c r="BSC138" s="26">
        <v>4</v>
      </c>
      <c r="BSD138" s="26" t="s">
        <v>794</v>
      </c>
      <c r="BSE138" s="26">
        <v>4</v>
      </c>
      <c r="BSF138" s="26" t="s">
        <v>794</v>
      </c>
      <c r="BSG138" s="26">
        <v>4</v>
      </c>
      <c r="BSH138" s="26" t="s">
        <v>794</v>
      </c>
      <c r="BSI138" s="26">
        <v>4</v>
      </c>
      <c r="BSJ138" s="26" t="s">
        <v>794</v>
      </c>
      <c r="BSK138" s="26">
        <v>4</v>
      </c>
      <c r="BSL138" s="26" t="s">
        <v>794</v>
      </c>
      <c r="BSM138" s="26">
        <v>4</v>
      </c>
      <c r="BSN138" s="26" t="s">
        <v>794</v>
      </c>
      <c r="BSO138" s="26">
        <v>4</v>
      </c>
      <c r="BSP138" s="26" t="s">
        <v>794</v>
      </c>
      <c r="BSQ138" s="26">
        <v>4</v>
      </c>
      <c r="BSR138" s="26" t="s">
        <v>794</v>
      </c>
      <c r="BSS138" s="26">
        <v>4</v>
      </c>
      <c r="BST138" s="26" t="s">
        <v>794</v>
      </c>
      <c r="BSU138" s="26">
        <v>4</v>
      </c>
      <c r="BSV138" s="26" t="s">
        <v>794</v>
      </c>
      <c r="BSW138" s="26">
        <v>4</v>
      </c>
      <c r="BSX138" s="26" t="s">
        <v>794</v>
      </c>
      <c r="BSY138" s="26">
        <v>4</v>
      </c>
      <c r="BSZ138" s="26" t="s">
        <v>794</v>
      </c>
      <c r="BTA138" s="26">
        <v>4</v>
      </c>
      <c r="BTB138" s="26" t="s">
        <v>794</v>
      </c>
      <c r="BTC138" s="26">
        <v>4</v>
      </c>
      <c r="BTD138" s="26" t="s">
        <v>794</v>
      </c>
      <c r="BTE138" s="26">
        <v>4</v>
      </c>
      <c r="BTF138" s="26" t="s">
        <v>794</v>
      </c>
      <c r="BTG138" s="26">
        <v>4</v>
      </c>
      <c r="BTH138" s="26" t="s">
        <v>794</v>
      </c>
      <c r="BTI138" s="26">
        <v>4</v>
      </c>
      <c r="BTJ138" s="26" t="s">
        <v>794</v>
      </c>
      <c r="BTK138" s="26">
        <v>4</v>
      </c>
      <c r="BTL138" s="26" t="s">
        <v>794</v>
      </c>
      <c r="BTM138" s="26">
        <v>4</v>
      </c>
      <c r="BTN138" s="26" t="s">
        <v>794</v>
      </c>
      <c r="BTO138" s="26">
        <v>4</v>
      </c>
      <c r="BTP138" s="26" t="s">
        <v>794</v>
      </c>
      <c r="BTQ138" s="26">
        <v>4</v>
      </c>
      <c r="BTR138" s="26" t="s">
        <v>794</v>
      </c>
      <c r="BTS138" s="26">
        <v>4</v>
      </c>
      <c r="BTT138" s="26" t="s">
        <v>794</v>
      </c>
      <c r="BTU138" s="26">
        <v>4</v>
      </c>
      <c r="BTV138" s="26" t="s">
        <v>794</v>
      </c>
      <c r="BTW138" s="26">
        <v>4</v>
      </c>
      <c r="BTX138" s="26" t="s">
        <v>794</v>
      </c>
      <c r="BTY138" s="26">
        <v>4</v>
      </c>
      <c r="BTZ138" s="26" t="s">
        <v>794</v>
      </c>
      <c r="BUA138" s="26">
        <v>4</v>
      </c>
      <c r="BUB138" s="26" t="s">
        <v>794</v>
      </c>
      <c r="BUC138" s="26">
        <v>4</v>
      </c>
      <c r="BUD138" s="26" t="s">
        <v>794</v>
      </c>
      <c r="BUE138" s="26">
        <v>4</v>
      </c>
      <c r="BUF138" s="26" t="s">
        <v>794</v>
      </c>
      <c r="BUG138" s="26">
        <v>4</v>
      </c>
      <c r="BUH138" s="26" t="s">
        <v>794</v>
      </c>
      <c r="BUI138" s="26">
        <v>4</v>
      </c>
      <c r="BUJ138" s="26" t="s">
        <v>794</v>
      </c>
      <c r="BUK138" s="26">
        <v>4</v>
      </c>
      <c r="BUL138" s="26" t="s">
        <v>794</v>
      </c>
      <c r="BUM138" s="26">
        <v>4</v>
      </c>
      <c r="BUN138" s="26" t="s">
        <v>794</v>
      </c>
      <c r="BUO138" s="26">
        <v>4</v>
      </c>
      <c r="BUP138" s="26" t="s">
        <v>794</v>
      </c>
      <c r="BUQ138" s="26">
        <v>4</v>
      </c>
      <c r="BUR138" s="26" t="s">
        <v>794</v>
      </c>
      <c r="BUS138" s="26">
        <v>4</v>
      </c>
      <c r="BUT138" s="26" t="s">
        <v>794</v>
      </c>
      <c r="BUU138" s="26">
        <v>4</v>
      </c>
      <c r="BUV138" s="26" t="s">
        <v>794</v>
      </c>
      <c r="BUW138" s="26">
        <v>4</v>
      </c>
      <c r="BUX138" s="26" t="s">
        <v>794</v>
      </c>
      <c r="BUY138" s="26">
        <v>4</v>
      </c>
      <c r="BUZ138" s="26" t="s">
        <v>794</v>
      </c>
      <c r="BVA138" s="26">
        <v>4</v>
      </c>
      <c r="BVB138" s="26" t="s">
        <v>794</v>
      </c>
      <c r="BVC138" s="26">
        <v>4</v>
      </c>
      <c r="BVD138" s="26" t="s">
        <v>794</v>
      </c>
      <c r="BVE138" s="26">
        <v>4</v>
      </c>
      <c r="BVF138" s="26" t="s">
        <v>794</v>
      </c>
      <c r="BVG138" s="26">
        <v>4</v>
      </c>
      <c r="BVH138" s="26" t="s">
        <v>794</v>
      </c>
      <c r="BVI138" s="26">
        <v>4</v>
      </c>
      <c r="BVJ138" s="26" t="s">
        <v>794</v>
      </c>
      <c r="BVK138" s="26">
        <v>4</v>
      </c>
      <c r="BVL138" s="26" t="s">
        <v>794</v>
      </c>
      <c r="BVM138" s="26">
        <v>4</v>
      </c>
      <c r="BVN138" s="26" t="s">
        <v>794</v>
      </c>
      <c r="BVO138" s="26">
        <v>4</v>
      </c>
      <c r="BVP138" s="26" t="s">
        <v>794</v>
      </c>
      <c r="BVQ138" s="26">
        <v>4</v>
      </c>
      <c r="BVR138" s="26" t="s">
        <v>794</v>
      </c>
      <c r="BVS138" s="26">
        <v>4</v>
      </c>
      <c r="BVT138" s="26" t="s">
        <v>794</v>
      </c>
      <c r="BVU138" s="26">
        <v>4</v>
      </c>
      <c r="BVV138" s="26" t="s">
        <v>794</v>
      </c>
      <c r="BVW138" s="26">
        <v>4</v>
      </c>
      <c r="BVX138" s="26" t="s">
        <v>794</v>
      </c>
      <c r="BVY138" s="26">
        <v>4</v>
      </c>
      <c r="BVZ138" s="26" t="s">
        <v>794</v>
      </c>
      <c r="BWA138" s="26">
        <v>4</v>
      </c>
      <c r="BWB138" s="26" t="s">
        <v>794</v>
      </c>
      <c r="BWC138" s="26">
        <v>4</v>
      </c>
      <c r="BWD138" s="26" t="s">
        <v>794</v>
      </c>
      <c r="BWE138" s="26">
        <v>4</v>
      </c>
      <c r="BWF138" s="26" t="s">
        <v>794</v>
      </c>
      <c r="BWG138" s="26">
        <v>4</v>
      </c>
      <c r="BWH138" s="26" t="s">
        <v>794</v>
      </c>
      <c r="BWI138" s="26">
        <v>4</v>
      </c>
      <c r="BWJ138" s="26" t="s">
        <v>794</v>
      </c>
      <c r="BWK138" s="26">
        <v>4</v>
      </c>
      <c r="BWL138" s="26" t="s">
        <v>794</v>
      </c>
      <c r="BWM138" s="26">
        <v>4</v>
      </c>
      <c r="BWN138" s="26" t="s">
        <v>794</v>
      </c>
      <c r="BWO138" s="26">
        <v>4</v>
      </c>
      <c r="BWP138" s="26" t="s">
        <v>794</v>
      </c>
      <c r="BWQ138" s="26">
        <v>4</v>
      </c>
      <c r="BWR138" s="26" t="s">
        <v>794</v>
      </c>
      <c r="BWS138" s="26">
        <v>4</v>
      </c>
      <c r="BWT138" s="26" t="s">
        <v>794</v>
      </c>
      <c r="BWU138" s="26">
        <v>4</v>
      </c>
      <c r="BWV138" s="26" t="s">
        <v>794</v>
      </c>
      <c r="BWW138" s="26">
        <v>4</v>
      </c>
      <c r="BWX138" s="26" t="s">
        <v>794</v>
      </c>
      <c r="BWY138" s="26">
        <v>4</v>
      </c>
      <c r="BWZ138" s="26" t="s">
        <v>794</v>
      </c>
      <c r="BXA138" s="26">
        <v>4</v>
      </c>
      <c r="BXB138" s="26" t="s">
        <v>794</v>
      </c>
      <c r="BXC138" s="26">
        <v>4</v>
      </c>
      <c r="BXD138" s="26" t="s">
        <v>794</v>
      </c>
      <c r="BXE138" s="26">
        <v>4</v>
      </c>
      <c r="BXF138" s="26" t="s">
        <v>794</v>
      </c>
      <c r="BXG138" s="26">
        <v>4</v>
      </c>
      <c r="BXH138" s="26" t="s">
        <v>794</v>
      </c>
      <c r="BXI138" s="26">
        <v>4</v>
      </c>
      <c r="BXJ138" s="26" t="s">
        <v>794</v>
      </c>
      <c r="BXK138" s="26">
        <v>4</v>
      </c>
      <c r="BXL138" s="26" t="s">
        <v>794</v>
      </c>
      <c r="BXM138" s="26">
        <v>4</v>
      </c>
      <c r="BXN138" s="26" t="s">
        <v>794</v>
      </c>
      <c r="BXO138" s="26">
        <v>4</v>
      </c>
      <c r="BXP138" s="26" t="s">
        <v>794</v>
      </c>
      <c r="BXQ138" s="26">
        <v>4</v>
      </c>
      <c r="BXR138" s="26" t="s">
        <v>794</v>
      </c>
      <c r="BXS138" s="26">
        <v>4</v>
      </c>
      <c r="BXT138" s="26" t="s">
        <v>794</v>
      </c>
      <c r="BXU138" s="26">
        <v>4</v>
      </c>
      <c r="BXV138" s="26" t="s">
        <v>794</v>
      </c>
      <c r="BXW138" s="26">
        <v>4</v>
      </c>
      <c r="BXX138" s="26" t="s">
        <v>794</v>
      </c>
      <c r="BXY138" s="26">
        <v>4</v>
      </c>
      <c r="BXZ138" s="26" t="s">
        <v>794</v>
      </c>
      <c r="BYA138" s="26">
        <v>4</v>
      </c>
      <c r="BYB138" s="26" t="s">
        <v>794</v>
      </c>
      <c r="BYC138" s="26">
        <v>4</v>
      </c>
      <c r="BYD138" s="26" t="s">
        <v>794</v>
      </c>
      <c r="BYE138" s="26">
        <v>4</v>
      </c>
      <c r="BYF138" s="26" t="s">
        <v>794</v>
      </c>
      <c r="BYG138" s="26">
        <v>4</v>
      </c>
      <c r="BYH138" s="26" t="s">
        <v>794</v>
      </c>
      <c r="BYI138" s="26">
        <v>4</v>
      </c>
      <c r="BYJ138" s="26" t="s">
        <v>794</v>
      </c>
      <c r="BYK138" s="26">
        <v>4</v>
      </c>
      <c r="BYL138" s="26" t="s">
        <v>794</v>
      </c>
      <c r="BYM138" s="26">
        <v>4</v>
      </c>
      <c r="BYN138" s="26" t="s">
        <v>794</v>
      </c>
      <c r="BYO138" s="26">
        <v>4</v>
      </c>
      <c r="BYP138" s="26" t="s">
        <v>794</v>
      </c>
      <c r="BYQ138" s="26">
        <v>4</v>
      </c>
      <c r="BYR138" s="26" t="s">
        <v>794</v>
      </c>
      <c r="BYS138" s="26">
        <v>4</v>
      </c>
      <c r="BYT138" s="26" t="s">
        <v>794</v>
      </c>
      <c r="BYU138" s="26">
        <v>4</v>
      </c>
      <c r="BYV138" s="26" t="s">
        <v>794</v>
      </c>
      <c r="BYW138" s="26">
        <v>4</v>
      </c>
      <c r="BYX138" s="26" t="s">
        <v>794</v>
      </c>
      <c r="BYY138" s="26">
        <v>4</v>
      </c>
      <c r="BYZ138" s="26" t="s">
        <v>794</v>
      </c>
      <c r="BZA138" s="26">
        <v>4</v>
      </c>
      <c r="BZB138" s="26" t="s">
        <v>794</v>
      </c>
      <c r="BZC138" s="26">
        <v>4</v>
      </c>
      <c r="BZD138" s="26" t="s">
        <v>794</v>
      </c>
      <c r="BZE138" s="26">
        <v>4</v>
      </c>
      <c r="BZF138" s="26" t="s">
        <v>794</v>
      </c>
      <c r="BZG138" s="26">
        <v>4</v>
      </c>
      <c r="BZH138" s="26" t="s">
        <v>794</v>
      </c>
      <c r="BZI138" s="26">
        <v>4</v>
      </c>
      <c r="BZJ138" s="26" t="s">
        <v>794</v>
      </c>
      <c r="BZK138" s="26">
        <v>4</v>
      </c>
      <c r="BZL138" s="26" t="s">
        <v>794</v>
      </c>
      <c r="BZM138" s="26">
        <v>4</v>
      </c>
      <c r="BZN138" s="26" t="s">
        <v>794</v>
      </c>
      <c r="BZO138" s="26">
        <v>4</v>
      </c>
      <c r="BZP138" s="26" t="s">
        <v>794</v>
      </c>
      <c r="BZQ138" s="26">
        <v>4</v>
      </c>
      <c r="BZR138" s="26" t="s">
        <v>794</v>
      </c>
      <c r="BZS138" s="26">
        <v>4</v>
      </c>
      <c r="BZT138" s="26" t="s">
        <v>794</v>
      </c>
      <c r="BZU138" s="26">
        <v>4</v>
      </c>
      <c r="BZV138" s="26" t="s">
        <v>794</v>
      </c>
      <c r="BZW138" s="26">
        <v>4</v>
      </c>
      <c r="BZX138" s="26" t="s">
        <v>794</v>
      </c>
      <c r="BZY138" s="26">
        <v>4</v>
      </c>
      <c r="BZZ138" s="26" t="s">
        <v>794</v>
      </c>
      <c r="CAA138" s="26">
        <v>4</v>
      </c>
      <c r="CAB138" s="26" t="s">
        <v>794</v>
      </c>
      <c r="CAC138" s="26">
        <v>4</v>
      </c>
      <c r="CAD138" s="26" t="s">
        <v>794</v>
      </c>
      <c r="CAE138" s="26">
        <v>4</v>
      </c>
      <c r="CAF138" s="26" t="s">
        <v>794</v>
      </c>
      <c r="CAG138" s="26">
        <v>4</v>
      </c>
      <c r="CAH138" s="26" t="s">
        <v>794</v>
      </c>
      <c r="CAI138" s="26">
        <v>4</v>
      </c>
      <c r="CAJ138" s="26" t="s">
        <v>794</v>
      </c>
      <c r="CAK138" s="26">
        <v>4</v>
      </c>
      <c r="CAL138" s="26" t="s">
        <v>794</v>
      </c>
      <c r="CAM138" s="26">
        <v>4</v>
      </c>
      <c r="CAN138" s="26" t="s">
        <v>794</v>
      </c>
      <c r="CAO138" s="26">
        <v>4</v>
      </c>
      <c r="CAP138" s="26" t="s">
        <v>794</v>
      </c>
      <c r="CAQ138" s="26">
        <v>4</v>
      </c>
      <c r="CAR138" s="26" t="s">
        <v>794</v>
      </c>
      <c r="CAS138" s="26">
        <v>4</v>
      </c>
      <c r="CAT138" s="26" t="s">
        <v>794</v>
      </c>
      <c r="CAU138" s="26">
        <v>4</v>
      </c>
      <c r="CAV138" s="26" t="s">
        <v>794</v>
      </c>
      <c r="CAW138" s="26">
        <v>4</v>
      </c>
      <c r="CAX138" s="26" t="s">
        <v>794</v>
      </c>
      <c r="CAY138" s="26">
        <v>4</v>
      </c>
      <c r="CAZ138" s="26" t="s">
        <v>794</v>
      </c>
      <c r="CBA138" s="26">
        <v>4</v>
      </c>
      <c r="CBB138" s="26" t="s">
        <v>794</v>
      </c>
      <c r="CBC138" s="26">
        <v>4</v>
      </c>
      <c r="CBD138" s="26" t="s">
        <v>794</v>
      </c>
      <c r="CBE138" s="26">
        <v>4</v>
      </c>
      <c r="CBF138" s="26" t="s">
        <v>794</v>
      </c>
      <c r="CBG138" s="26">
        <v>4</v>
      </c>
      <c r="CBH138" s="26" t="s">
        <v>794</v>
      </c>
      <c r="CBI138" s="26">
        <v>4</v>
      </c>
      <c r="CBJ138" s="26" t="s">
        <v>794</v>
      </c>
      <c r="CBK138" s="26">
        <v>4</v>
      </c>
      <c r="CBL138" s="26" t="s">
        <v>794</v>
      </c>
      <c r="CBM138" s="26">
        <v>4</v>
      </c>
      <c r="CBN138" s="26" t="s">
        <v>794</v>
      </c>
      <c r="CBO138" s="26">
        <v>4</v>
      </c>
      <c r="CBP138" s="26" t="s">
        <v>794</v>
      </c>
      <c r="CBQ138" s="26">
        <v>4</v>
      </c>
      <c r="CBR138" s="26" t="s">
        <v>794</v>
      </c>
      <c r="CBS138" s="26">
        <v>4</v>
      </c>
      <c r="CBT138" s="26" t="s">
        <v>794</v>
      </c>
      <c r="CBU138" s="26">
        <v>4</v>
      </c>
      <c r="CBV138" s="26" t="s">
        <v>794</v>
      </c>
      <c r="CBW138" s="26">
        <v>4</v>
      </c>
      <c r="CBX138" s="26" t="s">
        <v>794</v>
      </c>
      <c r="CBY138" s="26">
        <v>4</v>
      </c>
      <c r="CBZ138" s="26" t="s">
        <v>794</v>
      </c>
      <c r="CCA138" s="26">
        <v>4</v>
      </c>
      <c r="CCB138" s="26" t="s">
        <v>794</v>
      </c>
      <c r="CCC138" s="26">
        <v>4</v>
      </c>
      <c r="CCD138" s="26" t="s">
        <v>794</v>
      </c>
      <c r="CCE138" s="26">
        <v>4</v>
      </c>
      <c r="CCF138" s="26" t="s">
        <v>794</v>
      </c>
      <c r="CCG138" s="26">
        <v>4</v>
      </c>
      <c r="CCH138" s="26" t="s">
        <v>794</v>
      </c>
      <c r="CCI138" s="26">
        <v>4</v>
      </c>
      <c r="CCJ138" s="26" t="s">
        <v>794</v>
      </c>
      <c r="CCK138" s="26">
        <v>4</v>
      </c>
      <c r="CCL138" s="26" t="s">
        <v>794</v>
      </c>
      <c r="CCM138" s="26">
        <v>4</v>
      </c>
      <c r="CCN138" s="26" t="s">
        <v>794</v>
      </c>
      <c r="CCO138" s="26">
        <v>4</v>
      </c>
      <c r="CCP138" s="26" t="s">
        <v>794</v>
      </c>
      <c r="CCQ138" s="26">
        <v>4</v>
      </c>
      <c r="CCR138" s="26" t="s">
        <v>794</v>
      </c>
      <c r="CCS138" s="26">
        <v>4</v>
      </c>
      <c r="CCT138" s="26" t="s">
        <v>794</v>
      </c>
      <c r="CCU138" s="26">
        <v>4</v>
      </c>
      <c r="CCV138" s="26" t="s">
        <v>794</v>
      </c>
      <c r="CCW138" s="26">
        <v>4</v>
      </c>
      <c r="CCX138" s="26" t="s">
        <v>794</v>
      </c>
      <c r="CCY138" s="26">
        <v>4</v>
      </c>
      <c r="CCZ138" s="26" t="s">
        <v>794</v>
      </c>
      <c r="CDA138" s="26">
        <v>4</v>
      </c>
      <c r="CDB138" s="26" t="s">
        <v>794</v>
      </c>
      <c r="CDC138" s="26">
        <v>4</v>
      </c>
      <c r="CDD138" s="26" t="s">
        <v>794</v>
      </c>
      <c r="CDE138" s="26">
        <v>4</v>
      </c>
      <c r="CDF138" s="26" t="s">
        <v>794</v>
      </c>
      <c r="CDG138" s="26">
        <v>4</v>
      </c>
      <c r="CDH138" s="26" t="s">
        <v>794</v>
      </c>
      <c r="CDI138" s="26">
        <v>4</v>
      </c>
      <c r="CDJ138" s="26" t="s">
        <v>794</v>
      </c>
      <c r="CDK138" s="26">
        <v>4</v>
      </c>
      <c r="CDL138" s="26" t="s">
        <v>794</v>
      </c>
      <c r="CDM138" s="26">
        <v>4</v>
      </c>
      <c r="CDN138" s="26" t="s">
        <v>794</v>
      </c>
      <c r="CDO138" s="26">
        <v>4</v>
      </c>
      <c r="CDP138" s="26" t="s">
        <v>794</v>
      </c>
      <c r="CDQ138" s="26">
        <v>4</v>
      </c>
      <c r="CDR138" s="26" t="s">
        <v>794</v>
      </c>
      <c r="CDS138" s="26">
        <v>4</v>
      </c>
      <c r="CDT138" s="26" t="s">
        <v>794</v>
      </c>
      <c r="CDU138" s="26">
        <v>4</v>
      </c>
      <c r="CDV138" s="26" t="s">
        <v>794</v>
      </c>
      <c r="CDW138" s="26">
        <v>4</v>
      </c>
      <c r="CDX138" s="26" t="s">
        <v>794</v>
      </c>
      <c r="CDY138" s="26">
        <v>4</v>
      </c>
      <c r="CDZ138" s="26" t="s">
        <v>794</v>
      </c>
      <c r="CEA138" s="26">
        <v>4</v>
      </c>
      <c r="CEB138" s="26" t="s">
        <v>794</v>
      </c>
      <c r="CEC138" s="26">
        <v>4</v>
      </c>
      <c r="CED138" s="26" t="s">
        <v>794</v>
      </c>
      <c r="CEE138" s="26">
        <v>4</v>
      </c>
      <c r="CEF138" s="26" t="s">
        <v>794</v>
      </c>
      <c r="CEG138" s="26">
        <v>4</v>
      </c>
      <c r="CEH138" s="26" t="s">
        <v>794</v>
      </c>
      <c r="CEI138" s="26">
        <v>4</v>
      </c>
      <c r="CEJ138" s="26" t="s">
        <v>794</v>
      </c>
      <c r="CEK138" s="26">
        <v>4</v>
      </c>
      <c r="CEL138" s="26" t="s">
        <v>794</v>
      </c>
      <c r="CEM138" s="26">
        <v>4</v>
      </c>
      <c r="CEN138" s="26" t="s">
        <v>794</v>
      </c>
      <c r="CEO138" s="26">
        <v>4</v>
      </c>
      <c r="CEP138" s="26" t="s">
        <v>794</v>
      </c>
      <c r="CEQ138" s="26">
        <v>4</v>
      </c>
      <c r="CER138" s="26" t="s">
        <v>794</v>
      </c>
      <c r="CES138" s="26">
        <v>4</v>
      </c>
      <c r="CET138" s="26" t="s">
        <v>794</v>
      </c>
      <c r="CEU138" s="26">
        <v>4</v>
      </c>
      <c r="CEV138" s="26" t="s">
        <v>794</v>
      </c>
      <c r="CEW138" s="26">
        <v>4</v>
      </c>
      <c r="CEX138" s="26" t="s">
        <v>794</v>
      </c>
      <c r="CEY138" s="26">
        <v>4</v>
      </c>
      <c r="CEZ138" s="26" t="s">
        <v>794</v>
      </c>
      <c r="CFA138" s="26">
        <v>4</v>
      </c>
      <c r="CFB138" s="26" t="s">
        <v>794</v>
      </c>
      <c r="CFC138" s="26">
        <v>4</v>
      </c>
      <c r="CFD138" s="26" t="s">
        <v>794</v>
      </c>
      <c r="CFE138" s="26">
        <v>4</v>
      </c>
      <c r="CFF138" s="26" t="s">
        <v>794</v>
      </c>
      <c r="CFG138" s="26">
        <v>4</v>
      </c>
      <c r="CFH138" s="26" t="s">
        <v>794</v>
      </c>
      <c r="CFI138" s="26">
        <v>4</v>
      </c>
      <c r="CFJ138" s="26" t="s">
        <v>794</v>
      </c>
      <c r="CFK138" s="26">
        <v>4</v>
      </c>
      <c r="CFL138" s="26" t="s">
        <v>794</v>
      </c>
      <c r="CFM138" s="26">
        <v>4</v>
      </c>
      <c r="CFN138" s="26" t="s">
        <v>794</v>
      </c>
      <c r="CFO138" s="26">
        <v>4</v>
      </c>
      <c r="CFP138" s="26" t="s">
        <v>794</v>
      </c>
      <c r="CFQ138" s="26">
        <v>4</v>
      </c>
      <c r="CFR138" s="26" t="s">
        <v>794</v>
      </c>
      <c r="CFS138" s="26">
        <v>4</v>
      </c>
      <c r="CFT138" s="26" t="s">
        <v>794</v>
      </c>
      <c r="CFU138" s="26">
        <v>4</v>
      </c>
      <c r="CFV138" s="26" t="s">
        <v>794</v>
      </c>
      <c r="CFW138" s="26">
        <v>4</v>
      </c>
      <c r="CFX138" s="26" t="s">
        <v>794</v>
      </c>
      <c r="CFY138" s="26">
        <v>4</v>
      </c>
      <c r="CFZ138" s="26" t="s">
        <v>794</v>
      </c>
      <c r="CGA138" s="26">
        <v>4</v>
      </c>
      <c r="CGB138" s="26" t="s">
        <v>794</v>
      </c>
      <c r="CGC138" s="26">
        <v>4</v>
      </c>
      <c r="CGD138" s="26" t="s">
        <v>794</v>
      </c>
      <c r="CGE138" s="26">
        <v>4</v>
      </c>
      <c r="CGF138" s="26" t="s">
        <v>794</v>
      </c>
      <c r="CGG138" s="26">
        <v>4</v>
      </c>
      <c r="CGH138" s="26" t="s">
        <v>794</v>
      </c>
      <c r="CGI138" s="26">
        <v>4</v>
      </c>
      <c r="CGJ138" s="26" t="s">
        <v>794</v>
      </c>
      <c r="CGK138" s="26">
        <v>4</v>
      </c>
      <c r="CGL138" s="26" t="s">
        <v>794</v>
      </c>
      <c r="CGM138" s="26">
        <v>4</v>
      </c>
      <c r="CGN138" s="26" t="s">
        <v>794</v>
      </c>
      <c r="CGO138" s="26">
        <v>4</v>
      </c>
      <c r="CGP138" s="26" t="s">
        <v>794</v>
      </c>
      <c r="CGQ138" s="26">
        <v>4</v>
      </c>
      <c r="CGR138" s="26" t="s">
        <v>794</v>
      </c>
      <c r="CGS138" s="26">
        <v>4</v>
      </c>
      <c r="CGT138" s="26" t="s">
        <v>794</v>
      </c>
      <c r="CGU138" s="26">
        <v>4</v>
      </c>
      <c r="CGV138" s="26" t="s">
        <v>794</v>
      </c>
      <c r="CGW138" s="26">
        <v>4</v>
      </c>
      <c r="CGX138" s="26" t="s">
        <v>794</v>
      </c>
      <c r="CGY138" s="26">
        <v>4</v>
      </c>
      <c r="CGZ138" s="26" t="s">
        <v>794</v>
      </c>
      <c r="CHA138" s="26">
        <v>4</v>
      </c>
      <c r="CHB138" s="26" t="s">
        <v>794</v>
      </c>
      <c r="CHC138" s="26">
        <v>4</v>
      </c>
      <c r="CHD138" s="26" t="s">
        <v>794</v>
      </c>
      <c r="CHE138" s="26">
        <v>4</v>
      </c>
      <c r="CHF138" s="26" t="s">
        <v>794</v>
      </c>
      <c r="CHG138" s="26">
        <v>4</v>
      </c>
      <c r="CHH138" s="26" t="s">
        <v>794</v>
      </c>
      <c r="CHI138" s="26">
        <v>4</v>
      </c>
      <c r="CHJ138" s="26" t="s">
        <v>794</v>
      </c>
      <c r="CHK138" s="26">
        <v>4</v>
      </c>
      <c r="CHL138" s="26" t="s">
        <v>794</v>
      </c>
      <c r="CHM138" s="26">
        <v>4</v>
      </c>
      <c r="CHN138" s="26" t="s">
        <v>794</v>
      </c>
      <c r="CHO138" s="26">
        <v>4</v>
      </c>
      <c r="CHP138" s="26" t="s">
        <v>794</v>
      </c>
      <c r="CHQ138" s="26">
        <v>4</v>
      </c>
      <c r="CHR138" s="26" t="s">
        <v>794</v>
      </c>
      <c r="CHS138" s="26">
        <v>4</v>
      </c>
      <c r="CHT138" s="26" t="s">
        <v>794</v>
      </c>
      <c r="CHU138" s="26">
        <v>4</v>
      </c>
      <c r="CHV138" s="26" t="s">
        <v>794</v>
      </c>
      <c r="CHW138" s="26">
        <v>4</v>
      </c>
      <c r="CHX138" s="26" t="s">
        <v>794</v>
      </c>
      <c r="CHY138" s="26">
        <v>4</v>
      </c>
      <c r="CHZ138" s="26" t="s">
        <v>794</v>
      </c>
      <c r="CIA138" s="26">
        <v>4</v>
      </c>
      <c r="CIB138" s="26" t="s">
        <v>794</v>
      </c>
      <c r="CIC138" s="26">
        <v>4</v>
      </c>
      <c r="CID138" s="26" t="s">
        <v>794</v>
      </c>
      <c r="CIE138" s="26">
        <v>4</v>
      </c>
      <c r="CIF138" s="26" t="s">
        <v>794</v>
      </c>
      <c r="CIG138" s="26">
        <v>4</v>
      </c>
      <c r="CIH138" s="26" t="s">
        <v>794</v>
      </c>
      <c r="CII138" s="26">
        <v>4</v>
      </c>
      <c r="CIJ138" s="26" t="s">
        <v>794</v>
      </c>
      <c r="CIK138" s="26">
        <v>4</v>
      </c>
      <c r="CIL138" s="26" t="s">
        <v>794</v>
      </c>
      <c r="CIM138" s="26">
        <v>4</v>
      </c>
      <c r="CIN138" s="26" t="s">
        <v>794</v>
      </c>
      <c r="CIO138" s="26">
        <v>4</v>
      </c>
      <c r="CIP138" s="26" t="s">
        <v>794</v>
      </c>
      <c r="CIQ138" s="26">
        <v>4</v>
      </c>
      <c r="CIR138" s="26" t="s">
        <v>794</v>
      </c>
      <c r="CIS138" s="26">
        <v>4</v>
      </c>
      <c r="CIT138" s="26" t="s">
        <v>794</v>
      </c>
      <c r="CIU138" s="26">
        <v>4</v>
      </c>
      <c r="CIV138" s="26" t="s">
        <v>794</v>
      </c>
      <c r="CIW138" s="26">
        <v>4</v>
      </c>
      <c r="CIX138" s="26" t="s">
        <v>794</v>
      </c>
      <c r="CIY138" s="26">
        <v>4</v>
      </c>
      <c r="CIZ138" s="26" t="s">
        <v>794</v>
      </c>
      <c r="CJA138" s="26">
        <v>4</v>
      </c>
      <c r="CJB138" s="26" t="s">
        <v>794</v>
      </c>
      <c r="CJC138" s="26">
        <v>4</v>
      </c>
      <c r="CJD138" s="26" t="s">
        <v>794</v>
      </c>
      <c r="CJE138" s="26">
        <v>4</v>
      </c>
      <c r="CJF138" s="26" t="s">
        <v>794</v>
      </c>
      <c r="CJG138" s="26">
        <v>4</v>
      </c>
      <c r="CJH138" s="26" t="s">
        <v>794</v>
      </c>
      <c r="CJI138" s="26">
        <v>4</v>
      </c>
      <c r="CJJ138" s="26" t="s">
        <v>794</v>
      </c>
      <c r="CJK138" s="26">
        <v>4</v>
      </c>
      <c r="CJL138" s="26" t="s">
        <v>794</v>
      </c>
      <c r="CJM138" s="26">
        <v>4</v>
      </c>
      <c r="CJN138" s="26" t="s">
        <v>794</v>
      </c>
      <c r="CJO138" s="26">
        <v>4</v>
      </c>
      <c r="CJP138" s="26" t="s">
        <v>794</v>
      </c>
      <c r="CJQ138" s="26">
        <v>4</v>
      </c>
      <c r="CJR138" s="26" t="s">
        <v>794</v>
      </c>
      <c r="CJS138" s="26">
        <v>4</v>
      </c>
      <c r="CJT138" s="26" t="s">
        <v>794</v>
      </c>
      <c r="CJU138" s="26">
        <v>4</v>
      </c>
      <c r="CJV138" s="26" t="s">
        <v>794</v>
      </c>
      <c r="CJW138" s="26">
        <v>4</v>
      </c>
      <c r="CJX138" s="26" t="s">
        <v>794</v>
      </c>
      <c r="CJY138" s="26">
        <v>4</v>
      </c>
      <c r="CJZ138" s="26" t="s">
        <v>794</v>
      </c>
      <c r="CKA138" s="26">
        <v>4</v>
      </c>
      <c r="CKB138" s="26" t="s">
        <v>794</v>
      </c>
      <c r="CKC138" s="26">
        <v>4</v>
      </c>
      <c r="CKD138" s="26" t="s">
        <v>794</v>
      </c>
      <c r="CKE138" s="26">
        <v>4</v>
      </c>
      <c r="CKF138" s="26" t="s">
        <v>794</v>
      </c>
      <c r="CKG138" s="26">
        <v>4</v>
      </c>
      <c r="CKH138" s="26" t="s">
        <v>794</v>
      </c>
      <c r="CKI138" s="26">
        <v>4</v>
      </c>
      <c r="CKJ138" s="26" t="s">
        <v>794</v>
      </c>
      <c r="CKK138" s="26">
        <v>4</v>
      </c>
      <c r="CKL138" s="26" t="s">
        <v>794</v>
      </c>
      <c r="CKM138" s="26">
        <v>4</v>
      </c>
      <c r="CKN138" s="26" t="s">
        <v>794</v>
      </c>
      <c r="CKO138" s="26">
        <v>4</v>
      </c>
      <c r="CKP138" s="26" t="s">
        <v>794</v>
      </c>
      <c r="CKQ138" s="26">
        <v>4</v>
      </c>
      <c r="CKR138" s="26" t="s">
        <v>794</v>
      </c>
      <c r="CKS138" s="26">
        <v>4</v>
      </c>
      <c r="CKT138" s="26" t="s">
        <v>794</v>
      </c>
      <c r="CKU138" s="26">
        <v>4</v>
      </c>
      <c r="CKV138" s="26" t="s">
        <v>794</v>
      </c>
      <c r="CKW138" s="26">
        <v>4</v>
      </c>
      <c r="CKX138" s="26" t="s">
        <v>794</v>
      </c>
      <c r="CKY138" s="26">
        <v>4</v>
      </c>
      <c r="CKZ138" s="26" t="s">
        <v>794</v>
      </c>
      <c r="CLA138" s="26">
        <v>4</v>
      </c>
      <c r="CLB138" s="26" t="s">
        <v>794</v>
      </c>
      <c r="CLC138" s="26">
        <v>4</v>
      </c>
      <c r="CLD138" s="26" t="s">
        <v>794</v>
      </c>
      <c r="CLE138" s="26">
        <v>4</v>
      </c>
      <c r="CLF138" s="26" t="s">
        <v>794</v>
      </c>
      <c r="CLG138" s="26">
        <v>4</v>
      </c>
      <c r="CLH138" s="26" t="s">
        <v>794</v>
      </c>
      <c r="CLI138" s="26">
        <v>4</v>
      </c>
      <c r="CLJ138" s="26" t="s">
        <v>794</v>
      </c>
      <c r="CLK138" s="26">
        <v>4</v>
      </c>
      <c r="CLL138" s="26" t="s">
        <v>794</v>
      </c>
      <c r="CLM138" s="26">
        <v>4</v>
      </c>
      <c r="CLN138" s="26" t="s">
        <v>794</v>
      </c>
      <c r="CLO138" s="26">
        <v>4</v>
      </c>
      <c r="CLP138" s="26" t="s">
        <v>794</v>
      </c>
      <c r="CLQ138" s="26">
        <v>4</v>
      </c>
      <c r="CLR138" s="26" t="s">
        <v>794</v>
      </c>
      <c r="CLS138" s="26">
        <v>4</v>
      </c>
      <c r="CLT138" s="26" t="s">
        <v>794</v>
      </c>
      <c r="CLU138" s="26">
        <v>4</v>
      </c>
      <c r="CLV138" s="26" t="s">
        <v>794</v>
      </c>
      <c r="CLW138" s="26">
        <v>4</v>
      </c>
      <c r="CLX138" s="26" t="s">
        <v>794</v>
      </c>
      <c r="CLY138" s="26">
        <v>4</v>
      </c>
      <c r="CLZ138" s="26" t="s">
        <v>794</v>
      </c>
      <c r="CMA138" s="26">
        <v>4</v>
      </c>
      <c r="CMB138" s="26" t="s">
        <v>794</v>
      </c>
      <c r="CMC138" s="26">
        <v>4</v>
      </c>
      <c r="CMD138" s="26" t="s">
        <v>794</v>
      </c>
      <c r="CME138" s="26">
        <v>4</v>
      </c>
      <c r="CMF138" s="26" t="s">
        <v>794</v>
      </c>
      <c r="CMG138" s="26">
        <v>4</v>
      </c>
      <c r="CMH138" s="26" t="s">
        <v>794</v>
      </c>
      <c r="CMI138" s="26">
        <v>4</v>
      </c>
      <c r="CMJ138" s="26" t="s">
        <v>794</v>
      </c>
      <c r="CMK138" s="26">
        <v>4</v>
      </c>
      <c r="CML138" s="26" t="s">
        <v>794</v>
      </c>
      <c r="CMM138" s="26">
        <v>4</v>
      </c>
      <c r="CMN138" s="26" t="s">
        <v>794</v>
      </c>
      <c r="CMO138" s="26">
        <v>4</v>
      </c>
      <c r="CMP138" s="26" t="s">
        <v>794</v>
      </c>
      <c r="CMQ138" s="26">
        <v>4</v>
      </c>
      <c r="CMR138" s="26" t="s">
        <v>794</v>
      </c>
      <c r="CMS138" s="26">
        <v>4</v>
      </c>
      <c r="CMT138" s="26" t="s">
        <v>794</v>
      </c>
      <c r="CMU138" s="26">
        <v>4</v>
      </c>
      <c r="CMV138" s="26" t="s">
        <v>794</v>
      </c>
      <c r="CMW138" s="26">
        <v>4</v>
      </c>
      <c r="CMX138" s="26" t="s">
        <v>794</v>
      </c>
      <c r="CMY138" s="26">
        <v>4</v>
      </c>
      <c r="CMZ138" s="26" t="s">
        <v>794</v>
      </c>
      <c r="CNA138" s="26">
        <v>4</v>
      </c>
      <c r="CNB138" s="26" t="s">
        <v>794</v>
      </c>
      <c r="CNC138" s="26">
        <v>4</v>
      </c>
      <c r="CND138" s="26" t="s">
        <v>794</v>
      </c>
      <c r="CNE138" s="26">
        <v>4</v>
      </c>
      <c r="CNF138" s="26" t="s">
        <v>794</v>
      </c>
      <c r="CNG138" s="26">
        <v>4</v>
      </c>
      <c r="CNH138" s="26" t="s">
        <v>794</v>
      </c>
      <c r="CNI138" s="26">
        <v>4</v>
      </c>
      <c r="CNJ138" s="26" t="s">
        <v>794</v>
      </c>
      <c r="CNK138" s="26">
        <v>4</v>
      </c>
      <c r="CNL138" s="26" t="s">
        <v>794</v>
      </c>
      <c r="CNM138" s="26">
        <v>4</v>
      </c>
      <c r="CNN138" s="26" t="s">
        <v>794</v>
      </c>
      <c r="CNO138" s="26">
        <v>4</v>
      </c>
      <c r="CNP138" s="26" t="s">
        <v>794</v>
      </c>
      <c r="CNQ138" s="26">
        <v>4</v>
      </c>
      <c r="CNR138" s="26" t="s">
        <v>794</v>
      </c>
      <c r="CNS138" s="26">
        <v>4</v>
      </c>
      <c r="CNT138" s="26" t="s">
        <v>794</v>
      </c>
      <c r="CNU138" s="26">
        <v>4</v>
      </c>
      <c r="CNV138" s="26" t="s">
        <v>794</v>
      </c>
      <c r="CNW138" s="26">
        <v>4</v>
      </c>
      <c r="CNX138" s="26" t="s">
        <v>794</v>
      </c>
      <c r="CNY138" s="26">
        <v>4</v>
      </c>
      <c r="CNZ138" s="26" t="s">
        <v>794</v>
      </c>
      <c r="COA138" s="26">
        <v>4</v>
      </c>
      <c r="COB138" s="26" t="s">
        <v>794</v>
      </c>
      <c r="COC138" s="26">
        <v>4</v>
      </c>
      <c r="COD138" s="26" t="s">
        <v>794</v>
      </c>
      <c r="COE138" s="26">
        <v>4</v>
      </c>
      <c r="COF138" s="26" t="s">
        <v>794</v>
      </c>
      <c r="COG138" s="26">
        <v>4</v>
      </c>
      <c r="COH138" s="26" t="s">
        <v>794</v>
      </c>
      <c r="COI138" s="26">
        <v>4</v>
      </c>
      <c r="COJ138" s="26" t="s">
        <v>794</v>
      </c>
      <c r="COK138" s="26">
        <v>4</v>
      </c>
      <c r="COL138" s="26" t="s">
        <v>794</v>
      </c>
      <c r="COM138" s="26">
        <v>4</v>
      </c>
      <c r="CON138" s="26" t="s">
        <v>794</v>
      </c>
      <c r="COO138" s="26">
        <v>4</v>
      </c>
      <c r="COP138" s="26" t="s">
        <v>794</v>
      </c>
      <c r="COQ138" s="26">
        <v>4</v>
      </c>
      <c r="COR138" s="26" t="s">
        <v>794</v>
      </c>
      <c r="COS138" s="26">
        <v>4</v>
      </c>
      <c r="COT138" s="26" t="s">
        <v>794</v>
      </c>
      <c r="COU138" s="26">
        <v>4</v>
      </c>
      <c r="COV138" s="26" t="s">
        <v>794</v>
      </c>
      <c r="COW138" s="26">
        <v>4</v>
      </c>
      <c r="COX138" s="26" t="s">
        <v>794</v>
      </c>
      <c r="COY138" s="26">
        <v>4</v>
      </c>
      <c r="COZ138" s="26" t="s">
        <v>794</v>
      </c>
      <c r="CPA138" s="26">
        <v>4</v>
      </c>
      <c r="CPB138" s="26" t="s">
        <v>794</v>
      </c>
      <c r="CPC138" s="26">
        <v>4</v>
      </c>
      <c r="CPD138" s="26" t="s">
        <v>794</v>
      </c>
      <c r="CPE138" s="26">
        <v>4</v>
      </c>
      <c r="CPF138" s="26" t="s">
        <v>794</v>
      </c>
      <c r="CPG138" s="26">
        <v>4</v>
      </c>
      <c r="CPH138" s="26" t="s">
        <v>794</v>
      </c>
      <c r="CPI138" s="26">
        <v>4</v>
      </c>
      <c r="CPJ138" s="26" t="s">
        <v>794</v>
      </c>
      <c r="CPK138" s="26">
        <v>4</v>
      </c>
      <c r="CPL138" s="26" t="s">
        <v>794</v>
      </c>
      <c r="CPM138" s="26">
        <v>4</v>
      </c>
      <c r="CPN138" s="26" t="s">
        <v>794</v>
      </c>
      <c r="CPO138" s="26">
        <v>4</v>
      </c>
      <c r="CPP138" s="26" t="s">
        <v>794</v>
      </c>
      <c r="CPQ138" s="26">
        <v>4</v>
      </c>
      <c r="CPR138" s="26" t="s">
        <v>794</v>
      </c>
      <c r="CPS138" s="26">
        <v>4</v>
      </c>
      <c r="CPT138" s="26" t="s">
        <v>794</v>
      </c>
      <c r="CPU138" s="26">
        <v>4</v>
      </c>
      <c r="CPV138" s="26" t="s">
        <v>794</v>
      </c>
      <c r="CPW138" s="26">
        <v>4</v>
      </c>
      <c r="CPX138" s="26" t="s">
        <v>794</v>
      </c>
      <c r="CPY138" s="26">
        <v>4</v>
      </c>
      <c r="CPZ138" s="26" t="s">
        <v>794</v>
      </c>
      <c r="CQA138" s="26">
        <v>4</v>
      </c>
      <c r="CQB138" s="26" t="s">
        <v>794</v>
      </c>
      <c r="CQC138" s="26">
        <v>4</v>
      </c>
      <c r="CQD138" s="26" t="s">
        <v>794</v>
      </c>
      <c r="CQE138" s="26">
        <v>4</v>
      </c>
      <c r="CQF138" s="26" t="s">
        <v>794</v>
      </c>
      <c r="CQG138" s="26">
        <v>4</v>
      </c>
      <c r="CQH138" s="26" t="s">
        <v>794</v>
      </c>
      <c r="CQI138" s="26">
        <v>4</v>
      </c>
      <c r="CQJ138" s="26" t="s">
        <v>794</v>
      </c>
      <c r="CQK138" s="26">
        <v>4</v>
      </c>
      <c r="CQL138" s="26" t="s">
        <v>794</v>
      </c>
      <c r="CQM138" s="26">
        <v>4</v>
      </c>
      <c r="CQN138" s="26" t="s">
        <v>794</v>
      </c>
      <c r="CQO138" s="26">
        <v>4</v>
      </c>
      <c r="CQP138" s="26" t="s">
        <v>794</v>
      </c>
      <c r="CQQ138" s="26">
        <v>4</v>
      </c>
      <c r="CQR138" s="26" t="s">
        <v>794</v>
      </c>
      <c r="CQS138" s="26">
        <v>4</v>
      </c>
      <c r="CQT138" s="26" t="s">
        <v>794</v>
      </c>
      <c r="CQU138" s="26">
        <v>4</v>
      </c>
      <c r="CQV138" s="26" t="s">
        <v>794</v>
      </c>
      <c r="CQW138" s="26">
        <v>4</v>
      </c>
      <c r="CQX138" s="26" t="s">
        <v>794</v>
      </c>
      <c r="CQY138" s="26">
        <v>4</v>
      </c>
      <c r="CQZ138" s="26" t="s">
        <v>794</v>
      </c>
      <c r="CRA138" s="26">
        <v>4</v>
      </c>
      <c r="CRB138" s="26" t="s">
        <v>794</v>
      </c>
      <c r="CRC138" s="26">
        <v>4</v>
      </c>
      <c r="CRD138" s="26" t="s">
        <v>794</v>
      </c>
      <c r="CRE138" s="26">
        <v>4</v>
      </c>
      <c r="CRF138" s="26" t="s">
        <v>794</v>
      </c>
      <c r="CRG138" s="26">
        <v>4</v>
      </c>
      <c r="CRH138" s="26" t="s">
        <v>794</v>
      </c>
      <c r="CRI138" s="26">
        <v>4</v>
      </c>
      <c r="CRJ138" s="26" t="s">
        <v>794</v>
      </c>
      <c r="CRK138" s="26">
        <v>4</v>
      </c>
      <c r="CRL138" s="26" t="s">
        <v>794</v>
      </c>
      <c r="CRM138" s="26">
        <v>4</v>
      </c>
      <c r="CRN138" s="26" t="s">
        <v>794</v>
      </c>
      <c r="CRO138" s="26">
        <v>4</v>
      </c>
      <c r="CRP138" s="26" t="s">
        <v>794</v>
      </c>
      <c r="CRQ138" s="26">
        <v>4</v>
      </c>
      <c r="CRR138" s="26" t="s">
        <v>794</v>
      </c>
      <c r="CRS138" s="26">
        <v>4</v>
      </c>
      <c r="CRT138" s="26" t="s">
        <v>794</v>
      </c>
      <c r="CRU138" s="26">
        <v>4</v>
      </c>
      <c r="CRV138" s="26" t="s">
        <v>794</v>
      </c>
      <c r="CRW138" s="26">
        <v>4</v>
      </c>
      <c r="CRX138" s="26" t="s">
        <v>794</v>
      </c>
      <c r="CRY138" s="26">
        <v>4</v>
      </c>
      <c r="CRZ138" s="26" t="s">
        <v>794</v>
      </c>
      <c r="CSA138" s="26">
        <v>4</v>
      </c>
      <c r="CSB138" s="26" t="s">
        <v>794</v>
      </c>
      <c r="CSC138" s="26">
        <v>4</v>
      </c>
      <c r="CSD138" s="26" t="s">
        <v>794</v>
      </c>
      <c r="CSE138" s="26">
        <v>4</v>
      </c>
      <c r="CSF138" s="26" t="s">
        <v>794</v>
      </c>
      <c r="CSG138" s="26">
        <v>4</v>
      </c>
      <c r="CSH138" s="26" t="s">
        <v>794</v>
      </c>
      <c r="CSI138" s="26">
        <v>4</v>
      </c>
      <c r="CSJ138" s="26" t="s">
        <v>794</v>
      </c>
      <c r="CSK138" s="26">
        <v>4</v>
      </c>
      <c r="CSL138" s="26" t="s">
        <v>794</v>
      </c>
      <c r="CSM138" s="26">
        <v>4</v>
      </c>
      <c r="CSN138" s="26" t="s">
        <v>794</v>
      </c>
      <c r="CSO138" s="26">
        <v>4</v>
      </c>
      <c r="CSP138" s="26" t="s">
        <v>794</v>
      </c>
      <c r="CSQ138" s="26">
        <v>4</v>
      </c>
      <c r="CSR138" s="26" t="s">
        <v>794</v>
      </c>
      <c r="CSS138" s="26">
        <v>4</v>
      </c>
      <c r="CST138" s="26" t="s">
        <v>794</v>
      </c>
      <c r="CSU138" s="26">
        <v>4</v>
      </c>
      <c r="CSV138" s="26" t="s">
        <v>794</v>
      </c>
      <c r="CSW138" s="26">
        <v>4</v>
      </c>
      <c r="CSX138" s="26" t="s">
        <v>794</v>
      </c>
      <c r="CSY138" s="26">
        <v>4</v>
      </c>
      <c r="CSZ138" s="26" t="s">
        <v>794</v>
      </c>
      <c r="CTA138" s="26">
        <v>4</v>
      </c>
      <c r="CTB138" s="26" t="s">
        <v>794</v>
      </c>
      <c r="CTC138" s="26">
        <v>4</v>
      </c>
      <c r="CTD138" s="26" t="s">
        <v>794</v>
      </c>
      <c r="CTE138" s="26">
        <v>4</v>
      </c>
      <c r="CTF138" s="26" t="s">
        <v>794</v>
      </c>
      <c r="CTG138" s="26">
        <v>4</v>
      </c>
      <c r="CTH138" s="26" t="s">
        <v>794</v>
      </c>
      <c r="CTI138" s="26">
        <v>4</v>
      </c>
      <c r="CTJ138" s="26" t="s">
        <v>794</v>
      </c>
      <c r="CTK138" s="26">
        <v>4</v>
      </c>
      <c r="CTL138" s="26" t="s">
        <v>794</v>
      </c>
      <c r="CTM138" s="26">
        <v>4</v>
      </c>
      <c r="CTN138" s="26" t="s">
        <v>794</v>
      </c>
      <c r="CTO138" s="26">
        <v>4</v>
      </c>
      <c r="CTP138" s="26" t="s">
        <v>794</v>
      </c>
      <c r="CTQ138" s="26">
        <v>4</v>
      </c>
      <c r="CTR138" s="26" t="s">
        <v>794</v>
      </c>
      <c r="CTS138" s="26">
        <v>4</v>
      </c>
      <c r="CTT138" s="26" t="s">
        <v>794</v>
      </c>
      <c r="CTU138" s="26">
        <v>4</v>
      </c>
      <c r="CTV138" s="26" t="s">
        <v>794</v>
      </c>
      <c r="CTW138" s="26">
        <v>4</v>
      </c>
      <c r="CTX138" s="26" t="s">
        <v>794</v>
      </c>
      <c r="CTY138" s="26">
        <v>4</v>
      </c>
      <c r="CTZ138" s="26" t="s">
        <v>794</v>
      </c>
      <c r="CUA138" s="26">
        <v>4</v>
      </c>
      <c r="CUB138" s="26" t="s">
        <v>794</v>
      </c>
      <c r="CUC138" s="26">
        <v>4</v>
      </c>
      <c r="CUD138" s="26" t="s">
        <v>794</v>
      </c>
      <c r="CUE138" s="26">
        <v>4</v>
      </c>
      <c r="CUF138" s="26" t="s">
        <v>794</v>
      </c>
      <c r="CUG138" s="26">
        <v>4</v>
      </c>
      <c r="CUH138" s="26" t="s">
        <v>794</v>
      </c>
      <c r="CUI138" s="26">
        <v>4</v>
      </c>
      <c r="CUJ138" s="26" t="s">
        <v>794</v>
      </c>
      <c r="CUK138" s="26">
        <v>4</v>
      </c>
      <c r="CUL138" s="26" t="s">
        <v>794</v>
      </c>
      <c r="CUM138" s="26">
        <v>4</v>
      </c>
      <c r="CUN138" s="26" t="s">
        <v>794</v>
      </c>
      <c r="CUO138" s="26">
        <v>4</v>
      </c>
      <c r="CUP138" s="26" t="s">
        <v>794</v>
      </c>
      <c r="CUQ138" s="26">
        <v>4</v>
      </c>
      <c r="CUR138" s="26" t="s">
        <v>794</v>
      </c>
      <c r="CUS138" s="26">
        <v>4</v>
      </c>
      <c r="CUT138" s="26" t="s">
        <v>794</v>
      </c>
      <c r="CUU138" s="26">
        <v>4</v>
      </c>
      <c r="CUV138" s="26" t="s">
        <v>794</v>
      </c>
      <c r="CUW138" s="26">
        <v>4</v>
      </c>
      <c r="CUX138" s="26" t="s">
        <v>794</v>
      </c>
      <c r="CUY138" s="26">
        <v>4</v>
      </c>
      <c r="CUZ138" s="26" t="s">
        <v>794</v>
      </c>
      <c r="CVA138" s="26">
        <v>4</v>
      </c>
      <c r="CVB138" s="26" t="s">
        <v>794</v>
      </c>
      <c r="CVC138" s="26">
        <v>4</v>
      </c>
      <c r="CVD138" s="26" t="s">
        <v>794</v>
      </c>
      <c r="CVE138" s="26">
        <v>4</v>
      </c>
      <c r="CVF138" s="26" t="s">
        <v>794</v>
      </c>
      <c r="CVG138" s="26">
        <v>4</v>
      </c>
      <c r="CVH138" s="26" t="s">
        <v>794</v>
      </c>
      <c r="CVI138" s="26">
        <v>4</v>
      </c>
      <c r="CVJ138" s="26" t="s">
        <v>794</v>
      </c>
      <c r="CVK138" s="26">
        <v>4</v>
      </c>
      <c r="CVL138" s="26" t="s">
        <v>794</v>
      </c>
      <c r="CVM138" s="26">
        <v>4</v>
      </c>
      <c r="CVN138" s="26" t="s">
        <v>794</v>
      </c>
      <c r="CVO138" s="26">
        <v>4</v>
      </c>
      <c r="CVP138" s="26" t="s">
        <v>794</v>
      </c>
      <c r="CVQ138" s="26">
        <v>4</v>
      </c>
      <c r="CVR138" s="26" t="s">
        <v>794</v>
      </c>
      <c r="CVS138" s="26">
        <v>4</v>
      </c>
      <c r="CVT138" s="26" t="s">
        <v>794</v>
      </c>
      <c r="CVU138" s="26">
        <v>4</v>
      </c>
      <c r="CVV138" s="26" t="s">
        <v>794</v>
      </c>
      <c r="CVW138" s="26">
        <v>4</v>
      </c>
      <c r="CVX138" s="26" t="s">
        <v>794</v>
      </c>
      <c r="CVY138" s="26">
        <v>4</v>
      </c>
      <c r="CVZ138" s="26" t="s">
        <v>794</v>
      </c>
      <c r="CWA138" s="26">
        <v>4</v>
      </c>
      <c r="CWB138" s="26" t="s">
        <v>794</v>
      </c>
      <c r="CWC138" s="26">
        <v>4</v>
      </c>
      <c r="CWD138" s="26" t="s">
        <v>794</v>
      </c>
      <c r="CWE138" s="26">
        <v>4</v>
      </c>
      <c r="CWF138" s="26" t="s">
        <v>794</v>
      </c>
      <c r="CWG138" s="26">
        <v>4</v>
      </c>
      <c r="CWH138" s="26" t="s">
        <v>794</v>
      </c>
      <c r="CWI138" s="26">
        <v>4</v>
      </c>
      <c r="CWJ138" s="26" t="s">
        <v>794</v>
      </c>
      <c r="CWK138" s="26">
        <v>4</v>
      </c>
      <c r="CWL138" s="26" t="s">
        <v>794</v>
      </c>
      <c r="CWM138" s="26">
        <v>4</v>
      </c>
      <c r="CWN138" s="26" t="s">
        <v>794</v>
      </c>
      <c r="CWO138" s="26">
        <v>4</v>
      </c>
      <c r="CWP138" s="26" t="s">
        <v>794</v>
      </c>
      <c r="CWQ138" s="26">
        <v>4</v>
      </c>
      <c r="CWR138" s="26" t="s">
        <v>794</v>
      </c>
      <c r="CWS138" s="26">
        <v>4</v>
      </c>
      <c r="CWT138" s="26" t="s">
        <v>794</v>
      </c>
      <c r="CWU138" s="26">
        <v>4</v>
      </c>
      <c r="CWV138" s="26" t="s">
        <v>794</v>
      </c>
      <c r="CWW138" s="26">
        <v>4</v>
      </c>
      <c r="CWX138" s="26" t="s">
        <v>794</v>
      </c>
      <c r="CWY138" s="26">
        <v>4</v>
      </c>
      <c r="CWZ138" s="26" t="s">
        <v>794</v>
      </c>
      <c r="CXA138" s="26">
        <v>4</v>
      </c>
      <c r="CXB138" s="26" t="s">
        <v>794</v>
      </c>
      <c r="CXC138" s="26">
        <v>4</v>
      </c>
      <c r="CXD138" s="26" t="s">
        <v>794</v>
      </c>
      <c r="CXE138" s="26">
        <v>4</v>
      </c>
      <c r="CXF138" s="26" t="s">
        <v>794</v>
      </c>
      <c r="CXG138" s="26">
        <v>4</v>
      </c>
      <c r="CXH138" s="26" t="s">
        <v>794</v>
      </c>
      <c r="CXI138" s="26">
        <v>4</v>
      </c>
      <c r="CXJ138" s="26" t="s">
        <v>794</v>
      </c>
      <c r="CXK138" s="26">
        <v>4</v>
      </c>
      <c r="CXL138" s="26" t="s">
        <v>794</v>
      </c>
      <c r="CXM138" s="26">
        <v>4</v>
      </c>
      <c r="CXN138" s="26" t="s">
        <v>794</v>
      </c>
      <c r="CXO138" s="26">
        <v>4</v>
      </c>
      <c r="CXP138" s="26" t="s">
        <v>794</v>
      </c>
      <c r="CXQ138" s="26">
        <v>4</v>
      </c>
      <c r="CXR138" s="26" t="s">
        <v>794</v>
      </c>
      <c r="CXS138" s="26">
        <v>4</v>
      </c>
      <c r="CXT138" s="26" t="s">
        <v>794</v>
      </c>
      <c r="CXU138" s="26">
        <v>4</v>
      </c>
      <c r="CXV138" s="26" t="s">
        <v>794</v>
      </c>
      <c r="CXW138" s="26">
        <v>4</v>
      </c>
      <c r="CXX138" s="26" t="s">
        <v>794</v>
      </c>
      <c r="CXY138" s="26">
        <v>4</v>
      </c>
      <c r="CXZ138" s="26" t="s">
        <v>794</v>
      </c>
      <c r="CYA138" s="26">
        <v>4</v>
      </c>
      <c r="CYB138" s="26" t="s">
        <v>794</v>
      </c>
      <c r="CYC138" s="26">
        <v>4</v>
      </c>
      <c r="CYD138" s="26" t="s">
        <v>794</v>
      </c>
      <c r="CYE138" s="26">
        <v>4</v>
      </c>
      <c r="CYF138" s="26" t="s">
        <v>794</v>
      </c>
      <c r="CYG138" s="26">
        <v>4</v>
      </c>
      <c r="CYH138" s="26" t="s">
        <v>794</v>
      </c>
      <c r="CYI138" s="26">
        <v>4</v>
      </c>
      <c r="CYJ138" s="26" t="s">
        <v>794</v>
      </c>
      <c r="CYK138" s="26">
        <v>4</v>
      </c>
      <c r="CYL138" s="26" t="s">
        <v>794</v>
      </c>
      <c r="CYM138" s="26">
        <v>4</v>
      </c>
      <c r="CYN138" s="26" t="s">
        <v>794</v>
      </c>
      <c r="CYO138" s="26">
        <v>4</v>
      </c>
      <c r="CYP138" s="26" t="s">
        <v>794</v>
      </c>
      <c r="CYQ138" s="26">
        <v>4</v>
      </c>
      <c r="CYR138" s="26" t="s">
        <v>794</v>
      </c>
      <c r="CYS138" s="26">
        <v>4</v>
      </c>
      <c r="CYT138" s="26" t="s">
        <v>794</v>
      </c>
      <c r="CYU138" s="26">
        <v>4</v>
      </c>
      <c r="CYV138" s="26" t="s">
        <v>794</v>
      </c>
      <c r="CYW138" s="26">
        <v>4</v>
      </c>
      <c r="CYX138" s="26" t="s">
        <v>794</v>
      </c>
      <c r="CYY138" s="26">
        <v>4</v>
      </c>
      <c r="CYZ138" s="26" t="s">
        <v>794</v>
      </c>
      <c r="CZA138" s="26">
        <v>4</v>
      </c>
      <c r="CZB138" s="26" t="s">
        <v>794</v>
      </c>
      <c r="CZC138" s="26">
        <v>4</v>
      </c>
      <c r="CZD138" s="26" t="s">
        <v>794</v>
      </c>
      <c r="CZE138" s="26">
        <v>4</v>
      </c>
      <c r="CZF138" s="26" t="s">
        <v>794</v>
      </c>
      <c r="CZG138" s="26">
        <v>4</v>
      </c>
      <c r="CZH138" s="26" t="s">
        <v>794</v>
      </c>
      <c r="CZI138" s="26">
        <v>4</v>
      </c>
      <c r="CZJ138" s="26" t="s">
        <v>794</v>
      </c>
      <c r="CZK138" s="26">
        <v>4</v>
      </c>
      <c r="CZL138" s="26" t="s">
        <v>794</v>
      </c>
      <c r="CZM138" s="26">
        <v>4</v>
      </c>
      <c r="CZN138" s="26" t="s">
        <v>794</v>
      </c>
      <c r="CZO138" s="26">
        <v>4</v>
      </c>
      <c r="CZP138" s="26" t="s">
        <v>794</v>
      </c>
      <c r="CZQ138" s="26">
        <v>4</v>
      </c>
      <c r="CZR138" s="26" t="s">
        <v>794</v>
      </c>
      <c r="CZS138" s="26">
        <v>4</v>
      </c>
      <c r="CZT138" s="26" t="s">
        <v>794</v>
      </c>
      <c r="CZU138" s="26">
        <v>4</v>
      </c>
      <c r="CZV138" s="26" t="s">
        <v>794</v>
      </c>
      <c r="CZW138" s="26">
        <v>4</v>
      </c>
      <c r="CZX138" s="26" t="s">
        <v>794</v>
      </c>
      <c r="CZY138" s="26">
        <v>4</v>
      </c>
      <c r="CZZ138" s="26" t="s">
        <v>794</v>
      </c>
      <c r="DAA138" s="26">
        <v>4</v>
      </c>
      <c r="DAB138" s="26" t="s">
        <v>794</v>
      </c>
      <c r="DAC138" s="26">
        <v>4</v>
      </c>
      <c r="DAD138" s="26" t="s">
        <v>794</v>
      </c>
      <c r="DAE138" s="26">
        <v>4</v>
      </c>
      <c r="DAF138" s="26" t="s">
        <v>794</v>
      </c>
      <c r="DAG138" s="26">
        <v>4</v>
      </c>
      <c r="DAH138" s="26" t="s">
        <v>794</v>
      </c>
      <c r="DAI138" s="26">
        <v>4</v>
      </c>
      <c r="DAJ138" s="26" t="s">
        <v>794</v>
      </c>
      <c r="DAK138" s="26">
        <v>4</v>
      </c>
      <c r="DAL138" s="26" t="s">
        <v>794</v>
      </c>
      <c r="DAM138" s="26">
        <v>4</v>
      </c>
      <c r="DAN138" s="26" t="s">
        <v>794</v>
      </c>
      <c r="DAO138" s="26">
        <v>4</v>
      </c>
      <c r="DAP138" s="26" t="s">
        <v>794</v>
      </c>
      <c r="DAQ138" s="26">
        <v>4</v>
      </c>
      <c r="DAR138" s="26" t="s">
        <v>794</v>
      </c>
      <c r="DAS138" s="26">
        <v>4</v>
      </c>
      <c r="DAT138" s="26" t="s">
        <v>794</v>
      </c>
      <c r="DAU138" s="26">
        <v>4</v>
      </c>
      <c r="DAV138" s="26" t="s">
        <v>794</v>
      </c>
      <c r="DAW138" s="26">
        <v>4</v>
      </c>
      <c r="DAX138" s="26" t="s">
        <v>794</v>
      </c>
      <c r="DAY138" s="26">
        <v>4</v>
      </c>
      <c r="DAZ138" s="26" t="s">
        <v>794</v>
      </c>
      <c r="DBA138" s="26">
        <v>4</v>
      </c>
      <c r="DBB138" s="26" t="s">
        <v>794</v>
      </c>
      <c r="DBC138" s="26">
        <v>4</v>
      </c>
      <c r="DBD138" s="26" t="s">
        <v>794</v>
      </c>
      <c r="DBE138" s="26">
        <v>4</v>
      </c>
      <c r="DBF138" s="26" t="s">
        <v>794</v>
      </c>
      <c r="DBG138" s="26">
        <v>4</v>
      </c>
      <c r="DBH138" s="26" t="s">
        <v>794</v>
      </c>
      <c r="DBI138" s="26">
        <v>4</v>
      </c>
      <c r="DBJ138" s="26" t="s">
        <v>794</v>
      </c>
      <c r="DBK138" s="26">
        <v>4</v>
      </c>
      <c r="DBL138" s="26" t="s">
        <v>794</v>
      </c>
      <c r="DBM138" s="26">
        <v>4</v>
      </c>
      <c r="DBN138" s="26" t="s">
        <v>794</v>
      </c>
      <c r="DBO138" s="26">
        <v>4</v>
      </c>
      <c r="DBP138" s="26" t="s">
        <v>794</v>
      </c>
      <c r="DBQ138" s="26">
        <v>4</v>
      </c>
      <c r="DBR138" s="26" t="s">
        <v>794</v>
      </c>
      <c r="DBS138" s="26">
        <v>4</v>
      </c>
      <c r="DBT138" s="26" t="s">
        <v>794</v>
      </c>
      <c r="DBU138" s="26">
        <v>4</v>
      </c>
      <c r="DBV138" s="26" t="s">
        <v>794</v>
      </c>
      <c r="DBW138" s="26">
        <v>4</v>
      </c>
      <c r="DBX138" s="26" t="s">
        <v>794</v>
      </c>
      <c r="DBY138" s="26">
        <v>4</v>
      </c>
      <c r="DBZ138" s="26" t="s">
        <v>794</v>
      </c>
      <c r="DCA138" s="26">
        <v>4</v>
      </c>
      <c r="DCB138" s="26" t="s">
        <v>794</v>
      </c>
      <c r="DCC138" s="26">
        <v>4</v>
      </c>
      <c r="DCD138" s="26" t="s">
        <v>794</v>
      </c>
      <c r="DCE138" s="26">
        <v>4</v>
      </c>
      <c r="DCF138" s="26" t="s">
        <v>794</v>
      </c>
      <c r="DCG138" s="26">
        <v>4</v>
      </c>
      <c r="DCH138" s="26" t="s">
        <v>794</v>
      </c>
      <c r="DCI138" s="26">
        <v>4</v>
      </c>
      <c r="DCJ138" s="26" t="s">
        <v>794</v>
      </c>
      <c r="DCK138" s="26">
        <v>4</v>
      </c>
      <c r="DCL138" s="26" t="s">
        <v>794</v>
      </c>
      <c r="DCM138" s="26">
        <v>4</v>
      </c>
      <c r="DCN138" s="26" t="s">
        <v>794</v>
      </c>
      <c r="DCO138" s="26">
        <v>4</v>
      </c>
      <c r="DCP138" s="26" t="s">
        <v>794</v>
      </c>
      <c r="DCQ138" s="26">
        <v>4</v>
      </c>
      <c r="DCR138" s="26" t="s">
        <v>794</v>
      </c>
      <c r="DCS138" s="26">
        <v>4</v>
      </c>
      <c r="DCT138" s="26" t="s">
        <v>794</v>
      </c>
      <c r="DCU138" s="26">
        <v>4</v>
      </c>
      <c r="DCV138" s="26" t="s">
        <v>794</v>
      </c>
      <c r="DCW138" s="26">
        <v>4</v>
      </c>
      <c r="DCX138" s="26" t="s">
        <v>794</v>
      </c>
      <c r="DCY138" s="26">
        <v>4</v>
      </c>
      <c r="DCZ138" s="26" t="s">
        <v>794</v>
      </c>
      <c r="DDA138" s="26">
        <v>4</v>
      </c>
      <c r="DDB138" s="26" t="s">
        <v>794</v>
      </c>
      <c r="DDC138" s="26">
        <v>4</v>
      </c>
      <c r="DDD138" s="26" t="s">
        <v>794</v>
      </c>
      <c r="DDE138" s="26">
        <v>4</v>
      </c>
      <c r="DDF138" s="26" t="s">
        <v>794</v>
      </c>
      <c r="DDG138" s="26">
        <v>4</v>
      </c>
      <c r="DDH138" s="26" t="s">
        <v>794</v>
      </c>
      <c r="DDI138" s="26">
        <v>4</v>
      </c>
      <c r="DDJ138" s="26" t="s">
        <v>794</v>
      </c>
      <c r="DDK138" s="26">
        <v>4</v>
      </c>
      <c r="DDL138" s="26" t="s">
        <v>794</v>
      </c>
      <c r="DDM138" s="26">
        <v>4</v>
      </c>
      <c r="DDN138" s="26" t="s">
        <v>794</v>
      </c>
      <c r="DDO138" s="26">
        <v>4</v>
      </c>
      <c r="DDP138" s="26" t="s">
        <v>794</v>
      </c>
      <c r="DDQ138" s="26">
        <v>4</v>
      </c>
      <c r="DDR138" s="26" t="s">
        <v>794</v>
      </c>
      <c r="DDS138" s="26">
        <v>4</v>
      </c>
      <c r="DDT138" s="26" t="s">
        <v>794</v>
      </c>
      <c r="DDU138" s="26">
        <v>4</v>
      </c>
      <c r="DDV138" s="26" t="s">
        <v>794</v>
      </c>
      <c r="DDW138" s="26">
        <v>4</v>
      </c>
      <c r="DDX138" s="26" t="s">
        <v>794</v>
      </c>
      <c r="DDY138" s="26">
        <v>4</v>
      </c>
      <c r="DDZ138" s="26" t="s">
        <v>794</v>
      </c>
      <c r="DEA138" s="26">
        <v>4</v>
      </c>
      <c r="DEB138" s="26" t="s">
        <v>794</v>
      </c>
      <c r="DEC138" s="26">
        <v>4</v>
      </c>
      <c r="DED138" s="26" t="s">
        <v>794</v>
      </c>
      <c r="DEE138" s="26">
        <v>4</v>
      </c>
      <c r="DEF138" s="26" t="s">
        <v>794</v>
      </c>
      <c r="DEG138" s="26">
        <v>4</v>
      </c>
      <c r="DEH138" s="26" t="s">
        <v>794</v>
      </c>
      <c r="DEI138" s="26">
        <v>4</v>
      </c>
      <c r="DEJ138" s="26" t="s">
        <v>794</v>
      </c>
      <c r="DEK138" s="26">
        <v>4</v>
      </c>
      <c r="DEL138" s="26" t="s">
        <v>794</v>
      </c>
      <c r="DEM138" s="26">
        <v>4</v>
      </c>
      <c r="DEN138" s="26" t="s">
        <v>794</v>
      </c>
      <c r="DEO138" s="26">
        <v>4</v>
      </c>
      <c r="DEP138" s="26" t="s">
        <v>794</v>
      </c>
      <c r="DEQ138" s="26">
        <v>4</v>
      </c>
      <c r="DER138" s="26" t="s">
        <v>794</v>
      </c>
      <c r="DES138" s="26">
        <v>4</v>
      </c>
      <c r="DET138" s="26" t="s">
        <v>794</v>
      </c>
      <c r="DEU138" s="26">
        <v>4</v>
      </c>
      <c r="DEV138" s="26" t="s">
        <v>794</v>
      </c>
      <c r="DEW138" s="26">
        <v>4</v>
      </c>
      <c r="DEX138" s="26" t="s">
        <v>794</v>
      </c>
      <c r="DEY138" s="26">
        <v>4</v>
      </c>
      <c r="DEZ138" s="26" t="s">
        <v>794</v>
      </c>
      <c r="DFA138" s="26">
        <v>4</v>
      </c>
      <c r="DFB138" s="26" t="s">
        <v>794</v>
      </c>
      <c r="DFC138" s="26">
        <v>4</v>
      </c>
      <c r="DFD138" s="26" t="s">
        <v>794</v>
      </c>
      <c r="DFE138" s="26">
        <v>4</v>
      </c>
      <c r="DFF138" s="26" t="s">
        <v>794</v>
      </c>
      <c r="DFG138" s="26">
        <v>4</v>
      </c>
      <c r="DFH138" s="26" t="s">
        <v>794</v>
      </c>
      <c r="DFI138" s="26">
        <v>4</v>
      </c>
      <c r="DFJ138" s="26" t="s">
        <v>794</v>
      </c>
      <c r="DFK138" s="26">
        <v>4</v>
      </c>
      <c r="DFL138" s="26" t="s">
        <v>794</v>
      </c>
      <c r="DFM138" s="26">
        <v>4</v>
      </c>
      <c r="DFN138" s="26" t="s">
        <v>794</v>
      </c>
      <c r="DFO138" s="26">
        <v>4</v>
      </c>
      <c r="DFP138" s="26" t="s">
        <v>794</v>
      </c>
      <c r="DFQ138" s="26">
        <v>4</v>
      </c>
      <c r="DFR138" s="26" t="s">
        <v>794</v>
      </c>
      <c r="DFS138" s="26">
        <v>4</v>
      </c>
      <c r="DFT138" s="26" t="s">
        <v>794</v>
      </c>
      <c r="DFU138" s="26">
        <v>4</v>
      </c>
      <c r="DFV138" s="26" t="s">
        <v>794</v>
      </c>
      <c r="DFW138" s="26">
        <v>4</v>
      </c>
      <c r="DFX138" s="26" t="s">
        <v>794</v>
      </c>
      <c r="DFY138" s="26">
        <v>4</v>
      </c>
      <c r="DFZ138" s="26" t="s">
        <v>794</v>
      </c>
      <c r="DGA138" s="26">
        <v>4</v>
      </c>
      <c r="DGB138" s="26" t="s">
        <v>794</v>
      </c>
      <c r="DGC138" s="26">
        <v>4</v>
      </c>
      <c r="DGD138" s="26" t="s">
        <v>794</v>
      </c>
      <c r="DGE138" s="26">
        <v>4</v>
      </c>
      <c r="DGF138" s="26" t="s">
        <v>794</v>
      </c>
      <c r="DGG138" s="26">
        <v>4</v>
      </c>
      <c r="DGH138" s="26" t="s">
        <v>794</v>
      </c>
      <c r="DGI138" s="26">
        <v>4</v>
      </c>
      <c r="DGJ138" s="26" t="s">
        <v>794</v>
      </c>
      <c r="DGK138" s="26">
        <v>4</v>
      </c>
      <c r="DGL138" s="26" t="s">
        <v>794</v>
      </c>
      <c r="DGM138" s="26">
        <v>4</v>
      </c>
      <c r="DGN138" s="26" t="s">
        <v>794</v>
      </c>
      <c r="DGO138" s="26">
        <v>4</v>
      </c>
      <c r="DGP138" s="26" t="s">
        <v>794</v>
      </c>
      <c r="DGQ138" s="26">
        <v>4</v>
      </c>
      <c r="DGR138" s="26" t="s">
        <v>794</v>
      </c>
      <c r="DGS138" s="26">
        <v>4</v>
      </c>
      <c r="DGT138" s="26" t="s">
        <v>794</v>
      </c>
      <c r="DGU138" s="26">
        <v>4</v>
      </c>
      <c r="DGV138" s="26" t="s">
        <v>794</v>
      </c>
      <c r="DGW138" s="26">
        <v>4</v>
      </c>
      <c r="DGX138" s="26" t="s">
        <v>794</v>
      </c>
      <c r="DGY138" s="26">
        <v>4</v>
      </c>
      <c r="DGZ138" s="26" t="s">
        <v>794</v>
      </c>
      <c r="DHA138" s="26">
        <v>4</v>
      </c>
      <c r="DHB138" s="26" t="s">
        <v>794</v>
      </c>
      <c r="DHC138" s="26">
        <v>4</v>
      </c>
      <c r="DHD138" s="26" t="s">
        <v>794</v>
      </c>
      <c r="DHE138" s="26">
        <v>4</v>
      </c>
      <c r="DHF138" s="26" t="s">
        <v>794</v>
      </c>
      <c r="DHG138" s="26">
        <v>4</v>
      </c>
      <c r="DHH138" s="26" t="s">
        <v>794</v>
      </c>
      <c r="DHI138" s="26">
        <v>4</v>
      </c>
      <c r="DHJ138" s="26" t="s">
        <v>794</v>
      </c>
      <c r="DHK138" s="26">
        <v>4</v>
      </c>
      <c r="DHL138" s="26" t="s">
        <v>794</v>
      </c>
      <c r="DHM138" s="26">
        <v>4</v>
      </c>
      <c r="DHN138" s="26" t="s">
        <v>794</v>
      </c>
      <c r="DHO138" s="26">
        <v>4</v>
      </c>
      <c r="DHP138" s="26" t="s">
        <v>794</v>
      </c>
      <c r="DHQ138" s="26">
        <v>4</v>
      </c>
      <c r="DHR138" s="26" t="s">
        <v>794</v>
      </c>
      <c r="DHS138" s="26">
        <v>4</v>
      </c>
      <c r="DHT138" s="26" t="s">
        <v>794</v>
      </c>
      <c r="DHU138" s="26">
        <v>4</v>
      </c>
      <c r="DHV138" s="26" t="s">
        <v>794</v>
      </c>
      <c r="DHW138" s="26">
        <v>4</v>
      </c>
      <c r="DHX138" s="26" t="s">
        <v>794</v>
      </c>
      <c r="DHY138" s="26">
        <v>4</v>
      </c>
      <c r="DHZ138" s="26" t="s">
        <v>794</v>
      </c>
      <c r="DIA138" s="26">
        <v>4</v>
      </c>
      <c r="DIB138" s="26" t="s">
        <v>794</v>
      </c>
      <c r="DIC138" s="26">
        <v>4</v>
      </c>
      <c r="DID138" s="26" t="s">
        <v>794</v>
      </c>
      <c r="DIE138" s="26">
        <v>4</v>
      </c>
      <c r="DIF138" s="26" t="s">
        <v>794</v>
      </c>
      <c r="DIG138" s="26">
        <v>4</v>
      </c>
      <c r="DIH138" s="26" t="s">
        <v>794</v>
      </c>
      <c r="DII138" s="26">
        <v>4</v>
      </c>
      <c r="DIJ138" s="26" t="s">
        <v>794</v>
      </c>
      <c r="DIK138" s="26">
        <v>4</v>
      </c>
      <c r="DIL138" s="26" t="s">
        <v>794</v>
      </c>
      <c r="DIM138" s="26">
        <v>4</v>
      </c>
      <c r="DIN138" s="26" t="s">
        <v>794</v>
      </c>
      <c r="DIO138" s="26">
        <v>4</v>
      </c>
      <c r="DIP138" s="26" t="s">
        <v>794</v>
      </c>
      <c r="DIQ138" s="26">
        <v>4</v>
      </c>
      <c r="DIR138" s="26" t="s">
        <v>794</v>
      </c>
      <c r="DIS138" s="26">
        <v>4</v>
      </c>
      <c r="DIT138" s="26" t="s">
        <v>794</v>
      </c>
      <c r="DIU138" s="26">
        <v>4</v>
      </c>
      <c r="DIV138" s="26" t="s">
        <v>794</v>
      </c>
      <c r="DIW138" s="26">
        <v>4</v>
      </c>
      <c r="DIX138" s="26" t="s">
        <v>794</v>
      </c>
      <c r="DIY138" s="26">
        <v>4</v>
      </c>
      <c r="DIZ138" s="26" t="s">
        <v>794</v>
      </c>
      <c r="DJA138" s="26">
        <v>4</v>
      </c>
      <c r="DJB138" s="26" t="s">
        <v>794</v>
      </c>
      <c r="DJC138" s="26">
        <v>4</v>
      </c>
      <c r="DJD138" s="26" t="s">
        <v>794</v>
      </c>
      <c r="DJE138" s="26">
        <v>4</v>
      </c>
      <c r="DJF138" s="26" t="s">
        <v>794</v>
      </c>
      <c r="DJG138" s="26">
        <v>4</v>
      </c>
      <c r="DJH138" s="26" t="s">
        <v>794</v>
      </c>
      <c r="DJI138" s="26">
        <v>4</v>
      </c>
      <c r="DJJ138" s="26" t="s">
        <v>794</v>
      </c>
      <c r="DJK138" s="26">
        <v>4</v>
      </c>
      <c r="DJL138" s="26" t="s">
        <v>794</v>
      </c>
      <c r="DJM138" s="26">
        <v>4</v>
      </c>
      <c r="DJN138" s="26" t="s">
        <v>794</v>
      </c>
      <c r="DJO138" s="26">
        <v>4</v>
      </c>
      <c r="DJP138" s="26" t="s">
        <v>794</v>
      </c>
      <c r="DJQ138" s="26">
        <v>4</v>
      </c>
      <c r="DJR138" s="26" t="s">
        <v>794</v>
      </c>
      <c r="DJS138" s="26">
        <v>4</v>
      </c>
      <c r="DJT138" s="26" t="s">
        <v>794</v>
      </c>
      <c r="DJU138" s="26">
        <v>4</v>
      </c>
      <c r="DJV138" s="26" t="s">
        <v>794</v>
      </c>
      <c r="DJW138" s="26">
        <v>4</v>
      </c>
      <c r="DJX138" s="26" t="s">
        <v>794</v>
      </c>
      <c r="DJY138" s="26">
        <v>4</v>
      </c>
      <c r="DJZ138" s="26" t="s">
        <v>794</v>
      </c>
      <c r="DKA138" s="26">
        <v>4</v>
      </c>
      <c r="DKB138" s="26" t="s">
        <v>794</v>
      </c>
      <c r="DKC138" s="26">
        <v>4</v>
      </c>
      <c r="DKD138" s="26" t="s">
        <v>794</v>
      </c>
      <c r="DKE138" s="26">
        <v>4</v>
      </c>
      <c r="DKF138" s="26" t="s">
        <v>794</v>
      </c>
      <c r="DKG138" s="26">
        <v>4</v>
      </c>
      <c r="DKH138" s="26" t="s">
        <v>794</v>
      </c>
      <c r="DKI138" s="26">
        <v>4</v>
      </c>
      <c r="DKJ138" s="26" t="s">
        <v>794</v>
      </c>
      <c r="DKK138" s="26">
        <v>4</v>
      </c>
      <c r="DKL138" s="26" t="s">
        <v>794</v>
      </c>
      <c r="DKM138" s="26">
        <v>4</v>
      </c>
      <c r="DKN138" s="26" t="s">
        <v>794</v>
      </c>
      <c r="DKO138" s="26">
        <v>4</v>
      </c>
      <c r="DKP138" s="26" t="s">
        <v>794</v>
      </c>
      <c r="DKQ138" s="26">
        <v>4</v>
      </c>
      <c r="DKR138" s="26" t="s">
        <v>794</v>
      </c>
      <c r="DKS138" s="26">
        <v>4</v>
      </c>
      <c r="DKT138" s="26" t="s">
        <v>794</v>
      </c>
      <c r="DKU138" s="26">
        <v>4</v>
      </c>
      <c r="DKV138" s="26" t="s">
        <v>794</v>
      </c>
      <c r="DKW138" s="26">
        <v>4</v>
      </c>
      <c r="DKX138" s="26" t="s">
        <v>794</v>
      </c>
      <c r="DKY138" s="26">
        <v>4</v>
      </c>
      <c r="DKZ138" s="26" t="s">
        <v>794</v>
      </c>
      <c r="DLA138" s="26">
        <v>4</v>
      </c>
      <c r="DLB138" s="26" t="s">
        <v>794</v>
      </c>
      <c r="DLC138" s="26">
        <v>4</v>
      </c>
      <c r="DLD138" s="26" t="s">
        <v>794</v>
      </c>
      <c r="DLE138" s="26">
        <v>4</v>
      </c>
      <c r="DLF138" s="26" t="s">
        <v>794</v>
      </c>
      <c r="DLG138" s="26">
        <v>4</v>
      </c>
      <c r="DLH138" s="26" t="s">
        <v>794</v>
      </c>
      <c r="DLI138" s="26">
        <v>4</v>
      </c>
      <c r="DLJ138" s="26" t="s">
        <v>794</v>
      </c>
      <c r="DLK138" s="26">
        <v>4</v>
      </c>
      <c r="DLL138" s="26" t="s">
        <v>794</v>
      </c>
      <c r="DLM138" s="26">
        <v>4</v>
      </c>
      <c r="DLN138" s="26" t="s">
        <v>794</v>
      </c>
      <c r="DLO138" s="26">
        <v>4</v>
      </c>
      <c r="DLP138" s="26" t="s">
        <v>794</v>
      </c>
      <c r="DLQ138" s="26">
        <v>4</v>
      </c>
      <c r="DLR138" s="26" t="s">
        <v>794</v>
      </c>
      <c r="DLS138" s="26">
        <v>4</v>
      </c>
      <c r="DLT138" s="26" t="s">
        <v>794</v>
      </c>
      <c r="DLU138" s="26">
        <v>4</v>
      </c>
      <c r="DLV138" s="26" t="s">
        <v>794</v>
      </c>
      <c r="DLW138" s="26">
        <v>4</v>
      </c>
      <c r="DLX138" s="26" t="s">
        <v>794</v>
      </c>
      <c r="DLY138" s="26">
        <v>4</v>
      </c>
      <c r="DLZ138" s="26" t="s">
        <v>794</v>
      </c>
      <c r="DMA138" s="26">
        <v>4</v>
      </c>
      <c r="DMB138" s="26" t="s">
        <v>794</v>
      </c>
      <c r="DMC138" s="26">
        <v>4</v>
      </c>
      <c r="DMD138" s="26" t="s">
        <v>794</v>
      </c>
      <c r="DME138" s="26">
        <v>4</v>
      </c>
      <c r="DMF138" s="26" t="s">
        <v>794</v>
      </c>
      <c r="DMG138" s="26">
        <v>4</v>
      </c>
      <c r="DMH138" s="26" t="s">
        <v>794</v>
      </c>
      <c r="DMI138" s="26">
        <v>4</v>
      </c>
      <c r="DMJ138" s="26" t="s">
        <v>794</v>
      </c>
      <c r="DMK138" s="26">
        <v>4</v>
      </c>
      <c r="DML138" s="26" t="s">
        <v>794</v>
      </c>
      <c r="DMM138" s="26">
        <v>4</v>
      </c>
      <c r="DMN138" s="26" t="s">
        <v>794</v>
      </c>
      <c r="DMO138" s="26">
        <v>4</v>
      </c>
      <c r="DMP138" s="26" t="s">
        <v>794</v>
      </c>
      <c r="DMQ138" s="26">
        <v>4</v>
      </c>
      <c r="DMR138" s="26" t="s">
        <v>794</v>
      </c>
      <c r="DMS138" s="26">
        <v>4</v>
      </c>
      <c r="DMT138" s="26" t="s">
        <v>794</v>
      </c>
      <c r="DMU138" s="26">
        <v>4</v>
      </c>
      <c r="DMV138" s="26" t="s">
        <v>794</v>
      </c>
      <c r="DMW138" s="26">
        <v>4</v>
      </c>
      <c r="DMX138" s="26" t="s">
        <v>794</v>
      </c>
      <c r="DMY138" s="26">
        <v>4</v>
      </c>
      <c r="DMZ138" s="26" t="s">
        <v>794</v>
      </c>
      <c r="DNA138" s="26">
        <v>4</v>
      </c>
      <c r="DNB138" s="26" t="s">
        <v>794</v>
      </c>
      <c r="DNC138" s="26">
        <v>4</v>
      </c>
      <c r="DND138" s="26" t="s">
        <v>794</v>
      </c>
      <c r="DNE138" s="26">
        <v>4</v>
      </c>
      <c r="DNF138" s="26" t="s">
        <v>794</v>
      </c>
      <c r="DNG138" s="26">
        <v>4</v>
      </c>
      <c r="DNH138" s="26" t="s">
        <v>794</v>
      </c>
      <c r="DNI138" s="26">
        <v>4</v>
      </c>
      <c r="DNJ138" s="26" t="s">
        <v>794</v>
      </c>
      <c r="DNK138" s="26">
        <v>4</v>
      </c>
      <c r="DNL138" s="26" t="s">
        <v>794</v>
      </c>
      <c r="DNM138" s="26">
        <v>4</v>
      </c>
      <c r="DNN138" s="26" t="s">
        <v>794</v>
      </c>
      <c r="DNO138" s="26">
        <v>4</v>
      </c>
      <c r="DNP138" s="26" t="s">
        <v>794</v>
      </c>
      <c r="DNQ138" s="26">
        <v>4</v>
      </c>
      <c r="DNR138" s="26" t="s">
        <v>794</v>
      </c>
      <c r="DNS138" s="26">
        <v>4</v>
      </c>
      <c r="DNT138" s="26" t="s">
        <v>794</v>
      </c>
      <c r="DNU138" s="26">
        <v>4</v>
      </c>
      <c r="DNV138" s="26" t="s">
        <v>794</v>
      </c>
      <c r="DNW138" s="26">
        <v>4</v>
      </c>
      <c r="DNX138" s="26" t="s">
        <v>794</v>
      </c>
      <c r="DNY138" s="26">
        <v>4</v>
      </c>
      <c r="DNZ138" s="26" t="s">
        <v>794</v>
      </c>
      <c r="DOA138" s="26">
        <v>4</v>
      </c>
      <c r="DOB138" s="26" t="s">
        <v>794</v>
      </c>
      <c r="DOC138" s="26">
        <v>4</v>
      </c>
      <c r="DOD138" s="26" t="s">
        <v>794</v>
      </c>
      <c r="DOE138" s="26">
        <v>4</v>
      </c>
      <c r="DOF138" s="26" t="s">
        <v>794</v>
      </c>
      <c r="DOG138" s="26">
        <v>4</v>
      </c>
      <c r="DOH138" s="26" t="s">
        <v>794</v>
      </c>
      <c r="DOI138" s="26">
        <v>4</v>
      </c>
      <c r="DOJ138" s="26" t="s">
        <v>794</v>
      </c>
      <c r="DOK138" s="26">
        <v>4</v>
      </c>
      <c r="DOL138" s="26" t="s">
        <v>794</v>
      </c>
      <c r="DOM138" s="26">
        <v>4</v>
      </c>
      <c r="DON138" s="26" t="s">
        <v>794</v>
      </c>
      <c r="DOO138" s="26">
        <v>4</v>
      </c>
      <c r="DOP138" s="26" t="s">
        <v>794</v>
      </c>
      <c r="DOQ138" s="26">
        <v>4</v>
      </c>
      <c r="DOR138" s="26" t="s">
        <v>794</v>
      </c>
      <c r="DOS138" s="26">
        <v>4</v>
      </c>
      <c r="DOT138" s="26" t="s">
        <v>794</v>
      </c>
      <c r="DOU138" s="26">
        <v>4</v>
      </c>
      <c r="DOV138" s="26" t="s">
        <v>794</v>
      </c>
      <c r="DOW138" s="26">
        <v>4</v>
      </c>
      <c r="DOX138" s="26" t="s">
        <v>794</v>
      </c>
      <c r="DOY138" s="26">
        <v>4</v>
      </c>
      <c r="DOZ138" s="26" t="s">
        <v>794</v>
      </c>
      <c r="DPA138" s="26">
        <v>4</v>
      </c>
      <c r="DPB138" s="26" t="s">
        <v>794</v>
      </c>
      <c r="DPC138" s="26">
        <v>4</v>
      </c>
      <c r="DPD138" s="26" t="s">
        <v>794</v>
      </c>
      <c r="DPE138" s="26">
        <v>4</v>
      </c>
      <c r="DPF138" s="26" t="s">
        <v>794</v>
      </c>
      <c r="DPG138" s="26">
        <v>4</v>
      </c>
      <c r="DPH138" s="26" t="s">
        <v>794</v>
      </c>
      <c r="DPI138" s="26">
        <v>4</v>
      </c>
      <c r="DPJ138" s="26" t="s">
        <v>794</v>
      </c>
      <c r="DPK138" s="26">
        <v>4</v>
      </c>
      <c r="DPL138" s="26" t="s">
        <v>794</v>
      </c>
      <c r="DPM138" s="26">
        <v>4</v>
      </c>
      <c r="DPN138" s="26" t="s">
        <v>794</v>
      </c>
      <c r="DPO138" s="26">
        <v>4</v>
      </c>
      <c r="DPP138" s="26" t="s">
        <v>794</v>
      </c>
      <c r="DPQ138" s="26">
        <v>4</v>
      </c>
      <c r="DPR138" s="26" t="s">
        <v>794</v>
      </c>
      <c r="DPS138" s="26">
        <v>4</v>
      </c>
      <c r="DPT138" s="26" t="s">
        <v>794</v>
      </c>
      <c r="DPU138" s="26">
        <v>4</v>
      </c>
      <c r="DPV138" s="26" t="s">
        <v>794</v>
      </c>
      <c r="DPW138" s="26">
        <v>4</v>
      </c>
      <c r="DPX138" s="26" t="s">
        <v>794</v>
      </c>
      <c r="DPY138" s="26">
        <v>4</v>
      </c>
      <c r="DPZ138" s="26" t="s">
        <v>794</v>
      </c>
      <c r="DQA138" s="26">
        <v>4</v>
      </c>
      <c r="DQB138" s="26" t="s">
        <v>794</v>
      </c>
      <c r="DQC138" s="26">
        <v>4</v>
      </c>
      <c r="DQD138" s="26" t="s">
        <v>794</v>
      </c>
      <c r="DQE138" s="26">
        <v>4</v>
      </c>
      <c r="DQF138" s="26" t="s">
        <v>794</v>
      </c>
      <c r="DQG138" s="26">
        <v>4</v>
      </c>
      <c r="DQH138" s="26" t="s">
        <v>794</v>
      </c>
      <c r="DQI138" s="26">
        <v>4</v>
      </c>
      <c r="DQJ138" s="26" t="s">
        <v>794</v>
      </c>
      <c r="DQK138" s="26">
        <v>4</v>
      </c>
      <c r="DQL138" s="26" t="s">
        <v>794</v>
      </c>
      <c r="DQM138" s="26">
        <v>4</v>
      </c>
      <c r="DQN138" s="26" t="s">
        <v>794</v>
      </c>
      <c r="DQO138" s="26">
        <v>4</v>
      </c>
      <c r="DQP138" s="26" t="s">
        <v>794</v>
      </c>
      <c r="DQQ138" s="26">
        <v>4</v>
      </c>
      <c r="DQR138" s="26" t="s">
        <v>794</v>
      </c>
      <c r="DQS138" s="26">
        <v>4</v>
      </c>
      <c r="DQT138" s="26" t="s">
        <v>794</v>
      </c>
      <c r="DQU138" s="26">
        <v>4</v>
      </c>
      <c r="DQV138" s="26" t="s">
        <v>794</v>
      </c>
      <c r="DQW138" s="26">
        <v>4</v>
      </c>
      <c r="DQX138" s="26" t="s">
        <v>794</v>
      </c>
      <c r="DQY138" s="26">
        <v>4</v>
      </c>
      <c r="DQZ138" s="26" t="s">
        <v>794</v>
      </c>
      <c r="DRA138" s="26">
        <v>4</v>
      </c>
      <c r="DRB138" s="26" t="s">
        <v>794</v>
      </c>
      <c r="DRC138" s="26">
        <v>4</v>
      </c>
      <c r="DRD138" s="26" t="s">
        <v>794</v>
      </c>
      <c r="DRE138" s="26">
        <v>4</v>
      </c>
      <c r="DRF138" s="26" t="s">
        <v>794</v>
      </c>
      <c r="DRG138" s="26">
        <v>4</v>
      </c>
      <c r="DRH138" s="26" t="s">
        <v>794</v>
      </c>
      <c r="DRI138" s="26">
        <v>4</v>
      </c>
      <c r="DRJ138" s="26" t="s">
        <v>794</v>
      </c>
      <c r="DRK138" s="26">
        <v>4</v>
      </c>
      <c r="DRL138" s="26" t="s">
        <v>794</v>
      </c>
      <c r="DRM138" s="26">
        <v>4</v>
      </c>
      <c r="DRN138" s="26" t="s">
        <v>794</v>
      </c>
      <c r="DRO138" s="26">
        <v>4</v>
      </c>
      <c r="DRP138" s="26" t="s">
        <v>794</v>
      </c>
      <c r="DRQ138" s="26">
        <v>4</v>
      </c>
      <c r="DRR138" s="26" t="s">
        <v>794</v>
      </c>
      <c r="DRS138" s="26">
        <v>4</v>
      </c>
      <c r="DRT138" s="26" t="s">
        <v>794</v>
      </c>
      <c r="DRU138" s="26">
        <v>4</v>
      </c>
      <c r="DRV138" s="26" t="s">
        <v>794</v>
      </c>
      <c r="DRW138" s="26">
        <v>4</v>
      </c>
      <c r="DRX138" s="26" t="s">
        <v>794</v>
      </c>
      <c r="DRY138" s="26">
        <v>4</v>
      </c>
      <c r="DRZ138" s="26" t="s">
        <v>794</v>
      </c>
      <c r="DSA138" s="26">
        <v>4</v>
      </c>
      <c r="DSB138" s="26" t="s">
        <v>794</v>
      </c>
      <c r="DSC138" s="26">
        <v>4</v>
      </c>
      <c r="DSD138" s="26" t="s">
        <v>794</v>
      </c>
      <c r="DSE138" s="26">
        <v>4</v>
      </c>
      <c r="DSF138" s="26" t="s">
        <v>794</v>
      </c>
      <c r="DSG138" s="26">
        <v>4</v>
      </c>
      <c r="DSH138" s="26" t="s">
        <v>794</v>
      </c>
      <c r="DSI138" s="26">
        <v>4</v>
      </c>
      <c r="DSJ138" s="26" t="s">
        <v>794</v>
      </c>
      <c r="DSK138" s="26">
        <v>4</v>
      </c>
      <c r="DSL138" s="26" t="s">
        <v>794</v>
      </c>
      <c r="DSM138" s="26">
        <v>4</v>
      </c>
      <c r="DSN138" s="26" t="s">
        <v>794</v>
      </c>
      <c r="DSO138" s="26">
        <v>4</v>
      </c>
      <c r="DSP138" s="26" t="s">
        <v>794</v>
      </c>
      <c r="DSQ138" s="26">
        <v>4</v>
      </c>
      <c r="DSR138" s="26" t="s">
        <v>794</v>
      </c>
      <c r="DSS138" s="26">
        <v>4</v>
      </c>
      <c r="DST138" s="26" t="s">
        <v>794</v>
      </c>
      <c r="DSU138" s="26">
        <v>4</v>
      </c>
      <c r="DSV138" s="26" t="s">
        <v>794</v>
      </c>
      <c r="DSW138" s="26">
        <v>4</v>
      </c>
      <c r="DSX138" s="26" t="s">
        <v>794</v>
      </c>
      <c r="DSY138" s="26">
        <v>4</v>
      </c>
      <c r="DSZ138" s="26" t="s">
        <v>794</v>
      </c>
      <c r="DTA138" s="26">
        <v>4</v>
      </c>
      <c r="DTB138" s="26" t="s">
        <v>794</v>
      </c>
      <c r="DTC138" s="26">
        <v>4</v>
      </c>
      <c r="DTD138" s="26" t="s">
        <v>794</v>
      </c>
      <c r="DTE138" s="26">
        <v>4</v>
      </c>
      <c r="DTF138" s="26" t="s">
        <v>794</v>
      </c>
      <c r="DTG138" s="26">
        <v>4</v>
      </c>
      <c r="DTH138" s="26" t="s">
        <v>794</v>
      </c>
      <c r="DTI138" s="26">
        <v>4</v>
      </c>
      <c r="DTJ138" s="26" t="s">
        <v>794</v>
      </c>
      <c r="DTK138" s="26">
        <v>4</v>
      </c>
      <c r="DTL138" s="26" t="s">
        <v>794</v>
      </c>
      <c r="DTM138" s="26">
        <v>4</v>
      </c>
      <c r="DTN138" s="26" t="s">
        <v>794</v>
      </c>
      <c r="DTO138" s="26">
        <v>4</v>
      </c>
      <c r="DTP138" s="26" t="s">
        <v>794</v>
      </c>
      <c r="DTQ138" s="26">
        <v>4</v>
      </c>
      <c r="DTR138" s="26" t="s">
        <v>794</v>
      </c>
      <c r="DTS138" s="26">
        <v>4</v>
      </c>
      <c r="DTT138" s="26" t="s">
        <v>794</v>
      </c>
      <c r="DTU138" s="26">
        <v>4</v>
      </c>
      <c r="DTV138" s="26" t="s">
        <v>794</v>
      </c>
      <c r="DTW138" s="26">
        <v>4</v>
      </c>
      <c r="DTX138" s="26" t="s">
        <v>794</v>
      </c>
      <c r="DTY138" s="26">
        <v>4</v>
      </c>
      <c r="DTZ138" s="26" t="s">
        <v>794</v>
      </c>
      <c r="DUA138" s="26">
        <v>4</v>
      </c>
      <c r="DUB138" s="26" t="s">
        <v>794</v>
      </c>
      <c r="DUC138" s="26">
        <v>4</v>
      </c>
      <c r="DUD138" s="26" t="s">
        <v>794</v>
      </c>
      <c r="DUE138" s="26">
        <v>4</v>
      </c>
      <c r="DUF138" s="26" t="s">
        <v>794</v>
      </c>
      <c r="DUG138" s="26">
        <v>4</v>
      </c>
      <c r="DUH138" s="26" t="s">
        <v>794</v>
      </c>
      <c r="DUI138" s="26">
        <v>4</v>
      </c>
      <c r="DUJ138" s="26" t="s">
        <v>794</v>
      </c>
      <c r="DUK138" s="26">
        <v>4</v>
      </c>
      <c r="DUL138" s="26" t="s">
        <v>794</v>
      </c>
      <c r="DUM138" s="26">
        <v>4</v>
      </c>
      <c r="DUN138" s="26" t="s">
        <v>794</v>
      </c>
      <c r="DUO138" s="26">
        <v>4</v>
      </c>
      <c r="DUP138" s="26" t="s">
        <v>794</v>
      </c>
      <c r="DUQ138" s="26">
        <v>4</v>
      </c>
      <c r="DUR138" s="26" t="s">
        <v>794</v>
      </c>
      <c r="DUS138" s="26">
        <v>4</v>
      </c>
      <c r="DUT138" s="26" t="s">
        <v>794</v>
      </c>
      <c r="DUU138" s="26">
        <v>4</v>
      </c>
      <c r="DUV138" s="26" t="s">
        <v>794</v>
      </c>
      <c r="DUW138" s="26">
        <v>4</v>
      </c>
      <c r="DUX138" s="26" t="s">
        <v>794</v>
      </c>
      <c r="DUY138" s="26">
        <v>4</v>
      </c>
      <c r="DUZ138" s="26" t="s">
        <v>794</v>
      </c>
      <c r="DVA138" s="26">
        <v>4</v>
      </c>
      <c r="DVB138" s="26" t="s">
        <v>794</v>
      </c>
      <c r="DVC138" s="26">
        <v>4</v>
      </c>
      <c r="DVD138" s="26" t="s">
        <v>794</v>
      </c>
      <c r="DVE138" s="26">
        <v>4</v>
      </c>
      <c r="DVF138" s="26" t="s">
        <v>794</v>
      </c>
      <c r="DVG138" s="26">
        <v>4</v>
      </c>
      <c r="DVH138" s="26" t="s">
        <v>794</v>
      </c>
      <c r="DVI138" s="26">
        <v>4</v>
      </c>
      <c r="DVJ138" s="26" t="s">
        <v>794</v>
      </c>
      <c r="DVK138" s="26">
        <v>4</v>
      </c>
      <c r="DVL138" s="26" t="s">
        <v>794</v>
      </c>
      <c r="DVM138" s="26">
        <v>4</v>
      </c>
      <c r="DVN138" s="26" t="s">
        <v>794</v>
      </c>
      <c r="DVO138" s="26">
        <v>4</v>
      </c>
      <c r="DVP138" s="26" t="s">
        <v>794</v>
      </c>
      <c r="DVQ138" s="26">
        <v>4</v>
      </c>
      <c r="DVR138" s="26" t="s">
        <v>794</v>
      </c>
      <c r="DVS138" s="26">
        <v>4</v>
      </c>
      <c r="DVT138" s="26" t="s">
        <v>794</v>
      </c>
      <c r="DVU138" s="26">
        <v>4</v>
      </c>
      <c r="DVV138" s="26" t="s">
        <v>794</v>
      </c>
      <c r="DVW138" s="26">
        <v>4</v>
      </c>
      <c r="DVX138" s="26" t="s">
        <v>794</v>
      </c>
      <c r="DVY138" s="26">
        <v>4</v>
      </c>
      <c r="DVZ138" s="26" t="s">
        <v>794</v>
      </c>
      <c r="DWA138" s="26">
        <v>4</v>
      </c>
      <c r="DWB138" s="26" t="s">
        <v>794</v>
      </c>
      <c r="DWC138" s="26">
        <v>4</v>
      </c>
      <c r="DWD138" s="26" t="s">
        <v>794</v>
      </c>
      <c r="DWE138" s="26">
        <v>4</v>
      </c>
      <c r="DWF138" s="26" t="s">
        <v>794</v>
      </c>
      <c r="DWG138" s="26">
        <v>4</v>
      </c>
      <c r="DWH138" s="26" t="s">
        <v>794</v>
      </c>
      <c r="DWI138" s="26">
        <v>4</v>
      </c>
      <c r="DWJ138" s="26" t="s">
        <v>794</v>
      </c>
      <c r="DWK138" s="26">
        <v>4</v>
      </c>
      <c r="DWL138" s="26" t="s">
        <v>794</v>
      </c>
      <c r="DWM138" s="26">
        <v>4</v>
      </c>
      <c r="DWN138" s="26" t="s">
        <v>794</v>
      </c>
      <c r="DWO138" s="26">
        <v>4</v>
      </c>
      <c r="DWP138" s="26" t="s">
        <v>794</v>
      </c>
      <c r="DWQ138" s="26">
        <v>4</v>
      </c>
      <c r="DWR138" s="26" t="s">
        <v>794</v>
      </c>
      <c r="DWS138" s="26">
        <v>4</v>
      </c>
      <c r="DWT138" s="26" t="s">
        <v>794</v>
      </c>
      <c r="DWU138" s="26">
        <v>4</v>
      </c>
      <c r="DWV138" s="26" t="s">
        <v>794</v>
      </c>
      <c r="DWW138" s="26">
        <v>4</v>
      </c>
      <c r="DWX138" s="26" t="s">
        <v>794</v>
      </c>
      <c r="DWY138" s="26">
        <v>4</v>
      </c>
      <c r="DWZ138" s="26" t="s">
        <v>794</v>
      </c>
      <c r="DXA138" s="26">
        <v>4</v>
      </c>
      <c r="DXB138" s="26" t="s">
        <v>794</v>
      </c>
      <c r="DXC138" s="26">
        <v>4</v>
      </c>
      <c r="DXD138" s="26" t="s">
        <v>794</v>
      </c>
      <c r="DXE138" s="26">
        <v>4</v>
      </c>
      <c r="DXF138" s="26" t="s">
        <v>794</v>
      </c>
      <c r="DXG138" s="26">
        <v>4</v>
      </c>
      <c r="DXH138" s="26" t="s">
        <v>794</v>
      </c>
      <c r="DXI138" s="26">
        <v>4</v>
      </c>
      <c r="DXJ138" s="26" t="s">
        <v>794</v>
      </c>
      <c r="DXK138" s="26">
        <v>4</v>
      </c>
      <c r="DXL138" s="26" t="s">
        <v>794</v>
      </c>
      <c r="DXM138" s="26">
        <v>4</v>
      </c>
      <c r="DXN138" s="26" t="s">
        <v>794</v>
      </c>
      <c r="DXO138" s="26">
        <v>4</v>
      </c>
      <c r="DXP138" s="26" t="s">
        <v>794</v>
      </c>
      <c r="DXQ138" s="26">
        <v>4</v>
      </c>
      <c r="DXR138" s="26" t="s">
        <v>794</v>
      </c>
      <c r="DXS138" s="26">
        <v>4</v>
      </c>
      <c r="DXT138" s="26" t="s">
        <v>794</v>
      </c>
      <c r="DXU138" s="26">
        <v>4</v>
      </c>
      <c r="DXV138" s="26" t="s">
        <v>794</v>
      </c>
      <c r="DXW138" s="26">
        <v>4</v>
      </c>
      <c r="DXX138" s="26" t="s">
        <v>794</v>
      </c>
      <c r="DXY138" s="26">
        <v>4</v>
      </c>
      <c r="DXZ138" s="26" t="s">
        <v>794</v>
      </c>
      <c r="DYA138" s="26">
        <v>4</v>
      </c>
      <c r="DYB138" s="26" t="s">
        <v>794</v>
      </c>
      <c r="DYC138" s="26">
        <v>4</v>
      </c>
      <c r="DYD138" s="26" t="s">
        <v>794</v>
      </c>
      <c r="DYE138" s="26">
        <v>4</v>
      </c>
      <c r="DYF138" s="26" t="s">
        <v>794</v>
      </c>
      <c r="DYG138" s="26">
        <v>4</v>
      </c>
      <c r="DYH138" s="26" t="s">
        <v>794</v>
      </c>
      <c r="DYI138" s="26">
        <v>4</v>
      </c>
      <c r="DYJ138" s="26" t="s">
        <v>794</v>
      </c>
      <c r="DYK138" s="26">
        <v>4</v>
      </c>
      <c r="DYL138" s="26" t="s">
        <v>794</v>
      </c>
      <c r="DYM138" s="26">
        <v>4</v>
      </c>
      <c r="DYN138" s="26" t="s">
        <v>794</v>
      </c>
      <c r="DYO138" s="26">
        <v>4</v>
      </c>
      <c r="DYP138" s="26" t="s">
        <v>794</v>
      </c>
      <c r="DYQ138" s="26">
        <v>4</v>
      </c>
      <c r="DYR138" s="26" t="s">
        <v>794</v>
      </c>
      <c r="DYS138" s="26">
        <v>4</v>
      </c>
      <c r="DYT138" s="26" t="s">
        <v>794</v>
      </c>
      <c r="DYU138" s="26">
        <v>4</v>
      </c>
      <c r="DYV138" s="26" t="s">
        <v>794</v>
      </c>
      <c r="DYW138" s="26">
        <v>4</v>
      </c>
      <c r="DYX138" s="26" t="s">
        <v>794</v>
      </c>
      <c r="DYY138" s="26">
        <v>4</v>
      </c>
      <c r="DYZ138" s="26" t="s">
        <v>794</v>
      </c>
      <c r="DZA138" s="26">
        <v>4</v>
      </c>
      <c r="DZB138" s="26" t="s">
        <v>794</v>
      </c>
      <c r="DZC138" s="26">
        <v>4</v>
      </c>
      <c r="DZD138" s="26" t="s">
        <v>794</v>
      </c>
      <c r="DZE138" s="26">
        <v>4</v>
      </c>
      <c r="DZF138" s="26" t="s">
        <v>794</v>
      </c>
      <c r="DZG138" s="26">
        <v>4</v>
      </c>
      <c r="DZH138" s="26" t="s">
        <v>794</v>
      </c>
      <c r="DZI138" s="26">
        <v>4</v>
      </c>
      <c r="DZJ138" s="26" t="s">
        <v>794</v>
      </c>
      <c r="DZK138" s="26">
        <v>4</v>
      </c>
      <c r="DZL138" s="26" t="s">
        <v>794</v>
      </c>
      <c r="DZM138" s="26">
        <v>4</v>
      </c>
      <c r="DZN138" s="26" t="s">
        <v>794</v>
      </c>
      <c r="DZO138" s="26">
        <v>4</v>
      </c>
      <c r="DZP138" s="26" t="s">
        <v>794</v>
      </c>
      <c r="DZQ138" s="26">
        <v>4</v>
      </c>
      <c r="DZR138" s="26" t="s">
        <v>794</v>
      </c>
      <c r="DZS138" s="26">
        <v>4</v>
      </c>
      <c r="DZT138" s="26" t="s">
        <v>794</v>
      </c>
      <c r="DZU138" s="26">
        <v>4</v>
      </c>
      <c r="DZV138" s="26" t="s">
        <v>794</v>
      </c>
      <c r="DZW138" s="26">
        <v>4</v>
      </c>
      <c r="DZX138" s="26" t="s">
        <v>794</v>
      </c>
      <c r="DZY138" s="26">
        <v>4</v>
      </c>
      <c r="DZZ138" s="26" t="s">
        <v>794</v>
      </c>
      <c r="EAA138" s="26">
        <v>4</v>
      </c>
      <c r="EAB138" s="26" t="s">
        <v>794</v>
      </c>
      <c r="EAC138" s="26">
        <v>4</v>
      </c>
      <c r="EAD138" s="26" t="s">
        <v>794</v>
      </c>
      <c r="EAE138" s="26">
        <v>4</v>
      </c>
      <c r="EAF138" s="26" t="s">
        <v>794</v>
      </c>
      <c r="EAG138" s="26">
        <v>4</v>
      </c>
      <c r="EAH138" s="26" t="s">
        <v>794</v>
      </c>
      <c r="EAI138" s="26">
        <v>4</v>
      </c>
      <c r="EAJ138" s="26" t="s">
        <v>794</v>
      </c>
      <c r="EAK138" s="26">
        <v>4</v>
      </c>
      <c r="EAL138" s="26" t="s">
        <v>794</v>
      </c>
      <c r="EAM138" s="26">
        <v>4</v>
      </c>
      <c r="EAN138" s="26" t="s">
        <v>794</v>
      </c>
      <c r="EAO138" s="26">
        <v>4</v>
      </c>
      <c r="EAP138" s="26" t="s">
        <v>794</v>
      </c>
      <c r="EAQ138" s="26">
        <v>4</v>
      </c>
      <c r="EAR138" s="26" t="s">
        <v>794</v>
      </c>
      <c r="EAS138" s="26">
        <v>4</v>
      </c>
      <c r="EAT138" s="26" t="s">
        <v>794</v>
      </c>
      <c r="EAU138" s="26">
        <v>4</v>
      </c>
      <c r="EAV138" s="26" t="s">
        <v>794</v>
      </c>
      <c r="EAW138" s="26">
        <v>4</v>
      </c>
      <c r="EAX138" s="26" t="s">
        <v>794</v>
      </c>
      <c r="EAY138" s="26">
        <v>4</v>
      </c>
      <c r="EAZ138" s="26" t="s">
        <v>794</v>
      </c>
      <c r="EBA138" s="26">
        <v>4</v>
      </c>
      <c r="EBB138" s="26" t="s">
        <v>794</v>
      </c>
      <c r="EBC138" s="26">
        <v>4</v>
      </c>
      <c r="EBD138" s="26" t="s">
        <v>794</v>
      </c>
      <c r="EBE138" s="26">
        <v>4</v>
      </c>
      <c r="EBF138" s="26" t="s">
        <v>794</v>
      </c>
      <c r="EBG138" s="26">
        <v>4</v>
      </c>
      <c r="EBH138" s="26" t="s">
        <v>794</v>
      </c>
      <c r="EBI138" s="26">
        <v>4</v>
      </c>
      <c r="EBJ138" s="26" t="s">
        <v>794</v>
      </c>
      <c r="EBK138" s="26">
        <v>4</v>
      </c>
      <c r="EBL138" s="26" t="s">
        <v>794</v>
      </c>
      <c r="EBM138" s="26">
        <v>4</v>
      </c>
      <c r="EBN138" s="26" t="s">
        <v>794</v>
      </c>
      <c r="EBO138" s="26">
        <v>4</v>
      </c>
      <c r="EBP138" s="26" t="s">
        <v>794</v>
      </c>
      <c r="EBQ138" s="26">
        <v>4</v>
      </c>
      <c r="EBR138" s="26" t="s">
        <v>794</v>
      </c>
      <c r="EBS138" s="26">
        <v>4</v>
      </c>
      <c r="EBT138" s="26" t="s">
        <v>794</v>
      </c>
      <c r="EBU138" s="26">
        <v>4</v>
      </c>
      <c r="EBV138" s="26" t="s">
        <v>794</v>
      </c>
      <c r="EBW138" s="26">
        <v>4</v>
      </c>
      <c r="EBX138" s="26" t="s">
        <v>794</v>
      </c>
      <c r="EBY138" s="26">
        <v>4</v>
      </c>
      <c r="EBZ138" s="26" t="s">
        <v>794</v>
      </c>
      <c r="ECA138" s="26">
        <v>4</v>
      </c>
      <c r="ECB138" s="26" t="s">
        <v>794</v>
      </c>
      <c r="ECC138" s="26">
        <v>4</v>
      </c>
      <c r="ECD138" s="26" t="s">
        <v>794</v>
      </c>
      <c r="ECE138" s="26">
        <v>4</v>
      </c>
      <c r="ECF138" s="26" t="s">
        <v>794</v>
      </c>
      <c r="ECG138" s="26">
        <v>4</v>
      </c>
      <c r="ECH138" s="26" t="s">
        <v>794</v>
      </c>
      <c r="ECI138" s="26">
        <v>4</v>
      </c>
      <c r="ECJ138" s="26" t="s">
        <v>794</v>
      </c>
      <c r="ECK138" s="26">
        <v>4</v>
      </c>
      <c r="ECL138" s="26" t="s">
        <v>794</v>
      </c>
      <c r="ECM138" s="26">
        <v>4</v>
      </c>
      <c r="ECN138" s="26" t="s">
        <v>794</v>
      </c>
      <c r="ECO138" s="26">
        <v>4</v>
      </c>
      <c r="ECP138" s="26" t="s">
        <v>794</v>
      </c>
      <c r="ECQ138" s="26">
        <v>4</v>
      </c>
      <c r="ECR138" s="26" t="s">
        <v>794</v>
      </c>
      <c r="ECS138" s="26">
        <v>4</v>
      </c>
      <c r="ECT138" s="26" t="s">
        <v>794</v>
      </c>
      <c r="ECU138" s="26">
        <v>4</v>
      </c>
      <c r="ECV138" s="26" t="s">
        <v>794</v>
      </c>
      <c r="ECW138" s="26">
        <v>4</v>
      </c>
      <c r="ECX138" s="26" t="s">
        <v>794</v>
      </c>
      <c r="ECY138" s="26">
        <v>4</v>
      </c>
      <c r="ECZ138" s="26" t="s">
        <v>794</v>
      </c>
      <c r="EDA138" s="26">
        <v>4</v>
      </c>
      <c r="EDB138" s="26" t="s">
        <v>794</v>
      </c>
      <c r="EDC138" s="26">
        <v>4</v>
      </c>
      <c r="EDD138" s="26" t="s">
        <v>794</v>
      </c>
      <c r="EDE138" s="26">
        <v>4</v>
      </c>
      <c r="EDF138" s="26" t="s">
        <v>794</v>
      </c>
      <c r="EDG138" s="26">
        <v>4</v>
      </c>
      <c r="EDH138" s="26" t="s">
        <v>794</v>
      </c>
      <c r="EDI138" s="26">
        <v>4</v>
      </c>
      <c r="EDJ138" s="26" t="s">
        <v>794</v>
      </c>
      <c r="EDK138" s="26">
        <v>4</v>
      </c>
      <c r="EDL138" s="26" t="s">
        <v>794</v>
      </c>
      <c r="EDM138" s="26">
        <v>4</v>
      </c>
      <c r="EDN138" s="26" t="s">
        <v>794</v>
      </c>
      <c r="EDO138" s="26">
        <v>4</v>
      </c>
      <c r="EDP138" s="26" t="s">
        <v>794</v>
      </c>
      <c r="EDQ138" s="26">
        <v>4</v>
      </c>
      <c r="EDR138" s="26" t="s">
        <v>794</v>
      </c>
      <c r="EDS138" s="26">
        <v>4</v>
      </c>
      <c r="EDT138" s="26" t="s">
        <v>794</v>
      </c>
      <c r="EDU138" s="26">
        <v>4</v>
      </c>
      <c r="EDV138" s="26" t="s">
        <v>794</v>
      </c>
      <c r="EDW138" s="26">
        <v>4</v>
      </c>
      <c r="EDX138" s="26" t="s">
        <v>794</v>
      </c>
      <c r="EDY138" s="26">
        <v>4</v>
      </c>
      <c r="EDZ138" s="26" t="s">
        <v>794</v>
      </c>
      <c r="EEA138" s="26">
        <v>4</v>
      </c>
      <c r="EEB138" s="26" t="s">
        <v>794</v>
      </c>
      <c r="EEC138" s="26">
        <v>4</v>
      </c>
      <c r="EED138" s="26" t="s">
        <v>794</v>
      </c>
      <c r="EEE138" s="26">
        <v>4</v>
      </c>
      <c r="EEF138" s="26" t="s">
        <v>794</v>
      </c>
      <c r="EEG138" s="26">
        <v>4</v>
      </c>
      <c r="EEH138" s="26" t="s">
        <v>794</v>
      </c>
      <c r="EEI138" s="26">
        <v>4</v>
      </c>
      <c r="EEJ138" s="26" t="s">
        <v>794</v>
      </c>
      <c r="EEK138" s="26">
        <v>4</v>
      </c>
      <c r="EEL138" s="26" t="s">
        <v>794</v>
      </c>
      <c r="EEM138" s="26">
        <v>4</v>
      </c>
      <c r="EEN138" s="26" t="s">
        <v>794</v>
      </c>
      <c r="EEO138" s="26">
        <v>4</v>
      </c>
      <c r="EEP138" s="26" t="s">
        <v>794</v>
      </c>
      <c r="EEQ138" s="26">
        <v>4</v>
      </c>
      <c r="EER138" s="26" t="s">
        <v>794</v>
      </c>
      <c r="EES138" s="26">
        <v>4</v>
      </c>
      <c r="EET138" s="26" t="s">
        <v>794</v>
      </c>
      <c r="EEU138" s="26">
        <v>4</v>
      </c>
      <c r="EEV138" s="26" t="s">
        <v>794</v>
      </c>
      <c r="EEW138" s="26">
        <v>4</v>
      </c>
      <c r="EEX138" s="26" t="s">
        <v>794</v>
      </c>
      <c r="EEY138" s="26">
        <v>4</v>
      </c>
      <c r="EEZ138" s="26" t="s">
        <v>794</v>
      </c>
      <c r="EFA138" s="26">
        <v>4</v>
      </c>
      <c r="EFB138" s="26" t="s">
        <v>794</v>
      </c>
      <c r="EFC138" s="26">
        <v>4</v>
      </c>
      <c r="EFD138" s="26" t="s">
        <v>794</v>
      </c>
      <c r="EFE138" s="26">
        <v>4</v>
      </c>
      <c r="EFF138" s="26" t="s">
        <v>794</v>
      </c>
      <c r="EFG138" s="26">
        <v>4</v>
      </c>
      <c r="EFH138" s="26" t="s">
        <v>794</v>
      </c>
      <c r="EFI138" s="26">
        <v>4</v>
      </c>
      <c r="EFJ138" s="26" t="s">
        <v>794</v>
      </c>
      <c r="EFK138" s="26">
        <v>4</v>
      </c>
      <c r="EFL138" s="26" t="s">
        <v>794</v>
      </c>
      <c r="EFM138" s="26">
        <v>4</v>
      </c>
      <c r="EFN138" s="26" t="s">
        <v>794</v>
      </c>
      <c r="EFO138" s="26">
        <v>4</v>
      </c>
      <c r="EFP138" s="26" t="s">
        <v>794</v>
      </c>
      <c r="EFQ138" s="26">
        <v>4</v>
      </c>
      <c r="EFR138" s="26" t="s">
        <v>794</v>
      </c>
      <c r="EFS138" s="26">
        <v>4</v>
      </c>
      <c r="EFT138" s="26" t="s">
        <v>794</v>
      </c>
      <c r="EFU138" s="26">
        <v>4</v>
      </c>
      <c r="EFV138" s="26" t="s">
        <v>794</v>
      </c>
      <c r="EFW138" s="26">
        <v>4</v>
      </c>
      <c r="EFX138" s="26" t="s">
        <v>794</v>
      </c>
      <c r="EFY138" s="26">
        <v>4</v>
      </c>
      <c r="EFZ138" s="26" t="s">
        <v>794</v>
      </c>
      <c r="EGA138" s="26">
        <v>4</v>
      </c>
      <c r="EGB138" s="26" t="s">
        <v>794</v>
      </c>
      <c r="EGC138" s="26">
        <v>4</v>
      </c>
      <c r="EGD138" s="26" t="s">
        <v>794</v>
      </c>
      <c r="EGE138" s="26">
        <v>4</v>
      </c>
      <c r="EGF138" s="26" t="s">
        <v>794</v>
      </c>
      <c r="EGG138" s="26">
        <v>4</v>
      </c>
      <c r="EGH138" s="26" t="s">
        <v>794</v>
      </c>
      <c r="EGI138" s="26">
        <v>4</v>
      </c>
      <c r="EGJ138" s="26" t="s">
        <v>794</v>
      </c>
      <c r="EGK138" s="26">
        <v>4</v>
      </c>
      <c r="EGL138" s="26" t="s">
        <v>794</v>
      </c>
      <c r="EGM138" s="26">
        <v>4</v>
      </c>
      <c r="EGN138" s="26" t="s">
        <v>794</v>
      </c>
      <c r="EGO138" s="26">
        <v>4</v>
      </c>
      <c r="EGP138" s="26" t="s">
        <v>794</v>
      </c>
      <c r="EGQ138" s="26">
        <v>4</v>
      </c>
      <c r="EGR138" s="26" t="s">
        <v>794</v>
      </c>
      <c r="EGS138" s="26">
        <v>4</v>
      </c>
      <c r="EGT138" s="26" t="s">
        <v>794</v>
      </c>
      <c r="EGU138" s="26">
        <v>4</v>
      </c>
      <c r="EGV138" s="26" t="s">
        <v>794</v>
      </c>
      <c r="EGW138" s="26">
        <v>4</v>
      </c>
      <c r="EGX138" s="26" t="s">
        <v>794</v>
      </c>
      <c r="EGY138" s="26">
        <v>4</v>
      </c>
      <c r="EGZ138" s="26" t="s">
        <v>794</v>
      </c>
      <c r="EHA138" s="26">
        <v>4</v>
      </c>
      <c r="EHB138" s="26" t="s">
        <v>794</v>
      </c>
      <c r="EHC138" s="26">
        <v>4</v>
      </c>
      <c r="EHD138" s="26" t="s">
        <v>794</v>
      </c>
      <c r="EHE138" s="26">
        <v>4</v>
      </c>
      <c r="EHF138" s="26" t="s">
        <v>794</v>
      </c>
      <c r="EHG138" s="26">
        <v>4</v>
      </c>
      <c r="EHH138" s="26" t="s">
        <v>794</v>
      </c>
      <c r="EHI138" s="26">
        <v>4</v>
      </c>
      <c r="EHJ138" s="26" t="s">
        <v>794</v>
      </c>
      <c r="EHK138" s="26">
        <v>4</v>
      </c>
      <c r="EHL138" s="26" t="s">
        <v>794</v>
      </c>
      <c r="EHM138" s="26">
        <v>4</v>
      </c>
      <c r="EHN138" s="26" t="s">
        <v>794</v>
      </c>
      <c r="EHO138" s="26">
        <v>4</v>
      </c>
      <c r="EHP138" s="26" t="s">
        <v>794</v>
      </c>
      <c r="EHQ138" s="26">
        <v>4</v>
      </c>
      <c r="EHR138" s="26" t="s">
        <v>794</v>
      </c>
      <c r="EHS138" s="26">
        <v>4</v>
      </c>
      <c r="EHT138" s="26" t="s">
        <v>794</v>
      </c>
      <c r="EHU138" s="26">
        <v>4</v>
      </c>
      <c r="EHV138" s="26" t="s">
        <v>794</v>
      </c>
      <c r="EHW138" s="26">
        <v>4</v>
      </c>
      <c r="EHX138" s="26" t="s">
        <v>794</v>
      </c>
      <c r="EHY138" s="26">
        <v>4</v>
      </c>
      <c r="EHZ138" s="26" t="s">
        <v>794</v>
      </c>
      <c r="EIA138" s="26">
        <v>4</v>
      </c>
      <c r="EIB138" s="26" t="s">
        <v>794</v>
      </c>
      <c r="EIC138" s="26">
        <v>4</v>
      </c>
      <c r="EID138" s="26" t="s">
        <v>794</v>
      </c>
      <c r="EIE138" s="26">
        <v>4</v>
      </c>
      <c r="EIF138" s="26" t="s">
        <v>794</v>
      </c>
      <c r="EIG138" s="26">
        <v>4</v>
      </c>
      <c r="EIH138" s="26" t="s">
        <v>794</v>
      </c>
      <c r="EII138" s="26">
        <v>4</v>
      </c>
      <c r="EIJ138" s="26" t="s">
        <v>794</v>
      </c>
      <c r="EIK138" s="26">
        <v>4</v>
      </c>
      <c r="EIL138" s="26" t="s">
        <v>794</v>
      </c>
      <c r="EIM138" s="26">
        <v>4</v>
      </c>
      <c r="EIN138" s="26" t="s">
        <v>794</v>
      </c>
      <c r="EIO138" s="26">
        <v>4</v>
      </c>
      <c r="EIP138" s="26" t="s">
        <v>794</v>
      </c>
      <c r="EIQ138" s="26">
        <v>4</v>
      </c>
      <c r="EIR138" s="26" t="s">
        <v>794</v>
      </c>
      <c r="EIS138" s="26">
        <v>4</v>
      </c>
      <c r="EIT138" s="26" t="s">
        <v>794</v>
      </c>
      <c r="EIU138" s="26">
        <v>4</v>
      </c>
      <c r="EIV138" s="26" t="s">
        <v>794</v>
      </c>
      <c r="EIW138" s="26">
        <v>4</v>
      </c>
      <c r="EIX138" s="26" t="s">
        <v>794</v>
      </c>
      <c r="EIY138" s="26">
        <v>4</v>
      </c>
      <c r="EIZ138" s="26" t="s">
        <v>794</v>
      </c>
      <c r="EJA138" s="26">
        <v>4</v>
      </c>
      <c r="EJB138" s="26" t="s">
        <v>794</v>
      </c>
      <c r="EJC138" s="26">
        <v>4</v>
      </c>
      <c r="EJD138" s="26" t="s">
        <v>794</v>
      </c>
      <c r="EJE138" s="26">
        <v>4</v>
      </c>
      <c r="EJF138" s="26" t="s">
        <v>794</v>
      </c>
      <c r="EJG138" s="26">
        <v>4</v>
      </c>
      <c r="EJH138" s="26" t="s">
        <v>794</v>
      </c>
      <c r="EJI138" s="26">
        <v>4</v>
      </c>
      <c r="EJJ138" s="26" t="s">
        <v>794</v>
      </c>
      <c r="EJK138" s="26">
        <v>4</v>
      </c>
      <c r="EJL138" s="26" t="s">
        <v>794</v>
      </c>
      <c r="EJM138" s="26">
        <v>4</v>
      </c>
      <c r="EJN138" s="26" t="s">
        <v>794</v>
      </c>
      <c r="EJO138" s="26">
        <v>4</v>
      </c>
      <c r="EJP138" s="26" t="s">
        <v>794</v>
      </c>
      <c r="EJQ138" s="26">
        <v>4</v>
      </c>
      <c r="EJR138" s="26" t="s">
        <v>794</v>
      </c>
      <c r="EJS138" s="26">
        <v>4</v>
      </c>
      <c r="EJT138" s="26" t="s">
        <v>794</v>
      </c>
      <c r="EJU138" s="26">
        <v>4</v>
      </c>
      <c r="EJV138" s="26" t="s">
        <v>794</v>
      </c>
      <c r="EJW138" s="26">
        <v>4</v>
      </c>
      <c r="EJX138" s="26" t="s">
        <v>794</v>
      </c>
      <c r="EJY138" s="26">
        <v>4</v>
      </c>
      <c r="EJZ138" s="26" t="s">
        <v>794</v>
      </c>
      <c r="EKA138" s="26">
        <v>4</v>
      </c>
      <c r="EKB138" s="26" t="s">
        <v>794</v>
      </c>
      <c r="EKC138" s="26">
        <v>4</v>
      </c>
      <c r="EKD138" s="26" t="s">
        <v>794</v>
      </c>
      <c r="EKE138" s="26">
        <v>4</v>
      </c>
      <c r="EKF138" s="26" t="s">
        <v>794</v>
      </c>
      <c r="EKG138" s="26">
        <v>4</v>
      </c>
      <c r="EKH138" s="26" t="s">
        <v>794</v>
      </c>
      <c r="EKI138" s="26">
        <v>4</v>
      </c>
      <c r="EKJ138" s="26" t="s">
        <v>794</v>
      </c>
      <c r="EKK138" s="26">
        <v>4</v>
      </c>
      <c r="EKL138" s="26" t="s">
        <v>794</v>
      </c>
      <c r="EKM138" s="26">
        <v>4</v>
      </c>
      <c r="EKN138" s="26" t="s">
        <v>794</v>
      </c>
      <c r="EKO138" s="26">
        <v>4</v>
      </c>
      <c r="EKP138" s="26" t="s">
        <v>794</v>
      </c>
      <c r="EKQ138" s="26">
        <v>4</v>
      </c>
      <c r="EKR138" s="26" t="s">
        <v>794</v>
      </c>
      <c r="EKS138" s="26">
        <v>4</v>
      </c>
      <c r="EKT138" s="26" t="s">
        <v>794</v>
      </c>
      <c r="EKU138" s="26">
        <v>4</v>
      </c>
      <c r="EKV138" s="26" t="s">
        <v>794</v>
      </c>
      <c r="EKW138" s="26">
        <v>4</v>
      </c>
      <c r="EKX138" s="26" t="s">
        <v>794</v>
      </c>
      <c r="EKY138" s="26">
        <v>4</v>
      </c>
      <c r="EKZ138" s="26" t="s">
        <v>794</v>
      </c>
      <c r="ELA138" s="26">
        <v>4</v>
      </c>
      <c r="ELB138" s="26" t="s">
        <v>794</v>
      </c>
      <c r="ELC138" s="26">
        <v>4</v>
      </c>
      <c r="ELD138" s="26" t="s">
        <v>794</v>
      </c>
      <c r="ELE138" s="26">
        <v>4</v>
      </c>
      <c r="ELF138" s="26" t="s">
        <v>794</v>
      </c>
      <c r="ELG138" s="26">
        <v>4</v>
      </c>
      <c r="ELH138" s="26" t="s">
        <v>794</v>
      </c>
      <c r="ELI138" s="26">
        <v>4</v>
      </c>
      <c r="ELJ138" s="26" t="s">
        <v>794</v>
      </c>
      <c r="ELK138" s="26">
        <v>4</v>
      </c>
      <c r="ELL138" s="26" t="s">
        <v>794</v>
      </c>
      <c r="ELM138" s="26">
        <v>4</v>
      </c>
      <c r="ELN138" s="26" t="s">
        <v>794</v>
      </c>
      <c r="ELO138" s="26">
        <v>4</v>
      </c>
      <c r="ELP138" s="26" t="s">
        <v>794</v>
      </c>
      <c r="ELQ138" s="26">
        <v>4</v>
      </c>
      <c r="ELR138" s="26" t="s">
        <v>794</v>
      </c>
      <c r="ELS138" s="26">
        <v>4</v>
      </c>
      <c r="ELT138" s="26" t="s">
        <v>794</v>
      </c>
      <c r="ELU138" s="26">
        <v>4</v>
      </c>
      <c r="ELV138" s="26" t="s">
        <v>794</v>
      </c>
      <c r="ELW138" s="26">
        <v>4</v>
      </c>
      <c r="ELX138" s="26" t="s">
        <v>794</v>
      </c>
      <c r="ELY138" s="26">
        <v>4</v>
      </c>
      <c r="ELZ138" s="26" t="s">
        <v>794</v>
      </c>
      <c r="EMA138" s="26">
        <v>4</v>
      </c>
      <c r="EMB138" s="26" t="s">
        <v>794</v>
      </c>
      <c r="EMC138" s="26">
        <v>4</v>
      </c>
      <c r="EMD138" s="26" t="s">
        <v>794</v>
      </c>
      <c r="EME138" s="26">
        <v>4</v>
      </c>
      <c r="EMF138" s="26" t="s">
        <v>794</v>
      </c>
      <c r="EMG138" s="26">
        <v>4</v>
      </c>
      <c r="EMH138" s="26" t="s">
        <v>794</v>
      </c>
      <c r="EMI138" s="26">
        <v>4</v>
      </c>
      <c r="EMJ138" s="26" t="s">
        <v>794</v>
      </c>
      <c r="EMK138" s="26">
        <v>4</v>
      </c>
      <c r="EML138" s="26" t="s">
        <v>794</v>
      </c>
      <c r="EMM138" s="26">
        <v>4</v>
      </c>
      <c r="EMN138" s="26" t="s">
        <v>794</v>
      </c>
      <c r="EMO138" s="26">
        <v>4</v>
      </c>
      <c r="EMP138" s="26" t="s">
        <v>794</v>
      </c>
      <c r="EMQ138" s="26">
        <v>4</v>
      </c>
      <c r="EMR138" s="26" t="s">
        <v>794</v>
      </c>
      <c r="EMS138" s="26">
        <v>4</v>
      </c>
      <c r="EMT138" s="26" t="s">
        <v>794</v>
      </c>
      <c r="EMU138" s="26">
        <v>4</v>
      </c>
      <c r="EMV138" s="26" t="s">
        <v>794</v>
      </c>
      <c r="EMW138" s="26">
        <v>4</v>
      </c>
      <c r="EMX138" s="26" t="s">
        <v>794</v>
      </c>
      <c r="EMY138" s="26">
        <v>4</v>
      </c>
      <c r="EMZ138" s="26" t="s">
        <v>794</v>
      </c>
      <c r="ENA138" s="26">
        <v>4</v>
      </c>
      <c r="ENB138" s="26" t="s">
        <v>794</v>
      </c>
      <c r="ENC138" s="26">
        <v>4</v>
      </c>
      <c r="END138" s="26" t="s">
        <v>794</v>
      </c>
      <c r="ENE138" s="26">
        <v>4</v>
      </c>
      <c r="ENF138" s="26" t="s">
        <v>794</v>
      </c>
      <c r="ENG138" s="26">
        <v>4</v>
      </c>
      <c r="ENH138" s="26" t="s">
        <v>794</v>
      </c>
      <c r="ENI138" s="26">
        <v>4</v>
      </c>
      <c r="ENJ138" s="26" t="s">
        <v>794</v>
      </c>
      <c r="ENK138" s="26">
        <v>4</v>
      </c>
      <c r="ENL138" s="26" t="s">
        <v>794</v>
      </c>
      <c r="ENM138" s="26">
        <v>4</v>
      </c>
      <c r="ENN138" s="26" t="s">
        <v>794</v>
      </c>
      <c r="ENO138" s="26">
        <v>4</v>
      </c>
      <c r="ENP138" s="26" t="s">
        <v>794</v>
      </c>
      <c r="ENQ138" s="26">
        <v>4</v>
      </c>
      <c r="ENR138" s="26" t="s">
        <v>794</v>
      </c>
      <c r="ENS138" s="26">
        <v>4</v>
      </c>
      <c r="ENT138" s="26" t="s">
        <v>794</v>
      </c>
      <c r="ENU138" s="26">
        <v>4</v>
      </c>
      <c r="ENV138" s="26" t="s">
        <v>794</v>
      </c>
      <c r="ENW138" s="26">
        <v>4</v>
      </c>
      <c r="ENX138" s="26" t="s">
        <v>794</v>
      </c>
      <c r="ENY138" s="26">
        <v>4</v>
      </c>
      <c r="ENZ138" s="26" t="s">
        <v>794</v>
      </c>
      <c r="EOA138" s="26">
        <v>4</v>
      </c>
      <c r="EOB138" s="26" t="s">
        <v>794</v>
      </c>
      <c r="EOC138" s="26">
        <v>4</v>
      </c>
      <c r="EOD138" s="26" t="s">
        <v>794</v>
      </c>
      <c r="EOE138" s="26">
        <v>4</v>
      </c>
      <c r="EOF138" s="26" t="s">
        <v>794</v>
      </c>
      <c r="EOG138" s="26">
        <v>4</v>
      </c>
      <c r="EOH138" s="26" t="s">
        <v>794</v>
      </c>
      <c r="EOI138" s="26">
        <v>4</v>
      </c>
      <c r="EOJ138" s="26" t="s">
        <v>794</v>
      </c>
      <c r="EOK138" s="26">
        <v>4</v>
      </c>
      <c r="EOL138" s="26" t="s">
        <v>794</v>
      </c>
      <c r="EOM138" s="26">
        <v>4</v>
      </c>
      <c r="EON138" s="26" t="s">
        <v>794</v>
      </c>
      <c r="EOO138" s="26">
        <v>4</v>
      </c>
      <c r="EOP138" s="26" t="s">
        <v>794</v>
      </c>
      <c r="EOQ138" s="26">
        <v>4</v>
      </c>
      <c r="EOR138" s="26" t="s">
        <v>794</v>
      </c>
      <c r="EOS138" s="26">
        <v>4</v>
      </c>
      <c r="EOT138" s="26" t="s">
        <v>794</v>
      </c>
      <c r="EOU138" s="26">
        <v>4</v>
      </c>
      <c r="EOV138" s="26" t="s">
        <v>794</v>
      </c>
      <c r="EOW138" s="26">
        <v>4</v>
      </c>
      <c r="EOX138" s="26" t="s">
        <v>794</v>
      </c>
      <c r="EOY138" s="26">
        <v>4</v>
      </c>
      <c r="EOZ138" s="26" t="s">
        <v>794</v>
      </c>
      <c r="EPA138" s="26">
        <v>4</v>
      </c>
      <c r="EPB138" s="26" t="s">
        <v>794</v>
      </c>
      <c r="EPC138" s="26">
        <v>4</v>
      </c>
      <c r="EPD138" s="26" t="s">
        <v>794</v>
      </c>
      <c r="EPE138" s="26">
        <v>4</v>
      </c>
      <c r="EPF138" s="26" t="s">
        <v>794</v>
      </c>
      <c r="EPG138" s="26">
        <v>4</v>
      </c>
      <c r="EPH138" s="26" t="s">
        <v>794</v>
      </c>
      <c r="EPI138" s="26">
        <v>4</v>
      </c>
      <c r="EPJ138" s="26" t="s">
        <v>794</v>
      </c>
      <c r="EPK138" s="26">
        <v>4</v>
      </c>
      <c r="EPL138" s="26" t="s">
        <v>794</v>
      </c>
      <c r="EPM138" s="26">
        <v>4</v>
      </c>
      <c r="EPN138" s="26" t="s">
        <v>794</v>
      </c>
      <c r="EPO138" s="26">
        <v>4</v>
      </c>
      <c r="EPP138" s="26" t="s">
        <v>794</v>
      </c>
      <c r="EPQ138" s="26">
        <v>4</v>
      </c>
      <c r="EPR138" s="26" t="s">
        <v>794</v>
      </c>
      <c r="EPS138" s="26">
        <v>4</v>
      </c>
      <c r="EPT138" s="26" t="s">
        <v>794</v>
      </c>
      <c r="EPU138" s="26">
        <v>4</v>
      </c>
      <c r="EPV138" s="26" t="s">
        <v>794</v>
      </c>
      <c r="EPW138" s="26">
        <v>4</v>
      </c>
      <c r="EPX138" s="26" t="s">
        <v>794</v>
      </c>
      <c r="EPY138" s="26">
        <v>4</v>
      </c>
      <c r="EPZ138" s="26" t="s">
        <v>794</v>
      </c>
      <c r="EQA138" s="26">
        <v>4</v>
      </c>
      <c r="EQB138" s="26" t="s">
        <v>794</v>
      </c>
      <c r="EQC138" s="26">
        <v>4</v>
      </c>
      <c r="EQD138" s="26" t="s">
        <v>794</v>
      </c>
      <c r="EQE138" s="26">
        <v>4</v>
      </c>
      <c r="EQF138" s="26" t="s">
        <v>794</v>
      </c>
      <c r="EQG138" s="26">
        <v>4</v>
      </c>
      <c r="EQH138" s="26" t="s">
        <v>794</v>
      </c>
      <c r="EQI138" s="26">
        <v>4</v>
      </c>
      <c r="EQJ138" s="26" t="s">
        <v>794</v>
      </c>
      <c r="EQK138" s="26">
        <v>4</v>
      </c>
      <c r="EQL138" s="26" t="s">
        <v>794</v>
      </c>
      <c r="EQM138" s="26">
        <v>4</v>
      </c>
      <c r="EQN138" s="26" t="s">
        <v>794</v>
      </c>
      <c r="EQO138" s="26">
        <v>4</v>
      </c>
      <c r="EQP138" s="26" t="s">
        <v>794</v>
      </c>
      <c r="EQQ138" s="26">
        <v>4</v>
      </c>
      <c r="EQR138" s="26" t="s">
        <v>794</v>
      </c>
      <c r="EQS138" s="26">
        <v>4</v>
      </c>
      <c r="EQT138" s="26" t="s">
        <v>794</v>
      </c>
      <c r="EQU138" s="26">
        <v>4</v>
      </c>
      <c r="EQV138" s="26" t="s">
        <v>794</v>
      </c>
      <c r="EQW138" s="26">
        <v>4</v>
      </c>
      <c r="EQX138" s="26" t="s">
        <v>794</v>
      </c>
      <c r="EQY138" s="26">
        <v>4</v>
      </c>
      <c r="EQZ138" s="26" t="s">
        <v>794</v>
      </c>
      <c r="ERA138" s="26">
        <v>4</v>
      </c>
      <c r="ERB138" s="26" t="s">
        <v>794</v>
      </c>
      <c r="ERC138" s="26">
        <v>4</v>
      </c>
      <c r="ERD138" s="26" t="s">
        <v>794</v>
      </c>
      <c r="ERE138" s="26">
        <v>4</v>
      </c>
      <c r="ERF138" s="26" t="s">
        <v>794</v>
      </c>
      <c r="ERG138" s="26">
        <v>4</v>
      </c>
      <c r="ERH138" s="26" t="s">
        <v>794</v>
      </c>
      <c r="ERI138" s="26">
        <v>4</v>
      </c>
      <c r="ERJ138" s="26" t="s">
        <v>794</v>
      </c>
      <c r="ERK138" s="26">
        <v>4</v>
      </c>
      <c r="ERL138" s="26" t="s">
        <v>794</v>
      </c>
      <c r="ERM138" s="26">
        <v>4</v>
      </c>
      <c r="ERN138" s="26" t="s">
        <v>794</v>
      </c>
      <c r="ERO138" s="26">
        <v>4</v>
      </c>
      <c r="ERP138" s="26" t="s">
        <v>794</v>
      </c>
      <c r="ERQ138" s="26">
        <v>4</v>
      </c>
      <c r="ERR138" s="26" t="s">
        <v>794</v>
      </c>
      <c r="ERS138" s="26">
        <v>4</v>
      </c>
      <c r="ERT138" s="26" t="s">
        <v>794</v>
      </c>
      <c r="ERU138" s="26">
        <v>4</v>
      </c>
      <c r="ERV138" s="26" t="s">
        <v>794</v>
      </c>
      <c r="ERW138" s="26">
        <v>4</v>
      </c>
      <c r="ERX138" s="26" t="s">
        <v>794</v>
      </c>
      <c r="ERY138" s="26">
        <v>4</v>
      </c>
      <c r="ERZ138" s="26" t="s">
        <v>794</v>
      </c>
      <c r="ESA138" s="26">
        <v>4</v>
      </c>
      <c r="ESB138" s="26" t="s">
        <v>794</v>
      </c>
      <c r="ESC138" s="26">
        <v>4</v>
      </c>
      <c r="ESD138" s="26" t="s">
        <v>794</v>
      </c>
      <c r="ESE138" s="26">
        <v>4</v>
      </c>
      <c r="ESF138" s="26" t="s">
        <v>794</v>
      </c>
      <c r="ESG138" s="26">
        <v>4</v>
      </c>
      <c r="ESH138" s="26" t="s">
        <v>794</v>
      </c>
      <c r="ESI138" s="26">
        <v>4</v>
      </c>
      <c r="ESJ138" s="26" t="s">
        <v>794</v>
      </c>
      <c r="ESK138" s="26">
        <v>4</v>
      </c>
      <c r="ESL138" s="26" t="s">
        <v>794</v>
      </c>
      <c r="ESM138" s="26">
        <v>4</v>
      </c>
      <c r="ESN138" s="26" t="s">
        <v>794</v>
      </c>
      <c r="ESO138" s="26">
        <v>4</v>
      </c>
      <c r="ESP138" s="26" t="s">
        <v>794</v>
      </c>
      <c r="ESQ138" s="26">
        <v>4</v>
      </c>
      <c r="ESR138" s="26" t="s">
        <v>794</v>
      </c>
      <c r="ESS138" s="26">
        <v>4</v>
      </c>
      <c r="EST138" s="26" t="s">
        <v>794</v>
      </c>
      <c r="ESU138" s="26">
        <v>4</v>
      </c>
      <c r="ESV138" s="26" t="s">
        <v>794</v>
      </c>
      <c r="ESW138" s="26">
        <v>4</v>
      </c>
      <c r="ESX138" s="26" t="s">
        <v>794</v>
      </c>
      <c r="ESY138" s="26">
        <v>4</v>
      </c>
      <c r="ESZ138" s="26" t="s">
        <v>794</v>
      </c>
      <c r="ETA138" s="26">
        <v>4</v>
      </c>
      <c r="ETB138" s="26" t="s">
        <v>794</v>
      </c>
      <c r="ETC138" s="26">
        <v>4</v>
      </c>
      <c r="ETD138" s="26" t="s">
        <v>794</v>
      </c>
      <c r="ETE138" s="26">
        <v>4</v>
      </c>
      <c r="ETF138" s="26" t="s">
        <v>794</v>
      </c>
      <c r="ETG138" s="26">
        <v>4</v>
      </c>
      <c r="ETH138" s="26" t="s">
        <v>794</v>
      </c>
      <c r="ETI138" s="26">
        <v>4</v>
      </c>
      <c r="ETJ138" s="26" t="s">
        <v>794</v>
      </c>
      <c r="ETK138" s="26">
        <v>4</v>
      </c>
      <c r="ETL138" s="26" t="s">
        <v>794</v>
      </c>
      <c r="ETM138" s="26">
        <v>4</v>
      </c>
      <c r="ETN138" s="26" t="s">
        <v>794</v>
      </c>
      <c r="ETO138" s="26">
        <v>4</v>
      </c>
      <c r="ETP138" s="26" t="s">
        <v>794</v>
      </c>
      <c r="ETQ138" s="26">
        <v>4</v>
      </c>
      <c r="ETR138" s="26" t="s">
        <v>794</v>
      </c>
      <c r="ETS138" s="26">
        <v>4</v>
      </c>
      <c r="ETT138" s="26" t="s">
        <v>794</v>
      </c>
      <c r="ETU138" s="26">
        <v>4</v>
      </c>
      <c r="ETV138" s="26" t="s">
        <v>794</v>
      </c>
      <c r="ETW138" s="26">
        <v>4</v>
      </c>
      <c r="ETX138" s="26" t="s">
        <v>794</v>
      </c>
      <c r="ETY138" s="26">
        <v>4</v>
      </c>
      <c r="ETZ138" s="26" t="s">
        <v>794</v>
      </c>
      <c r="EUA138" s="26">
        <v>4</v>
      </c>
      <c r="EUB138" s="26" t="s">
        <v>794</v>
      </c>
      <c r="EUC138" s="26">
        <v>4</v>
      </c>
      <c r="EUD138" s="26" t="s">
        <v>794</v>
      </c>
      <c r="EUE138" s="26">
        <v>4</v>
      </c>
      <c r="EUF138" s="26" t="s">
        <v>794</v>
      </c>
      <c r="EUG138" s="26">
        <v>4</v>
      </c>
      <c r="EUH138" s="26" t="s">
        <v>794</v>
      </c>
      <c r="EUI138" s="26">
        <v>4</v>
      </c>
      <c r="EUJ138" s="26" t="s">
        <v>794</v>
      </c>
      <c r="EUK138" s="26">
        <v>4</v>
      </c>
      <c r="EUL138" s="26" t="s">
        <v>794</v>
      </c>
      <c r="EUM138" s="26">
        <v>4</v>
      </c>
      <c r="EUN138" s="26" t="s">
        <v>794</v>
      </c>
      <c r="EUO138" s="26">
        <v>4</v>
      </c>
      <c r="EUP138" s="26" t="s">
        <v>794</v>
      </c>
      <c r="EUQ138" s="26">
        <v>4</v>
      </c>
      <c r="EUR138" s="26" t="s">
        <v>794</v>
      </c>
      <c r="EUS138" s="26">
        <v>4</v>
      </c>
      <c r="EUT138" s="26" t="s">
        <v>794</v>
      </c>
      <c r="EUU138" s="26">
        <v>4</v>
      </c>
      <c r="EUV138" s="26" t="s">
        <v>794</v>
      </c>
      <c r="EUW138" s="26">
        <v>4</v>
      </c>
      <c r="EUX138" s="26" t="s">
        <v>794</v>
      </c>
      <c r="EUY138" s="26">
        <v>4</v>
      </c>
      <c r="EUZ138" s="26" t="s">
        <v>794</v>
      </c>
      <c r="EVA138" s="26">
        <v>4</v>
      </c>
      <c r="EVB138" s="26" t="s">
        <v>794</v>
      </c>
      <c r="EVC138" s="26">
        <v>4</v>
      </c>
      <c r="EVD138" s="26" t="s">
        <v>794</v>
      </c>
      <c r="EVE138" s="26">
        <v>4</v>
      </c>
      <c r="EVF138" s="26" t="s">
        <v>794</v>
      </c>
      <c r="EVG138" s="26">
        <v>4</v>
      </c>
      <c r="EVH138" s="26" t="s">
        <v>794</v>
      </c>
      <c r="EVI138" s="26">
        <v>4</v>
      </c>
      <c r="EVJ138" s="26" t="s">
        <v>794</v>
      </c>
      <c r="EVK138" s="26">
        <v>4</v>
      </c>
      <c r="EVL138" s="26" t="s">
        <v>794</v>
      </c>
      <c r="EVM138" s="26">
        <v>4</v>
      </c>
      <c r="EVN138" s="26" t="s">
        <v>794</v>
      </c>
      <c r="EVO138" s="26">
        <v>4</v>
      </c>
      <c r="EVP138" s="26" t="s">
        <v>794</v>
      </c>
      <c r="EVQ138" s="26">
        <v>4</v>
      </c>
      <c r="EVR138" s="26" t="s">
        <v>794</v>
      </c>
      <c r="EVS138" s="26">
        <v>4</v>
      </c>
      <c r="EVT138" s="26" t="s">
        <v>794</v>
      </c>
      <c r="EVU138" s="26">
        <v>4</v>
      </c>
      <c r="EVV138" s="26" t="s">
        <v>794</v>
      </c>
      <c r="EVW138" s="26">
        <v>4</v>
      </c>
      <c r="EVX138" s="26" t="s">
        <v>794</v>
      </c>
      <c r="EVY138" s="26">
        <v>4</v>
      </c>
      <c r="EVZ138" s="26" t="s">
        <v>794</v>
      </c>
      <c r="EWA138" s="26">
        <v>4</v>
      </c>
      <c r="EWB138" s="26" t="s">
        <v>794</v>
      </c>
      <c r="EWC138" s="26">
        <v>4</v>
      </c>
      <c r="EWD138" s="26" t="s">
        <v>794</v>
      </c>
      <c r="EWE138" s="26">
        <v>4</v>
      </c>
      <c r="EWF138" s="26" t="s">
        <v>794</v>
      </c>
      <c r="EWG138" s="26">
        <v>4</v>
      </c>
      <c r="EWH138" s="26" t="s">
        <v>794</v>
      </c>
      <c r="EWI138" s="26">
        <v>4</v>
      </c>
      <c r="EWJ138" s="26" t="s">
        <v>794</v>
      </c>
      <c r="EWK138" s="26">
        <v>4</v>
      </c>
      <c r="EWL138" s="26" t="s">
        <v>794</v>
      </c>
      <c r="EWM138" s="26">
        <v>4</v>
      </c>
      <c r="EWN138" s="26" t="s">
        <v>794</v>
      </c>
      <c r="EWO138" s="26">
        <v>4</v>
      </c>
      <c r="EWP138" s="26" t="s">
        <v>794</v>
      </c>
      <c r="EWQ138" s="26">
        <v>4</v>
      </c>
      <c r="EWR138" s="26" t="s">
        <v>794</v>
      </c>
      <c r="EWS138" s="26">
        <v>4</v>
      </c>
      <c r="EWT138" s="26" t="s">
        <v>794</v>
      </c>
      <c r="EWU138" s="26">
        <v>4</v>
      </c>
      <c r="EWV138" s="26" t="s">
        <v>794</v>
      </c>
      <c r="EWW138" s="26">
        <v>4</v>
      </c>
      <c r="EWX138" s="26" t="s">
        <v>794</v>
      </c>
      <c r="EWY138" s="26">
        <v>4</v>
      </c>
      <c r="EWZ138" s="26" t="s">
        <v>794</v>
      </c>
      <c r="EXA138" s="26">
        <v>4</v>
      </c>
      <c r="EXB138" s="26" t="s">
        <v>794</v>
      </c>
      <c r="EXC138" s="26">
        <v>4</v>
      </c>
      <c r="EXD138" s="26" t="s">
        <v>794</v>
      </c>
      <c r="EXE138" s="26">
        <v>4</v>
      </c>
      <c r="EXF138" s="26" t="s">
        <v>794</v>
      </c>
      <c r="EXG138" s="26">
        <v>4</v>
      </c>
      <c r="EXH138" s="26" t="s">
        <v>794</v>
      </c>
      <c r="EXI138" s="26">
        <v>4</v>
      </c>
      <c r="EXJ138" s="26" t="s">
        <v>794</v>
      </c>
      <c r="EXK138" s="26">
        <v>4</v>
      </c>
      <c r="EXL138" s="26" t="s">
        <v>794</v>
      </c>
      <c r="EXM138" s="26">
        <v>4</v>
      </c>
      <c r="EXN138" s="26" t="s">
        <v>794</v>
      </c>
      <c r="EXO138" s="26">
        <v>4</v>
      </c>
      <c r="EXP138" s="26" t="s">
        <v>794</v>
      </c>
      <c r="EXQ138" s="26">
        <v>4</v>
      </c>
      <c r="EXR138" s="26" t="s">
        <v>794</v>
      </c>
      <c r="EXS138" s="26">
        <v>4</v>
      </c>
      <c r="EXT138" s="26" t="s">
        <v>794</v>
      </c>
      <c r="EXU138" s="26">
        <v>4</v>
      </c>
      <c r="EXV138" s="26" t="s">
        <v>794</v>
      </c>
      <c r="EXW138" s="26">
        <v>4</v>
      </c>
      <c r="EXX138" s="26" t="s">
        <v>794</v>
      </c>
      <c r="EXY138" s="26">
        <v>4</v>
      </c>
      <c r="EXZ138" s="26" t="s">
        <v>794</v>
      </c>
      <c r="EYA138" s="26">
        <v>4</v>
      </c>
      <c r="EYB138" s="26" t="s">
        <v>794</v>
      </c>
      <c r="EYC138" s="26">
        <v>4</v>
      </c>
      <c r="EYD138" s="26" t="s">
        <v>794</v>
      </c>
      <c r="EYE138" s="26">
        <v>4</v>
      </c>
      <c r="EYF138" s="26" t="s">
        <v>794</v>
      </c>
      <c r="EYG138" s="26">
        <v>4</v>
      </c>
      <c r="EYH138" s="26" t="s">
        <v>794</v>
      </c>
      <c r="EYI138" s="26">
        <v>4</v>
      </c>
      <c r="EYJ138" s="26" t="s">
        <v>794</v>
      </c>
      <c r="EYK138" s="26">
        <v>4</v>
      </c>
      <c r="EYL138" s="26" t="s">
        <v>794</v>
      </c>
      <c r="EYM138" s="26">
        <v>4</v>
      </c>
      <c r="EYN138" s="26" t="s">
        <v>794</v>
      </c>
      <c r="EYO138" s="26">
        <v>4</v>
      </c>
      <c r="EYP138" s="26" t="s">
        <v>794</v>
      </c>
      <c r="EYQ138" s="26">
        <v>4</v>
      </c>
      <c r="EYR138" s="26" t="s">
        <v>794</v>
      </c>
      <c r="EYS138" s="26">
        <v>4</v>
      </c>
      <c r="EYT138" s="26" t="s">
        <v>794</v>
      </c>
      <c r="EYU138" s="26">
        <v>4</v>
      </c>
      <c r="EYV138" s="26" t="s">
        <v>794</v>
      </c>
      <c r="EYW138" s="26">
        <v>4</v>
      </c>
      <c r="EYX138" s="26" t="s">
        <v>794</v>
      </c>
      <c r="EYY138" s="26">
        <v>4</v>
      </c>
      <c r="EYZ138" s="26" t="s">
        <v>794</v>
      </c>
      <c r="EZA138" s="26">
        <v>4</v>
      </c>
      <c r="EZB138" s="26" t="s">
        <v>794</v>
      </c>
      <c r="EZC138" s="26">
        <v>4</v>
      </c>
      <c r="EZD138" s="26" t="s">
        <v>794</v>
      </c>
      <c r="EZE138" s="26">
        <v>4</v>
      </c>
      <c r="EZF138" s="26" t="s">
        <v>794</v>
      </c>
      <c r="EZG138" s="26">
        <v>4</v>
      </c>
      <c r="EZH138" s="26" t="s">
        <v>794</v>
      </c>
      <c r="EZI138" s="26">
        <v>4</v>
      </c>
      <c r="EZJ138" s="26" t="s">
        <v>794</v>
      </c>
      <c r="EZK138" s="26">
        <v>4</v>
      </c>
      <c r="EZL138" s="26" t="s">
        <v>794</v>
      </c>
      <c r="EZM138" s="26">
        <v>4</v>
      </c>
      <c r="EZN138" s="26" t="s">
        <v>794</v>
      </c>
      <c r="EZO138" s="26">
        <v>4</v>
      </c>
      <c r="EZP138" s="26" t="s">
        <v>794</v>
      </c>
      <c r="EZQ138" s="26">
        <v>4</v>
      </c>
      <c r="EZR138" s="26" t="s">
        <v>794</v>
      </c>
      <c r="EZS138" s="26">
        <v>4</v>
      </c>
      <c r="EZT138" s="26" t="s">
        <v>794</v>
      </c>
      <c r="EZU138" s="26">
        <v>4</v>
      </c>
      <c r="EZV138" s="26" t="s">
        <v>794</v>
      </c>
      <c r="EZW138" s="26">
        <v>4</v>
      </c>
      <c r="EZX138" s="26" t="s">
        <v>794</v>
      </c>
      <c r="EZY138" s="26">
        <v>4</v>
      </c>
      <c r="EZZ138" s="26" t="s">
        <v>794</v>
      </c>
      <c r="FAA138" s="26">
        <v>4</v>
      </c>
      <c r="FAB138" s="26" t="s">
        <v>794</v>
      </c>
      <c r="FAC138" s="26">
        <v>4</v>
      </c>
      <c r="FAD138" s="26" t="s">
        <v>794</v>
      </c>
      <c r="FAE138" s="26">
        <v>4</v>
      </c>
      <c r="FAF138" s="26" t="s">
        <v>794</v>
      </c>
      <c r="FAG138" s="26">
        <v>4</v>
      </c>
      <c r="FAH138" s="26" t="s">
        <v>794</v>
      </c>
      <c r="FAI138" s="26">
        <v>4</v>
      </c>
      <c r="FAJ138" s="26" t="s">
        <v>794</v>
      </c>
      <c r="FAK138" s="26">
        <v>4</v>
      </c>
      <c r="FAL138" s="26" t="s">
        <v>794</v>
      </c>
      <c r="FAM138" s="26">
        <v>4</v>
      </c>
      <c r="FAN138" s="26" t="s">
        <v>794</v>
      </c>
      <c r="FAO138" s="26">
        <v>4</v>
      </c>
      <c r="FAP138" s="26" t="s">
        <v>794</v>
      </c>
      <c r="FAQ138" s="26">
        <v>4</v>
      </c>
      <c r="FAR138" s="26" t="s">
        <v>794</v>
      </c>
      <c r="FAS138" s="26">
        <v>4</v>
      </c>
      <c r="FAT138" s="26" t="s">
        <v>794</v>
      </c>
      <c r="FAU138" s="26">
        <v>4</v>
      </c>
      <c r="FAV138" s="26" t="s">
        <v>794</v>
      </c>
      <c r="FAW138" s="26">
        <v>4</v>
      </c>
      <c r="FAX138" s="26" t="s">
        <v>794</v>
      </c>
      <c r="FAY138" s="26">
        <v>4</v>
      </c>
      <c r="FAZ138" s="26" t="s">
        <v>794</v>
      </c>
      <c r="FBA138" s="26">
        <v>4</v>
      </c>
      <c r="FBB138" s="26" t="s">
        <v>794</v>
      </c>
      <c r="FBC138" s="26">
        <v>4</v>
      </c>
      <c r="FBD138" s="26" t="s">
        <v>794</v>
      </c>
      <c r="FBE138" s="26">
        <v>4</v>
      </c>
      <c r="FBF138" s="26" t="s">
        <v>794</v>
      </c>
      <c r="FBG138" s="26">
        <v>4</v>
      </c>
      <c r="FBH138" s="26" t="s">
        <v>794</v>
      </c>
      <c r="FBI138" s="26">
        <v>4</v>
      </c>
      <c r="FBJ138" s="26" t="s">
        <v>794</v>
      </c>
      <c r="FBK138" s="26">
        <v>4</v>
      </c>
      <c r="FBL138" s="26" t="s">
        <v>794</v>
      </c>
      <c r="FBM138" s="26">
        <v>4</v>
      </c>
      <c r="FBN138" s="26" t="s">
        <v>794</v>
      </c>
      <c r="FBO138" s="26">
        <v>4</v>
      </c>
      <c r="FBP138" s="26" t="s">
        <v>794</v>
      </c>
      <c r="FBQ138" s="26">
        <v>4</v>
      </c>
      <c r="FBR138" s="26" t="s">
        <v>794</v>
      </c>
      <c r="FBS138" s="26">
        <v>4</v>
      </c>
      <c r="FBT138" s="26" t="s">
        <v>794</v>
      </c>
      <c r="FBU138" s="26">
        <v>4</v>
      </c>
      <c r="FBV138" s="26" t="s">
        <v>794</v>
      </c>
      <c r="FBW138" s="26">
        <v>4</v>
      </c>
      <c r="FBX138" s="26" t="s">
        <v>794</v>
      </c>
      <c r="FBY138" s="26">
        <v>4</v>
      </c>
      <c r="FBZ138" s="26" t="s">
        <v>794</v>
      </c>
      <c r="FCA138" s="26">
        <v>4</v>
      </c>
      <c r="FCB138" s="26" t="s">
        <v>794</v>
      </c>
      <c r="FCC138" s="26">
        <v>4</v>
      </c>
      <c r="FCD138" s="26" t="s">
        <v>794</v>
      </c>
      <c r="FCE138" s="26">
        <v>4</v>
      </c>
      <c r="FCF138" s="26" t="s">
        <v>794</v>
      </c>
      <c r="FCG138" s="26">
        <v>4</v>
      </c>
      <c r="FCH138" s="26" t="s">
        <v>794</v>
      </c>
      <c r="FCI138" s="26">
        <v>4</v>
      </c>
      <c r="FCJ138" s="26" t="s">
        <v>794</v>
      </c>
      <c r="FCK138" s="26">
        <v>4</v>
      </c>
      <c r="FCL138" s="26" t="s">
        <v>794</v>
      </c>
      <c r="FCM138" s="26">
        <v>4</v>
      </c>
      <c r="FCN138" s="26" t="s">
        <v>794</v>
      </c>
      <c r="FCO138" s="26">
        <v>4</v>
      </c>
      <c r="FCP138" s="26" t="s">
        <v>794</v>
      </c>
      <c r="FCQ138" s="26">
        <v>4</v>
      </c>
      <c r="FCR138" s="26" t="s">
        <v>794</v>
      </c>
      <c r="FCS138" s="26">
        <v>4</v>
      </c>
      <c r="FCT138" s="26" t="s">
        <v>794</v>
      </c>
      <c r="FCU138" s="26">
        <v>4</v>
      </c>
      <c r="FCV138" s="26" t="s">
        <v>794</v>
      </c>
      <c r="FCW138" s="26">
        <v>4</v>
      </c>
      <c r="FCX138" s="26" t="s">
        <v>794</v>
      </c>
      <c r="FCY138" s="26">
        <v>4</v>
      </c>
      <c r="FCZ138" s="26" t="s">
        <v>794</v>
      </c>
      <c r="FDA138" s="26">
        <v>4</v>
      </c>
      <c r="FDB138" s="26" t="s">
        <v>794</v>
      </c>
      <c r="FDC138" s="26">
        <v>4</v>
      </c>
      <c r="FDD138" s="26" t="s">
        <v>794</v>
      </c>
      <c r="FDE138" s="26">
        <v>4</v>
      </c>
      <c r="FDF138" s="26" t="s">
        <v>794</v>
      </c>
      <c r="FDG138" s="26">
        <v>4</v>
      </c>
      <c r="FDH138" s="26" t="s">
        <v>794</v>
      </c>
      <c r="FDI138" s="26">
        <v>4</v>
      </c>
      <c r="FDJ138" s="26" t="s">
        <v>794</v>
      </c>
      <c r="FDK138" s="26">
        <v>4</v>
      </c>
      <c r="FDL138" s="26" t="s">
        <v>794</v>
      </c>
      <c r="FDM138" s="26">
        <v>4</v>
      </c>
      <c r="FDN138" s="26" t="s">
        <v>794</v>
      </c>
      <c r="FDO138" s="26">
        <v>4</v>
      </c>
      <c r="FDP138" s="26" t="s">
        <v>794</v>
      </c>
      <c r="FDQ138" s="26">
        <v>4</v>
      </c>
      <c r="FDR138" s="26" t="s">
        <v>794</v>
      </c>
      <c r="FDS138" s="26">
        <v>4</v>
      </c>
      <c r="FDT138" s="26" t="s">
        <v>794</v>
      </c>
      <c r="FDU138" s="26">
        <v>4</v>
      </c>
      <c r="FDV138" s="26" t="s">
        <v>794</v>
      </c>
      <c r="FDW138" s="26">
        <v>4</v>
      </c>
      <c r="FDX138" s="26" t="s">
        <v>794</v>
      </c>
      <c r="FDY138" s="26">
        <v>4</v>
      </c>
      <c r="FDZ138" s="26" t="s">
        <v>794</v>
      </c>
      <c r="FEA138" s="26">
        <v>4</v>
      </c>
      <c r="FEB138" s="26" t="s">
        <v>794</v>
      </c>
      <c r="FEC138" s="26">
        <v>4</v>
      </c>
      <c r="FED138" s="26" t="s">
        <v>794</v>
      </c>
      <c r="FEE138" s="26">
        <v>4</v>
      </c>
      <c r="FEF138" s="26" t="s">
        <v>794</v>
      </c>
      <c r="FEG138" s="26">
        <v>4</v>
      </c>
      <c r="FEH138" s="26" t="s">
        <v>794</v>
      </c>
      <c r="FEI138" s="26">
        <v>4</v>
      </c>
      <c r="FEJ138" s="26" t="s">
        <v>794</v>
      </c>
      <c r="FEK138" s="26">
        <v>4</v>
      </c>
      <c r="FEL138" s="26" t="s">
        <v>794</v>
      </c>
      <c r="FEM138" s="26">
        <v>4</v>
      </c>
      <c r="FEN138" s="26" t="s">
        <v>794</v>
      </c>
      <c r="FEO138" s="26">
        <v>4</v>
      </c>
      <c r="FEP138" s="26" t="s">
        <v>794</v>
      </c>
      <c r="FEQ138" s="26">
        <v>4</v>
      </c>
      <c r="FER138" s="26" t="s">
        <v>794</v>
      </c>
      <c r="FES138" s="26">
        <v>4</v>
      </c>
      <c r="FET138" s="26" t="s">
        <v>794</v>
      </c>
      <c r="FEU138" s="26">
        <v>4</v>
      </c>
      <c r="FEV138" s="26" t="s">
        <v>794</v>
      </c>
      <c r="FEW138" s="26">
        <v>4</v>
      </c>
      <c r="FEX138" s="26" t="s">
        <v>794</v>
      </c>
      <c r="FEY138" s="26">
        <v>4</v>
      </c>
      <c r="FEZ138" s="26" t="s">
        <v>794</v>
      </c>
      <c r="FFA138" s="26">
        <v>4</v>
      </c>
      <c r="FFB138" s="26" t="s">
        <v>794</v>
      </c>
      <c r="FFC138" s="26">
        <v>4</v>
      </c>
      <c r="FFD138" s="26" t="s">
        <v>794</v>
      </c>
      <c r="FFE138" s="26">
        <v>4</v>
      </c>
      <c r="FFF138" s="26" t="s">
        <v>794</v>
      </c>
      <c r="FFG138" s="26">
        <v>4</v>
      </c>
      <c r="FFH138" s="26" t="s">
        <v>794</v>
      </c>
      <c r="FFI138" s="26">
        <v>4</v>
      </c>
      <c r="FFJ138" s="26" t="s">
        <v>794</v>
      </c>
      <c r="FFK138" s="26">
        <v>4</v>
      </c>
      <c r="FFL138" s="26" t="s">
        <v>794</v>
      </c>
      <c r="FFM138" s="26">
        <v>4</v>
      </c>
      <c r="FFN138" s="26" t="s">
        <v>794</v>
      </c>
      <c r="FFO138" s="26">
        <v>4</v>
      </c>
      <c r="FFP138" s="26" t="s">
        <v>794</v>
      </c>
      <c r="FFQ138" s="26">
        <v>4</v>
      </c>
      <c r="FFR138" s="26" t="s">
        <v>794</v>
      </c>
      <c r="FFS138" s="26">
        <v>4</v>
      </c>
      <c r="FFT138" s="26" t="s">
        <v>794</v>
      </c>
      <c r="FFU138" s="26">
        <v>4</v>
      </c>
      <c r="FFV138" s="26" t="s">
        <v>794</v>
      </c>
      <c r="FFW138" s="26">
        <v>4</v>
      </c>
      <c r="FFX138" s="26" t="s">
        <v>794</v>
      </c>
      <c r="FFY138" s="26">
        <v>4</v>
      </c>
      <c r="FFZ138" s="26" t="s">
        <v>794</v>
      </c>
      <c r="FGA138" s="26">
        <v>4</v>
      </c>
      <c r="FGB138" s="26" t="s">
        <v>794</v>
      </c>
      <c r="FGC138" s="26">
        <v>4</v>
      </c>
      <c r="FGD138" s="26" t="s">
        <v>794</v>
      </c>
      <c r="FGE138" s="26">
        <v>4</v>
      </c>
      <c r="FGF138" s="26" t="s">
        <v>794</v>
      </c>
      <c r="FGG138" s="26">
        <v>4</v>
      </c>
      <c r="FGH138" s="26" t="s">
        <v>794</v>
      </c>
      <c r="FGI138" s="26">
        <v>4</v>
      </c>
      <c r="FGJ138" s="26" t="s">
        <v>794</v>
      </c>
      <c r="FGK138" s="26">
        <v>4</v>
      </c>
      <c r="FGL138" s="26" t="s">
        <v>794</v>
      </c>
      <c r="FGM138" s="26">
        <v>4</v>
      </c>
      <c r="FGN138" s="26" t="s">
        <v>794</v>
      </c>
      <c r="FGO138" s="26">
        <v>4</v>
      </c>
      <c r="FGP138" s="26" t="s">
        <v>794</v>
      </c>
      <c r="FGQ138" s="26">
        <v>4</v>
      </c>
      <c r="FGR138" s="26" t="s">
        <v>794</v>
      </c>
      <c r="FGS138" s="26">
        <v>4</v>
      </c>
      <c r="FGT138" s="26" t="s">
        <v>794</v>
      </c>
      <c r="FGU138" s="26">
        <v>4</v>
      </c>
      <c r="FGV138" s="26" t="s">
        <v>794</v>
      </c>
      <c r="FGW138" s="26">
        <v>4</v>
      </c>
      <c r="FGX138" s="26" t="s">
        <v>794</v>
      </c>
      <c r="FGY138" s="26">
        <v>4</v>
      </c>
      <c r="FGZ138" s="26" t="s">
        <v>794</v>
      </c>
      <c r="FHA138" s="26">
        <v>4</v>
      </c>
      <c r="FHB138" s="26" t="s">
        <v>794</v>
      </c>
      <c r="FHC138" s="26">
        <v>4</v>
      </c>
      <c r="FHD138" s="26" t="s">
        <v>794</v>
      </c>
      <c r="FHE138" s="26">
        <v>4</v>
      </c>
      <c r="FHF138" s="26" t="s">
        <v>794</v>
      </c>
      <c r="FHG138" s="26">
        <v>4</v>
      </c>
      <c r="FHH138" s="26" t="s">
        <v>794</v>
      </c>
      <c r="FHI138" s="26">
        <v>4</v>
      </c>
      <c r="FHJ138" s="26" t="s">
        <v>794</v>
      </c>
      <c r="FHK138" s="26">
        <v>4</v>
      </c>
      <c r="FHL138" s="26" t="s">
        <v>794</v>
      </c>
      <c r="FHM138" s="26">
        <v>4</v>
      </c>
      <c r="FHN138" s="26" t="s">
        <v>794</v>
      </c>
      <c r="FHO138" s="26">
        <v>4</v>
      </c>
      <c r="FHP138" s="26" t="s">
        <v>794</v>
      </c>
      <c r="FHQ138" s="26">
        <v>4</v>
      </c>
      <c r="FHR138" s="26" t="s">
        <v>794</v>
      </c>
      <c r="FHS138" s="26">
        <v>4</v>
      </c>
      <c r="FHT138" s="26" t="s">
        <v>794</v>
      </c>
      <c r="FHU138" s="26">
        <v>4</v>
      </c>
      <c r="FHV138" s="26" t="s">
        <v>794</v>
      </c>
      <c r="FHW138" s="26">
        <v>4</v>
      </c>
      <c r="FHX138" s="26" t="s">
        <v>794</v>
      </c>
      <c r="FHY138" s="26">
        <v>4</v>
      </c>
      <c r="FHZ138" s="26" t="s">
        <v>794</v>
      </c>
      <c r="FIA138" s="26">
        <v>4</v>
      </c>
      <c r="FIB138" s="26" t="s">
        <v>794</v>
      </c>
      <c r="FIC138" s="26">
        <v>4</v>
      </c>
      <c r="FID138" s="26" t="s">
        <v>794</v>
      </c>
      <c r="FIE138" s="26">
        <v>4</v>
      </c>
      <c r="FIF138" s="26" t="s">
        <v>794</v>
      </c>
      <c r="FIG138" s="26">
        <v>4</v>
      </c>
      <c r="FIH138" s="26" t="s">
        <v>794</v>
      </c>
      <c r="FII138" s="26">
        <v>4</v>
      </c>
      <c r="FIJ138" s="26" t="s">
        <v>794</v>
      </c>
      <c r="FIK138" s="26">
        <v>4</v>
      </c>
      <c r="FIL138" s="26" t="s">
        <v>794</v>
      </c>
      <c r="FIM138" s="26">
        <v>4</v>
      </c>
      <c r="FIN138" s="26" t="s">
        <v>794</v>
      </c>
      <c r="FIO138" s="26">
        <v>4</v>
      </c>
      <c r="FIP138" s="26" t="s">
        <v>794</v>
      </c>
      <c r="FIQ138" s="26">
        <v>4</v>
      </c>
      <c r="FIR138" s="26" t="s">
        <v>794</v>
      </c>
      <c r="FIS138" s="26">
        <v>4</v>
      </c>
      <c r="FIT138" s="26" t="s">
        <v>794</v>
      </c>
      <c r="FIU138" s="26">
        <v>4</v>
      </c>
      <c r="FIV138" s="26" t="s">
        <v>794</v>
      </c>
      <c r="FIW138" s="26">
        <v>4</v>
      </c>
      <c r="FIX138" s="26" t="s">
        <v>794</v>
      </c>
      <c r="FIY138" s="26">
        <v>4</v>
      </c>
      <c r="FIZ138" s="26" t="s">
        <v>794</v>
      </c>
      <c r="FJA138" s="26">
        <v>4</v>
      </c>
      <c r="FJB138" s="26" t="s">
        <v>794</v>
      </c>
      <c r="FJC138" s="26">
        <v>4</v>
      </c>
      <c r="FJD138" s="26" t="s">
        <v>794</v>
      </c>
      <c r="FJE138" s="26">
        <v>4</v>
      </c>
      <c r="FJF138" s="26" t="s">
        <v>794</v>
      </c>
      <c r="FJG138" s="26">
        <v>4</v>
      </c>
      <c r="FJH138" s="26" t="s">
        <v>794</v>
      </c>
      <c r="FJI138" s="26">
        <v>4</v>
      </c>
      <c r="FJJ138" s="26" t="s">
        <v>794</v>
      </c>
      <c r="FJK138" s="26">
        <v>4</v>
      </c>
      <c r="FJL138" s="26" t="s">
        <v>794</v>
      </c>
      <c r="FJM138" s="26">
        <v>4</v>
      </c>
      <c r="FJN138" s="26" t="s">
        <v>794</v>
      </c>
      <c r="FJO138" s="26">
        <v>4</v>
      </c>
      <c r="FJP138" s="26" t="s">
        <v>794</v>
      </c>
      <c r="FJQ138" s="26">
        <v>4</v>
      </c>
      <c r="FJR138" s="26" t="s">
        <v>794</v>
      </c>
      <c r="FJS138" s="26">
        <v>4</v>
      </c>
      <c r="FJT138" s="26" t="s">
        <v>794</v>
      </c>
      <c r="FJU138" s="26">
        <v>4</v>
      </c>
      <c r="FJV138" s="26" t="s">
        <v>794</v>
      </c>
      <c r="FJW138" s="26">
        <v>4</v>
      </c>
      <c r="FJX138" s="26" t="s">
        <v>794</v>
      </c>
      <c r="FJY138" s="26">
        <v>4</v>
      </c>
      <c r="FJZ138" s="26" t="s">
        <v>794</v>
      </c>
      <c r="FKA138" s="26">
        <v>4</v>
      </c>
      <c r="FKB138" s="26" t="s">
        <v>794</v>
      </c>
      <c r="FKC138" s="26">
        <v>4</v>
      </c>
      <c r="FKD138" s="26" t="s">
        <v>794</v>
      </c>
      <c r="FKE138" s="26">
        <v>4</v>
      </c>
      <c r="FKF138" s="26" t="s">
        <v>794</v>
      </c>
      <c r="FKG138" s="26">
        <v>4</v>
      </c>
      <c r="FKH138" s="26" t="s">
        <v>794</v>
      </c>
      <c r="FKI138" s="26">
        <v>4</v>
      </c>
      <c r="FKJ138" s="26" t="s">
        <v>794</v>
      </c>
      <c r="FKK138" s="26">
        <v>4</v>
      </c>
      <c r="FKL138" s="26" t="s">
        <v>794</v>
      </c>
      <c r="FKM138" s="26">
        <v>4</v>
      </c>
      <c r="FKN138" s="26" t="s">
        <v>794</v>
      </c>
      <c r="FKO138" s="26">
        <v>4</v>
      </c>
      <c r="FKP138" s="26" t="s">
        <v>794</v>
      </c>
      <c r="FKQ138" s="26">
        <v>4</v>
      </c>
      <c r="FKR138" s="26" t="s">
        <v>794</v>
      </c>
      <c r="FKS138" s="26">
        <v>4</v>
      </c>
      <c r="FKT138" s="26" t="s">
        <v>794</v>
      </c>
      <c r="FKU138" s="26">
        <v>4</v>
      </c>
      <c r="FKV138" s="26" t="s">
        <v>794</v>
      </c>
      <c r="FKW138" s="26">
        <v>4</v>
      </c>
      <c r="FKX138" s="26" t="s">
        <v>794</v>
      </c>
      <c r="FKY138" s="26">
        <v>4</v>
      </c>
      <c r="FKZ138" s="26" t="s">
        <v>794</v>
      </c>
      <c r="FLA138" s="26">
        <v>4</v>
      </c>
      <c r="FLB138" s="26" t="s">
        <v>794</v>
      </c>
      <c r="FLC138" s="26">
        <v>4</v>
      </c>
      <c r="FLD138" s="26" t="s">
        <v>794</v>
      </c>
      <c r="FLE138" s="26">
        <v>4</v>
      </c>
      <c r="FLF138" s="26" t="s">
        <v>794</v>
      </c>
      <c r="FLG138" s="26">
        <v>4</v>
      </c>
      <c r="FLH138" s="26" t="s">
        <v>794</v>
      </c>
      <c r="FLI138" s="26">
        <v>4</v>
      </c>
      <c r="FLJ138" s="26" t="s">
        <v>794</v>
      </c>
      <c r="FLK138" s="26">
        <v>4</v>
      </c>
      <c r="FLL138" s="26" t="s">
        <v>794</v>
      </c>
      <c r="FLM138" s="26">
        <v>4</v>
      </c>
      <c r="FLN138" s="26" t="s">
        <v>794</v>
      </c>
      <c r="FLO138" s="26">
        <v>4</v>
      </c>
      <c r="FLP138" s="26" t="s">
        <v>794</v>
      </c>
      <c r="FLQ138" s="26">
        <v>4</v>
      </c>
      <c r="FLR138" s="26" t="s">
        <v>794</v>
      </c>
      <c r="FLS138" s="26">
        <v>4</v>
      </c>
      <c r="FLT138" s="26" t="s">
        <v>794</v>
      </c>
      <c r="FLU138" s="26">
        <v>4</v>
      </c>
      <c r="FLV138" s="26" t="s">
        <v>794</v>
      </c>
      <c r="FLW138" s="26">
        <v>4</v>
      </c>
      <c r="FLX138" s="26" t="s">
        <v>794</v>
      </c>
      <c r="FLY138" s="26">
        <v>4</v>
      </c>
      <c r="FLZ138" s="26" t="s">
        <v>794</v>
      </c>
      <c r="FMA138" s="26">
        <v>4</v>
      </c>
      <c r="FMB138" s="26" t="s">
        <v>794</v>
      </c>
      <c r="FMC138" s="26">
        <v>4</v>
      </c>
      <c r="FMD138" s="26" t="s">
        <v>794</v>
      </c>
      <c r="FME138" s="26">
        <v>4</v>
      </c>
      <c r="FMF138" s="26" t="s">
        <v>794</v>
      </c>
      <c r="FMG138" s="26">
        <v>4</v>
      </c>
      <c r="FMH138" s="26" t="s">
        <v>794</v>
      </c>
      <c r="FMI138" s="26">
        <v>4</v>
      </c>
      <c r="FMJ138" s="26" t="s">
        <v>794</v>
      </c>
      <c r="FMK138" s="26">
        <v>4</v>
      </c>
      <c r="FML138" s="26" t="s">
        <v>794</v>
      </c>
      <c r="FMM138" s="26">
        <v>4</v>
      </c>
      <c r="FMN138" s="26" t="s">
        <v>794</v>
      </c>
      <c r="FMO138" s="26">
        <v>4</v>
      </c>
      <c r="FMP138" s="26" t="s">
        <v>794</v>
      </c>
      <c r="FMQ138" s="26">
        <v>4</v>
      </c>
      <c r="FMR138" s="26" t="s">
        <v>794</v>
      </c>
      <c r="FMS138" s="26">
        <v>4</v>
      </c>
      <c r="FMT138" s="26" t="s">
        <v>794</v>
      </c>
      <c r="FMU138" s="26">
        <v>4</v>
      </c>
      <c r="FMV138" s="26" t="s">
        <v>794</v>
      </c>
      <c r="FMW138" s="26">
        <v>4</v>
      </c>
      <c r="FMX138" s="26" t="s">
        <v>794</v>
      </c>
      <c r="FMY138" s="26">
        <v>4</v>
      </c>
      <c r="FMZ138" s="26" t="s">
        <v>794</v>
      </c>
      <c r="FNA138" s="26">
        <v>4</v>
      </c>
      <c r="FNB138" s="26" t="s">
        <v>794</v>
      </c>
      <c r="FNC138" s="26">
        <v>4</v>
      </c>
      <c r="FND138" s="26" t="s">
        <v>794</v>
      </c>
      <c r="FNE138" s="26">
        <v>4</v>
      </c>
      <c r="FNF138" s="26" t="s">
        <v>794</v>
      </c>
      <c r="FNG138" s="26">
        <v>4</v>
      </c>
      <c r="FNH138" s="26" t="s">
        <v>794</v>
      </c>
      <c r="FNI138" s="26">
        <v>4</v>
      </c>
      <c r="FNJ138" s="26" t="s">
        <v>794</v>
      </c>
      <c r="FNK138" s="26">
        <v>4</v>
      </c>
      <c r="FNL138" s="26" t="s">
        <v>794</v>
      </c>
      <c r="FNM138" s="26">
        <v>4</v>
      </c>
      <c r="FNN138" s="26" t="s">
        <v>794</v>
      </c>
      <c r="FNO138" s="26">
        <v>4</v>
      </c>
      <c r="FNP138" s="26" t="s">
        <v>794</v>
      </c>
      <c r="FNQ138" s="26">
        <v>4</v>
      </c>
      <c r="FNR138" s="26" t="s">
        <v>794</v>
      </c>
      <c r="FNS138" s="26">
        <v>4</v>
      </c>
      <c r="FNT138" s="26" t="s">
        <v>794</v>
      </c>
      <c r="FNU138" s="26">
        <v>4</v>
      </c>
      <c r="FNV138" s="26" t="s">
        <v>794</v>
      </c>
      <c r="FNW138" s="26">
        <v>4</v>
      </c>
      <c r="FNX138" s="26" t="s">
        <v>794</v>
      </c>
      <c r="FNY138" s="26">
        <v>4</v>
      </c>
      <c r="FNZ138" s="26" t="s">
        <v>794</v>
      </c>
      <c r="FOA138" s="26">
        <v>4</v>
      </c>
      <c r="FOB138" s="26" t="s">
        <v>794</v>
      </c>
      <c r="FOC138" s="26">
        <v>4</v>
      </c>
      <c r="FOD138" s="26" t="s">
        <v>794</v>
      </c>
      <c r="FOE138" s="26">
        <v>4</v>
      </c>
      <c r="FOF138" s="26" t="s">
        <v>794</v>
      </c>
      <c r="FOG138" s="26">
        <v>4</v>
      </c>
      <c r="FOH138" s="26" t="s">
        <v>794</v>
      </c>
      <c r="FOI138" s="26">
        <v>4</v>
      </c>
      <c r="FOJ138" s="26" t="s">
        <v>794</v>
      </c>
      <c r="FOK138" s="26">
        <v>4</v>
      </c>
      <c r="FOL138" s="26" t="s">
        <v>794</v>
      </c>
      <c r="FOM138" s="26">
        <v>4</v>
      </c>
      <c r="FON138" s="26" t="s">
        <v>794</v>
      </c>
      <c r="FOO138" s="26">
        <v>4</v>
      </c>
      <c r="FOP138" s="26" t="s">
        <v>794</v>
      </c>
      <c r="FOQ138" s="26">
        <v>4</v>
      </c>
      <c r="FOR138" s="26" t="s">
        <v>794</v>
      </c>
      <c r="FOS138" s="26">
        <v>4</v>
      </c>
      <c r="FOT138" s="26" t="s">
        <v>794</v>
      </c>
      <c r="FOU138" s="26">
        <v>4</v>
      </c>
      <c r="FOV138" s="26" t="s">
        <v>794</v>
      </c>
      <c r="FOW138" s="26">
        <v>4</v>
      </c>
      <c r="FOX138" s="26" t="s">
        <v>794</v>
      </c>
      <c r="FOY138" s="26">
        <v>4</v>
      </c>
      <c r="FOZ138" s="26" t="s">
        <v>794</v>
      </c>
      <c r="FPA138" s="26">
        <v>4</v>
      </c>
      <c r="FPB138" s="26" t="s">
        <v>794</v>
      </c>
      <c r="FPC138" s="26">
        <v>4</v>
      </c>
      <c r="FPD138" s="26" t="s">
        <v>794</v>
      </c>
      <c r="FPE138" s="26">
        <v>4</v>
      </c>
      <c r="FPF138" s="26" t="s">
        <v>794</v>
      </c>
      <c r="FPG138" s="26">
        <v>4</v>
      </c>
      <c r="FPH138" s="26" t="s">
        <v>794</v>
      </c>
      <c r="FPI138" s="26">
        <v>4</v>
      </c>
      <c r="FPJ138" s="26" t="s">
        <v>794</v>
      </c>
      <c r="FPK138" s="26">
        <v>4</v>
      </c>
      <c r="FPL138" s="26" t="s">
        <v>794</v>
      </c>
      <c r="FPM138" s="26">
        <v>4</v>
      </c>
      <c r="FPN138" s="26" t="s">
        <v>794</v>
      </c>
      <c r="FPO138" s="26">
        <v>4</v>
      </c>
      <c r="FPP138" s="26" t="s">
        <v>794</v>
      </c>
      <c r="FPQ138" s="26">
        <v>4</v>
      </c>
      <c r="FPR138" s="26" t="s">
        <v>794</v>
      </c>
      <c r="FPS138" s="26">
        <v>4</v>
      </c>
      <c r="FPT138" s="26" t="s">
        <v>794</v>
      </c>
      <c r="FPU138" s="26">
        <v>4</v>
      </c>
      <c r="FPV138" s="26" t="s">
        <v>794</v>
      </c>
      <c r="FPW138" s="26">
        <v>4</v>
      </c>
      <c r="FPX138" s="26" t="s">
        <v>794</v>
      </c>
      <c r="FPY138" s="26">
        <v>4</v>
      </c>
      <c r="FPZ138" s="26" t="s">
        <v>794</v>
      </c>
      <c r="FQA138" s="26">
        <v>4</v>
      </c>
      <c r="FQB138" s="26" t="s">
        <v>794</v>
      </c>
      <c r="FQC138" s="26">
        <v>4</v>
      </c>
      <c r="FQD138" s="26" t="s">
        <v>794</v>
      </c>
      <c r="FQE138" s="26">
        <v>4</v>
      </c>
      <c r="FQF138" s="26" t="s">
        <v>794</v>
      </c>
      <c r="FQG138" s="26">
        <v>4</v>
      </c>
      <c r="FQH138" s="26" t="s">
        <v>794</v>
      </c>
      <c r="FQI138" s="26">
        <v>4</v>
      </c>
      <c r="FQJ138" s="26" t="s">
        <v>794</v>
      </c>
      <c r="FQK138" s="26">
        <v>4</v>
      </c>
      <c r="FQL138" s="26" t="s">
        <v>794</v>
      </c>
      <c r="FQM138" s="26">
        <v>4</v>
      </c>
      <c r="FQN138" s="26" t="s">
        <v>794</v>
      </c>
      <c r="FQO138" s="26">
        <v>4</v>
      </c>
      <c r="FQP138" s="26" t="s">
        <v>794</v>
      </c>
      <c r="FQQ138" s="26">
        <v>4</v>
      </c>
      <c r="FQR138" s="26" t="s">
        <v>794</v>
      </c>
      <c r="FQS138" s="26">
        <v>4</v>
      </c>
      <c r="FQT138" s="26" t="s">
        <v>794</v>
      </c>
      <c r="FQU138" s="26">
        <v>4</v>
      </c>
      <c r="FQV138" s="26" t="s">
        <v>794</v>
      </c>
      <c r="FQW138" s="26">
        <v>4</v>
      </c>
      <c r="FQX138" s="26" t="s">
        <v>794</v>
      </c>
      <c r="FQY138" s="26">
        <v>4</v>
      </c>
      <c r="FQZ138" s="26" t="s">
        <v>794</v>
      </c>
      <c r="FRA138" s="26">
        <v>4</v>
      </c>
      <c r="FRB138" s="26" t="s">
        <v>794</v>
      </c>
      <c r="FRC138" s="26">
        <v>4</v>
      </c>
      <c r="FRD138" s="26" t="s">
        <v>794</v>
      </c>
      <c r="FRE138" s="26">
        <v>4</v>
      </c>
      <c r="FRF138" s="26" t="s">
        <v>794</v>
      </c>
      <c r="FRG138" s="26">
        <v>4</v>
      </c>
      <c r="FRH138" s="26" t="s">
        <v>794</v>
      </c>
      <c r="FRI138" s="26">
        <v>4</v>
      </c>
      <c r="FRJ138" s="26" t="s">
        <v>794</v>
      </c>
      <c r="FRK138" s="26">
        <v>4</v>
      </c>
      <c r="FRL138" s="26" t="s">
        <v>794</v>
      </c>
      <c r="FRM138" s="26">
        <v>4</v>
      </c>
      <c r="FRN138" s="26" t="s">
        <v>794</v>
      </c>
      <c r="FRO138" s="26">
        <v>4</v>
      </c>
      <c r="FRP138" s="26" t="s">
        <v>794</v>
      </c>
      <c r="FRQ138" s="26">
        <v>4</v>
      </c>
      <c r="FRR138" s="26" t="s">
        <v>794</v>
      </c>
      <c r="FRS138" s="26">
        <v>4</v>
      </c>
      <c r="FRT138" s="26" t="s">
        <v>794</v>
      </c>
      <c r="FRU138" s="26">
        <v>4</v>
      </c>
      <c r="FRV138" s="26" t="s">
        <v>794</v>
      </c>
      <c r="FRW138" s="26">
        <v>4</v>
      </c>
      <c r="FRX138" s="26" t="s">
        <v>794</v>
      </c>
      <c r="FRY138" s="26">
        <v>4</v>
      </c>
      <c r="FRZ138" s="26" t="s">
        <v>794</v>
      </c>
      <c r="FSA138" s="26">
        <v>4</v>
      </c>
      <c r="FSB138" s="26" t="s">
        <v>794</v>
      </c>
      <c r="FSC138" s="26">
        <v>4</v>
      </c>
      <c r="FSD138" s="26" t="s">
        <v>794</v>
      </c>
      <c r="FSE138" s="26">
        <v>4</v>
      </c>
      <c r="FSF138" s="26" t="s">
        <v>794</v>
      </c>
      <c r="FSG138" s="26">
        <v>4</v>
      </c>
      <c r="FSH138" s="26" t="s">
        <v>794</v>
      </c>
      <c r="FSI138" s="26">
        <v>4</v>
      </c>
      <c r="FSJ138" s="26" t="s">
        <v>794</v>
      </c>
      <c r="FSK138" s="26">
        <v>4</v>
      </c>
      <c r="FSL138" s="26" t="s">
        <v>794</v>
      </c>
      <c r="FSM138" s="26">
        <v>4</v>
      </c>
      <c r="FSN138" s="26" t="s">
        <v>794</v>
      </c>
      <c r="FSO138" s="26">
        <v>4</v>
      </c>
      <c r="FSP138" s="26" t="s">
        <v>794</v>
      </c>
      <c r="FSQ138" s="26">
        <v>4</v>
      </c>
      <c r="FSR138" s="26" t="s">
        <v>794</v>
      </c>
      <c r="FSS138" s="26">
        <v>4</v>
      </c>
      <c r="FST138" s="26" t="s">
        <v>794</v>
      </c>
      <c r="FSU138" s="26">
        <v>4</v>
      </c>
      <c r="FSV138" s="26" t="s">
        <v>794</v>
      </c>
      <c r="FSW138" s="26">
        <v>4</v>
      </c>
      <c r="FSX138" s="26" t="s">
        <v>794</v>
      </c>
      <c r="FSY138" s="26">
        <v>4</v>
      </c>
      <c r="FSZ138" s="26" t="s">
        <v>794</v>
      </c>
      <c r="FTA138" s="26">
        <v>4</v>
      </c>
      <c r="FTB138" s="26" t="s">
        <v>794</v>
      </c>
      <c r="FTC138" s="26">
        <v>4</v>
      </c>
      <c r="FTD138" s="26" t="s">
        <v>794</v>
      </c>
      <c r="FTE138" s="26">
        <v>4</v>
      </c>
      <c r="FTF138" s="26" t="s">
        <v>794</v>
      </c>
      <c r="FTG138" s="26">
        <v>4</v>
      </c>
      <c r="FTH138" s="26" t="s">
        <v>794</v>
      </c>
      <c r="FTI138" s="26">
        <v>4</v>
      </c>
      <c r="FTJ138" s="26" t="s">
        <v>794</v>
      </c>
      <c r="FTK138" s="26">
        <v>4</v>
      </c>
      <c r="FTL138" s="26" t="s">
        <v>794</v>
      </c>
      <c r="FTM138" s="26">
        <v>4</v>
      </c>
      <c r="FTN138" s="26" t="s">
        <v>794</v>
      </c>
      <c r="FTO138" s="26">
        <v>4</v>
      </c>
      <c r="FTP138" s="26" t="s">
        <v>794</v>
      </c>
      <c r="FTQ138" s="26">
        <v>4</v>
      </c>
      <c r="FTR138" s="26" t="s">
        <v>794</v>
      </c>
      <c r="FTS138" s="26">
        <v>4</v>
      </c>
      <c r="FTT138" s="26" t="s">
        <v>794</v>
      </c>
      <c r="FTU138" s="26">
        <v>4</v>
      </c>
      <c r="FTV138" s="26" t="s">
        <v>794</v>
      </c>
      <c r="FTW138" s="26">
        <v>4</v>
      </c>
      <c r="FTX138" s="26" t="s">
        <v>794</v>
      </c>
      <c r="FTY138" s="26">
        <v>4</v>
      </c>
      <c r="FTZ138" s="26" t="s">
        <v>794</v>
      </c>
      <c r="FUA138" s="26">
        <v>4</v>
      </c>
      <c r="FUB138" s="26" t="s">
        <v>794</v>
      </c>
      <c r="FUC138" s="26">
        <v>4</v>
      </c>
      <c r="FUD138" s="26" t="s">
        <v>794</v>
      </c>
      <c r="FUE138" s="26">
        <v>4</v>
      </c>
      <c r="FUF138" s="26" t="s">
        <v>794</v>
      </c>
      <c r="FUG138" s="26">
        <v>4</v>
      </c>
      <c r="FUH138" s="26" t="s">
        <v>794</v>
      </c>
      <c r="FUI138" s="26">
        <v>4</v>
      </c>
      <c r="FUJ138" s="26" t="s">
        <v>794</v>
      </c>
      <c r="FUK138" s="26">
        <v>4</v>
      </c>
      <c r="FUL138" s="26" t="s">
        <v>794</v>
      </c>
      <c r="FUM138" s="26">
        <v>4</v>
      </c>
      <c r="FUN138" s="26" t="s">
        <v>794</v>
      </c>
      <c r="FUO138" s="26">
        <v>4</v>
      </c>
      <c r="FUP138" s="26" t="s">
        <v>794</v>
      </c>
      <c r="FUQ138" s="26">
        <v>4</v>
      </c>
      <c r="FUR138" s="26" t="s">
        <v>794</v>
      </c>
      <c r="FUS138" s="26">
        <v>4</v>
      </c>
      <c r="FUT138" s="26" t="s">
        <v>794</v>
      </c>
      <c r="FUU138" s="26">
        <v>4</v>
      </c>
      <c r="FUV138" s="26" t="s">
        <v>794</v>
      </c>
      <c r="FUW138" s="26">
        <v>4</v>
      </c>
      <c r="FUX138" s="26" t="s">
        <v>794</v>
      </c>
      <c r="FUY138" s="26">
        <v>4</v>
      </c>
      <c r="FUZ138" s="26" t="s">
        <v>794</v>
      </c>
      <c r="FVA138" s="26">
        <v>4</v>
      </c>
      <c r="FVB138" s="26" t="s">
        <v>794</v>
      </c>
      <c r="FVC138" s="26">
        <v>4</v>
      </c>
      <c r="FVD138" s="26" t="s">
        <v>794</v>
      </c>
      <c r="FVE138" s="26">
        <v>4</v>
      </c>
      <c r="FVF138" s="26" t="s">
        <v>794</v>
      </c>
      <c r="FVG138" s="26">
        <v>4</v>
      </c>
      <c r="FVH138" s="26" t="s">
        <v>794</v>
      </c>
      <c r="FVI138" s="26">
        <v>4</v>
      </c>
      <c r="FVJ138" s="26" t="s">
        <v>794</v>
      </c>
      <c r="FVK138" s="26">
        <v>4</v>
      </c>
      <c r="FVL138" s="26" t="s">
        <v>794</v>
      </c>
      <c r="FVM138" s="26">
        <v>4</v>
      </c>
      <c r="FVN138" s="26" t="s">
        <v>794</v>
      </c>
      <c r="FVO138" s="26">
        <v>4</v>
      </c>
      <c r="FVP138" s="26" t="s">
        <v>794</v>
      </c>
      <c r="FVQ138" s="26">
        <v>4</v>
      </c>
      <c r="FVR138" s="26" t="s">
        <v>794</v>
      </c>
      <c r="FVS138" s="26">
        <v>4</v>
      </c>
      <c r="FVT138" s="26" t="s">
        <v>794</v>
      </c>
      <c r="FVU138" s="26">
        <v>4</v>
      </c>
      <c r="FVV138" s="26" t="s">
        <v>794</v>
      </c>
      <c r="FVW138" s="26">
        <v>4</v>
      </c>
      <c r="FVX138" s="26" t="s">
        <v>794</v>
      </c>
      <c r="FVY138" s="26">
        <v>4</v>
      </c>
      <c r="FVZ138" s="26" t="s">
        <v>794</v>
      </c>
      <c r="FWA138" s="26">
        <v>4</v>
      </c>
      <c r="FWB138" s="26" t="s">
        <v>794</v>
      </c>
      <c r="FWC138" s="26">
        <v>4</v>
      </c>
      <c r="FWD138" s="26" t="s">
        <v>794</v>
      </c>
      <c r="FWE138" s="26">
        <v>4</v>
      </c>
      <c r="FWF138" s="26" t="s">
        <v>794</v>
      </c>
      <c r="FWG138" s="26">
        <v>4</v>
      </c>
      <c r="FWH138" s="26" t="s">
        <v>794</v>
      </c>
      <c r="FWI138" s="26">
        <v>4</v>
      </c>
      <c r="FWJ138" s="26" t="s">
        <v>794</v>
      </c>
      <c r="FWK138" s="26">
        <v>4</v>
      </c>
      <c r="FWL138" s="26" t="s">
        <v>794</v>
      </c>
      <c r="FWM138" s="26">
        <v>4</v>
      </c>
      <c r="FWN138" s="26" t="s">
        <v>794</v>
      </c>
      <c r="FWO138" s="26">
        <v>4</v>
      </c>
      <c r="FWP138" s="26" t="s">
        <v>794</v>
      </c>
      <c r="FWQ138" s="26">
        <v>4</v>
      </c>
      <c r="FWR138" s="26" t="s">
        <v>794</v>
      </c>
      <c r="FWS138" s="26">
        <v>4</v>
      </c>
      <c r="FWT138" s="26" t="s">
        <v>794</v>
      </c>
      <c r="FWU138" s="26">
        <v>4</v>
      </c>
      <c r="FWV138" s="26" t="s">
        <v>794</v>
      </c>
      <c r="FWW138" s="26">
        <v>4</v>
      </c>
      <c r="FWX138" s="26" t="s">
        <v>794</v>
      </c>
      <c r="FWY138" s="26">
        <v>4</v>
      </c>
      <c r="FWZ138" s="26" t="s">
        <v>794</v>
      </c>
      <c r="FXA138" s="26">
        <v>4</v>
      </c>
      <c r="FXB138" s="26" t="s">
        <v>794</v>
      </c>
      <c r="FXC138" s="26">
        <v>4</v>
      </c>
      <c r="FXD138" s="26" t="s">
        <v>794</v>
      </c>
      <c r="FXE138" s="26">
        <v>4</v>
      </c>
      <c r="FXF138" s="26" t="s">
        <v>794</v>
      </c>
      <c r="FXG138" s="26">
        <v>4</v>
      </c>
      <c r="FXH138" s="26" t="s">
        <v>794</v>
      </c>
      <c r="FXI138" s="26">
        <v>4</v>
      </c>
      <c r="FXJ138" s="26" t="s">
        <v>794</v>
      </c>
      <c r="FXK138" s="26">
        <v>4</v>
      </c>
      <c r="FXL138" s="26" t="s">
        <v>794</v>
      </c>
      <c r="FXM138" s="26">
        <v>4</v>
      </c>
      <c r="FXN138" s="26" t="s">
        <v>794</v>
      </c>
      <c r="FXO138" s="26">
        <v>4</v>
      </c>
      <c r="FXP138" s="26" t="s">
        <v>794</v>
      </c>
      <c r="FXQ138" s="26">
        <v>4</v>
      </c>
      <c r="FXR138" s="26" t="s">
        <v>794</v>
      </c>
      <c r="FXS138" s="26">
        <v>4</v>
      </c>
      <c r="FXT138" s="26" t="s">
        <v>794</v>
      </c>
      <c r="FXU138" s="26">
        <v>4</v>
      </c>
      <c r="FXV138" s="26" t="s">
        <v>794</v>
      </c>
      <c r="FXW138" s="26">
        <v>4</v>
      </c>
      <c r="FXX138" s="26" t="s">
        <v>794</v>
      </c>
      <c r="FXY138" s="26">
        <v>4</v>
      </c>
      <c r="FXZ138" s="26" t="s">
        <v>794</v>
      </c>
      <c r="FYA138" s="26">
        <v>4</v>
      </c>
      <c r="FYB138" s="26" t="s">
        <v>794</v>
      </c>
      <c r="FYC138" s="26">
        <v>4</v>
      </c>
      <c r="FYD138" s="26" t="s">
        <v>794</v>
      </c>
      <c r="FYE138" s="26">
        <v>4</v>
      </c>
      <c r="FYF138" s="26" t="s">
        <v>794</v>
      </c>
      <c r="FYG138" s="26">
        <v>4</v>
      </c>
      <c r="FYH138" s="26" t="s">
        <v>794</v>
      </c>
      <c r="FYI138" s="26">
        <v>4</v>
      </c>
      <c r="FYJ138" s="26" t="s">
        <v>794</v>
      </c>
      <c r="FYK138" s="26">
        <v>4</v>
      </c>
      <c r="FYL138" s="26" t="s">
        <v>794</v>
      </c>
      <c r="FYM138" s="26">
        <v>4</v>
      </c>
      <c r="FYN138" s="26" t="s">
        <v>794</v>
      </c>
      <c r="FYO138" s="26">
        <v>4</v>
      </c>
      <c r="FYP138" s="26" t="s">
        <v>794</v>
      </c>
      <c r="FYQ138" s="26">
        <v>4</v>
      </c>
      <c r="FYR138" s="26" t="s">
        <v>794</v>
      </c>
      <c r="FYS138" s="26">
        <v>4</v>
      </c>
      <c r="FYT138" s="26" t="s">
        <v>794</v>
      </c>
      <c r="FYU138" s="26">
        <v>4</v>
      </c>
      <c r="FYV138" s="26" t="s">
        <v>794</v>
      </c>
      <c r="FYW138" s="26">
        <v>4</v>
      </c>
      <c r="FYX138" s="26" t="s">
        <v>794</v>
      </c>
      <c r="FYY138" s="26">
        <v>4</v>
      </c>
      <c r="FYZ138" s="26" t="s">
        <v>794</v>
      </c>
      <c r="FZA138" s="26">
        <v>4</v>
      </c>
      <c r="FZB138" s="26" t="s">
        <v>794</v>
      </c>
      <c r="FZC138" s="26">
        <v>4</v>
      </c>
      <c r="FZD138" s="26" t="s">
        <v>794</v>
      </c>
      <c r="FZE138" s="26">
        <v>4</v>
      </c>
      <c r="FZF138" s="26" t="s">
        <v>794</v>
      </c>
      <c r="FZG138" s="26">
        <v>4</v>
      </c>
      <c r="FZH138" s="26" t="s">
        <v>794</v>
      </c>
      <c r="FZI138" s="26">
        <v>4</v>
      </c>
      <c r="FZJ138" s="26" t="s">
        <v>794</v>
      </c>
      <c r="FZK138" s="26">
        <v>4</v>
      </c>
      <c r="FZL138" s="26" t="s">
        <v>794</v>
      </c>
      <c r="FZM138" s="26">
        <v>4</v>
      </c>
      <c r="FZN138" s="26" t="s">
        <v>794</v>
      </c>
      <c r="FZO138" s="26">
        <v>4</v>
      </c>
      <c r="FZP138" s="26" t="s">
        <v>794</v>
      </c>
      <c r="FZQ138" s="26">
        <v>4</v>
      </c>
      <c r="FZR138" s="26" t="s">
        <v>794</v>
      </c>
      <c r="FZS138" s="26">
        <v>4</v>
      </c>
      <c r="FZT138" s="26" t="s">
        <v>794</v>
      </c>
      <c r="FZU138" s="26">
        <v>4</v>
      </c>
      <c r="FZV138" s="26" t="s">
        <v>794</v>
      </c>
      <c r="FZW138" s="26">
        <v>4</v>
      </c>
      <c r="FZX138" s="26" t="s">
        <v>794</v>
      </c>
      <c r="FZY138" s="26">
        <v>4</v>
      </c>
      <c r="FZZ138" s="26" t="s">
        <v>794</v>
      </c>
      <c r="GAA138" s="26">
        <v>4</v>
      </c>
      <c r="GAB138" s="26" t="s">
        <v>794</v>
      </c>
      <c r="GAC138" s="26">
        <v>4</v>
      </c>
      <c r="GAD138" s="26" t="s">
        <v>794</v>
      </c>
      <c r="GAE138" s="26">
        <v>4</v>
      </c>
      <c r="GAF138" s="26" t="s">
        <v>794</v>
      </c>
      <c r="GAG138" s="26">
        <v>4</v>
      </c>
      <c r="GAH138" s="26" t="s">
        <v>794</v>
      </c>
      <c r="GAI138" s="26">
        <v>4</v>
      </c>
      <c r="GAJ138" s="26" t="s">
        <v>794</v>
      </c>
      <c r="GAK138" s="26">
        <v>4</v>
      </c>
      <c r="GAL138" s="26" t="s">
        <v>794</v>
      </c>
      <c r="GAM138" s="26">
        <v>4</v>
      </c>
      <c r="GAN138" s="26" t="s">
        <v>794</v>
      </c>
      <c r="GAO138" s="26">
        <v>4</v>
      </c>
      <c r="GAP138" s="26" t="s">
        <v>794</v>
      </c>
      <c r="GAQ138" s="26">
        <v>4</v>
      </c>
      <c r="GAR138" s="26" t="s">
        <v>794</v>
      </c>
      <c r="GAS138" s="26">
        <v>4</v>
      </c>
      <c r="GAT138" s="26" t="s">
        <v>794</v>
      </c>
      <c r="GAU138" s="26">
        <v>4</v>
      </c>
      <c r="GAV138" s="26" t="s">
        <v>794</v>
      </c>
      <c r="GAW138" s="26">
        <v>4</v>
      </c>
      <c r="GAX138" s="26" t="s">
        <v>794</v>
      </c>
      <c r="GAY138" s="26">
        <v>4</v>
      </c>
      <c r="GAZ138" s="26" t="s">
        <v>794</v>
      </c>
      <c r="GBA138" s="26">
        <v>4</v>
      </c>
      <c r="GBB138" s="26" t="s">
        <v>794</v>
      </c>
      <c r="GBC138" s="26">
        <v>4</v>
      </c>
      <c r="GBD138" s="26" t="s">
        <v>794</v>
      </c>
      <c r="GBE138" s="26">
        <v>4</v>
      </c>
      <c r="GBF138" s="26" t="s">
        <v>794</v>
      </c>
      <c r="GBG138" s="26">
        <v>4</v>
      </c>
      <c r="GBH138" s="26" t="s">
        <v>794</v>
      </c>
      <c r="GBI138" s="26">
        <v>4</v>
      </c>
      <c r="GBJ138" s="26" t="s">
        <v>794</v>
      </c>
      <c r="GBK138" s="26">
        <v>4</v>
      </c>
      <c r="GBL138" s="26" t="s">
        <v>794</v>
      </c>
      <c r="GBM138" s="26">
        <v>4</v>
      </c>
      <c r="GBN138" s="26" t="s">
        <v>794</v>
      </c>
      <c r="GBO138" s="26">
        <v>4</v>
      </c>
      <c r="GBP138" s="26" t="s">
        <v>794</v>
      </c>
      <c r="GBQ138" s="26">
        <v>4</v>
      </c>
      <c r="GBR138" s="26" t="s">
        <v>794</v>
      </c>
      <c r="GBS138" s="26">
        <v>4</v>
      </c>
      <c r="GBT138" s="26" t="s">
        <v>794</v>
      </c>
      <c r="GBU138" s="26">
        <v>4</v>
      </c>
      <c r="GBV138" s="26" t="s">
        <v>794</v>
      </c>
      <c r="GBW138" s="26">
        <v>4</v>
      </c>
      <c r="GBX138" s="26" t="s">
        <v>794</v>
      </c>
      <c r="GBY138" s="26">
        <v>4</v>
      </c>
      <c r="GBZ138" s="26" t="s">
        <v>794</v>
      </c>
      <c r="GCA138" s="26">
        <v>4</v>
      </c>
      <c r="GCB138" s="26" t="s">
        <v>794</v>
      </c>
      <c r="GCC138" s="26">
        <v>4</v>
      </c>
      <c r="GCD138" s="26" t="s">
        <v>794</v>
      </c>
      <c r="GCE138" s="26">
        <v>4</v>
      </c>
      <c r="GCF138" s="26" t="s">
        <v>794</v>
      </c>
      <c r="GCG138" s="26">
        <v>4</v>
      </c>
      <c r="GCH138" s="26" t="s">
        <v>794</v>
      </c>
      <c r="GCI138" s="26">
        <v>4</v>
      </c>
      <c r="GCJ138" s="26" t="s">
        <v>794</v>
      </c>
      <c r="GCK138" s="26">
        <v>4</v>
      </c>
      <c r="GCL138" s="26" t="s">
        <v>794</v>
      </c>
      <c r="GCM138" s="26">
        <v>4</v>
      </c>
      <c r="GCN138" s="26" t="s">
        <v>794</v>
      </c>
      <c r="GCO138" s="26">
        <v>4</v>
      </c>
      <c r="GCP138" s="26" t="s">
        <v>794</v>
      </c>
      <c r="GCQ138" s="26">
        <v>4</v>
      </c>
      <c r="GCR138" s="26" t="s">
        <v>794</v>
      </c>
      <c r="GCS138" s="26">
        <v>4</v>
      </c>
      <c r="GCT138" s="26" t="s">
        <v>794</v>
      </c>
      <c r="GCU138" s="26">
        <v>4</v>
      </c>
      <c r="GCV138" s="26" t="s">
        <v>794</v>
      </c>
      <c r="GCW138" s="26">
        <v>4</v>
      </c>
      <c r="GCX138" s="26" t="s">
        <v>794</v>
      </c>
      <c r="GCY138" s="26">
        <v>4</v>
      </c>
      <c r="GCZ138" s="26" t="s">
        <v>794</v>
      </c>
      <c r="GDA138" s="26">
        <v>4</v>
      </c>
      <c r="GDB138" s="26" t="s">
        <v>794</v>
      </c>
      <c r="GDC138" s="26">
        <v>4</v>
      </c>
      <c r="GDD138" s="26" t="s">
        <v>794</v>
      </c>
      <c r="GDE138" s="26">
        <v>4</v>
      </c>
      <c r="GDF138" s="26" t="s">
        <v>794</v>
      </c>
      <c r="GDG138" s="26">
        <v>4</v>
      </c>
      <c r="GDH138" s="26" t="s">
        <v>794</v>
      </c>
      <c r="GDI138" s="26">
        <v>4</v>
      </c>
      <c r="GDJ138" s="26" t="s">
        <v>794</v>
      </c>
      <c r="GDK138" s="26">
        <v>4</v>
      </c>
      <c r="GDL138" s="26" t="s">
        <v>794</v>
      </c>
      <c r="GDM138" s="26">
        <v>4</v>
      </c>
      <c r="GDN138" s="26" t="s">
        <v>794</v>
      </c>
      <c r="GDO138" s="26">
        <v>4</v>
      </c>
      <c r="GDP138" s="26" t="s">
        <v>794</v>
      </c>
      <c r="GDQ138" s="26">
        <v>4</v>
      </c>
      <c r="GDR138" s="26" t="s">
        <v>794</v>
      </c>
      <c r="GDS138" s="26">
        <v>4</v>
      </c>
      <c r="GDT138" s="26" t="s">
        <v>794</v>
      </c>
      <c r="GDU138" s="26">
        <v>4</v>
      </c>
      <c r="GDV138" s="26" t="s">
        <v>794</v>
      </c>
      <c r="GDW138" s="26">
        <v>4</v>
      </c>
      <c r="GDX138" s="26" t="s">
        <v>794</v>
      </c>
      <c r="GDY138" s="26">
        <v>4</v>
      </c>
      <c r="GDZ138" s="26" t="s">
        <v>794</v>
      </c>
      <c r="GEA138" s="26">
        <v>4</v>
      </c>
      <c r="GEB138" s="26" t="s">
        <v>794</v>
      </c>
      <c r="GEC138" s="26">
        <v>4</v>
      </c>
      <c r="GED138" s="26" t="s">
        <v>794</v>
      </c>
      <c r="GEE138" s="26">
        <v>4</v>
      </c>
      <c r="GEF138" s="26" t="s">
        <v>794</v>
      </c>
      <c r="GEG138" s="26">
        <v>4</v>
      </c>
      <c r="GEH138" s="26" t="s">
        <v>794</v>
      </c>
      <c r="GEI138" s="26">
        <v>4</v>
      </c>
      <c r="GEJ138" s="26" t="s">
        <v>794</v>
      </c>
      <c r="GEK138" s="26">
        <v>4</v>
      </c>
      <c r="GEL138" s="26" t="s">
        <v>794</v>
      </c>
      <c r="GEM138" s="26">
        <v>4</v>
      </c>
      <c r="GEN138" s="26" t="s">
        <v>794</v>
      </c>
      <c r="GEO138" s="26">
        <v>4</v>
      </c>
      <c r="GEP138" s="26" t="s">
        <v>794</v>
      </c>
      <c r="GEQ138" s="26">
        <v>4</v>
      </c>
      <c r="GER138" s="26" t="s">
        <v>794</v>
      </c>
      <c r="GES138" s="26">
        <v>4</v>
      </c>
      <c r="GET138" s="26" t="s">
        <v>794</v>
      </c>
      <c r="GEU138" s="26">
        <v>4</v>
      </c>
      <c r="GEV138" s="26" t="s">
        <v>794</v>
      </c>
      <c r="GEW138" s="26">
        <v>4</v>
      </c>
      <c r="GEX138" s="26" t="s">
        <v>794</v>
      </c>
      <c r="GEY138" s="26">
        <v>4</v>
      </c>
      <c r="GEZ138" s="26" t="s">
        <v>794</v>
      </c>
      <c r="GFA138" s="26">
        <v>4</v>
      </c>
      <c r="GFB138" s="26" t="s">
        <v>794</v>
      </c>
      <c r="GFC138" s="26">
        <v>4</v>
      </c>
      <c r="GFD138" s="26" t="s">
        <v>794</v>
      </c>
      <c r="GFE138" s="26">
        <v>4</v>
      </c>
      <c r="GFF138" s="26" t="s">
        <v>794</v>
      </c>
      <c r="GFG138" s="26">
        <v>4</v>
      </c>
      <c r="GFH138" s="26" t="s">
        <v>794</v>
      </c>
      <c r="GFI138" s="26">
        <v>4</v>
      </c>
      <c r="GFJ138" s="26" t="s">
        <v>794</v>
      </c>
      <c r="GFK138" s="26">
        <v>4</v>
      </c>
      <c r="GFL138" s="26" t="s">
        <v>794</v>
      </c>
      <c r="GFM138" s="26">
        <v>4</v>
      </c>
      <c r="GFN138" s="26" t="s">
        <v>794</v>
      </c>
      <c r="GFO138" s="26">
        <v>4</v>
      </c>
      <c r="GFP138" s="26" t="s">
        <v>794</v>
      </c>
      <c r="GFQ138" s="26">
        <v>4</v>
      </c>
      <c r="GFR138" s="26" t="s">
        <v>794</v>
      </c>
      <c r="GFS138" s="26">
        <v>4</v>
      </c>
      <c r="GFT138" s="26" t="s">
        <v>794</v>
      </c>
      <c r="GFU138" s="26">
        <v>4</v>
      </c>
      <c r="GFV138" s="26" t="s">
        <v>794</v>
      </c>
      <c r="GFW138" s="26">
        <v>4</v>
      </c>
      <c r="GFX138" s="26" t="s">
        <v>794</v>
      </c>
      <c r="GFY138" s="26">
        <v>4</v>
      </c>
      <c r="GFZ138" s="26" t="s">
        <v>794</v>
      </c>
      <c r="GGA138" s="26">
        <v>4</v>
      </c>
      <c r="GGB138" s="26" t="s">
        <v>794</v>
      </c>
      <c r="GGC138" s="26">
        <v>4</v>
      </c>
      <c r="GGD138" s="26" t="s">
        <v>794</v>
      </c>
      <c r="GGE138" s="26">
        <v>4</v>
      </c>
      <c r="GGF138" s="26" t="s">
        <v>794</v>
      </c>
      <c r="GGG138" s="26">
        <v>4</v>
      </c>
      <c r="GGH138" s="26" t="s">
        <v>794</v>
      </c>
      <c r="GGI138" s="26">
        <v>4</v>
      </c>
      <c r="GGJ138" s="26" t="s">
        <v>794</v>
      </c>
      <c r="GGK138" s="26">
        <v>4</v>
      </c>
      <c r="GGL138" s="26" t="s">
        <v>794</v>
      </c>
      <c r="GGM138" s="26">
        <v>4</v>
      </c>
      <c r="GGN138" s="26" t="s">
        <v>794</v>
      </c>
      <c r="GGO138" s="26">
        <v>4</v>
      </c>
      <c r="GGP138" s="26" t="s">
        <v>794</v>
      </c>
      <c r="GGQ138" s="26">
        <v>4</v>
      </c>
      <c r="GGR138" s="26" t="s">
        <v>794</v>
      </c>
      <c r="GGS138" s="26">
        <v>4</v>
      </c>
      <c r="GGT138" s="26" t="s">
        <v>794</v>
      </c>
      <c r="GGU138" s="26">
        <v>4</v>
      </c>
      <c r="GGV138" s="26" t="s">
        <v>794</v>
      </c>
      <c r="GGW138" s="26">
        <v>4</v>
      </c>
      <c r="GGX138" s="26" t="s">
        <v>794</v>
      </c>
      <c r="GGY138" s="26">
        <v>4</v>
      </c>
      <c r="GGZ138" s="26" t="s">
        <v>794</v>
      </c>
      <c r="GHA138" s="26">
        <v>4</v>
      </c>
      <c r="GHB138" s="26" t="s">
        <v>794</v>
      </c>
      <c r="GHC138" s="26">
        <v>4</v>
      </c>
      <c r="GHD138" s="26" t="s">
        <v>794</v>
      </c>
      <c r="GHE138" s="26">
        <v>4</v>
      </c>
      <c r="GHF138" s="26" t="s">
        <v>794</v>
      </c>
      <c r="GHG138" s="26">
        <v>4</v>
      </c>
      <c r="GHH138" s="26" t="s">
        <v>794</v>
      </c>
      <c r="GHI138" s="26">
        <v>4</v>
      </c>
      <c r="GHJ138" s="26" t="s">
        <v>794</v>
      </c>
      <c r="GHK138" s="26">
        <v>4</v>
      </c>
      <c r="GHL138" s="26" t="s">
        <v>794</v>
      </c>
      <c r="GHM138" s="26">
        <v>4</v>
      </c>
      <c r="GHN138" s="26" t="s">
        <v>794</v>
      </c>
      <c r="GHO138" s="26">
        <v>4</v>
      </c>
      <c r="GHP138" s="26" t="s">
        <v>794</v>
      </c>
      <c r="GHQ138" s="26">
        <v>4</v>
      </c>
      <c r="GHR138" s="26" t="s">
        <v>794</v>
      </c>
      <c r="GHS138" s="26">
        <v>4</v>
      </c>
      <c r="GHT138" s="26" t="s">
        <v>794</v>
      </c>
      <c r="GHU138" s="26">
        <v>4</v>
      </c>
      <c r="GHV138" s="26" t="s">
        <v>794</v>
      </c>
      <c r="GHW138" s="26">
        <v>4</v>
      </c>
      <c r="GHX138" s="26" t="s">
        <v>794</v>
      </c>
      <c r="GHY138" s="26">
        <v>4</v>
      </c>
      <c r="GHZ138" s="26" t="s">
        <v>794</v>
      </c>
      <c r="GIA138" s="26">
        <v>4</v>
      </c>
      <c r="GIB138" s="26" t="s">
        <v>794</v>
      </c>
      <c r="GIC138" s="26">
        <v>4</v>
      </c>
      <c r="GID138" s="26" t="s">
        <v>794</v>
      </c>
      <c r="GIE138" s="26">
        <v>4</v>
      </c>
      <c r="GIF138" s="26" t="s">
        <v>794</v>
      </c>
      <c r="GIG138" s="26">
        <v>4</v>
      </c>
      <c r="GIH138" s="26" t="s">
        <v>794</v>
      </c>
      <c r="GII138" s="26">
        <v>4</v>
      </c>
      <c r="GIJ138" s="26" t="s">
        <v>794</v>
      </c>
      <c r="GIK138" s="26">
        <v>4</v>
      </c>
      <c r="GIL138" s="26" t="s">
        <v>794</v>
      </c>
      <c r="GIM138" s="26">
        <v>4</v>
      </c>
      <c r="GIN138" s="26" t="s">
        <v>794</v>
      </c>
      <c r="GIO138" s="26">
        <v>4</v>
      </c>
      <c r="GIP138" s="26" t="s">
        <v>794</v>
      </c>
      <c r="GIQ138" s="26">
        <v>4</v>
      </c>
      <c r="GIR138" s="26" t="s">
        <v>794</v>
      </c>
      <c r="GIS138" s="26">
        <v>4</v>
      </c>
      <c r="GIT138" s="26" t="s">
        <v>794</v>
      </c>
      <c r="GIU138" s="26">
        <v>4</v>
      </c>
      <c r="GIV138" s="26" t="s">
        <v>794</v>
      </c>
      <c r="GIW138" s="26">
        <v>4</v>
      </c>
      <c r="GIX138" s="26" t="s">
        <v>794</v>
      </c>
      <c r="GIY138" s="26">
        <v>4</v>
      </c>
      <c r="GIZ138" s="26" t="s">
        <v>794</v>
      </c>
      <c r="GJA138" s="26">
        <v>4</v>
      </c>
      <c r="GJB138" s="26" t="s">
        <v>794</v>
      </c>
      <c r="GJC138" s="26">
        <v>4</v>
      </c>
      <c r="GJD138" s="26" t="s">
        <v>794</v>
      </c>
      <c r="GJE138" s="26">
        <v>4</v>
      </c>
      <c r="GJF138" s="26" t="s">
        <v>794</v>
      </c>
      <c r="GJG138" s="26">
        <v>4</v>
      </c>
      <c r="GJH138" s="26" t="s">
        <v>794</v>
      </c>
      <c r="GJI138" s="26">
        <v>4</v>
      </c>
      <c r="GJJ138" s="26" t="s">
        <v>794</v>
      </c>
      <c r="GJK138" s="26">
        <v>4</v>
      </c>
      <c r="GJL138" s="26" t="s">
        <v>794</v>
      </c>
      <c r="GJM138" s="26">
        <v>4</v>
      </c>
      <c r="GJN138" s="26" t="s">
        <v>794</v>
      </c>
      <c r="GJO138" s="26">
        <v>4</v>
      </c>
      <c r="GJP138" s="26" t="s">
        <v>794</v>
      </c>
      <c r="GJQ138" s="26">
        <v>4</v>
      </c>
      <c r="GJR138" s="26" t="s">
        <v>794</v>
      </c>
      <c r="GJS138" s="26">
        <v>4</v>
      </c>
      <c r="GJT138" s="26" t="s">
        <v>794</v>
      </c>
      <c r="GJU138" s="26">
        <v>4</v>
      </c>
      <c r="GJV138" s="26" t="s">
        <v>794</v>
      </c>
      <c r="GJW138" s="26">
        <v>4</v>
      </c>
      <c r="GJX138" s="26" t="s">
        <v>794</v>
      </c>
      <c r="GJY138" s="26">
        <v>4</v>
      </c>
      <c r="GJZ138" s="26" t="s">
        <v>794</v>
      </c>
      <c r="GKA138" s="26">
        <v>4</v>
      </c>
      <c r="GKB138" s="26" t="s">
        <v>794</v>
      </c>
      <c r="GKC138" s="26">
        <v>4</v>
      </c>
      <c r="GKD138" s="26" t="s">
        <v>794</v>
      </c>
      <c r="GKE138" s="26">
        <v>4</v>
      </c>
      <c r="GKF138" s="26" t="s">
        <v>794</v>
      </c>
      <c r="GKG138" s="26">
        <v>4</v>
      </c>
      <c r="GKH138" s="26" t="s">
        <v>794</v>
      </c>
      <c r="GKI138" s="26">
        <v>4</v>
      </c>
      <c r="GKJ138" s="26" t="s">
        <v>794</v>
      </c>
      <c r="GKK138" s="26">
        <v>4</v>
      </c>
      <c r="GKL138" s="26" t="s">
        <v>794</v>
      </c>
      <c r="GKM138" s="26">
        <v>4</v>
      </c>
      <c r="GKN138" s="26" t="s">
        <v>794</v>
      </c>
      <c r="GKO138" s="26">
        <v>4</v>
      </c>
      <c r="GKP138" s="26" t="s">
        <v>794</v>
      </c>
      <c r="GKQ138" s="26">
        <v>4</v>
      </c>
      <c r="GKR138" s="26" t="s">
        <v>794</v>
      </c>
      <c r="GKS138" s="26">
        <v>4</v>
      </c>
      <c r="GKT138" s="26" t="s">
        <v>794</v>
      </c>
      <c r="GKU138" s="26">
        <v>4</v>
      </c>
      <c r="GKV138" s="26" t="s">
        <v>794</v>
      </c>
      <c r="GKW138" s="26">
        <v>4</v>
      </c>
      <c r="GKX138" s="26" t="s">
        <v>794</v>
      </c>
      <c r="GKY138" s="26">
        <v>4</v>
      </c>
      <c r="GKZ138" s="26" t="s">
        <v>794</v>
      </c>
      <c r="GLA138" s="26">
        <v>4</v>
      </c>
      <c r="GLB138" s="26" t="s">
        <v>794</v>
      </c>
      <c r="GLC138" s="26">
        <v>4</v>
      </c>
      <c r="GLD138" s="26" t="s">
        <v>794</v>
      </c>
      <c r="GLE138" s="26">
        <v>4</v>
      </c>
      <c r="GLF138" s="26" t="s">
        <v>794</v>
      </c>
      <c r="GLG138" s="26">
        <v>4</v>
      </c>
      <c r="GLH138" s="26" t="s">
        <v>794</v>
      </c>
      <c r="GLI138" s="26">
        <v>4</v>
      </c>
      <c r="GLJ138" s="26" t="s">
        <v>794</v>
      </c>
      <c r="GLK138" s="26">
        <v>4</v>
      </c>
      <c r="GLL138" s="26" t="s">
        <v>794</v>
      </c>
      <c r="GLM138" s="26">
        <v>4</v>
      </c>
      <c r="GLN138" s="26" t="s">
        <v>794</v>
      </c>
      <c r="GLO138" s="26">
        <v>4</v>
      </c>
      <c r="GLP138" s="26" t="s">
        <v>794</v>
      </c>
      <c r="GLQ138" s="26">
        <v>4</v>
      </c>
      <c r="GLR138" s="26" t="s">
        <v>794</v>
      </c>
      <c r="GLS138" s="26">
        <v>4</v>
      </c>
      <c r="GLT138" s="26" t="s">
        <v>794</v>
      </c>
      <c r="GLU138" s="26">
        <v>4</v>
      </c>
      <c r="GLV138" s="26" t="s">
        <v>794</v>
      </c>
      <c r="GLW138" s="26">
        <v>4</v>
      </c>
      <c r="GLX138" s="26" t="s">
        <v>794</v>
      </c>
      <c r="GLY138" s="26">
        <v>4</v>
      </c>
      <c r="GLZ138" s="26" t="s">
        <v>794</v>
      </c>
      <c r="GMA138" s="26">
        <v>4</v>
      </c>
      <c r="GMB138" s="26" t="s">
        <v>794</v>
      </c>
      <c r="GMC138" s="26">
        <v>4</v>
      </c>
      <c r="GMD138" s="26" t="s">
        <v>794</v>
      </c>
      <c r="GME138" s="26">
        <v>4</v>
      </c>
      <c r="GMF138" s="26" t="s">
        <v>794</v>
      </c>
      <c r="GMG138" s="26">
        <v>4</v>
      </c>
      <c r="GMH138" s="26" t="s">
        <v>794</v>
      </c>
      <c r="GMI138" s="26">
        <v>4</v>
      </c>
      <c r="GMJ138" s="26" t="s">
        <v>794</v>
      </c>
      <c r="GMK138" s="26">
        <v>4</v>
      </c>
      <c r="GML138" s="26" t="s">
        <v>794</v>
      </c>
      <c r="GMM138" s="26">
        <v>4</v>
      </c>
      <c r="GMN138" s="26" t="s">
        <v>794</v>
      </c>
      <c r="GMO138" s="26">
        <v>4</v>
      </c>
      <c r="GMP138" s="26" t="s">
        <v>794</v>
      </c>
      <c r="GMQ138" s="26">
        <v>4</v>
      </c>
      <c r="GMR138" s="26" t="s">
        <v>794</v>
      </c>
      <c r="GMS138" s="26">
        <v>4</v>
      </c>
      <c r="GMT138" s="26" t="s">
        <v>794</v>
      </c>
      <c r="GMU138" s="26">
        <v>4</v>
      </c>
      <c r="GMV138" s="26" t="s">
        <v>794</v>
      </c>
      <c r="GMW138" s="26">
        <v>4</v>
      </c>
      <c r="GMX138" s="26" t="s">
        <v>794</v>
      </c>
      <c r="GMY138" s="26">
        <v>4</v>
      </c>
      <c r="GMZ138" s="26" t="s">
        <v>794</v>
      </c>
      <c r="GNA138" s="26">
        <v>4</v>
      </c>
      <c r="GNB138" s="26" t="s">
        <v>794</v>
      </c>
      <c r="GNC138" s="26">
        <v>4</v>
      </c>
      <c r="GND138" s="26" t="s">
        <v>794</v>
      </c>
      <c r="GNE138" s="26">
        <v>4</v>
      </c>
      <c r="GNF138" s="26" t="s">
        <v>794</v>
      </c>
      <c r="GNG138" s="26">
        <v>4</v>
      </c>
      <c r="GNH138" s="26" t="s">
        <v>794</v>
      </c>
      <c r="GNI138" s="26">
        <v>4</v>
      </c>
      <c r="GNJ138" s="26" t="s">
        <v>794</v>
      </c>
      <c r="GNK138" s="26">
        <v>4</v>
      </c>
      <c r="GNL138" s="26" t="s">
        <v>794</v>
      </c>
      <c r="GNM138" s="26">
        <v>4</v>
      </c>
      <c r="GNN138" s="26" t="s">
        <v>794</v>
      </c>
      <c r="GNO138" s="26">
        <v>4</v>
      </c>
      <c r="GNP138" s="26" t="s">
        <v>794</v>
      </c>
      <c r="GNQ138" s="26">
        <v>4</v>
      </c>
      <c r="GNR138" s="26" t="s">
        <v>794</v>
      </c>
      <c r="GNS138" s="26">
        <v>4</v>
      </c>
      <c r="GNT138" s="26" t="s">
        <v>794</v>
      </c>
      <c r="GNU138" s="26">
        <v>4</v>
      </c>
      <c r="GNV138" s="26" t="s">
        <v>794</v>
      </c>
      <c r="GNW138" s="26">
        <v>4</v>
      </c>
      <c r="GNX138" s="26" t="s">
        <v>794</v>
      </c>
      <c r="GNY138" s="26">
        <v>4</v>
      </c>
      <c r="GNZ138" s="26" t="s">
        <v>794</v>
      </c>
      <c r="GOA138" s="26">
        <v>4</v>
      </c>
      <c r="GOB138" s="26" t="s">
        <v>794</v>
      </c>
      <c r="GOC138" s="26">
        <v>4</v>
      </c>
      <c r="GOD138" s="26" t="s">
        <v>794</v>
      </c>
      <c r="GOE138" s="26">
        <v>4</v>
      </c>
      <c r="GOF138" s="26" t="s">
        <v>794</v>
      </c>
      <c r="GOG138" s="26">
        <v>4</v>
      </c>
      <c r="GOH138" s="26" t="s">
        <v>794</v>
      </c>
      <c r="GOI138" s="26">
        <v>4</v>
      </c>
      <c r="GOJ138" s="26" t="s">
        <v>794</v>
      </c>
      <c r="GOK138" s="26">
        <v>4</v>
      </c>
      <c r="GOL138" s="26" t="s">
        <v>794</v>
      </c>
      <c r="GOM138" s="26">
        <v>4</v>
      </c>
      <c r="GON138" s="26" t="s">
        <v>794</v>
      </c>
      <c r="GOO138" s="26">
        <v>4</v>
      </c>
      <c r="GOP138" s="26" t="s">
        <v>794</v>
      </c>
      <c r="GOQ138" s="26">
        <v>4</v>
      </c>
      <c r="GOR138" s="26" t="s">
        <v>794</v>
      </c>
      <c r="GOS138" s="26">
        <v>4</v>
      </c>
      <c r="GOT138" s="26" t="s">
        <v>794</v>
      </c>
      <c r="GOU138" s="26">
        <v>4</v>
      </c>
      <c r="GOV138" s="26" t="s">
        <v>794</v>
      </c>
      <c r="GOW138" s="26">
        <v>4</v>
      </c>
      <c r="GOX138" s="26" t="s">
        <v>794</v>
      </c>
      <c r="GOY138" s="26">
        <v>4</v>
      </c>
      <c r="GOZ138" s="26" t="s">
        <v>794</v>
      </c>
      <c r="GPA138" s="26">
        <v>4</v>
      </c>
      <c r="GPB138" s="26" t="s">
        <v>794</v>
      </c>
      <c r="GPC138" s="26">
        <v>4</v>
      </c>
      <c r="GPD138" s="26" t="s">
        <v>794</v>
      </c>
      <c r="GPE138" s="26">
        <v>4</v>
      </c>
      <c r="GPF138" s="26" t="s">
        <v>794</v>
      </c>
      <c r="GPG138" s="26">
        <v>4</v>
      </c>
      <c r="GPH138" s="26" t="s">
        <v>794</v>
      </c>
      <c r="GPI138" s="26">
        <v>4</v>
      </c>
      <c r="GPJ138" s="26" t="s">
        <v>794</v>
      </c>
      <c r="GPK138" s="26">
        <v>4</v>
      </c>
      <c r="GPL138" s="26" t="s">
        <v>794</v>
      </c>
      <c r="GPM138" s="26">
        <v>4</v>
      </c>
      <c r="GPN138" s="26" t="s">
        <v>794</v>
      </c>
      <c r="GPO138" s="26">
        <v>4</v>
      </c>
      <c r="GPP138" s="26" t="s">
        <v>794</v>
      </c>
      <c r="GPQ138" s="26">
        <v>4</v>
      </c>
      <c r="GPR138" s="26" t="s">
        <v>794</v>
      </c>
      <c r="GPS138" s="26">
        <v>4</v>
      </c>
      <c r="GPT138" s="26" t="s">
        <v>794</v>
      </c>
      <c r="GPU138" s="26">
        <v>4</v>
      </c>
      <c r="GPV138" s="26" t="s">
        <v>794</v>
      </c>
      <c r="GPW138" s="26">
        <v>4</v>
      </c>
      <c r="GPX138" s="26" t="s">
        <v>794</v>
      </c>
      <c r="GPY138" s="26">
        <v>4</v>
      </c>
      <c r="GPZ138" s="26" t="s">
        <v>794</v>
      </c>
      <c r="GQA138" s="26">
        <v>4</v>
      </c>
      <c r="GQB138" s="26" t="s">
        <v>794</v>
      </c>
      <c r="GQC138" s="26">
        <v>4</v>
      </c>
      <c r="GQD138" s="26" t="s">
        <v>794</v>
      </c>
      <c r="GQE138" s="26">
        <v>4</v>
      </c>
      <c r="GQF138" s="26" t="s">
        <v>794</v>
      </c>
      <c r="GQG138" s="26">
        <v>4</v>
      </c>
      <c r="GQH138" s="26" t="s">
        <v>794</v>
      </c>
      <c r="GQI138" s="26">
        <v>4</v>
      </c>
      <c r="GQJ138" s="26" t="s">
        <v>794</v>
      </c>
      <c r="GQK138" s="26">
        <v>4</v>
      </c>
      <c r="GQL138" s="26" t="s">
        <v>794</v>
      </c>
      <c r="GQM138" s="26">
        <v>4</v>
      </c>
      <c r="GQN138" s="26" t="s">
        <v>794</v>
      </c>
      <c r="GQO138" s="26">
        <v>4</v>
      </c>
      <c r="GQP138" s="26" t="s">
        <v>794</v>
      </c>
      <c r="GQQ138" s="26">
        <v>4</v>
      </c>
      <c r="GQR138" s="26" t="s">
        <v>794</v>
      </c>
      <c r="GQS138" s="26">
        <v>4</v>
      </c>
      <c r="GQT138" s="26" t="s">
        <v>794</v>
      </c>
      <c r="GQU138" s="26">
        <v>4</v>
      </c>
      <c r="GQV138" s="26" t="s">
        <v>794</v>
      </c>
      <c r="GQW138" s="26">
        <v>4</v>
      </c>
      <c r="GQX138" s="26" t="s">
        <v>794</v>
      </c>
      <c r="GQY138" s="26">
        <v>4</v>
      </c>
      <c r="GQZ138" s="26" t="s">
        <v>794</v>
      </c>
      <c r="GRA138" s="26">
        <v>4</v>
      </c>
      <c r="GRB138" s="26" t="s">
        <v>794</v>
      </c>
      <c r="GRC138" s="26">
        <v>4</v>
      </c>
      <c r="GRD138" s="26" t="s">
        <v>794</v>
      </c>
      <c r="GRE138" s="26">
        <v>4</v>
      </c>
      <c r="GRF138" s="26" t="s">
        <v>794</v>
      </c>
      <c r="GRG138" s="26">
        <v>4</v>
      </c>
      <c r="GRH138" s="26" t="s">
        <v>794</v>
      </c>
      <c r="GRI138" s="26">
        <v>4</v>
      </c>
      <c r="GRJ138" s="26" t="s">
        <v>794</v>
      </c>
      <c r="GRK138" s="26">
        <v>4</v>
      </c>
      <c r="GRL138" s="26" t="s">
        <v>794</v>
      </c>
      <c r="GRM138" s="26">
        <v>4</v>
      </c>
      <c r="GRN138" s="26" t="s">
        <v>794</v>
      </c>
      <c r="GRO138" s="26">
        <v>4</v>
      </c>
      <c r="GRP138" s="26" t="s">
        <v>794</v>
      </c>
      <c r="GRQ138" s="26">
        <v>4</v>
      </c>
      <c r="GRR138" s="26" t="s">
        <v>794</v>
      </c>
      <c r="GRS138" s="26">
        <v>4</v>
      </c>
      <c r="GRT138" s="26" t="s">
        <v>794</v>
      </c>
      <c r="GRU138" s="26">
        <v>4</v>
      </c>
      <c r="GRV138" s="26" t="s">
        <v>794</v>
      </c>
      <c r="GRW138" s="26">
        <v>4</v>
      </c>
      <c r="GRX138" s="26" t="s">
        <v>794</v>
      </c>
      <c r="GRY138" s="26">
        <v>4</v>
      </c>
      <c r="GRZ138" s="26" t="s">
        <v>794</v>
      </c>
      <c r="GSA138" s="26">
        <v>4</v>
      </c>
      <c r="GSB138" s="26" t="s">
        <v>794</v>
      </c>
      <c r="GSC138" s="26">
        <v>4</v>
      </c>
      <c r="GSD138" s="26" t="s">
        <v>794</v>
      </c>
      <c r="GSE138" s="26">
        <v>4</v>
      </c>
      <c r="GSF138" s="26" t="s">
        <v>794</v>
      </c>
      <c r="GSG138" s="26">
        <v>4</v>
      </c>
      <c r="GSH138" s="26" t="s">
        <v>794</v>
      </c>
      <c r="GSI138" s="26">
        <v>4</v>
      </c>
      <c r="GSJ138" s="26" t="s">
        <v>794</v>
      </c>
      <c r="GSK138" s="26">
        <v>4</v>
      </c>
      <c r="GSL138" s="26" t="s">
        <v>794</v>
      </c>
      <c r="GSM138" s="26">
        <v>4</v>
      </c>
      <c r="GSN138" s="26" t="s">
        <v>794</v>
      </c>
      <c r="GSO138" s="26">
        <v>4</v>
      </c>
      <c r="GSP138" s="26" t="s">
        <v>794</v>
      </c>
      <c r="GSQ138" s="26">
        <v>4</v>
      </c>
      <c r="GSR138" s="26" t="s">
        <v>794</v>
      </c>
      <c r="GSS138" s="26">
        <v>4</v>
      </c>
      <c r="GST138" s="26" t="s">
        <v>794</v>
      </c>
      <c r="GSU138" s="26">
        <v>4</v>
      </c>
      <c r="GSV138" s="26" t="s">
        <v>794</v>
      </c>
      <c r="GSW138" s="26">
        <v>4</v>
      </c>
      <c r="GSX138" s="26" t="s">
        <v>794</v>
      </c>
      <c r="GSY138" s="26">
        <v>4</v>
      </c>
      <c r="GSZ138" s="26" t="s">
        <v>794</v>
      </c>
      <c r="GTA138" s="26">
        <v>4</v>
      </c>
      <c r="GTB138" s="26" t="s">
        <v>794</v>
      </c>
      <c r="GTC138" s="26">
        <v>4</v>
      </c>
      <c r="GTD138" s="26" t="s">
        <v>794</v>
      </c>
      <c r="GTE138" s="26">
        <v>4</v>
      </c>
      <c r="GTF138" s="26" t="s">
        <v>794</v>
      </c>
      <c r="GTG138" s="26">
        <v>4</v>
      </c>
      <c r="GTH138" s="26" t="s">
        <v>794</v>
      </c>
      <c r="GTI138" s="26">
        <v>4</v>
      </c>
      <c r="GTJ138" s="26" t="s">
        <v>794</v>
      </c>
      <c r="GTK138" s="26">
        <v>4</v>
      </c>
      <c r="GTL138" s="26" t="s">
        <v>794</v>
      </c>
      <c r="GTM138" s="26">
        <v>4</v>
      </c>
      <c r="GTN138" s="26" t="s">
        <v>794</v>
      </c>
      <c r="GTO138" s="26">
        <v>4</v>
      </c>
      <c r="GTP138" s="26" t="s">
        <v>794</v>
      </c>
      <c r="GTQ138" s="26">
        <v>4</v>
      </c>
      <c r="GTR138" s="26" t="s">
        <v>794</v>
      </c>
      <c r="GTS138" s="26">
        <v>4</v>
      </c>
      <c r="GTT138" s="26" t="s">
        <v>794</v>
      </c>
      <c r="GTU138" s="26">
        <v>4</v>
      </c>
      <c r="GTV138" s="26" t="s">
        <v>794</v>
      </c>
      <c r="GTW138" s="26">
        <v>4</v>
      </c>
      <c r="GTX138" s="26" t="s">
        <v>794</v>
      </c>
      <c r="GTY138" s="26">
        <v>4</v>
      </c>
      <c r="GTZ138" s="26" t="s">
        <v>794</v>
      </c>
      <c r="GUA138" s="26">
        <v>4</v>
      </c>
      <c r="GUB138" s="26" t="s">
        <v>794</v>
      </c>
      <c r="GUC138" s="26">
        <v>4</v>
      </c>
      <c r="GUD138" s="26" t="s">
        <v>794</v>
      </c>
      <c r="GUE138" s="26">
        <v>4</v>
      </c>
      <c r="GUF138" s="26" t="s">
        <v>794</v>
      </c>
      <c r="GUG138" s="26">
        <v>4</v>
      </c>
      <c r="GUH138" s="26" t="s">
        <v>794</v>
      </c>
      <c r="GUI138" s="26">
        <v>4</v>
      </c>
      <c r="GUJ138" s="26" t="s">
        <v>794</v>
      </c>
      <c r="GUK138" s="26">
        <v>4</v>
      </c>
      <c r="GUL138" s="26" t="s">
        <v>794</v>
      </c>
      <c r="GUM138" s="26">
        <v>4</v>
      </c>
      <c r="GUN138" s="26" t="s">
        <v>794</v>
      </c>
      <c r="GUO138" s="26">
        <v>4</v>
      </c>
      <c r="GUP138" s="26" t="s">
        <v>794</v>
      </c>
      <c r="GUQ138" s="26">
        <v>4</v>
      </c>
      <c r="GUR138" s="26" t="s">
        <v>794</v>
      </c>
      <c r="GUS138" s="26">
        <v>4</v>
      </c>
      <c r="GUT138" s="26" t="s">
        <v>794</v>
      </c>
      <c r="GUU138" s="26">
        <v>4</v>
      </c>
      <c r="GUV138" s="26" t="s">
        <v>794</v>
      </c>
      <c r="GUW138" s="26">
        <v>4</v>
      </c>
      <c r="GUX138" s="26" t="s">
        <v>794</v>
      </c>
      <c r="GUY138" s="26">
        <v>4</v>
      </c>
      <c r="GUZ138" s="26" t="s">
        <v>794</v>
      </c>
      <c r="GVA138" s="26">
        <v>4</v>
      </c>
      <c r="GVB138" s="26" t="s">
        <v>794</v>
      </c>
      <c r="GVC138" s="26">
        <v>4</v>
      </c>
      <c r="GVD138" s="26" t="s">
        <v>794</v>
      </c>
      <c r="GVE138" s="26">
        <v>4</v>
      </c>
      <c r="GVF138" s="26" t="s">
        <v>794</v>
      </c>
      <c r="GVG138" s="26">
        <v>4</v>
      </c>
      <c r="GVH138" s="26" t="s">
        <v>794</v>
      </c>
      <c r="GVI138" s="26">
        <v>4</v>
      </c>
      <c r="GVJ138" s="26" t="s">
        <v>794</v>
      </c>
      <c r="GVK138" s="26">
        <v>4</v>
      </c>
      <c r="GVL138" s="26" t="s">
        <v>794</v>
      </c>
      <c r="GVM138" s="26">
        <v>4</v>
      </c>
      <c r="GVN138" s="26" t="s">
        <v>794</v>
      </c>
      <c r="GVO138" s="26">
        <v>4</v>
      </c>
      <c r="GVP138" s="26" t="s">
        <v>794</v>
      </c>
      <c r="GVQ138" s="26">
        <v>4</v>
      </c>
      <c r="GVR138" s="26" t="s">
        <v>794</v>
      </c>
      <c r="GVS138" s="26">
        <v>4</v>
      </c>
      <c r="GVT138" s="26" t="s">
        <v>794</v>
      </c>
      <c r="GVU138" s="26">
        <v>4</v>
      </c>
      <c r="GVV138" s="26" t="s">
        <v>794</v>
      </c>
      <c r="GVW138" s="26">
        <v>4</v>
      </c>
      <c r="GVX138" s="26" t="s">
        <v>794</v>
      </c>
      <c r="GVY138" s="26">
        <v>4</v>
      </c>
      <c r="GVZ138" s="26" t="s">
        <v>794</v>
      </c>
      <c r="GWA138" s="26">
        <v>4</v>
      </c>
      <c r="GWB138" s="26" t="s">
        <v>794</v>
      </c>
      <c r="GWC138" s="26">
        <v>4</v>
      </c>
      <c r="GWD138" s="26" t="s">
        <v>794</v>
      </c>
      <c r="GWE138" s="26">
        <v>4</v>
      </c>
      <c r="GWF138" s="26" t="s">
        <v>794</v>
      </c>
      <c r="GWG138" s="26">
        <v>4</v>
      </c>
      <c r="GWH138" s="26" t="s">
        <v>794</v>
      </c>
      <c r="GWI138" s="26">
        <v>4</v>
      </c>
      <c r="GWJ138" s="26" t="s">
        <v>794</v>
      </c>
      <c r="GWK138" s="26">
        <v>4</v>
      </c>
      <c r="GWL138" s="26" t="s">
        <v>794</v>
      </c>
      <c r="GWM138" s="26">
        <v>4</v>
      </c>
      <c r="GWN138" s="26" t="s">
        <v>794</v>
      </c>
      <c r="GWO138" s="26">
        <v>4</v>
      </c>
      <c r="GWP138" s="26" t="s">
        <v>794</v>
      </c>
      <c r="GWQ138" s="26">
        <v>4</v>
      </c>
      <c r="GWR138" s="26" t="s">
        <v>794</v>
      </c>
      <c r="GWS138" s="26">
        <v>4</v>
      </c>
      <c r="GWT138" s="26" t="s">
        <v>794</v>
      </c>
      <c r="GWU138" s="26">
        <v>4</v>
      </c>
      <c r="GWV138" s="26" t="s">
        <v>794</v>
      </c>
      <c r="GWW138" s="26">
        <v>4</v>
      </c>
      <c r="GWX138" s="26" t="s">
        <v>794</v>
      </c>
      <c r="GWY138" s="26">
        <v>4</v>
      </c>
      <c r="GWZ138" s="26" t="s">
        <v>794</v>
      </c>
      <c r="GXA138" s="26">
        <v>4</v>
      </c>
      <c r="GXB138" s="26" t="s">
        <v>794</v>
      </c>
      <c r="GXC138" s="26">
        <v>4</v>
      </c>
      <c r="GXD138" s="26" t="s">
        <v>794</v>
      </c>
      <c r="GXE138" s="26">
        <v>4</v>
      </c>
      <c r="GXF138" s="26" t="s">
        <v>794</v>
      </c>
      <c r="GXG138" s="26">
        <v>4</v>
      </c>
      <c r="GXH138" s="26" t="s">
        <v>794</v>
      </c>
      <c r="GXI138" s="26">
        <v>4</v>
      </c>
      <c r="GXJ138" s="26" t="s">
        <v>794</v>
      </c>
      <c r="GXK138" s="26">
        <v>4</v>
      </c>
      <c r="GXL138" s="26" t="s">
        <v>794</v>
      </c>
      <c r="GXM138" s="26">
        <v>4</v>
      </c>
      <c r="GXN138" s="26" t="s">
        <v>794</v>
      </c>
      <c r="GXO138" s="26">
        <v>4</v>
      </c>
      <c r="GXP138" s="26" t="s">
        <v>794</v>
      </c>
      <c r="GXQ138" s="26">
        <v>4</v>
      </c>
      <c r="GXR138" s="26" t="s">
        <v>794</v>
      </c>
      <c r="GXS138" s="26">
        <v>4</v>
      </c>
      <c r="GXT138" s="26" t="s">
        <v>794</v>
      </c>
      <c r="GXU138" s="26">
        <v>4</v>
      </c>
      <c r="GXV138" s="26" t="s">
        <v>794</v>
      </c>
      <c r="GXW138" s="26">
        <v>4</v>
      </c>
      <c r="GXX138" s="26" t="s">
        <v>794</v>
      </c>
      <c r="GXY138" s="26">
        <v>4</v>
      </c>
      <c r="GXZ138" s="26" t="s">
        <v>794</v>
      </c>
      <c r="GYA138" s="26">
        <v>4</v>
      </c>
      <c r="GYB138" s="26" t="s">
        <v>794</v>
      </c>
      <c r="GYC138" s="26">
        <v>4</v>
      </c>
      <c r="GYD138" s="26" t="s">
        <v>794</v>
      </c>
      <c r="GYE138" s="26">
        <v>4</v>
      </c>
      <c r="GYF138" s="26" t="s">
        <v>794</v>
      </c>
      <c r="GYG138" s="26">
        <v>4</v>
      </c>
      <c r="GYH138" s="26" t="s">
        <v>794</v>
      </c>
      <c r="GYI138" s="26">
        <v>4</v>
      </c>
      <c r="GYJ138" s="26" t="s">
        <v>794</v>
      </c>
      <c r="GYK138" s="26">
        <v>4</v>
      </c>
      <c r="GYL138" s="26" t="s">
        <v>794</v>
      </c>
      <c r="GYM138" s="26">
        <v>4</v>
      </c>
      <c r="GYN138" s="26" t="s">
        <v>794</v>
      </c>
      <c r="GYO138" s="26">
        <v>4</v>
      </c>
      <c r="GYP138" s="26" t="s">
        <v>794</v>
      </c>
      <c r="GYQ138" s="26">
        <v>4</v>
      </c>
      <c r="GYR138" s="26" t="s">
        <v>794</v>
      </c>
      <c r="GYS138" s="26">
        <v>4</v>
      </c>
      <c r="GYT138" s="26" t="s">
        <v>794</v>
      </c>
      <c r="GYU138" s="26">
        <v>4</v>
      </c>
      <c r="GYV138" s="26" t="s">
        <v>794</v>
      </c>
      <c r="GYW138" s="26">
        <v>4</v>
      </c>
      <c r="GYX138" s="26" t="s">
        <v>794</v>
      </c>
      <c r="GYY138" s="26">
        <v>4</v>
      </c>
      <c r="GYZ138" s="26" t="s">
        <v>794</v>
      </c>
      <c r="GZA138" s="26">
        <v>4</v>
      </c>
      <c r="GZB138" s="26" t="s">
        <v>794</v>
      </c>
      <c r="GZC138" s="26">
        <v>4</v>
      </c>
      <c r="GZD138" s="26" t="s">
        <v>794</v>
      </c>
      <c r="GZE138" s="26">
        <v>4</v>
      </c>
      <c r="GZF138" s="26" t="s">
        <v>794</v>
      </c>
      <c r="GZG138" s="26">
        <v>4</v>
      </c>
      <c r="GZH138" s="26" t="s">
        <v>794</v>
      </c>
      <c r="GZI138" s="26">
        <v>4</v>
      </c>
      <c r="GZJ138" s="26" t="s">
        <v>794</v>
      </c>
      <c r="GZK138" s="26">
        <v>4</v>
      </c>
      <c r="GZL138" s="26" t="s">
        <v>794</v>
      </c>
      <c r="GZM138" s="26">
        <v>4</v>
      </c>
      <c r="GZN138" s="26" t="s">
        <v>794</v>
      </c>
      <c r="GZO138" s="26">
        <v>4</v>
      </c>
      <c r="GZP138" s="26" t="s">
        <v>794</v>
      </c>
      <c r="GZQ138" s="26">
        <v>4</v>
      </c>
      <c r="GZR138" s="26" t="s">
        <v>794</v>
      </c>
      <c r="GZS138" s="26">
        <v>4</v>
      </c>
      <c r="GZT138" s="26" t="s">
        <v>794</v>
      </c>
      <c r="GZU138" s="26">
        <v>4</v>
      </c>
      <c r="GZV138" s="26" t="s">
        <v>794</v>
      </c>
      <c r="GZW138" s="26">
        <v>4</v>
      </c>
      <c r="GZX138" s="26" t="s">
        <v>794</v>
      </c>
      <c r="GZY138" s="26">
        <v>4</v>
      </c>
      <c r="GZZ138" s="26" t="s">
        <v>794</v>
      </c>
      <c r="HAA138" s="26">
        <v>4</v>
      </c>
      <c r="HAB138" s="26" t="s">
        <v>794</v>
      </c>
      <c r="HAC138" s="26">
        <v>4</v>
      </c>
      <c r="HAD138" s="26" t="s">
        <v>794</v>
      </c>
      <c r="HAE138" s="26">
        <v>4</v>
      </c>
      <c r="HAF138" s="26" t="s">
        <v>794</v>
      </c>
      <c r="HAG138" s="26">
        <v>4</v>
      </c>
      <c r="HAH138" s="26" t="s">
        <v>794</v>
      </c>
      <c r="HAI138" s="26">
        <v>4</v>
      </c>
      <c r="HAJ138" s="26" t="s">
        <v>794</v>
      </c>
      <c r="HAK138" s="26">
        <v>4</v>
      </c>
      <c r="HAL138" s="26" t="s">
        <v>794</v>
      </c>
      <c r="HAM138" s="26">
        <v>4</v>
      </c>
      <c r="HAN138" s="26" t="s">
        <v>794</v>
      </c>
      <c r="HAO138" s="26">
        <v>4</v>
      </c>
      <c r="HAP138" s="26" t="s">
        <v>794</v>
      </c>
      <c r="HAQ138" s="26">
        <v>4</v>
      </c>
      <c r="HAR138" s="26" t="s">
        <v>794</v>
      </c>
      <c r="HAS138" s="26">
        <v>4</v>
      </c>
      <c r="HAT138" s="26" t="s">
        <v>794</v>
      </c>
      <c r="HAU138" s="26">
        <v>4</v>
      </c>
      <c r="HAV138" s="26" t="s">
        <v>794</v>
      </c>
      <c r="HAW138" s="26">
        <v>4</v>
      </c>
      <c r="HAX138" s="26" t="s">
        <v>794</v>
      </c>
      <c r="HAY138" s="26">
        <v>4</v>
      </c>
      <c r="HAZ138" s="26" t="s">
        <v>794</v>
      </c>
      <c r="HBA138" s="26">
        <v>4</v>
      </c>
      <c r="HBB138" s="26" t="s">
        <v>794</v>
      </c>
      <c r="HBC138" s="26">
        <v>4</v>
      </c>
      <c r="HBD138" s="26" t="s">
        <v>794</v>
      </c>
      <c r="HBE138" s="26">
        <v>4</v>
      </c>
      <c r="HBF138" s="26" t="s">
        <v>794</v>
      </c>
      <c r="HBG138" s="26">
        <v>4</v>
      </c>
      <c r="HBH138" s="26" t="s">
        <v>794</v>
      </c>
      <c r="HBI138" s="26">
        <v>4</v>
      </c>
      <c r="HBJ138" s="26" t="s">
        <v>794</v>
      </c>
      <c r="HBK138" s="26">
        <v>4</v>
      </c>
      <c r="HBL138" s="26" t="s">
        <v>794</v>
      </c>
      <c r="HBM138" s="26">
        <v>4</v>
      </c>
      <c r="HBN138" s="26" t="s">
        <v>794</v>
      </c>
      <c r="HBO138" s="26">
        <v>4</v>
      </c>
      <c r="HBP138" s="26" t="s">
        <v>794</v>
      </c>
      <c r="HBQ138" s="26">
        <v>4</v>
      </c>
      <c r="HBR138" s="26" t="s">
        <v>794</v>
      </c>
      <c r="HBS138" s="26">
        <v>4</v>
      </c>
      <c r="HBT138" s="26" t="s">
        <v>794</v>
      </c>
      <c r="HBU138" s="26">
        <v>4</v>
      </c>
      <c r="HBV138" s="26" t="s">
        <v>794</v>
      </c>
      <c r="HBW138" s="26">
        <v>4</v>
      </c>
      <c r="HBX138" s="26" t="s">
        <v>794</v>
      </c>
      <c r="HBY138" s="26">
        <v>4</v>
      </c>
      <c r="HBZ138" s="26" t="s">
        <v>794</v>
      </c>
      <c r="HCA138" s="26">
        <v>4</v>
      </c>
      <c r="HCB138" s="26" t="s">
        <v>794</v>
      </c>
      <c r="HCC138" s="26">
        <v>4</v>
      </c>
      <c r="HCD138" s="26" t="s">
        <v>794</v>
      </c>
      <c r="HCE138" s="26">
        <v>4</v>
      </c>
      <c r="HCF138" s="26" t="s">
        <v>794</v>
      </c>
      <c r="HCG138" s="26">
        <v>4</v>
      </c>
      <c r="HCH138" s="26" t="s">
        <v>794</v>
      </c>
      <c r="HCI138" s="26">
        <v>4</v>
      </c>
      <c r="HCJ138" s="26" t="s">
        <v>794</v>
      </c>
      <c r="HCK138" s="26">
        <v>4</v>
      </c>
      <c r="HCL138" s="26" t="s">
        <v>794</v>
      </c>
      <c r="HCM138" s="26">
        <v>4</v>
      </c>
      <c r="HCN138" s="26" t="s">
        <v>794</v>
      </c>
      <c r="HCO138" s="26">
        <v>4</v>
      </c>
      <c r="HCP138" s="26" t="s">
        <v>794</v>
      </c>
      <c r="HCQ138" s="26">
        <v>4</v>
      </c>
      <c r="HCR138" s="26" t="s">
        <v>794</v>
      </c>
      <c r="HCS138" s="26">
        <v>4</v>
      </c>
      <c r="HCT138" s="26" t="s">
        <v>794</v>
      </c>
      <c r="HCU138" s="26">
        <v>4</v>
      </c>
      <c r="HCV138" s="26" t="s">
        <v>794</v>
      </c>
      <c r="HCW138" s="26">
        <v>4</v>
      </c>
      <c r="HCX138" s="26" t="s">
        <v>794</v>
      </c>
      <c r="HCY138" s="26">
        <v>4</v>
      </c>
      <c r="HCZ138" s="26" t="s">
        <v>794</v>
      </c>
      <c r="HDA138" s="26">
        <v>4</v>
      </c>
      <c r="HDB138" s="26" t="s">
        <v>794</v>
      </c>
      <c r="HDC138" s="26">
        <v>4</v>
      </c>
      <c r="HDD138" s="26" t="s">
        <v>794</v>
      </c>
      <c r="HDE138" s="26">
        <v>4</v>
      </c>
      <c r="HDF138" s="26" t="s">
        <v>794</v>
      </c>
      <c r="HDG138" s="26">
        <v>4</v>
      </c>
      <c r="HDH138" s="26" t="s">
        <v>794</v>
      </c>
      <c r="HDI138" s="26">
        <v>4</v>
      </c>
      <c r="HDJ138" s="26" t="s">
        <v>794</v>
      </c>
      <c r="HDK138" s="26">
        <v>4</v>
      </c>
      <c r="HDL138" s="26" t="s">
        <v>794</v>
      </c>
      <c r="HDM138" s="26">
        <v>4</v>
      </c>
      <c r="HDN138" s="26" t="s">
        <v>794</v>
      </c>
      <c r="HDO138" s="26">
        <v>4</v>
      </c>
      <c r="HDP138" s="26" t="s">
        <v>794</v>
      </c>
      <c r="HDQ138" s="26">
        <v>4</v>
      </c>
      <c r="HDR138" s="26" t="s">
        <v>794</v>
      </c>
      <c r="HDS138" s="26">
        <v>4</v>
      </c>
      <c r="HDT138" s="26" t="s">
        <v>794</v>
      </c>
      <c r="HDU138" s="26">
        <v>4</v>
      </c>
      <c r="HDV138" s="26" t="s">
        <v>794</v>
      </c>
      <c r="HDW138" s="26">
        <v>4</v>
      </c>
      <c r="HDX138" s="26" t="s">
        <v>794</v>
      </c>
      <c r="HDY138" s="26">
        <v>4</v>
      </c>
      <c r="HDZ138" s="26" t="s">
        <v>794</v>
      </c>
      <c r="HEA138" s="26">
        <v>4</v>
      </c>
      <c r="HEB138" s="26" t="s">
        <v>794</v>
      </c>
      <c r="HEC138" s="26">
        <v>4</v>
      </c>
      <c r="HED138" s="26" t="s">
        <v>794</v>
      </c>
      <c r="HEE138" s="26">
        <v>4</v>
      </c>
      <c r="HEF138" s="26" t="s">
        <v>794</v>
      </c>
      <c r="HEG138" s="26">
        <v>4</v>
      </c>
      <c r="HEH138" s="26" t="s">
        <v>794</v>
      </c>
      <c r="HEI138" s="26">
        <v>4</v>
      </c>
      <c r="HEJ138" s="26" t="s">
        <v>794</v>
      </c>
      <c r="HEK138" s="26">
        <v>4</v>
      </c>
      <c r="HEL138" s="26" t="s">
        <v>794</v>
      </c>
      <c r="HEM138" s="26">
        <v>4</v>
      </c>
      <c r="HEN138" s="26" t="s">
        <v>794</v>
      </c>
      <c r="HEO138" s="26">
        <v>4</v>
      </c>
      <c r="HEP138" s="26" t="s">
        <v>794</v>
      </c>
      <c r="HEQ138" s="26">
        <v>4</v>
      </c>
      <c r="HER138" s="26" t="s">
        <v>794</v>
      </c>
      <c r="HES138" s="26">
        <v>4</v>
      </c>
      <c r="HET138" s="26" t="s">
        <v>794</v>
      </c>
      <c r="HEU138" s="26">
        <v>4</v>
      </c>
      <c r="HEV138" s="26" t="s">
        <v>794</v>
      </c>
      <c r="HEW138" s="26">
        <v>4</v>
      </c>
      <c r="HEX138" s="26" t="s">
        <v>794</v>
      </c>
      <c r="HEY138" s="26">
        <v>4</v>
      </c>
      <c r="HEZ138" s="26" t="s">
        <v>794</v>
      </c>
      <c r="HFA138" s="26">
        <v>4</v>
      </c>
      <c r="HFB138" s="26" t="s">
        <v>794</v>
      </c>
      <c r="HFC138" s="26">
        <v>4</v>
      </c>
      <c r="HFD138" s="26" t="s">
        <v>794</v>
      </c>
      <c r="HFE138" s="26">
        <v>4</v>
      </c>
      <c r="HFF138" s="26" t="s">
        <v>794</v>
      </c>
      <c r="HFG138" s="26">
        <v>4</v>
      </c>
      <c r="HFH138" s="26" t="s">
        <v>794</v>
      </c>
      <c r="HFI138" s="26">
        <v>4</v>
      </c>
      <c r="HFJ138" s="26" t="s">
        <v>794</v>
      </c>
      <c r="HFK138" s="26">
        <v>4</v>
      </c>
      <c r="HFL138" s="26" t="s">
        <v>794</v>
      </c>
      <c r="HFM138" s="26">
        <v>4</v>
      </c>
      <c r="HFN138" s="26" t="s">
        <v>794</v>
      </c>
      <c r="HFO138" s="26">
        <v>4</v>
      </c>
      <c r="HFP138" s="26" t="s">
        <v>794</v>
      </c>
      <c r="HFQ138" s="26">
        <v>4</v>
      </c>
      <c r="HFR138" s="26" t="s">
        <v>794</v>
      </c>
      <c r="HFS138" s="26">
        <v>4</v>
      </c>
      <c r="HFT138" s="26" t="s">
        <v>794</v>
      </c>
      <c r="HFU138" s="26">
        <v>4</v>
      </c>
      <c r="HFV138" s="26" t="s">
        <v>794</v>
      </c>
      <c r="HFW138" s="26">
        <v>4</v>
      </c>
      <c r="HFX138" s="26" t="s">
        <v>794</v>
      </c>
      <c r="HFY138" s="26">
        <v>4</v>
      </c>
      <c r="HFZ138" s="26" t="s">
        <v>794</v>
      </c>
      <c r="HGA138" s="26">
        <v>4</v>
      </c>
      <c r="HGB138" s="26" t="s">
        <v>794</v>
      </c>
      <c r="HGC138" s="26">
        <v>4</v>
      </c>
      <c r="HGD138" s="26" t="s">
        <v>794</v>
      </c>
      <c r="HGE138" s="26">
        <v>4</v>
      </c>
      <c r="HGF138" s="26" t="s">
        <v>794</v>
      </c>
      <c r="HGG138" s="26">
        <v>4</v>
      </c>
      <c r="HGH138" s="26" t="s">
        <v>794</v>
      </c>
      <c r="HGI138" s="26">
        <v>4</v>
      </c>
      <c r="HGJ138" s="26" t="s">
        <v>794</v>
      </c>
      <c r="HGK138" s="26">
        <v>4</v>
      </c>
      <c r="HGL138" s="26" t="s">
        <v>794</v>
      </c>
      <c r="HGM138" s="26">
        <v>4</v>
      </c>
      <c r="HGN138" s="26" t="s">
        <v>794</v>
      </c>
      <c r="HGO138" s="26">
        <v>4</v>
      </c>
      <c r="HGP138" s="26" t="s">
        <v>794</v>
      </c>
      <c r="HGQ138" s="26">
        <v>4</v>
      </c>
      <c r="HGR138" s="26" t="s">
        <v>794</v>
      </c>
      <c r="HGS138" s="26">
        <v>4</v>
      </c>
      <c r="HGT138" s="26" t="s">
        <v>794</v>
      </c>
      <c r="HGU138" s="26">
        <v>4</v>
      </c>
      <c r="HGV138" s="26" t="s">
        <v>794</v>
      </c>
      <c r="HGW138" s="26">
        <v>4</v>
      </c>
      <c r="HGX138" s="26" t="s">
        <v>794</v>
      </c>
      <c r="HGY138" s="26">
        <v>4</v>
      </c>
      <c r="HGZ138" s="26" t="s">
        <v>794</v>
      </c>
      <c r="HHA138" s="26">
        <v>4</v>
      </c>
      <c r="HHB138" s="26" t="s">
        <v>794</v>
      </c>
      <c r="HHC138" s="26">
        <v>4</v>
      </c>
      <c r="HHD138" s="26" t="s">
        <v>794</v>
      </c>
      <c r="HHE138" s="26">
        <v>4</v>
      </c>
      <c r="HHF138" s="26" t="s">
        <v>794</v>
      </c>
      <c r="HHG138" s="26">
        <v>4</v>
      </c>
      <c r="HHH138" s="26" t="s">
        <v>794</v>
      </c>
      <c r="HHI138" s="26">
        <v>4</v>
      </c>
      <c r="HHJ138" s="26" t="s">
        <v>794</v>
      </c>
      <c r="HHK138" s="26">
        <v>4</v>
      </c>
      <c r="HHL138" s="26" t="s">
        <v>794</v>
      </c>
      <c r="HHM138" s="26">
        <v>4</v>
      </c>
      <c r="HHN138" s="26" t="s">
        <v>794</v>
      </c>
      <c r="HHO138" s="26">
        <v>4</v>
      </c>
      <c r="HHP138" s="26" t="s">
        <v>794</v>
      </c>
      <c r="HHQ138" s="26">
        <v>4</v>
      </c>
      <c r="HHR138" s="26" t="s">
        <v>794</v>
      </c>
      <c r="HHS138" s="26">
        <v>4</v>
      </c>
      <c r="HHT138" s="26" t="s">
        <v>794</v>
      </c>
      <c r="HHU138" s="26">
        <v>4</v>
      </c>
      <c r="HHV138" s="26" t="s">
        <v>794</v>
      </c>
      <c r="HHW138" s="26">
        <v>4</v>
      </c>
      <c r="HHX138" s="26" t="s">
        <v>794</v>
      </c>
      <c r="HHY138" s="26">
        <v>4</v>
      </c>
      <c r="HHZ138" s="26" t="s">
        <v>794</v>
      </c>
      <c r="HIA138" s="26">
        <v>4</v>
      </c>
      <c r="HIB138" s="26" t="s">
        <v>794</v>
      </c>
      <c r="HIC138" s="26">
        <v>4</v>
      </c>
      <c r="HID138" s="26" t="s">
        <v>794</v>
      </c>
      <c r="HIE138" s="26">
        <v>4</v>
      </c>
      <c r="HIF138" s="26" t="s">
        <v>794</v>
      </c>
      <c r="HIG138" s="26">
        <v>4</v>
      </c>
      <c r="HIH138" s="26" t="s">
        <v>794</v>
      </c>
      <c r="HII138" s="26">
        <v>4</v>
      </c>
      <c r="HIJ138" s="26" t="s">
        <v>794</v>
      </c>
      <c r="HIK138" s="26">
        <v>4</v>
      </c>
      <c r="HIL138" s="26" t="s">
        <v>794</v>
      </c>
      <c r="HIM138" s="26">
        <v>4</v>
      </c>
      <c r="HIN138" s="26" t="s">
        <v>794</v>
      </c>
      <c r="HIO138" s="26">
        <v>4</v>
      </c>
      <c r="HIP138" s="26" t="s">
        <v>794</v>
      </c>
      <c r="HIQ138" s="26">
        <v>4</v>
      </c>
      <c r="HIR138" s="26" t="s">
        <v>794</v>
      </c>
      <c r="HIS138" s="26">
        <v>4</v>
      </c>
      <c r="HIT138" s="26" t="s">
        <v>794</v>
      </c>
      <c r="HIU138" s="26">
        <v>4</v>
      </c>
      <c r="HIV138" s="26" t="s">
        <v>794</v>
      </c>
      <c r="HIW138" s="26">
        <v>4</v>
      </c>
      <c r="HIX138" s="26" t="s">
        <v>794</v>
      </c>
      <c r="HIY138" s="26">
        <v>4</v>
      </c>
      <c r="HIZ138" s="26" t="s">
        <v>794</v>
      </c>
      <c r="HJA138" s="26">
        <v>4</v>
      </c>
      <c r="HJB138" s="26" t="s">
        <v>794</v>
      </c>
      <c r="HJC138" s="26">
        <v>4</v>
      </c>
      <c r="HJD138" s="26" t="s">
        <v>794</v>
      </c>
      <c r="HJE138" s="26">
        <v>4</v>
      </c>
      <c r="HJF138" s="26" t="s">
        <v>794</v>
      </c>
      <c r="HJG138" s="26">
        <v>4</v>
      </c>
      <c r="HJH138" s="26" t="s">
        <v>794</v>
      </c>
      <c r="HJI138" s="26">
        <v>4</v>
      </c>
      <c r="HJJ138" s="26" t="s">
        <v>794</v>
      </c>
      <c r="HJK138" s="26">
        <v>4</v>
      </c>
      <c r="HJL138" s="26" t="s">
        <v>794</v>
      </c>
      <c r="HJM138" s="26">
        <v>4</v>
      </c>
      <c r="HJN138" s="26" t="s">
        <v>794</v>
      </c>
      <c r="HJO138" s="26">
        <v>4</v>
      </c>
      <c r="HJP138" s="26" t="s">
        <v>794</v>
      </c>
      <c r="HJQ138" s="26">
        <v>4</v>
      </c>
      <c r="HJR138" s="26" t="s">
        <v>794</v>
      </c>
      <c r="HJS138" s="26">
        <v>4</v>
      </c>
      <c r="HJT138" s="26" t="s">
        <v>794</v>
      </c>
      <c r="HJU138" s="26">
        <v>4</v>
      </c>
      <c r="HJV138" s="26" t="s">
        <v>794</v>
      </c>
      <c r="HJW138" s="26">
        <v>4</v>
      </c>
      <c r="HJX138" s="26" t="s">
        <v>794</v>
      </c>
      <c r="HJY138" s="26">
        <v>4</v>
      </c>
      <c r="HJZ138" s="26" t="s">
        <v>794</v>
      </c>
      <c r="HKA138" s="26">
        <v>4</v>
      </c>
      <c r="HKB138" s="26" t="s">
        <v>794</v>
      </c>
      <c r="HKC138" s="26">
        <v>4</v>
      </c>
      <c r="HKD138" s="26" t="s">
        <v>794</v>
      </c>
      <c r="HKE138" s="26">
        <v>4</v>
      </c>
      <c r="HKF138" s="26" t="s">
        <v>794</v>
      </c>
      <c r="HKG138" s="26">
        <v>4</v>
      </c>
      <c r="HKH138" s="26" t="s">
        <v>794</v>
      </c>
      <c r="HKI138" s="26">
        <v>4</v>
      </c>
      <c r="HKJ138" s="26" t="s">
        <v>794</v>
      </c>
      <c r="HKK138" s="26">
        <v>4</v>
      </c>
      <c r="HKL138" s="26" t="s">
        <v>794</v>
      </c>
      <c r="HKM138" s="26">
        <v>4</v>
      </c>
      <c r="HKN138" s="26" t="s">
        <v>794</v>
      </c>
      <c r="HKO138" s="26">
        <v>4</v>
      </c>
      <c r="HKP138" s="26" t="s">
        <v>794</v>
      </c>
      <c r="HKQ138" s="26">
        <v>4</v>
      </c>
      <c r="HKR138" s="26" t="s">
        <v>794</v>
      </c>
      <c r="HKS138" s="26">
        <v>4</v>
      </c>
      <c r="HKT138" s="26" t="s">
        <v>794</v>
      </c>
      <c r="HKU138" s="26">
        <v>4</v>
      </c>
      <c r="HKV138" s="26" t="s">
        <v>794</v>
      </c>
      <c r="HKW138" s="26">
        <v>4</v>
      </c>
      <c r="HKX138" s="26" t="s">
        <v>794</v>
      </c>
      <c r="HKY138" s="26">
        <v>4</v>
      </c>
      <c r="HKZ138" s="26" t="s">
        <v>794</v>
      </c>
      <c r="HLA138" s="26">
        <v>4</v>
      </c>
      <c r="HLB138" s="26" t="s">
        <v>794</v>
      </c>
      <c r="HLC138" s="26">
        <v>4</v>
      </c>
      <c r="HLD138" s="26" t="s">
        <v>794</v>
      </c>
      <c r="HLE138" s="26">
        <v>4</v>
      </c>
      <c r="HLF138" s="26" t="s">
        <v>794</v>
      </c>
      <c r="HLG138" s="26">
        <v>4</v>
      </c>
      <c r="HLH138" s="26" t="s">
        <v>794</v>
      </c>
      <c r="HLI138" s="26">
        <v>4</v>
      </c>
      <c r="HLJ138" s="26" t="s">
        <v>794</v>
      </c>
      <c r="HLK138" s="26">
        <v>4</v>
      </c>
      <c r="HLL138" s="26" t="s">
        <v>794</v>
      </c>
      <c r="HLM138" s="26">
        <v>4</v>
      </c>
      <c r="HLN138" s="26" t="s">
        <v>794</v>
      </c>
      <c r="HLO138" s="26">
        <v>4</v>
      </c>
      <c r="HLP138" s="26" t="s">
        <v>794</v>
      </c>
      <c r="HLQ138" s="26">
        <v>4</v>
      </c>
      <c r="HLR138" s="26" t="s">
        <v>794</v>
      </c>
      <c r="HLS138" s="26">
        <v>4</v>
      </c>
      <c r="HLT138" s="26" t="s">
        <v>794</v>
      </c>
      <c r="HLU138" s="26">
        <v>4</v>
      </c>
      <c r="HLV138" s="26" t="s">
        <v>794</v>
      </c>
      <c r="HLW138" s="26">
        <v>4</v>
      </c>
      <c r="HLX138" s="26" t="s">
        <v>794</v>
      </c>
      <c r="HLY138" s="26">
        <v>4</v>
      </c>
      <c r="HLZ138" s="26" t="s">
        <v>794</v>
      </c>
      <c r="HMA138" s="26">
        <v>4</v>
      </c>
      <c r="HMB138" s="26" t="s">
        <v>794</v>
      </c>
      <c r="HMC138" s="26">
        <v>4</v>
      </c>
      <c r="HMD138" s="26" t="s">
        <v>794</v>
      </c>
      <c r="HME138" s="26">
        <v>4</v>
      </c>
      <c r="HMF138" s="26" t="s">
        <v>794</v>
      </c>
      <c r="HMG138" s="26">
        <v>4</v>
      </c>
      <c r="HMH138" s="26" t="s">
        <v>794</v>
      </c>
      <c r="HMI138" s="26">
        <v>4</v>
      </c>
      <c r="HMJ138" s="26" t="s">
        <v>794</v>
      </c>
      <c r="HMK138" s="26">
        <v>4</v>
      </c>
      <c r="HML138" s="26" t="s">
        <v>794</v>
      </c>
      <c r="HMM138" s="26">
        <v>4</v>
      </c>
      <c r="HMN138" s="26" t="s">
        <v>794</v>
      </c>
      <c r="HMO138" s="26">
        <v>4</v>
      </c>
      <c r="HMP138" s="26" t="s">
        <v>794</v>
      </c>
      <c r="HMQ138" s="26">
        <v>4</v>
      </c>
      <c r="HMR138" s="26" t="s">
        <v>794</v>
      </c>
      <c r="HMS138" s="26">
        <v>4</v>
      </c>
      <c r="HMT138" s="26" t="s">
        <v>794</v>
      </c>
      <c r="HMU138" s="26">
        <v>4</v>
      </c>
      <c r="HMV138" s="26" t="s">
        <v>794</v>
      </c>
      <c r="HMW138" s="26">
        <v>4</v>
      </c>
      <c r="HMX138" s="26" t="s">
        <v>794</v>
      </c>
      <c r="HMY138" s="26">
        <v>4</v>
      </c>
      <c r="HMZ138" s="26" t="s">
        <v>794</v>
      </c>
      <c r="HNA138" s="26">
        <v>4</v>
      </c>
      <c r="HNB138" s="26" t="s">
        <v>794</v>
      </c>
      <c r="HNC138" s="26">
        <v>4</v>
      </c>
      <c r="HND138" s="26" t="s">
        <v>794</v>
      </c>
      <c r="HNE138" s="26">
        <v>4</v>
      </c>
      <c r="HNF138" s="26" t="s">
        <v>794</v>
      </c>
      <c r="HNG138" s="26">
        <v>4</v>
      </c>
      <c r="HNH138" s="26" t="s">
        <v>794</v>
      </c>
      <c r="HNI138" s="26">
        <v>4</v>
      </c>
      <c r="HNJ138" s="26" t="s">
        <v>794</v>
      </c>
      <c r="HNK138" s="26">
        <v>4</v>
      </c>
      <c r="HNL138" s="26" t="s">
        <v>794</v>
      </c>
      <c r="HNM138" s="26">
        <v>4</v>
      </c>
      <c r="HNN138" s="26" t="s">
        <v>794</v>
      </c>
      <c r="HNO138" s="26">
        <v>4</v>
      </c>
      <c r="HNP138" s="26" t="s">
        <v>794</v>
      </c>
      <c r="HNQ138" s="26">
        <v>4</v>
      </c>
      <c r="HNR138" s="26" t="s">
        <v>794</v>
      </c>
      <c r="HNS138" s="26">
        <v>4</v>
      </c>
      <c r="HNT138" s="26" t="s">
        <v>794</v>
      </c>
      <c r="HNU138" s="26">
        <v>4</v>
      </c>
      <c r="HNV138" s="26" t="s">
        <v>794</v>
      </c>
      <c r="HNW138" s="26">
        <v>4</v>
      </c>
      <c r="HNX138" s="26" t="s">
        <v>794</v>
      </c>
      <c r="HNY138" s="26">
        <v>4</v>
      </c>
      <c r="HNZ138" s="26" t="s">
        <v>794</v>
      </c>
      <c r="HOA138" s="26">
        <v>4</v>
      </c>
      <c r="HOB138" s="26" t="s">
        <v>794</v>
      </c>
      <c r="HOC138" s="26">
        <v>4</v>
      </c>
      <c r="HOD138" s="26" t="s">
        <v>794</v>
      </c>
      <c r="HOE138" s="26">
        <v>4</v>
      </c>
      <c r="HOF138" s="26" t="s">
        <v>794</v>
      </c>
      <c r="HOG138" s="26">
        <v>4</v>
      </c>
      <c r="HOH138" s="26" t="s">
        <v>794</v>
      </c>
      <c r="HOI138" s="26">
        <v>4</v>
      </c>
      <c r="HOJ138" s="26" t="s">
        <v>794</v>
      </c>
      <c r="HOK138" s="26">
        <v>4</v>
      </c>
      <c r="HOL138" s="26" t="s">
        <v>794</v>
      </c>
      <c r="HOM138" s="26">
        <v>4</v>
      </c>
      <c r="HON138" s="26" t="s">
        <v>794</v>
      </c>
      <c r="HOO138" s="26">
        <v>4</v>
      </c>
      <c r="HOP138" s="26" t="s">
        <v>794</v>
      </c>
      <c r="HOQ138" s="26">
        <v>4</v>
      </c>
      <c r="HOR138" s="26" t="s">
        <v>794</v>
      </c>
      <c r="HOS138" s="26">
        <v>4</v>
      </c>
      <c r="HOT138" s="26" t="s">
        <v>794</v>
      </c>
      <c r="HOU138" s="26">
        <v>4</v>
      </c>
      <c r="HOV138" s="26" t="s">
        <v>794</v>
      </c>
      <c r="HOW138" s="26">
        <v>4</v>
      </c>
      <c r="HOX138" s="26" t="s">
        <v>794</v>
      </c>
      <c r="HOY138" s="26">
        <v>4</v>
      </c>
      <c r="HOZ138" s="26" t="s">
        <v>794</v>
      </c>
      <c r="HPA138" s="26">
        <v>4</v>
      </c>
      <c r="HPB138" s="26" t="s">
        <v>794</v>
      </c>
      <c r="HPC138" s="26">
        <v>4</v>
      </c>
      <c r="HPD138" s="26" t="s">
        <v>794</v>
      </c>
      <c r="HPE138" s="26">
        <v>4</v>
      </c>
      <c r="HPF138" s="26" t="s">
        <v>794</v>
      </c>
      <c r="HPG138" s="26">
        <v>4</v>
      </c>
      <c r="HPH138" s="26" t="s">
        <v>794</v>
      </c>
      <c r="HPI138" s="26">
        <v>4</v>
      </c>
      <c r="HPJ138" s="26" t="s">
        <v>794</v>
      </c>
      <c r="HPK138" s="26">
        <v>4</v>
      </c>
      <c r="HPL138" s="26" t="s">
        <v>794</v>
      </c>
      <c r="HPM138" s="26">
        <v>4</v>
      </c>
      <c r="HPN138" s="26" t="s">
        <v>794</v>
      </c>
      <c r="HPO138" s="26">
        <v>4</v>
      </c>
      <c r="HPP138" s="26" t="s">
        <v>794</v>
      </c>
      <c r="HPQ138" s="26">
        <v>4</v>
      </c>
      <c r="HPR138" s="26" t="s">
        <v>794</v>
      </c>
      <c r="HPS138" s="26">
        <v>4</v>
      </c>
      <c r="HPT138" s="26" t="s">
        <v>794</v>
      </c>
      <c r="HPU138" s="26">
        <v>4</v>
      </c>
      <c r="HPV138" s="26" t="s">
        <v>794</v>
      </c>
      <c r="HPW138" s="26">
        <v>4</v>
      </c>
      <c r="HPX138" s="26" t="s">
        <v>794</v>
      </c>
      <c r="HPY138" s="26">
        <v>4</v>
      </c>
      <c r="HPZ138" s="26" t="s">
        <v>794</v>
      </c>
      <c r="HQA138" s="26">
        <v>4</v>
      </c>
      <c r="HQB138" s="26" t="s">
        <v>794</v>
      </c>
      <c r="HQC138" s="26">
        <v>4</v>
      </c>
      <c r="HQD138" s="26" t="s">
        <v>794</v>
      </c>
      <c r="HQE138" s="26">
        <v>4</v>
      </c>
      <c r="HQF138" s="26" t="s">
        <v>794</v>
      </c>
      <c r="HQG138" s="26">
        <v>4</v>
      </c>
      <c r="HQH138" s="26" t="s">
        <v>794</v>
      </c>
      <c r="HQI138" s="26">
        <v>4</v>
      </c>
      <c r="HQJ138" s="26" t="s">
        <v>794</v>
      </c>
      <c r="HQK138" s="26">
        <v>4</v>
      </c>
      <c r="HQL138" s="26" t="s">
        <v>794</v>
      </c>
      <c r="HQM138" s="26">
        <v>4</v>
      </c>
      <c r="HQN138" s="26" t="s">
        <v>794</v>
      </c>
      <c r="HQO138" s="26">
        <v>4</v>
      </c>
      <c r="HQP138" s="26" t="s">
        <v>794</v>
      </c>
      <c r="HQQ138" s="26">
        <v>4</v>
      </c>
      <c r="HQR138" s="26" t="s">
        <v>794</v>
      </c>
      <c r="HQS138" s="26">
        <v>4</v>
      </c>
      <c r="HQT138" s="26" t="s">
        <v>794</v>
      </c>
      <c r="HQU138" s="26">
        <v>4</v>
      </c>
      <c r="HQV138" s="26" t="s">
        <v>794</v>
      </c>
      <c r="HQW138" s="26">
        <v>4</v>
      </c>
      <c r="HQX138" s="26" t="s">
        <v>794</v>
      </c>
      <c r="HQY138" s="26">
        <v>4</v>
      </c>
      <c r="HQZ138" s="26" t="s">
        <v>794</v>
      </c>
      <c r="HRA138" s="26">
        <v>4</v>
      </c>
      <c r="HRB138" s="26" t="s">
        <v>794</v>
      </c>
      <c r="HRC138" s="26">
        <v>4</v>
      </c>
      <c r="HRD138" s="26" t="s">
        <v>794</v>
      </c>
      <c r="HRE138" s="26">
        <v>4</v>
      </c>
      <c r="HRF138" s="26" t="s">
        <v>794</v>
      </c>
      <c r="HRG138" s="26">
        <v>4</v>
      </c>
      <c r="HRH138" s="26" t="s">
        <v>794</v>
      </c>
      <c r="HRI138" s="26">
        <v>4</v>
      </c>
      <c r="HRJ138" s="26" t="s">
        <v>794</v>
      </c>
      <c r="HRK138" s="26">
        <v>4</v>
      </c>
      <c r="HRL138" s="26" t="s">
        <v>794</v>
      </c>
      <c r="HRM138" s="26">
        <v>4</v>
      </c>
      <c r="HRN138" s="26" t="s">
        <v>794</v>
      </c>
      <c r="HRO138" s="26">
        <v>4</v>
      </c>
      <c r="HRP138" s="26" t="s">
        <v>794</v>
      </c>
      <c r="HRQ138" s="26">
        <v>4</v>
      </c>
      <c r="HRR138" s="26" t="s">
        <v>794</v>
      </c>
      <c r="HRS138" s="26">
        <v>4</v>
      </c>
      <c r="HRT138" s="26" t="s">
        <v>794</v>
      </c>
      <c r="HRU138" s="26">
        <v>4</v>
      </c>
      <c r="HRV138" s="26" t="s">
        <v>794</v>
      </c>
      <c r="HRW138" s="26">
        <v>4</v>
      </c>
      <c r="HRX138" s="26" t="s">
        <v>794</v>
      </c>
      <c r="HRY138" s="26">
        <v>4</v>
      </c>
      <c r="HRZ138" s="26" t="s">
        <v>794</v>
      </c>
      <c r="HSA138" s="26">
        <v>4</v>
      </c>
      <c r="HSB138" s="26" t="s">
        <v>794</v>
      </c>
      <c r="HSC138" s="26">
        <v>4</v>
      </c>
      <c r="HSD138" s="26" t="s">
        <v>794</v>
      </c>
      <c r="HSE138" s="26">
        <v>4</v>
      </c>
      <c r="HSF138" s="26" t="s">
        <v>794</v>
      </c>
      <c r="HSG138" s="26">
        <v>4</v>
      </c>
      <c r="HSH138" s="26" t="s">
        <v>794</v>
      </c>
      <c r="HSI138" s="26">
        <v>4</v>
      </c>
      <c r="HSJ138" s="26" t="s">
        <v>794</v>
      </c>
      <c r="HSK138" s="26">
        <v>4</v>
      </c>
      <c r="HSL138" s="26" t="s">
        <v>794</v>
      </c>
      <c r="HSM138" s="26">
        <v>4</v>
      </c>
      <c r="HSN138" s="26" t="s">
        <v>794</v>
      </c>
      <c r="HSO138" s="26">
        <v>4</v>
      </c>
      <c r="HSP138" s="26" t="s">
        <v>794</v>
      </c>
      <c r="HSQ138" s="26">
        <v>4</v>
      </c>
      <c r="HSR138" s="26" t="s">
        <v>794</v>
      </c>
      <c r="HSS138" s="26">
        <v>4</v>
      </c>
      <c r="HST138" s="26" t="s">
        <v>794</v>
      </c>
      <c r="HSU138" s="26">
        <v>4</v>
      </c>
      <c r="HSV138" s="26" t="s">
        <v>794</v>
      </c>
      <c r="HSW138" s="26">
        <v>4</v>
      </c>
      <c r="HSX138" s="26" t="s">
        <v>794</v>
      </c>
      <c r="HSY138" s="26">
        <v>4</v>
      </c>
      <c r="HSZ138" s="26" t="s">
        <v>794</v>
      </c>
      <c r="HTA138" s="26">
        <v>4</v>
      </c>
      <c r="HTB138" s="26" t="s">
        <v>794</v>
      </c>
      <c r="HTC138" s="26">
        <v>4</v>
      </c>
      <c r="HTD138" s="26" t="s">
        <v>794</v>
      </c>
      <c r="HTE138" s="26">
        <v>4</v>
      </c>
      <c r="HTF138" s="26" t="s">
        <v>794</v>
      </c>
      <c r="HTG138" s="26">
        <v>4</v>
      </c>
      <c r="HTH138" s="26" t="s">
        <v>794</v>
      </c>
      <c r="HTI138" s="26">
        <v>4</v>
      </c>
      <c r="HTJ138" s="26" t="s">
        <v>794</v>
      </c>
      <c r="HTK138" s="26">
        <v>4</v>
      </c>
      <c r="HTL138" s="26" t="s">
        <v>794</v>
      </c>
      <c r="HTM138" s="26">
        <v>4</v>
      </c>
      <c r="HTN138" s="26" t="s">
        <v>794</v>
      </c>
      <c r="HTO138" s="26">
        <v>4</v>
      </c>
      <c r="HTP138" s="26" t="s">
        <v>794</v>
      </c>
      <c r="HTQ138" s="26">
        <v>4</v>
      </c>
      <c r="HTR138" s="26" t="s">
        <v>794</v>
      </c>
      <c r="HTS138" s="26">
        <v>4</v>
      </c>
      <c r="HTT138" s="26" t="s">
        <v>794</v>
      </c>
      <c r="HTU138" s="26">
        <v>4</v>
      </c>
      <c r="HTV138" s="26" t="s">
        <v>794</v>
      </c>
      <c r="HTW138" s="26">
        <v>4</v>
      </c>
      <c r="HTX138" s="26" t="s">
        <v>794</v>
      </c>
      <c r="HTY138" s="26">
        <v>4</v>
      </c>
      <c r="HTZ138" s="26" t="s">
        <v>794</v>
      </c>
      <c r="HUA138" s="26">
        <v>4</v>
      </c>
      <c r="HUB138" s="26" t="s">
        <v>794</v>
      </c>
      <c r="HUC138" s="26">
        <v>4</v>
      </c>
      <c r="HUD138" s="26" t="s">
        <v>794</v>
      </c>
      <c r="HUE138" s="26">
        <v>4</v>
      </c>
      <c r="HUF138" s="26" t="s">
        <v>794</v>
      </c>
      <c r="HUG138" s="26">
        <v>4</v>
      </c>
      <c r="HUH138" s="26" t="s">
        <v>794</v>
      </c>
      <c r="HUI138" s="26">
        <v>4</v>
      </c>
      <c r="HUJ138" s="26" t="s">
        <v>794</v>
      </c>
      <c r="HUK138" s="26">
        <v>4</v>
      </c>
      <c r="HUL138" s="26" t="s">
        <v>794</v>
      </c>
      <c r="HUM138" s="26">
        <v>4</v>
      </c>
      <c r="HUN138" s="26" t="s">
        <v>794</v>
      </c>
      <c r="HUO138" s="26">
        <v>4</v>
      </c>
      <c r="HUP138" s="26" t="s">
        <v>794</v>
      </c>
      <c r="HUQ138" s="26">
        <v>4</v>
      </c>
      <c r="HUR138" s="26" t="s">
        <v>794</v>
      </c>
      <c r="HUS138" s="26">
        <v>4</v>
      </c>
      <c r="HUT138" s="26" t="s">
        <v>794</v>
      </c>
      <c r="HUU138" s="26">
        <v>4</v>
      </c>
      <c r="HUV138" s="26" t="s">
        <v>794</v>
      </c>
      <c r="HUW138" s="26">
        <v>4</v>
      </c>
      <c r="HUX138" s="26" t="s">
        <v>794</v>
      </c>
      <c r="HUY138" s="26">
        <v>4</v>
      </c>
      <c r="HUZ138" s="26" t="s">
        <v>794</v>
      </c>
      <c r="HVA138" s="26">
        <v>4</v>
      </c>
      <c r="HVB138" s="26" t="s">
        <v>794</v>
      </c>
      <c r="HVC138" s="26">
        <v>4</v>
      </c>
      <c r="HVD138" s="26" t="s">
        <v>794</v>
      </c>
      <c r="HVE138" s="26">
        <v>4</v>
      </c>
      <c r="HVF138" s="26" t="s">
        <v>794</v>
      </c>
      <c r="HVG138" s="26">
        <v>4</v>
      </c>
      <c r="HVH138" s="26" t="s">
        <v>794</v>
      </c>
      <c r="HVI138" s="26">
        <v>4</v>
      </c>
      <c r="HVJ138" s="26" t="s">
        <v>794</v>
      </c>
      <c r="HVK138" s="26">
        <v>4</v>
      </c>
      <c r="HVL138" s="26" t="s">
        <v>794</v>
      </c>
      <c r="HVM138" s="26">
        <v>4</v>
      </c>
      <c r="HVN138" s="26" t="s">
        <v>794</v>
      </c>
      <c r="HVO138" s="26">
        <v>4</v>
      </c>
      <c r="HVP138" s="26" t="s">
        <v>794</v>
      </c>
      <c r="HVQ138" s="26">
        <v>4</v>
      </c>
      <c r="HVR138" s="26" t="s">
        <v>794</v>
      </c>
      <c r="HVS138" s="26">
        <v>4</v>
      </c>
      <c r="HVT138" s="26" t="s">
        <v>794</v>
      </c>
      <c r="HVU138" s="26">
        <v>4</v>
      </c>
      <c r="HVV138" s="26" t="s">
        <v>794</v>
      </c>
      <c r="HVW138" s="26">
        <v>4</v>
      </c>
      <c r="HVX138" s="26" t="s">
        <v>794</v>
      </c>
      <c r="HVY138" s="26">
        <v>4</v>
      </c>
      <c r="HVZ138" s="26" t="s">
        <v>794</v>
      </c>
      <c r="HWA138" s="26">
        <v>4</v>
      </c>
      <c r="HWB138" s="26" t="s">
        <v>794</v>
      </c>
      <c r="HWC138" s="26">
        <v>4</v>
      </c>
      <c r="HWD138" s="26" t="s">
        <v>794</v>
      </c>
      <c r="HWE138" s="26">
        <v>4</v>
      </c>
      <c r="HWF138" s="26" t="s">
        <v>794</v>
      </c>
      <c r="HWG138" s="26">
        <v>4</v>
      </c>
      <c r="HWH138" s="26" t="s">
        <v>794</v>
      </c>
      <c r="HWI138" s="26">
        <v>4</v>
      </c>
      <c r="HWJ138" s="26" t="s">
        <v>794</v>
      </c>
      <c r="HWK138" s="26">
        <v>4</v>
      </c>
      <c r="HWL138" s="26" t="s">
        <v>794</v>
      </c>
      <c r="HWM138" s="26">
        <v>4</v>
      </c>
      <c r="HWN138" s="26" t="s">
        <v>794</v>
      </c>
      <c r="HWO138" s="26">
        <v>4</v>
      </c>
      <c r="HWP138" s="26" t="s">
        <v>794</v>
      </c>
      <c r="HWQ138" s="26">
        <v>4</v>
      </c>
      <c r="HWR138" s="26" t="s">
        <v>794</v>
      </c>
      <c r="HWS138" s="26">
        <v>4</v>
      </c>
      <c r="HWT138" s="26" t="s">
        <v>794</v>
      </c>
      <c r="HWU138" s="26">
        <v>4</v>
      </c>
      <c r="HWV138" s="26" t="s">
        <v>794</v>
      </c>
      <c r="HWW138" s="26">
        <v>4</v>
      </c>
      <c r="HWX138" s="26" t="s">
        <v>794</v>
      </c>
      <c r="HWY138" s="26">
        <v>4</v>
      </c>
      <c r="HWZ138" s="26" t="s">
        <v>794</v>
      </c>
      <c r="HXA138" s="26">
        <v>4</v>
      </c>
      <c r="HXB138" s="26" t="s">
        <v>794</v>
      </c>
      <c r="HXC138" s="26">
        <v>4</v>
      </c>
      <c r="HXD138" s="26" t="s">
        <v>794</v>
      </c>
      <c r="HXE138" s="26">
        <v>4</v>
      </c>
      <c r="HXF138" s="26" t="s">
        <v>794</v>
      </c>
      <c r="HXG138" s="26">
        <v>4</v>
      </c>
      <c r="HXH138" s="26" t="s">
        <v>794</v>
      </c>
      <c r="HXI138" s="26">
        <v>4</v>
      </c>
      <c r="HXJ138" s="26" t="s">
        <v>794</v>
      </c>
      <c r="HXK138" s="26">
        <v>4</v>
      </c>
      <c r="HXL138" s="26" t="s">
        <v>794</v>
      </c>
      <c r="HXM138" s="26">
        <v>4</v>
      </c>
      <c r="HXN138" s="26" t="s">
        <v>794</v>
      </c>
      <c r="HXO138" s="26">
        <v>4</v>
      </c>
      <c r="HXP138" s="26" t="s">
        <v>794</v>
      </c>
      <c r="HXQ138" s="26">
        <v>4</v>
      </c>
      <c r="HXR138" s="26" t="s">
        <v>794</v>
      </c>
      <c r="HXS138" s="26">
        <v>4</v>
      </c>
      <c r="HXT138" s="26" t="s">
        <v>794</v>
      </c>
      <c r="HXU138" s="26">
        <v>4</v>
      </c>
      <c r="HXV138" s="26" t="s">
        <v>794</v>
      </c>
      <c r="HXW138" s="26">
        <v>4</v>
      </c>
      <c r="HXX138" s="26" t="s">
        <v>794</v>
      </c>
      <c r="HXY138" s="26">
        <v>4</v>
      </c>
      <c r="HXZ138" s="26" t="s">
        <v>794</v>
      </c>
      <c r="HYA138" s="26">
        <v>4</v>
      </c>
      <c r="HYB138" s="26" t="s">
        <v>794</v>
      </c>
      <c r="HYC138" s="26">
        <v>4</v>
      </c>
      <c r="HYD138" s="26" t="s">
        <v>794</v>
      </c>
      <c r="HYE138" s="26">
        <v>4</v>
      </c>
      <c r="HYF138" s="26" t="s">
        <v>794</v>
      </c>
      <c r="HYG138" s="26">
        <v>4</v>
      </c>
      <c r="HYH138" s="26" t="s">
        <v>794</v>
      </c>
      <c r="HYI138" s="26">
        <v>4</v>
      </c>
      <c r="HYJ138" s="26" t="s">
        <v>794</v>
      </c>
      <c r="HYK138" s="26">
        <v>4</v>
      </c>
      <c r="HYL138" s="26" t="s">
        <v>794</v>
      </c>
      <c r="HYM138" s="26">
        <v>4</v>
      </c>
      <c r="HYN138" s="26" t="s">
        <v>794</v>
      </c>
      <c r="HYO138" s="26">
        <v>4</v>
      </c>
      <c r="HYP138" s="26" t="s">
        <v>794</v>
      </c>
      <c r="HYQ138" s="26">
        <v>4</v>
      </c>
      <c r="HYR138" s="26" t="s">
        <v>794</v>
      </c>
      <c r="HYS138" s="26">
        <v>4</v>
      </c>
      <c r="HYT138" s="26" t="s">
        <v>794</v>
      </c>
      <c r="HYU138" s="26">
        <v>4</v>
      </c>
      <c r="HYV138" s="26" t="s">
        <v>794</v>
      </c>
      <c r="HYW138" s="26">
        <v>4</v>
      </c>
      <c r="HYX138" s="26" t="s">
        <v>794</v>
      </c>
      <c r="HYY138" s="26">
        <v>4</v>
      </c>
      <c r="HYZ138" s="26" t="s">
        <v>794</v>
      </c>
      <c r="HZA138" s="26">
        <v>4</v>
      </c>
      <c r="HZB138" s="26" t="s">
        <v>794</v>
      </c>
      <c r="HZC138" s="26">
        <v>4</v>
      </c>
      <c r="HZD138" s="26" t="s">
        <v>794</v>
      </c>
      <c r="HZE138" s="26">
        <v>4</v>
      </c>
      <c r="HZF138" s="26" t="s">
        <v>794</v>
      </c>
      <c r="HZG138" s="26">
        <v>4</v>
      </c>
      <c r="HZH138" s="26" t="s">
        <v>794</v>
      </c>
      <c r="HZI138" s="26">
        <v>4</v>
      </c>
      <c r="HZJ138" s="26" t="s">
        <v>794</v>
      </c>
      <c r="HZK138" s="26">
        <v>4</v>
      </c>
      <c r="HZL138" s="26" t="s">
        <v>794</v>
      </c>
      <c r="HZM138" s="26">
        <v>4</v>
      </c>
      <c r="HZN138" s="26" t="s">
        <v>794</v>
      </c>
      <c r="HZO138" s="26">
        <v>4</v>
      </c>
      <c r="HZP138" s="26" t="s">
        <v>794</v>
      </c>
      <c r="HZQ138" s="26">
        <v>4</v>
      </c>
      <c r="HZR138" s="26" t="s">
        <v>794</v>
      </c>
      <c r="HZS138" s="26">
        <v>4</v>
      </c>
      <c r="HZT138" s="26" t="s">
        <v>794</v>
      </c>
      <c r="HZU138" s="26">
        <v>4</v>
      </c>
      <c r="HZV138" s="26" t="s">
        <v>794</v>
      </c>
      <c r="HZW138" s="26">
        <v>4</v>
      </c>
      <c r="HZX138" s="26" t="s">
        <v>794</v>
      </c>
      <c r="HZY138" s="26">
        <v>4</v>
      </c>
      <c r="HZZ138" s="26" t="s">
        <v>794</v>
      </c>
      <c r="IAA138" s="26">
        <v>4</v>
      </c>
      <c r="IAB138" s="26" t="s">
        <v>794</v>
      </c>
      <c r="IAC138" s="26">
        <v>4</v>
      </c>
      <c r="IAD138" s="26" t="s">
        <v>794</v>
      </c>
      <c r="IAE138" s="26">
        <v>4</v>
      </c>
      <c r="IAF138" s="26" t="s">
        <v>794</v>
      </c>
      <c r="IAG138" s="26">
        <v>4</v>
      </c>
      <c r="IAH138" s="26" t="s">
        <v>794</v>
      </c>
      <c r="IAI138" s="26">
        <v>4</v>
      </c>
      <c r="IAJ138" s="26" t="s">
        <v>794</v>
      </c>
      <c r="IAK138" s="26">
        <v>4</v>
      </c>
      <c r="IAL138" s="26" t="s">
        <v>794</v>
      </c>
      <c r="IAM138" s="26">
        <v>4</v>
      </c>
      <c r="IAN138" s="26" t="s">
        <v>794</v>
      </c>
      <c r="IAO138" s="26">
        <v>4</v>
      </c>
      <c r="IAP138" s="26" t="s">
        <v>794</v>
      </c>
      <c r="IAQ138" s="26">
        <v>4</v>
      </c>
      <c r="IAR138" s="26" t="s">
        <v>794</v>
      </c>
      <c r="IAS138" s="26">
        <v>4</v>
      </c>
      <c r="IAT138" s="26" t="s">
        <v>794</v>
      </c>
      <c r="IAU138" s="26">
        <v>4</v>
      </c>
      <c r="IAV138" s="26" t="s">
        <v>794</v>
      </c>
      <c r="IAW138" s="26">
        <v>4</v>
      </c>
      <c r="IAX138" s="26" t="s">
        <v>794</v>
      </c>
      <c r="IAY138" s="26">
        <v>4</v>
      </c>
      <c r="IAZ138" s="26" t="s">
        <v>794</v>
      </c>
      <c r="IBA138" s="26">
        <v>4</v>
      </c>
      <c r="IBB138" s="26" t="s">
        <v>794</v>
      </c>
      <c r="IBC138" s="26">
        <v>4</v>
      </c>
      <c r="IBD138" s="26" t="s">
        <v>794</v>
      </c>
      <c r="IBE138" s="26">
        <v>4</v>
      </c>
      <c r="IBF138" s="26" t="s">
        <v>794</v>
      </c>
      <c r="IBG138" s="26">
        <v>4</v>
      </c>
      <c r="IBH138" s="26" t="s">
        <v>794</v>
      </c>
      <c r="IBI138" s="26">
        <v>4</v>
      </c>
      <c r="IBJ138" s="26" t="s">
        <v>794</v>
      </c>
      <c r="IBK138" s="26">
        <v>4</v>
      </c>
      <c r="IBL138" s="26" t="s">
        <v>794</v>
      </c>
      <c r="IBM138" s="26">
        <v>4</v>
      </c>
      <c r="IBN138" s="26" t="s">
        <v>794</v>
      </c>
      <c r="IBO138" s="26">
        <v>4</v>
      </c>
      <c r="IBP138" s="26" t="s">
        <v>794</v>
      </c>
      <c r="IBQ138" s="26">
        <v>4</v>
      </c>
      <c r="IBR138" s="26" t="s">
        <v>794</v>
      </c>
      <c r="IBS138" s="26">
        <v>4</v>
      </c>
      <c r="IBT138" s="26" t="s">
        <v>794</v>
      </c>
      <c r="IBU138" s="26">
        <v>4</v>
      </c>
      <c r="IBV138" s="26" t="s">
        <v>794</v>
      </c>
      <c r="IBW138" s="26">
        <v>4</v>
      </c>
      <c r="IBX138" s="26" t="s">
        <v>794</v>
      </c>
      <c r="IBY138" s="26">
        <v>4</v>
      </c>
      <c r="IBZ138" s="26" t="s">
        <v>794</v>
      </c>
      <c r="ICA138" s="26">
        <v>4</v>
      </c>
      <c r="ICB138" s="26" t="s">
        <v>794</v>
      </c>
      <c r="ICC138" s="26">
        <v>4</v>
      </c>
      <c r="ICD138" s="26" t="s">
        <v>794</v>
      </c>
      <c r="ICE138" s="26">
        <v>4</v>
      </c>
      <c r="ICF138" s="26" t="s">
        <v>794</v>
      </c>
      <c r="ICG138" s="26">
        <v>4</v>
      </c>
      <c r="ICH138" s="26" t="s">
        <v>794</v>
      </c>
      <c r="ICI138" s="26">
        <v>4</v>
      </c>
      <c r="ICJ138" s="26" t="s">
        <v>794</v>
      </c>
      <c r="ICK138" s="26">
        <v>4</v>
      </c>
      <c r="ICL138" s="26" t="s">
        <v>794</v>
      </c>
      <c r="ICM138" s="26">
        <v>4</v>
      </c>
      <c r="ICN138" s="26" t="s">
        <v>794</v>
      </c>
      <c r="ICO138" s="26">
        <v>4</v>
      </c>
      <c r="ICP138" s="26" t="s">
        <v>794</v>
      </c>
      <c r="ICQ138" s="26">
        <v>4</v>
      </c>
      <c r="ICR138" s="26" t="s">
        <v>794</v>
      </c>
      <c r="ICS138" s="26">
        <v>4</v>
      </c>
      <c r="ICT138" s="26" t="s">
        <v>794</v>
      </c>
      <c r="ICU138" s="26">
        <v>4</v>
      </c>
      <c r="ICV138" s="26" t="s">
        <v>794</v>
      </c>
      <c r="ICW138" s="26">
        <v>4</v>
      </c>
      <c r="ICX138" s="26" t="s">
        <v>794</v>
      </c>
      <c r="ICY138" s="26">
        <v>4</v>
      </c>
      <c r="ICZ138" s="26" t="s">
        <v>794</v>
      </c>
      <c r="IDA138" s="26">
        <v>4</v>
      </c>
      <c r="IDB138" s="26" t="s">
        <v>794</v>
      </c>
      <c r="IDC138" s="26">
        <v>4</v>
      </c>
      <c r="IDD138" s="26" t="s">
        <v>794</v>
      </c>
      <c r="IDE138" s="26">
        <v>4</v>
      </c>
      <c r="IDF138" s="26" t="s">
        <v>794</v>
      </c>
      <c r="IDG138" s="26">
        <v>4</v>
      </c>
      <c r="IDH138" s="26" t="s">
        <v>794</v>
      </c>
      <c r="IDI138" s="26">
        <v>4</v>
      </c>
      <c r="IDJ138" s="26" t="s">
        <v>794</v>
      </c>
      <c r="IDK138" s="26">
        <v>4</v>
      </c>
      <c r="IDL138" s="26" t="s">
        <v>794</v>
      </c>
      <c r="IDM138" s="26">
        <v>4</v>
      </c>
      <c r="IDN138" s="26" t="s">
        <v>794</v>
      </c>
      <c r="IDO138" s="26">
        <v>4</v>
      </c>
      <c r="IDP138" s="26" t="s">
        <v>794</v>
      </c>
      <c r="IDQ138" s="26">
        <v>4</v>
      </c>
      <c r="IDR138" s="26" t="s">
        <v>794</v>
      </c>
      <c r="IDS138" s="26">
        <v>4</v>
      </c>
      <c r="IDT138" s="26" t="s">
        <v>794</v>
      </c>
      <c r="IDU138" s="26">
        <v>4</v>
      </c>
      <c r="IDV138" s="26" t="s">
        <v>794</v>
      </c>
      <c r="IDW138" s="26">
        <v>4</v>
      </c>
      <c r="IDX138" s="26" t="s">
        <v>794</v>
      </c>
      <c r="IDY138" s="26">
        <v>4</v>
      </c>
      <c r="IDZ138" s="26" t="s">
        <v>794</v>
      </c>
      <c r="IEA138" s="26">
        <v>4</v>
      </c>
      <c r="IEB138" s="26" t="s">
        <v>794</v>
      </c>
      <c r="IEC138" s="26">
        <v>4</v>
      </c>
      <c r="IED138" s="26" t="s">
        <v>794</v>
      </c>
      <c r="IEE138" s="26">
        <v>4</v>
      </c>
      <c r="IEF138" s="26" t="s">
        <v>794</v>
      </c>
      <c r="IEG138" s="26">
        <v>4</v>
      </c>
      <c r="IEH138" s="26" t="s">
        <v>794</v>
      </c>
      <c r="IEI138" s="26">
        <v>4</v>
      </c>
      <c r="IEJ138" s="26" t="s">
        <v>794</v>
      </c>
      <c r="IEK138" s="26">
        <v>4</v>
      </c>
      <c r="IEL138" s="26" t="s">
        <v>794</v>
      </c>
      <c r="IEM138" s="26">
        <v>4</v>
      </c>
      <c r="IEN138" s="26" t="s">
        <v>794</v>
      </c>
      <c r="IEO138" s="26">
        <v>4</v>
      </c>
      <c r="IEP138" s="26" t="s">
        <v>794</v>
      </c>
      <c r="IEQ138" s="26">
        <v>4</v>
      </c>
      <c r="IER138" s="26" t="s">
        <v>794</v>
      </c>
      <c r="IES138" s="26">
        <v>4</v>
      </c>
      <c r="IET138" s="26" t="s">
        <v>794</v>
      </c>
      <c r="IEU138" s="26">
        <v>4</v>
      </c>
      <c r="IEV138" s="26" t="s">
        <v>794</v>
      </c>
      <c r="IEW138" s="26">
        <v>4</v>
      </c>
      <c r="IEX138" s="26" t="s">
        <v>794</v>
      </c>
      <c r="IEY138" s="26">
        <v>4</v>
      </c>
      <c r="IEZ138" s="26" t="s">
        <v>794</v>
      </c>
      <c r="IFA138" s="26">
        <v>4</v>
      </c>
      <c r="IFB138" s="26" t="s">
        <v>794</v>
      </c>
      <c r="IFC138" s="26">
        <v>4</v>
      </c>
      <c r="IFD138" s="26" t="s">
        <v>794</v>
      </c>
      <c r="IFE138" s="26">
        <v>4</v>
      </c>
      <c r="IFF138" s="26" t="s">
        <v>794</v>
      </c>
      <c r="IFG138" s="26">
        <v>4</v>
      </c>
      <c r="IFH138" s="26" t="s">
        <v>794</v>
      </c>
      <c r="IFI138" s="26">
        <v>4</v>
      </c>
      <c r="IFJ138" s="26" t="s">
        <v>794</v>
      </c>
      <c r="IFK138" s="26">
        <v>4</v>
      </c>
      <c r="IFL138" s="26" t="s">
        <v>794</v>
      </c>
      <c r="IFM138" s="26">
        <v>4</v>
      </c>
      <c r="IFN138" s="26" t="s">
        <v>794</v>
      </c>
      <c r="IFO138" s="26">
        <v>4</v>
      </c>
      <c r="IFP138" s="26" t="s">
        <v>794</v>
      </c>
      <c r="IFQ138" s="26">
        <v>4</v>
      </c>
      <c r="IFR138" s="26" t="s">
        <v>794</v>
      </c>
      <c r="IFS138" s="26">
        <v>4</v>
      </c>
      <c r="IFT138" s="26" t="s">
        <v>794</v>
      </c>
      <c r="IFU138" s="26">
        <v>4</v>
      </c>
      <c r="IFV138" s="26" t="s">
        <v>794</v>
      </c>
      <c r="IFW138" s="26">
        <v>4</v>
      </c>
      <c r="IFX138" s="26" t="s">
        <v>794</v>
      </c>
      <c r="IFY138" s="26">
        <v>4</v>
      </c>
      <c r="IFZ138" s="26" t="s">
        <v>794</v>
      </c>
      <c r="IGA138" s="26">
        <v>4</v>
      </c>
      <c r="IGB138" s="26" t="s">
        <v>794</v>
      </c>
      <c r="IGC138" s="26">
        <v>4</v>
      </c>
      <c r="IGD138" s="26" t="s">
        <v>794</v>
      </c>
      <c r="IGE138" s="26">
        <v>4</v>
      </c>
      <c r="IGF138" s="26" t="s">
        <v>794</v>
      </c>
      <c r="IGG138" s="26">
        <v>4</v>
      </c>
      <c r="IGH138" s="26" t="s">
        <v>794</v>
      </c>
      <c r="IGI138" s="26">
        <v>4</v>
      </c>
      <c r="IGJ138" s="26" t="s">
        <v>794</v>
      </c>
      <c r="IGK138" s="26">
        <v>4</v>
      </c>
      <c r="IGL138" s="26" t="s">
        <v>794</v>
      </c>
      <c r="IGM138" s="26">
        <v>4</v>
      </c>
      <c r="IGN138" s="26" t="s">
        <v>794</v>
      </c>
      <c r="IGO138" s="26">
        <v>4</v>
      </c>
      <c r="IGP138" s="26" t="s">
        <v>794</v>
      </c>
      <c r="IGQ138" s="26">
        <v>4</v>
      </c>
      <c r="IGR138" s="26" t="s">
        <v>794</v>
      </c>
      <c r="IGS138" s="26">
        <v>4</v>
      </c>
      <c r="IGT138" s="26" t="s">
        <v>794</v>
      </c>
      <c r="IGU138" s="26">
        <v>4</v>
      </c>
      <c r="IGV138" s="26" t="s">
        <v>794</v>
      </c>
      <c r="IGW138" s="26">
        <v>4</v>
      </c>
      <c r="IGX138" s="26" t="s">
        <v>794</v>
      </c>
      <c r="IGY138" s="26">
        <v>4</v>
      </c>
      <c r="IGZ138" s="26" t="s">
        <v>794</v>
      </c>
      <c r="IHA138" s="26">
        <v>4</v>
      </c>
      <c r="IHB138" s="26" t="s">
        <v>794</v>
      </c>
      <c r="IHC138" s="26">
        <v>4</v>
      </c>
      <c r="IHD138" s="26" t="s">
        <v>794</v>
      </c>
      <c r="IHE138" s="26">
        <v>4</v>
      </c>
      <c r="IHF138" s="26" t="s">
        <v>794</v>
      </c>
      <c r="IHG138" s="26">
        <v>4</v>
      </c>
      <c r="IHH138" s="26" t="s">
        <v>794</v>
      </c>
      <c r="IHI138" s="26">
        <v>4</v>
      </c>
      <c r="IHJ138" s="26" t="s">
        <v>794</v>
      </c>
      <c r="IHK138" s="26">
        <v>4</v>
      </c>
      <c r="IHL138" s="26" t="s">
        <v>794</v>
      </c>
      <c r="IHM138" s="26">
        <v>4</v>
      </c>
      <c r="IHN138" s="26" t="s">
        <v>794</v>
      </c>
      <c r="IHO138" s="26">
        <v>4</v>
      </c>
      <c r="IHP138" s="26" t="s">
        <v>794</v>
      </c>
      <c r="IHQ138" s="26">
        <v>4</v>
      </c>
      <c r="IHR138" s="26" t="s">
        <v>794</v>
      </c>
      <c r="IHS138" s="26">
        <v>4</v>
      </c>
      <c r="IHT138" s="26" t="s">
        <v>794</v>
      </c>
      <c r="IHU138" s="26">
        <v>4</v>
      </c>
      <c r="IHV138" s="26" t="s">
        <v>794</v>
      </c>
      <c r="IHW138" s="26">
        <v>4</v>
      </c>
      <c r="IHX138" s="26" t="s">
        <v>794</v>
      </c>
      <c r="IHY138" s="26">
        <v>4</v>
      </c>
      <c r="IHZ138" s="26" t="s">
        <v>794</v>
      </c>
      <c r="IIA138" s="26">
        <v>4</v>
      </c>
      <c r="IIB138" s="26" t="s">
        <v>794</v>
      </c>
      <c r="IIC138" s="26">
        <v>4</v>
      </c>
      <c r="IID138" s="26" t="s">
        <v>794</v>
      </c>
      <c r="IIE138" s="26">
        <v>4</v>
      </c>
      <c r="IIF138" s="26" t="s">
        <v>794</v>
      </c>
      <c r="IIG138" s="26">
        <v>4</v>
      </c>
      <c r="IIH138" s="26" t="s">
        <v>794</v>
      </c>
      <c r="III138" s="26">
        <v>4</v>
      </c>
      <c r="IIJ138" s="26" t="s">
        <v>794</v>
      </c>
      <c r="IIK138" s="26">
        <v>4</v>
      </c>
      <c r="IIL138" s="26" t="s">
        <v>794</v>
      </c>
      <c r="IIM138" s="26">
        <v>4</v>
      </c>
      <c r="IIN138" s="26" t="s">
        <v>794</v>
      </c>
      <c r="IIO138" s="26">
        <v>4</v>
      </c>
      <c r="IIP138" s="26" t="s">
        <v>794</v>
      </c>
      <c r="IIQ138" s="26">
        <v>4</v>
      </c>
      <c r="IIR138" s="26" t="s">
        <v>794</v>
      </c>
      <c r="IIS138" s="26">
        <v>4</v>
      </c>
      <c r="IIT138" s="26" t="s">
        <v>794</v>
      </c>
      <c r="IIU138" s="26">
        <v>4</v>
      </c>
      <c r="IIV138" s="26" t="s">
        <v>794</v>
      </c>
      <c r="IIW138" s="26">
        <v>4</v>
      </c>
      <c r="IIX138" s="26" t="s">
        <v>794</v>
      </c>
      <c r="IIY138" s="26">
        <v>4</v>
      </c>
      <c r="IIZ138" s="26" t="s">
        <v>794</v>
      </c>
      <c r="IJA138" s="26">
        <v>4</v>
      </c>
      <c r="IJB138" s="26" t="s">
        <v>794</v>
      </c>
      <c r="IJC138" s="26">
        <v>4</v>
      </c>
      <c r="IJD138" s="26" t="s">
        <v>794</v>
      </c>
      <c r="IJE138" s="26">
        <v>4</v>
      </c>
      <c r="IJF138" s="26" t="s">
        <v>794</v>
      </c>
      <c r="IJG138" s="26">
        <v>4</v>
      </c>
      <c r="IJH138" s="26" t="s">
        <v>794</v>
      </c>
      <c r="IJI138" s="26">
        <v>4</v>
      </c>
      <c r="IJJ138" s="26" t="s">
        <v>794</v>
      </c>
      <c r="IJK138" s="26">
        <v>4</v>
      </c>
      <c r="IJL138" s="26" t="s">
        <v>794</v>
      </c>
      <c r="IJM138" s="26">
        <v>4</v>
      </c>
      <c r="IJN138" s="26" t="s">
        <v>794</v>
      </c>
      <c r="IJO138" s="26">
        <v>4</v>
      </c>
      <c r="IJP138" s="26" t="s">
        <v>794</v>
      </c>
      <c r="IJQ138" s="26">
        <v>4</v>
      </c>
      <c r="IJR138" s="26" t="s">
        <v>794</v>
      </c>
      <c r="IJS138" s="26">
        <v>4</v>
      </c>
      <c r="IJT138" s="26" t="s">
        <v>794</v>
      </c>
      <c r="IJU138" s="26">
        <v>4</v>
      </c>
      <c r="IJV138" s="26" t="s">
        <v>794</v>
      </c>
      <c r="IJW138" s="26">
        <v>4</v>
      </c>
      <c r="IJX138" s="26" t="s">
        <v>794</v>
      </c>
      <c r="IJY138" s="26">
        <v>4</v>
      </c>
      <c r="IJZ138" s="26" t="s">
        <v>794</v>
      </c>
      <c r="IKA138" s="26">
        <v>4</v>
      </c>
      <c r="IKB138" s="26" t="s">
        <v>794</v>
      </c>
      <c r="IKC138" s="26">
        <v>4</v>
      </c>
      <c r="IKD138" s="26" t="s">
        <v>794</v>
      </c>
      <c r="IKE138" s="26">
        <v>4</v>
      </c>
      <c r="IKF138" s="26" t="s">
        <v>794</v>
      </c>
      <c r="IKG138" s="26">
        <v>4</v>
      </c>
      <c r="IKH138" s="26" t="s">
        <v>794</v>
      </c>
      <c r="IKI138" s="26">
        <v>4</v>
      </c>
      <c r="IKJ138" s="26" t="s">
        <v>794</v>
      </c>
      <c r="IKK138" s="26">
        <v>4</v>
      </c>
      <c r="IKL138" s="26" t="s">
        <v>794</v>
      </c>
      <c r="IKM138" s="26">
        <v>4</v>
      </c>
      <c r="IKN138" s="26" t="s">
        <v>794</v>
      </c>
      <c r="IKO138" s="26">
        <v>4</v>
      </c>
      <c r="IKP138" s="26" t="s">
        <v>794</v>
      </c>
      <c r="IKQ138" s="26">
        <v>4</v>
      </c>
      <c r="IKR138" s="26" t="s">
        <v>794</v>
      </c>
      <c r="IKS138" s="26">
        <v>4</v>
      </c>
      <c r="IKT138" s="26" t="s">
        <v>794</v>
      </c>
      <c r="IKU138" s="26">
        <v>4</v>
      </c>
      <c r="IKV138" s="26" t="s">
        <v>794</v>
      </c>
      <c r="IKW138" s="26">
        <v>4</v>
      </c>
      <c r="IKX138" s="26" t="s">
        <v>794</v>
      </c>
      <c r="IKY138" s="26">
        <v>4</v>
      </c>
      <c r="IKZ138" s="26" t="s">
        <v>794</v>
      </c>
      <c r="ILA138" s="26">
        <v>4</v>
      </c>
      <c r="ILB138" s="26" t="s">
        <v>794</v>
      </c>
      <c r="ILC138" s="26">
        <v>4</v>
      </c>
      <c r="ILD138" s="26" t="s">
        <v>794</v>
      </c>
      <c r="ILE138" s="26">
        <v>4</v>
      </c>
      <c r="ILF138" s="26" t="s">
        <v>794</v>
      </c>
      <c r="ILG138" s="26">
        <v>4</v>
      </c>
      <c r="ILH138" s="26" t="s">
        <v>794</v>
      </c>
      <c r="ILI138" s="26">
        <v>4</v>
      </c>
      <c r="ILJ138" s="26" t="s">
        <v>794</v>
      </c>
      <c r="ILK138" s="26">
        <v>4</v>
      </c>
      <c r="ILL138" s="26" t="s">
        <v>794</v>
      </c>
      <c r="ILM138" s="26">
        <v>4</v>
      </c>
      <c r="ILN138" s="26" t="s">
        <v>794</v>
      </c>
      <c r="ILO138" s="26">
        <v>4</v>
      </c>
      <c r="ILP138" s="26" t="s">
        <v>794</v>
      </c>
      <c r="ILQ138" s="26">
        <v>4</v>
      </c>
      <c r="ILR138" s="26" t="s">
        <v>794</v>
      </c>
      <c r="ILS138" s="26">
        <v>4</v>
      </c>
      <c r="ILT138" s="26" t="s">
        <v>794</v>
      </c>
      <c r="ILU138" s="26">
        <v>4</v>
      </c>
      <c r="ILV138" s="26" t="s">
        <v>794</v>
      </c>
      <c r="ILW138" s="26">
        <v>4</v>
      </c>
      <c r="ILX138" s="26" t="s">
        <v>794</v>
      </c>
      <c r="ILY138" s="26">
        <v>4</v>
      </c>
      <c r="ILZ138" s="26" t="s">
        <v>794</v>
      </c>
      <c r="IMA138" s="26">
        <v>4</v>
      </c>
      <c r="IMB138" s="26" t="s">
        <v>794</v>
      </c>
      <c r="IMC138" s="26">
        <v>4</v>
      </c>
      <c r="IMD138" s="26" t="s">
        <v>794</v>
      </c>
      <c r="IME138" s="26">
        <v>4</v>
      </c>
      <c r="IMF138" s="26" t="s">
        <v>794</v>
      </c>
      <c r="IMG138" s="26">
        <v>4</v>
      </c>
      <c r="IMH138" s="26" t="s">
        <v>794</v>
      </c>
      <c r="IMI138" s="26">
        <v>4</v>
      </c>
      <c r="IMJ138" s="26" t="s">
        <v>794</v>
      </c>
      <c r="IMK138" s="26">
        <v>4</v>
      </c>
      <c r="IML138" s="26" t="s">
        <v>794</v>
      </c>
      <c r="IMM138" s="26">
        <v>4</v>
      </c>
      <c r="IMN138" s="26" t="s">
        <v>794</v>
      </c>
      <c r="IMO138" s="26">
        <v>4</v>
      </c>
      <c r="IMP138" s="26" t="s">
        <v>794</v>
      </c>
      <c r="IMQ138" s="26">
        <v>4</v>
      </c>
      <c r="IMR138" s="26" t="s">
        <v>794</v>
      </c>
      <c r="IMS138" s="26">
        <v>4</v>
      </c>
      <c r="IMT138" s="26" t="s">
        <v>794</v>
      </c>
      <c r="IMU138" s="26">
        <v>4</v>
      </c>
      <c r="IMV138" s="26" t="s">
        <v>794</v>
      </c>
      <c r="IMW138" s="26">
        <v>4</v>
      </c>
      <c r="IMX138" s="26" t="s">
        <v>794</v>
      </c>
      <c r="IMY138" s="26">
        <v>4</v>
      </c>
      <c r="IMZ138" s="26" t="s">
        <v>794</v>
      </c>
      <c r="INA138" s="26">
        <v>4</v>
      </c>
      <c r="INB138" s="26" t="s">
        <v>794</v>
      </c>
      <c r="INC138" s="26">
        <v>4</v>
      </c>
      <c r="IND138" s="26" t="s">
        <v>794</v>
      </c>
      <c r="INE138" s="26">
        <v>4</v>
      </c>
      <c r="INF138" s="26" t="s">
        <v>794</v>
      </c>
      <c r="ING138" s="26">
        <v>4</v>
      </c>
      <c r="INH138" s="26" t="s">
        <v>794</v>
      </c>
      <c r="INI138" s="26">
        <v>4</v>
      </c>
      <c r="INJ138" s="26" t="s">
        <v>794</v>
      </c>
      <c r="INK138" s="26">
        <v>4</v>
      </c>
      <c r="INL138" s="26" t="s">
        <v>794</v>
      </c>
      <c r="INM138" s="26">
        <v>4</v>
      </c>
      <c r="INN138" s="26" t="s">
        <v>794</v>
      </c>
      <c r="INO138" s="26">
        <v>4</v>
      </c>
      <c r="INP138" s="26" t="s">
        <v>794</v>
      </c>
      <c r="INQ138" s="26">
        <v>4</v>
      </c>
      <c r="INR138" s="26" t="s">
        <v>794</v>
      </c>
      <c r="INS138" s="26">
        <v>4</v>
      </c>
      <c r="INT138" s="26" t="s">
        <v>794</v>
      </c>
      <c r="INU138" s="26">
        <v>4</v>
      </c>
      <c r="INV138" s="26" t="s">
        <v>794</v>
      </c>
      <c r="INW138" s="26">
        <v>4</v>
      </c>
      <c r="INX138" s="26" t="s">
        <v>794</v>
      </c>
      <c r="INY138" s="26">
        <v>4</v>
      </c>
      <c r="INZ138" s="26" t="s">
        <v>794</v>
      </c>
      <c r="IOA138" s="26">
        <v>4</v>
      </c>
      <c r="IOB138" s="26" t="s">
        <v>794</v>
      </c>
      <c r="IOC138" s="26">
        <v>4</v>
      </c>
      <c r="IOD138" s="26" t="s">
        <v>794</v>
      </c>
      <c r="IOE138" s="26">
        <v>4</v>
      </c>
      <c r="IOF138" s="26" t="s">
        <v>794</v>
      </c>
      <c r="IOG138" s="26">
        <v>4</v>
      </c>
      <c r="IOH138" s="26" t="s">
        <v>794</v>
      </c>
      <c r="IOI138" s="26">
        <v>4</v>
      </c>
      <c r="IOJ138" s="26" t="s">
        <v>794</v>
      </c>
      <c r="IOK138" s="26">
        <v>4</v>
      </c>
      <c r="IOL138" s="26" t="s">
        <v>794</v>
      </c>
      <c r="IOM138" s="26">
        <v>4</v>
      </c>
      <c r="ION138" s="26" t="s">
        <v>794</v>
      </c>
      <c r="IOO138" s="26">
        <v>4</v>
      </c>
      <c r="IOP138" s="26" t="s">
        <v>794</v>
      </c>
      <c r="IOQ138" s="26">
        <v>4</v>
      </c>
      <c r="IOR138" s="26" t="s">
        <v>794</v>
      </c>
      <c r="IOS138" s="26">
        <v>4</v>
      </c>
      <c r="IOT138" s="26" t="s">
        <v>794</v>
      </c>
      <c r="IOU138" s="26">
        <v>4</v>
      </c>
      <c r="IOV138" s="26" t="s">
        <v>794</v>
      </c>
      <c r="IOW138" s="26">
        <v>4</v>
      </c>
      <c r="IOX138" s="26" t="s">
        <v>794</v>
      </c>
      <c r="IOY138" s="26">
        <v>4</v>
      </c>
      <c r="IOZ138" s="26" t="s">
        <v>794</v>
      </c>
      <c r="IPA138" s="26">
        <v>4</v>
      </c>
      <c r="IPB138" s="26" t="s">
        <v>794</v>
      </c>
      <c r="IPC138" s="26">
        <v>4</v>
      </c>
      <c r="IPD138" s="26" t="s">
        <v>794</v>
      </c>
      <c r="IPE138" s="26">
        <v>4</v>
      </c>
      <c r="IPF138" s="26" t="s">
        <v>794</v>
      </c>
      <c r="IPG138" s="26">
        <v>4</v>
      </c>
      <c r="IPH138" s="26" t="s">
        <v>794</v>
      </c>
      <c r="IPI138" s="26">
        <v>4</v>
      </c>
      <c r="IPJ138" s="26" t="s">
        <v>794</v>
      </c>
      <c r="IPK138" s="26">
        <v>4</v>
      </c>
      <c r="IPL138" s="26" t="s">
        <v>794</v>
      </c>
      <c r="IPM138" s="26">
        <v>4</v>
      </c>
      <c r="IPN138" s="26" t="s">
        <v>794</v>
      </c>
      <c r="IPO138" s="26">
        <v>4</v>
      </c>
      <c r="IPP138" s="26" t="s">
        <v>794</v>
      </c>
      <c r="IPQ138" s="26">
        <v>4</v>
      </c>
      <c r="IPR138" s="26" t="s">
        <v>794</v>
      </c>
      <c r="IPS138" s="26">
        <v>4</v>
      </c>
      <c r="IPT138" s="26" t="s">
        <v>794</v>
      </c>
      <c r="IPU138" s="26">
        <v>4</v>
      </c>
      <c r="IPV138" s="26" t="s">
        <v>794</v>
      </c>
      <c r="IPW138" s="26">
        <v>4</v>
      </c>
      <c r="IPX138" s="26" t="s">
        <v>794</v>
      </c>
      <c r="IPY138" s="26">
        <v>4</v>
      </c>
      <c r="IPZ138" s="26" t="s">
        <v>794</v>
      </c>
      <c r="IQA138" s="26">
        <v>4</v>
      </c>
      <c r="IQB138" s="26" t="s">
        <v>794</v>
      </c>
      <c r="IQC138" s="26">
        <v>4</v>
      </c>
      <c r="IQD138" s="26" t="s">
        <v>794</v>
      </c>
      <c r="IQE138" s="26">
        <v>4</v>
      </c>
      <c r="IQF138" s="26" t="s">
        <v>794</v>
      </c>
      <c r="IQG138" s="26">
        <v>4</v>
      </c>
      <c r="IQH138" s="26" t="s">
        <v>794</v>
      </c>
      <c r="IQI138" s="26">
        <v>4</v>
      </c>
      <c r="IQJ138" s="26" t="s">
        <v>794</v>
      </c>
      <c r="IQK138" s="26">
        <v>4</v>
      </c>
      <c r="IQL138" s="26" t="s">
        <v>794</v>
      </c>
      <c r="IQM138" s="26">
        <v>4</v>
      </c>
      <c r="IQN138" s="26" t="s">
        <v>794</v>
      </c>
      <c r="IQO138" s="26">
        <v>4</v>
      </c>
      <c r="IQP138" s="26" t="s">
        <v>794</v>
      </c>
      <c r="IQQ138" s="26">
        <v>4</v>
      </c>
      <c r="IQR138" s="26" t="s">
        <v>794</v>
      </c>
      <c r="IQS138" s="26">
        <v>4</v>
      </c>
      <c r="IQT138" s="26" t="s">
        <v>794</v>
      </c>
      <c r="IQU138" s="26">
        <v>4</v>
      </c>
      <c r="IQV138" s="26" t="s">
        <v>794</v>
      </c>
      <c r="IQW138" s="26">
        <v>4</v>
      </c>
      <c r="IQX138" s="26" t="s">
        <v>794</v>
      </c>
      <c r="IQY138" s="26">
        <v>4</v>
      </c>
      <c r="IQZ138" s="26" t="s">
        <v>794</v>
      </c>
      <c r="IRA138" s="26">
        <v>4</v>
      </c>
      <c r="IRB138" s="26" t="s">
        <v>794</v>
      </c>
      <c r="IRC138" s="26">
        <v>4</v>
      </c>
      <c r="IRD138" s="26" t="s">
        <v>794</v>
      </c>
      <c r="IRE138" s="26">
        <v>4</v>
      </c>
      <c r="IRF138" s="26" t="s">
        <v>794</v>
      </c>
      <c r="IRG138" s="26">
        <v>4</v>
      </c>
      <c r="IRH138" s="26" t="s">
        <v>794</v>
      </c>
      <c r="IRI138" s="26">
        <v>4</v>
      </c>
      <c r="IRJ138" s="26" t="s">
        <v>794</v>
      </c>
      <c r="IRK138" s="26">
        <v>4</v>
      </c>
      <c r="IRL138" s="26" t="s">
        <v>794</v>
      </c>
      <c r="IRM138" s="26">
        <v>4</v>
      </c>
      <c r="IRN138" s="26" t="s">
        <v>794</v>
      </c>
      <c r="IRO138" s="26">
        <v>4</v>
      </c>
      <c r="IRP138" s="26" t="s">
        <v>794</v>
      </c>
      <c r="IRQ138" s="26">
        <v>4</v>
      </c>
      <c r="IRR138" s="26" t="s">
        <v>794</v>
      </c>
      <c r="IRS138" s="26">
        <v>4</v>
      </c>
      <c r="IRT138" s="26" t="s">
        <v>794</v>
      </c>
      <c r="IRU138" s="26">
        <v>4</v>
      </c>
      <c r="IRV138" s="26" t="s">
        <v>794</v>
      </c>
      <c r="IRW138" s="26">
        <v>4</v>
      </c>
      <c r="IRX138" s="26" t="s">
        <v>794</v>
      </c>
      <c r="IRY138" s="26">
        <v>4</v>
      </c>
      <c r="IRZ138" s="26" t="s">
        <v>794</v>
      </c>
      <c r="ISA138" s="26">
        <v>4</v>
      </c>
      <c r="ISB138" s="26" t="s">
        <v>794</v>
      </c>
      <c r="ISC138" s="26">
        <v>4</v>
      </c>
      <c r="ISD138" s="26" t="s">
        <v>794</v>
      </c>
      <c r="ISE138" s="26">
        <v>4</v>
      </c>
      <c r="ISF138" s="26" t="s">
        <v>794</v>
      </c>
      <c r="ISG138" s="26">
        <v>4</v>
      </c>
      <c r="ISH138" s="26" t="s">
        <v>794</v>
      </c>
      <c r="ISI138" s="26">
        <v>4</v>
      </c>
      <c r="ISJ138" s="26" t="s">
        <v>794</v>
      </c>
      <c r="ISK138" s="26">
        <v>4</v>
      </c>
      <c r="ISL138" s="26" t="s">
        <v>794</v>
      </c>
      <c r="ISM138" s="26">
        <v>4</v>
      </c>
      <c r="ISN138" s="26" t="s">
        <v>794</v>
      </c>
      <c r="ISO138" s="26">
        <v>4</v>
      </c>
      <c r="ISP138" s="26" t="s">
        <v>794</v>
      </c>
      <c r="ISQ138" s="26">
        <v>4</v>
      </c>
      <c r="ISR138" s="26" t="s">
        <v>794</v>
      </c>
      <c r="ISS138" s="26">
        <v>4</v>
      </c>
      <c r="IST138" s="26" t="s">
        <v>794</v>
      </c>
      <c r="ISU138" s="26">
        <v>4</v>
      </c>
      <c r="ISV138" s="26" t="s">
        <v>794</v>
      </c>
      <c r="ISW138" s="26">
        <v>4</v>
      </c>
      <c r="ISX138" s="26" t="s">
        <v>794</v>
      </c>
      <c r="ISY138" s="26">
        <v>4</v>
      </c>
      <c r="ISZ138" s="26" t="s">
        <v>794</v>
      </c>
      <c r="ITA138" s="26">
        <v>4</v>
      </c>
      <c r="ITB138" s="26" t="s">
        <v>794</v>
      </c>
      <c r="ITC138" s="26">
        <v>4</v>
      </c>
      <c r="ITD138" s="26" t="s">
        <v>794</v>
      </c>
      <c r="ITE138" s="26">
        <v>4</v>
      </c>
      <c r="ITF138" s="26" t="s">
        <v>794</v>
      </c>
      <c r="ITG138" s="26">
        <v>4</v>
      </c>
      <c r="ITH138" s="26" t="s">
        <v>794</v>
      </c>
      <c r="ITI138" s="26">
        <v>4</v>
      </c>
      <c r="ITJ138" s="26" t="s">
        <v>794</v>
      </c>
      <c r="ITK138" s="26">
        <v>4</v>
      </c>
      <c r="ITL138" s="26" t="s">
        <v>794</v>
      </c>
      <c r="ITM138" s="26">
        <v>4</v>
      </c>
      <c r="ITN138" s="26" t="s">
        <v>794</v>
      </c>
      <c r="ITO138" s="26">
        <v>4</v>
      </c>
      <c r="ITP138" s="26" t="s">
        <v>794</v>
      </c>
      <c r="ITQ138" s="26">
        <v>4</v>
      </c>
      <c r="ITR138" s="26" t="s">
        <v>794</v>
      </c>
      <c r="ITS138" s="26">
        <v>4</v>
      </c>
      <c r="ITT138" s="26" t="s">
        <v>794</v>
      </c>
      <c r="ITU138" s="26">
        <v>4</v>
      </c>
      <c r="ITV138" s="26" t="s">
        <v>794</v>
      </c>
      <c r="ITW138" s="26">
        <v>4</v>
      </c>
      <c r="ITX138" s="26" t="s">
        <v>794</v>
      </c>
      <c r="ITY138" s="26">
        <v>4</v>
      </c>
      <c r="ITZ138" s="26" t="s">
        <v>794</v>
      </c>
      <c r="IUA138" s="26">
        <v>4</v>
      </c>
      <c r="IUB138" s="26" t="s">
        <v>794</v>
      </c>
      <c r="IUC138" s="26">
        <v>4</v>
      </c>
      <c r="IUD138" s="26" t="s">
        <v>794</v>
      </c>
      <c r="IUE138" s="26">
        <v>4</v>
      </c>
      <c r="IUF138" s="26" t="s">
        <v>794</v>
      </c>
      <c r="IUG138" s="26">
        <v>4</v>
      </c>
      <c r="IUH138" s="26" t="s">
        <v>794</v>
      </c>
      <c r="IUI138" s="26">
        <v>4</v>
      </c>
      <c r="IUJ138" s="26" t="s">
        <v>794</v>
      </c>
      <c r="IUK138" s="26">
        <v>4</v>
      </c>
      <c r="IUL138" s="26" t="s">
        <v>794</v>
      </c>
      <c r="IUM138" s="26">
        <v>4</v>
      </c>
      <c r="IUN138" s="26" t="s">
        <v>794</v>
      </c>
      <c r="IUO138" s="26">
        <v>4</v>
      </c>
      <c r="IUP138" s="26" t="s">
        <v>794</v>
      </c>
      <c r="IUQ138" s="26">
        <v>4</v>
      </c>
      <c r="IUR138" s="26" t="s">
        <v>794</v>
      </c>
      <c r="IUS138" s="26">
        <v>4</v>
      </c>
      <c r="IUT138" s="26" t="s">
        <v>794</v>
      </c>
      <c r="IUU138" s="26">
        <v>4</v>
      </c>
      <c r="IUV138" s="26" t="s">
        <v>794</v>
      </c>
      <c r="IUW138" s="26">
        <v>4</v>
      </c>
      <c r="IUX138" s="26" t="s">
        <v>794</v>
      </c>
      <c r="IUY138" s="26">
        <v>4</v>
      </c>
      <c r="IUZ138" s="26" t="s">
        <v>794</v>
      </c>
      <c r="IVA138" s="26">
        <v>4</v>
      </c>
      <c r="IVB138" s="26" t="s">
        <v>794</v>
      </c>
      <c r="IVC138" s="26">
        <v>4</v>
      </c>
      <c r="IVD138" s="26" t="s">
        <v>794</v>
      </c>
      <c r="IVE138" s="26">
        <v>4</v>
      </c>
      <c r="IVF138" s="26" t="s">
        <v>794</v>
      </c>
      <c r="IVG138" s="26">
        <v>4</v>
      </c>
      <c r="IVH138" s="26" t="s">
        <v>794</v>
      </c>
      <c r="IVI138" s="26">
        <v>4</v>
      </c>
      <c r="IVJ138" s="26" t="s">
        <v>794</v>
      </c>
      <c r="IVK138" s="26">
        <v>4</v>
      </c>
      <c r="IVL138" s="26" t="s">
        <v>794</v>
      </c>
      <c r="IVM138" s="26">
        <v>4</v>
      </c>
      <c r="IVN138" s="26" t="s">
        <v>794</v>
      </c>
      <c r="IVO138" s="26">
        <v>4</v>
      </c>
      <c r="IVP138" s="26" t="s">
        <v>794</v>
      </c>
      <c r="IVQ138" s="26">
        <v>4</v>
      </c>
      <c r="IVR138" s="26" t="s">
        <v>794</v>
      </c>
      <c r="IVS138" s="26">
        <v>4</v>
      </c>
      <c r="IVT138" s="26" t="s">
        <v>794</v>
      </c>
      <c r="IVU138" s="26">
        <v>4</v>
      </c>
      <c r="IVV138" s="26" t="s">
        <v>794</v>
      </c>
      <c r="IVW138" s="26">
        <v>4</v>
      </c>
      <c r="IVX138" s="26" t="s">
        <v>794</v>
      </c>
      <c r="IVY138" s="26">
        <v>4</v>
      </c>
      <c r="IVZ138" s="26" t="s">
        <v>794</v>
      </c>
      <c r="IWA138" s="26">
        <v>4</v>
      </c>
      <c r="IWB138" s="26" t="s">
        <v>794</v>
      </c>
      <c r="IWC138" s="26">
        <v>4</v>
      </c>
      <c r="IWD138" s="26" t="s">
        <v>794</v>
      </c>
      <c r="IWE138" s="26">
        <v>4</v>
      </c>
      <c r="IWF138" s="26" t="s">
        <v>794</v>
      </c>
      <c r="IWG138" s="26">
        <v>4</v>
      </c>
      <c r="IWH138" s="26" t="s">
        <v>794</v>
      </c>
      <c r="IWI138" s="26">
        <v>4</v>
      </c>
      <c r="IWJ138" s="26" t="s">
        <v>794</v>
      </c>
      <c r="IWK138" s="26">
        <v>4</v>
      </c>
      <c r="IWL138" s="26" t="s">
        <v>794</v>
      </c>
      <c r="IWM138" s="26">
        <v>4</v>
      </c>
      <c r="IWN138" s="26" t="s">
        <v>794</v>
      </c>
      <c r="IWO138" s="26">
        <v>4</v>
      </c>
      <c r="IWP138" s="26" t="s">
        <v>794</v>
      </c>
      <c r="IWQ138" s="26">
        <v>4</v>
      </c>
      <c r="IWR138" s="26" t="s">
        <v>794</v>
      </c>
      <c r="IWS138" s="26">
        <v>4</v>
      </c>
      <c r="IWT138" s="26" t="s">
        <v>794</v>
      </c>
      <c r="IWU138" s="26">
        <v>4</v>
      </c>
      <c r="IWV138" s="26" t="s">
        <v>794</v>
      </c>
      <c r="IWW138" s="26">
        <v>4</v>
      </c>
      <c r="IWX138" s="26" t="s">
        <v>794</v>
      </c>
      <c r="IWY138" s="26">
        <v>4</v>
      </c>
      <c r="IWZ138" s="26" t="s">
        <v>794</v>
      </c>
      <c r="IXA138" s="26">
        <v>4</v>
      </c>
      <c r="IXB138" s="26" t="s">
        <v>794</v>
      </c>
      <c r="IXC138" s="26">
        <v>4</v>
      </c>
      <c r="IXD138" s="26" t="s">
        <v>794</v>
      </c>
      <c r="IXE138" s="26">
        <v>4</v>
      </c>
      <c r="IXF138" s="26" t="s">
        <v>794</v>
      </c>
      <c r="IXG138" s="26">
        <v>4</v>
      </c>
      <c r="IXH138" s="26" t="s">
        <v>794</v>
      </c>
      <c r="IXI138" s="26">
        <v>4</v>
      </c>
      <c r="IXJ138" s="26" t="s">
        <v>794</v>
      </c>
      <c r="IXK138" s="26">
        <v>4</v>
      </c>
      <c r="IXL138" s="26" t="s">
        <v>794</v>
      </c>
      <c r="IXM138" s="26">
        <v>4</v>
      </c>
      <c r="IXN138" s="26" t="s">
        <v>794</v>
      </c>
      <c r="IXO138" s="26">
        <v>4</v>
      </c>
      <c r="IXP138" s="26" t="s">
        <v>794</v>
      </c>
      <c r="IXQ138" s="26">
        <v>4</v>
      </c>
      <c r="IXR138" s="26" t="s">
        <v>794</v>
      </c>
      <c r="IXS138" s="26">
        <v>4</v>
      </c>
      <c r="IXT138" s="26" t="s">
        <v>794</v>
      </c>
      <c r="IXU138" s="26">
        <v>4</v>
      </c>
      <c r="IXV138" s="26" t="s">
        <v>794</v>
      </c>
      <c r="IXW138" s="26">
        <v>4</v>
      </c>
      <c r="IXX138" s="26" t="s">
        <v>794</v>
      </c>
      <c r="IXY138" s="26">
        <v>4</v>
      </c>
      <c r="IXZ138" s="26" t="s">
        <v>794</v>
      </c>
      <c r="IYA138" s="26">
        <v>4</v>
      </c>
      <c r="IYB138" s="26" t="s">
        <v>794</v>
      </c>
      <c r="IYC138" s="26">
        <v>4</v>
      </c>
      <c r="IYD138" s="26" t="s">
        <v>794</v>
      </c>
      <c r="IYE138" s="26">
        <v>4</v>
      </c>
      <c r="IYF138" s="26" t="s">
        <v>794</v>
      </c>
      <c r="IYG138" s="26">
        <v>4</v>
      </c>
      <c r="IYH138" s="26" t="s">
        <v>794</v>
      </c>
      <c r="IYI138" s="26">
        <v>4</v>
      </c>
      <c r="IYJ138" s="26" t="s">
        <v>794</v>
      </c>
      <c r="IYK138" s="26">
        <v>4</v>
      </c>
      <c r="IYL138" s="26" t="s">
        <v>794</v>
      </c>
      <c r="IYM138" s="26">
        <v>4</v>
      </c>
      <c r="IYN138" s="26" t="s">
        <v>794</v>
      </c>
      <c r="IYO138" s="26">
        <v>4</v>
      </c>
      <c r="IYP138" s="26" t="s">
        <v>794</v>
      </c>
      <c r="IYQ138" s="26">
        <v>4</v>
      </c>
      <c r="IYR138" s="26" t="s">
        <v>794</v>
      </c>
      <c r="IYS138" s="26">
        <v>4</v>
      </c>
      <c r="IYT138" s="26" t="s">
        <v>794</v>
      </c>
      <c r="IYU138" s="26">
        <v>4</v>
      </c>
      <c r="IYV138" s="26" t="s">
        <v>794</v>
      </c>
      <c r="IYW138" s="26">
        <v>4</v>
      </c>
      <c r="IYX138" s="26" t="s">
        <v>794</v>
      </c>
      <c r="IYY138" s="26">
        <v>4</v>
      </c>
      <c r="IYZ138" s="26" t="s">
        <v>794</v>
      </c>
      <c r="IZA138" s="26">
        <v>4</v>
      </c>
      <c r="IZB138" s="26" t="s">
        <v>794</v>
      </c>
      <c r="IZC138" s="26">
        <v>4</v>
      </c>
      <c r="IZD138" s="26" t="s">
        <v>794</v>
      </c>
      <c r="IZE138" s="26">
        <v>4</v>
      </c>
      <c r="IZF138" s="26" t="s">
        <v>794</v>
      </c>
      <c r="IZG138" s="26">
        <v>4</v>
      </c>
      <c r="IZH138" s="26" t="s">
        <v>794</v>
      </c>
      <c r="IZI138" s="26">
        <v>4</v>
      </c>
      <c r="IZJ138" s="26" t="s">
        <v>794</v>
      </c>
      <c r="IZK138" s="26">
        <v>4</v>
      </c>
      <c r="IZL138" s="26" t="s">
        <v>794</v>
      </c>
      <c r="IZM138" s="26">
        <v>4</v>
      </c>
      <c r="IZN138" s="26" t="s">
        <v>794</v>
      </c>
      <c r="IZO138" s="26">
        <v>4</v>
      </c>
      <c r="IZP138" s="26" t="s">
        <v>794</v>
      </c>
      <c r="IZQ138" s="26">
        <v>4</v>
      </c>
      <c r="IZR138" s="26" t="s">
        <v>794</v>
      </c>
      <c r="IZS138" s="26">
        <v>4</v>
      </c>
      <c r="IZT138" s="26" t="s">
        <v>794</v>
      </c>
      <c r="IZU138" s="26">
        <v>4</v>
      </c>
      <c r="IZV138" s="26" t="s">
        <v>794</v>
      </c>
      <c r="IZW138" s="26">
        <v>4</v>
      </c>
      <c r="IZX138" s="26" t="s">
        <v>794</v>
      </c>
      <c r="IZY138" s="26">
        <v>4</v>
      </c>
      <c r="IZZ138" s="26" t="s">
        <v>794</v>
      </c>
      <c r="JAA138" s="26">
        <v>4</v>
      </c>
      <c r="JAB138" s="26" t="s">
        <v>794</v>
      </c>
      <c r="JAC138" s="26">
        <v>4</v>
      </c>
      <c r="JAD138" s="26" t="s">
        <v>794</v>
      </c>
      <c r="JAE138" s="26">
        <v>4</v>
      </c>
      <c r="JAF138" s="26" t="s">
        <v>794</v>
      </c>
      <c r="JAG138" s="26">
        <v>4</v>
      </c>
      <c r="JAH138" s="26" t="s">
        <v>794</v>
      </c>
      <c r="JAI138" s="26">
        <v>4</v>
      </c>
      <c r="JAJ138" s="26" t="s">
        <v>794</v>
      </c>
      <c r="JAK138" s="26">
        <v>4</v>
      </c>
      <c r="JAL138" s="26" t="s">
        <v>794</v>
      </c>
      <c r="JAM138" s="26">
        <v>4</v>
      </c>
      <c r="JAN138" s="26" t="s">
        <v>794</v>
      </c>
      <c r="JAO138" s="26">
        <v>4</v>
      </c>
      <c r="JAP138" s="26" t="s">
        <v>794</v>
      </c>
      <c r="JAQ138" s="26">
        <v>4</v>
      </c>
      <c r="JAR138" s="26" t="s">
        <v>794</v>
      </c>
      <c r="JAS138" s="26">
        <v>4</v>
      </c>
      <c r="JAT138" s="26" t="s">
        <v>794</v>
      </c>
      <c r="JAU138" s="26">
        <v>4</v>
      </c>
      <c r="JAV138" s="26" t="s">
        <v>794</v>
      </c>
      <c r="JAW138" s="26">
        <v>4</v>
      </c>
      <c r="JAX138" s="26" t="s">
        <v>794</v>
      </c>
      <c r="JAY138" s="26">
        <v>4</v>
      </c>
      <c r="JAZ138" s="26" t="s">
        <v>794</v>
      </c>
      <c r="JBA138" s="26">
        <v>4</v>
      </c>
      <c r="JBB138" s="26" t="s">
        <v>794</v>
      </c>
      <c r="JBC138" s="26">
        <v>4</v>
      </c>
      <c r="JBD138" s="26" t="s">
        <v>794</v>
      </c>
      <c r="JBE138" s="26">
        <v>4</v>
      </c>
      <c r="JBF138" s="26" t="s">
        <v>794</v>
      </c>
      <c r="JBG138" s="26">
        <v>4</v>
      </c>
      <c r="JBH138" s="26" t="s">
        <v>794</v>
      </c>
      <c r="JBI138" s="26">
        <v>4</v>
      </c>
      <c r="JBJ138" s="26" t="s">
        <v>794</v>
      </c>
      <c r="JBK138" s="26">
        <v>4</v>
      </c>
      <c r="JBL138" s="26" t="s">
        <v>794</v>
      </c>
      <c r="JBM138" s="26">
        <v>4</v>
      </c>
      <c r="JBN138" s="26" t="s">
        <v>794</v>
      </c>
      <c r="JBO138" s="26">
        <v>4</v>
      </c>
      <c r="JBP138" s="26" t="s">
        <v>794</v>
      </c>
      <c r="JBQ138" s="26">
        <v>4</v>
      </c>
      <c r="JBR138" s="26" t="s">
        <v>794</v>
      </c>
      <c r="JBS138" s="26">
        <v>4</v>
      </c>
      <c r="JBT138" s="26" t="s">
        <v>794</v>
      </c>
      <c r="JBU138" s="26">
        <v>4</v>
      </c>
      <c r="JBV138" s="26" t="s">
        <v>794</v>
      </c>
      <c r="JBW138" s="26">
        <v>4</v>
      </c>
      <c r="JBX138" s="26" t="s">
        <v>794</v>
      </c>
      <c r="JBY138" s="26">
        <v>4</v>
      </c>
      <c r="JBZ138" s="26" t="s">
        <v>794</v>
      </c>
      <c r="JCA138" s="26">
        <v>4</v>
      </c>
      <c r="JCB138" s="26" t="s">
        <v>794</v>
      </c>
      <c r="JCC138" s="26">
        <v>4</v>
      </c>
      <c r="JCD138" s="26" t="s">
        <v>794</v>
      </c>
      <c r="JCE138" s="26">
        <v>4</v>
      </c>
      <c r="JCF138" s="26" t="s">
        <v>794</v>
      </c>
      <c r="JCG138" s="26">
        <v>4</v>
      </c>
      <c r="JCH138" s="26" t="s">
        <v>794</v>
      </c>
      <c r="JCI138" s="26">
        <v>4</v>
      </c>
      <c r="JCJ138" s="26" t="s">
        <v>794</v>
      </c>
      <c r="JCK138" s="26">
        <v>4</v>
      </c>
      <c r="JCL138" s="26" t="s">
        <v>794</v>
      </c>
      <c r="JCM138" s="26">
        <v>4</v>
      </c>
      <c r="JCN138" s="26" t="s">
        <v>794</v>
      </c>
      <c r="JCO138" s="26">
        <v>4</v>
      </c>
      <c r="JCP138" s="26" t="s">
        <v>794</v>
      </c>
      <c r="JCQ138" s="26">
        <v>4</v>
      </c>
      <c r="JCR138" s="26" t="s">
        <v>794</v>
      </c>
      <c r="JCS138" s="26">
        <v>4</v>
      </c>
      <c r="JCT138" s="26" t="s">
        <v>794</v>
      </c>
      <c r="JCU138" s="26">
        <v>4</v>
      </c>
      <c r="JCV138" s="26" t="s">
        <v>794</v>
      </c>
      <c r="JCW138" s="26">
        <v>4</v>
      </c>
      <c r="JCX138" s="26" t="s">
        <v>794</v>
      </c>
      <c r="JCY138" s="26">
        <v>4</v>
      </c>
      <c r="JCZ138" s="26" t="s">
        <v>794</v>
      </c>
      <c r="JDA138" s="26">
        <v>4</v>
      </c>
      <c r="JDB138" s="26" t="s">
        <v>794</v>
      </c>
      <c r="JDC138" s="26">
        <v>4</v>
      </c>
      <c r="JDD138" s="26" t="s">
        <v>794</v>
      </c>
      <c r="JDE138" s="26">
        <v>4</v>
      </c>
      <c r="JDF138" s="26" t="s">
        <v>794</v>
      </c>
      <c r="JDG138" s="26">
        <v>4</v>
      </c>
      <c r="JDH138" s="26" t="s">
        <v>794</v>
      </c>
      <c r="JDI138" s="26">
        <v>4</v>
      </c>
      <c r="JDJ138" s="26" t="s">
        <v>794</v>
      </c>
      <c r="JDK138" s="26">
        <v>4</v>
      </c>
      <c r="JDL138" s="26" t="s">
        <v>794</v>
      </c>
      <c r="JDM138" s="26">
        <v>4</v>
      </c>
      <c r="JDN138" s="26" t="s">
        <v>794</v>
      </c>
      <c r="JDO138" s="26">
        <v>4</v>
      </c>
      <c r="JDP138" s="26" t="s">
        <v>794</v>
      </c>
      <c r="JDQ138" s="26">
        <v>4</v>
      </c>
      <c r="JDR138" s="26" t="s">
        <v>794</v>
      </c>
      <c r="JDS138" s="26">
        <v>4</v>
      </c>
      <c r="JDT138" s="26" t="s">
        <v>794</v>
      </c>
      <c r="JDU138" s="26">
        <v>4</v>
      </c>
      <c r="JDV138" s="26" t="s">
        <v>794</v>
      </c>
      <c r="JDW138" s="26">
        <v>4</v>
      </c>
      <c r="JDX138" s="26" t="s">
        <v>794</v>
      </c>
      <c r="JDY138" s="26">
        <v>4</v>
      </c>
      <c r="JDZ138" s="26" t="s">
        <v>794</v>
      </c>
      <c r="JEA138" s="26">
        <v>4</v>
      </c>
      <c r="JEB138" s="26" t="s">
        <v>794</v>
      </c>
      <c r="JEC138" s="26">
        <v>4</v>
      </c>
      <c r="JED138" s="26" t="s">
        <v>794</v>
      </c>
      <c r="JEE138" s="26">
        <v>4</v>
      </c>
      <c r="JEF138" s="26" t="s">
        <v>794</v>
      </c>
      <c r="JEG138" s="26">
        <v>4</v>
      </c>
      <c r="JEH138" s="26" t="s">
        <v>794</v>
      </c>
      <c r="JEI138" s="26">
        <v>4</v>
      </c>
      <c r="JEJ138" s="26" t="s">
        <v>794</v>
      </c>
      <c r="JEK138" s="26">
        <v>4</v>
      </c>
      <c r="JEL138" s="26" t="s">
        <v>794</v>
      </c>
      <c r="JEM138" s="26">
        <v>4</v>
      </c>
      <c r="JEN138" s="26" t="s">
        <v>794</v>
      </c>
      <c r="JEO138" s="26">
        <v>4</v>
      </c>
      <c r="JEP138" s="26" t="s">
        <v>794</v>
      </c>
      <c r="JEQ138" s="26">
        <v>4</v>
      </c>
      <c r="JER138" s="26" t="s">
        <v>794</v>
      </c>
      <c r="JES138" s="26">
        <v>4</v>
      </c>
      <c r="JET138" s="26" t="s">
        <v>794</v>
      </c>
      <c r="JEU138" s="26">
        <v>4</v>
      </c>
      <c r="JEV138" s="26" t="s">
        <v>794</v>
      </c>
      <c r="JEW138" s="26">
        <v>4</v>
      </c>
      <c r="JEX138" s="26" t="s">
        <v>794</v>
      </c>
      <c r="JEY138" s="26">
        <v>4</v>
      </c>
      <c r="JEZ138" s="26" t="s">
        <v>794</v>
      </c>
      <c r="JFA138" s="26">
        <v>4</v>
      </c>
      <c r="JFB138" s="26" t="s">
        <v>794</v>
      </c>
      <c r="JFC138" s="26">
        <v>4</v>
      </c>
      <c r="JFD138" s="26" t="s">
        <v>794</v>
      </c>
      <c r="JFE138" s="26">
        <v>4</v>
      </c>
      <c r="JFF138" s="26" t="s">
        <v>794</v>
      </c>
      <c r="JFG138" s="26">
        <v>4</v>
      </c>
      <c r="JFH138" s="26" t="s">
        <v>794</v>
      </c>
      <c r="JFI138" s="26">
        <v>4</v>
      </c>
      <c r="JFJ138" s="26" t="s">
        <v>794</v>
      </c>
      <c r="JFK138" s="26">
        <v>4</v>
      </c>
      <c r="JFL138" s="26" t="s">
        <v>794</v>
      </c>
      <c r="JFM138" s="26">
        <v>4</v>
      </c>
      <c r="JFN138" s="26" t="s">
        <v>794</v>
      </c>
      <c r="JFO138" s="26">
        <v>4</v>
      </c>
      <c r="JFP138" s="26" t="s">
        <v>794</v>
      </c>
      <c r="JFQ138" s="26">
        <v>4</v>
      </c>
      <c r="JFR138" s="26" t="s">
        <v>794</v>
      </c>
      <c r="JFS138" s="26">
        <v>4</v>
      </c>
      <c r="JFT138" s="26" t="s">
        <v>794</v>
      </c>
      <c r="JFU138" s="26">
        <v>4</v>
      </c>
      <c r="JFV138" s="26" t="s">
        <v>794</v>
      </c>
      <c r="JFW138" s="26">
        <v>4</v>
      </c>
      <c r="JFX138" s="26" t="s">
        <v>794</v>
      </c>
      <c r="JFY138" s="26">
        <v>4</v>
      </c>
      <c r="JFZ138" s="26" t="s">
        <v>794</v>
      </c>
      <c r="JGA138" s="26">
        <v>4</v>
      </c>
      <c r="JGB138" s="26" t="s">
        <v>794</v>
      </c>
      <c r="JGC138" s="26">
        <v>4</v>
      </c>
      <c r="JGD138" s="26" t="s">
        <v>794</v>
      </c>
      <c r="JGE138" s="26">
        <v>4</v>
      </c>
      <c r="JGF138" s="26" t="s">
        <v>794</v>
      </c>
      <c r="JGG138" s="26">
        <v>4</v>
      </c>
      <c r="JGH138" s="26" t="s">
        <v>794</v>
      </c>
      <c r="JGI138" s="26">
        <v>4</v>
      </c>
      <c r="JGJ138" s="26" t="s">
        <v>794</v>
      </c>
      <c r="JGK138" s="26">
        <v>4</v>
      </c>
      <c r="JGL138" s="26" t="s">
        <v>794</v>
      </c>
      <c r="JGM138" s="26">
        <v>4</v>
      </c>
      <c r="JGN138" s="26" t="s">
        <v>794</v>
      </c>
      <c r="JGO138" s="26">
        <v>4</v>
      </c>
      <c r="JGP138" s="26" t="s">
        <v>794</v>
      </c>
      <c r="JGQ138" s="26">
        <v>4</v>
      </c>
      <c r="JGR138" s="26" t="s">
        <v>794</v>
      </c>
      <c r="JGS138" s="26">
        <v>4</v>
      </c>
      <c r="JGT138" s="26" t="s">
        <v>794</v>
      </c>
      <c r="JGU138" s="26">
        <v>4</v>
      </c>
      <c r="JGV138" s="26" t="s">
        <v>794</v>
      </c>
      <c r="JGW138" s="26">
        <v>4</v>
      </c>
      <c r="JGX138" s="26" t="s">
        <v>794</v>
      </c>
      <c r="JGY138" s="26">
        <v>4</v>
      </c>
      <c r="JGZ138" s="26" t="s">
        <v>794</v>
      </c>
      <c r="JHA138" s="26">
        <v>4</v>
      </c>
      <c r="JHB138" s="26" t="s">
        <v>794</v>
      </c>
      <c r="JHC138" s="26">
        <v>4</v>
      </c>
      <c r="JHD138" s="26" t="s">
        <v>794</v>
      </c>
      <c r="JHE138" s="26">
        <v>4</v>
      </c>
      <c r="JHF138" s="26" t="s">
        <v>794</v>
      </c>
      <c r="JHG138" s="26">
        <v>4</v>
      </c>
      <c r="JHH138" s="26" t="s">
        <v>794</v>
      </c>
      <c r="JHI138" s="26">
        <v>4</v>
      </c>
      <c r="JHJ138" s="26" t="s">
        <v>794</v>
      </c>
      <c r="JHK138" s="26">
        <v>4</v>
      </c>
      <c r="JHL138" s="26" t="s">
        <v>794</v>
      </c>
      <c r="JHM138" s="26">
        <v>4</v>
      </c>
      <c r="JHN138" s="26" t="s">
        <v>794</v>
      </c>
      <c r="JHO138" s="26">
        <v>4</v>
      </c>
      <c r="JHP138" s="26" t="s">
        <v>794</v>
      </c>
      <c r="JHQ138" s="26">
        <v>4</v>
      </c>
      <c r="JHR138" s="26" t="s">
        <v>794</v>
      </c>
      <c r="JHS138" s="26">
        <v>4</v>
      </c>
      <c r="JHT138" s="26" t="s">
        <v>794</v>
      </c>
      <c r="JHU138" s="26">
        <v>4</v>
      </c>
      <c r="JHV138" s="26" t="s">
        <v>794</v>
      </c>
      <c r="JHW138" s="26">
        <v>4</v>
      </c>
      <c r="JHX138" s="26" t="s">
        <v>794</v>
      </c>
      <c r="JHY138" s="26">
        <v>4</v>
      </c>
      <c r="JHZ138" s="26" t="s">
        <v>794</v>
      </c>
      <c r="JIA138" s="26">
        <v>4</v>
      </c>
      <c r="JIB138" s="26" t="s">
        <v>794</v>
      </c>
      <c r="JIC138" s="26">
        <v>4</v>
      </c>
      <c r="JID138" s="26" t="s">
        <v>794</v>
      </c>
      <c r="JIE138" s="26">
        <v>4</v>
      </c>
      <c r="JIF138" s="26" t="s">
        <v>794</v>
      </c>
      <c r="JIG138" s="26">
        <v>4</v>
      </c>
      <c r="JIH138" s="26" t="s">
        <v>794</v>
      </c>
      <c r="JII138" s="26">
        <v>4</v>
      </c>
      <c r="JIJ138" s="26" t="s">
        <v>794</v>
      </c>
      <c r="JIK138" s="26">
        <v>4</v>
      </c>
      <c r="JIL138" s="26" t="s">
        <v>794</v>
      </c>
      <c r="JIM138" s="26">
        <v>4</v>
      </c>
      <c r="JIN138" s="26" t="s">
        <v>794</v>
      </c>
      <c r="JIO138" s="26">
        <v>4</v>
      </c>
      <c r="JIP138" s="26" t="s">
        <v>794</v>
      </c>
      <c r="JIQ138" s="26">
        <v>4</v>
      </c>
      <c r="JIR138" s="26" t="s">
        <v>794</v>
      </c>
      <c r="JIS138" s="26">
        <v>4</v>
      </c>
      <c r="JIT138" s="26" t="s">
        <v>794</v>
      </c>
      <c r="JIU138" s="26">
        <v>4</v>
      </c>
      <c r="JIV138" s="26" t="s">
        <v>794</v>
      </c>
      <c r="JIW138" s="26">
        <v>4</v>
      </c>
      <c r="JIX138" s="26" t="s">
        <v>794</v>
      </c>
      <c r="JIY138" s="26">
        <v>4</v>
      </c>
      <c r="JIZ138" s="26" t="s">
        <v>794</v>
      </c>
      <c r="JJA138" s="26">
        <v>4</v>
      </c>
      <c r="JJB138" s="26" t="s">
        <v>794</v>
      </c>
      <c r="JJC138" s="26">
        <v>4</v>
      </c>
      <c r="JJD138" s="26" t="s">
        <v>794</v>
      </c>
      <c r="JJE138" s="26">
        <v>4</v>
      </c>
      <c r="JJF138" s="26" t="s">
        <v>794</v>
      </c>
      <c r="JJG138" s="26">
        <v>4</v>
      </c>
      <c r="JJH138" s="26" t="s">
        <v>794</v>
      </c>
      <c r="JJI138" s="26">
        <v>4</v>
      </c>
      <c r="JJJ138" s="26" t="s">
        <v>794</v>
      </c>
      <c r="JJK138" s="26">
        <v>4</v>
      </c>
      <c r="JJL138" s="26" t="s">
        <v>794</v>
      </c>
      <c r="JJM138" s="26">
        <v>4</v>
      </c>
      <c r="JJN138" s="26" t="s">
        <v>794</v>
      </c>
      <c r="JJO138" s="26">
        <v>4</v>
      </c>
      <c r="JJP138" s="26" t="s">
        <v>794</v>
      </c>
      <c r="JJQ138" s="26">
        <v>4</v>
      </c>
      <c r="JJR138" s="26" t="s">
        <v>794</v>
      </c>
      <c r="JJS138" s="26">
        <v>4</v>
      </c>
      <c r="JJT138" s="26" t="s">
        <v>794</v>
      </c>
      <c r="JJU138" s="26">
        <v>4</v>
      </c>
      <c r="JJV138" s="26" t="s">
        <v>794</v>
      </c>
      <c r="JJW138" s="26">
        <v>4</v>
      </c>
      <c r="JJX138" s="26" t="s">
        <v>794</v>
      </c>
      <c r="JJY138" s="26">
        <v>4</v>
      </c>
      <c r="JJZ138" s="26" t="s">
        <v>794</v>
      </c>
      <c r="JKA138" s="26">
        <v>4</v>
      </c>
      <c r="JKB138" s="26" t="s">
        <v>794</v>
      </c>
      <c r="JKC138" s="26">
        <v>4</v>
      </c>
      <c r="JKD138" s="26" t="s">
        <v>794</v>
      </c>
      <c r="JKE138" s="26">
        <v>4</v>
      </c>
      <c r="JKF138" s="26" t="s">
        <v>794</v>
      </c>
      <c r="JKG138" s="26">
        <v>4</v>
      </c>
      <c r="JKH138" s="26" t="s">
        <v>794</v>
      </c>
      <c r="JKI138" s="26">
        <v>4</v>
      </c>
      <c r="JKJ138" s="26" t="s">
        <v>794</v>
      </c>
      <c r="JKK138" s="26">
        <v>4</v>
      </c>
      <c r="JKL138" s="26" t="s">
        <v>794</v>
      </c>
      <c r="JKM138" s="26">
        <v>4</v>
      </c>
      <c r="JKN138" s="26" t="s">
        <v>794</v>
      </c>
      <c r="JKO138" s="26">
        <v>4</v>
      </c>
      <c r="JKP138" s="26" t="s">
        <v>794</v>
      </c>
      <c r="JKQ138" s="26">
        <v>4</v>
      </c>
      <c r="JKR138" s="26" t="s">
        <v>794</v>
      </c>
      <c r="JKS138" s="26">
        <v>4</v>
      </c>
      <c r="JKT138" s="26" t="s">
        <v>794</v>
      </c>
      <c r="JKU138" s="26">
        <v>4</v>
      </c>
      <c r="JKV138" s="26" t="s">
        <v>794</v>
      </c>
      <c r="JKW138" s="26">
        <v>4</v>
      </c>
      <c r="JKX138" s="26" t="s">
        <v>794</v>
      </c>
      <c r="JKY138" s="26">
        <v>4</v>
      </c>
      <c r="JKZ138" s="26" t="s">
        <v>794</v>
      </c>
      <c r="JLA138" s="26">
        <v>4</v>
      </c>
      <c r="JLB138" s="26" t="s">
        <v>794</v>
      </c>
      <c r="JLC138" s="26">
        <v>4</v>
      </c>
      <c r="JLD138" s="26" t="s">
        <v>794</v>
      </c>
      <c r="JLE138" s="26">
        <v>4</v>
      </c>
      <c r="JLF138" s="26" t="s">
        <v>794</v>
      </c>
      <c r="JLG138" s="26">
        <v>4</v>
      </c>
      <c r="JLH138" s="26" t="s">
        <v>794</v>
      </c>
      <c r="JLI138" s="26">
        <v>4</v>
      </c>
      <c r="JLJ138" s="26" t="s">
        <v>794</v>
      </c>
      <c r="JLK138" s="26">
        <v>4</v>
      </c>
      <c r="JLL138" s="26" t="s">
        <v>794</v>
      </c>
      <c r="JLM138" s="26">
        <v>4</v>
      </c>
      <c r="JLN138" s="26" t="s">
        <v>794</v>
      </c>
      <c r="JLO138" s="26">
        <v>4</v>
      </c>
      <c r="JLP138" s="26" t="s">
        <v>794</v>
      </c>
      <c r="JLQ138" s="26">
        <v>4</v>
      </c>
      <c r="JLR138" s="26" t="s">
        <v>794</v>
      </c>
      <c r="JLS138" s="26">
        <v>4</v>
      </c>
      <c r="JLT138" s="26" t="s">
        <v>794</v>
      </c>
      <c r="JLU138" s="26">
        <v>4</v>
      </c>
      <c r="JLV138" s="26" t="s">
        <v>794</v>
      </c>
      <c r="JLW138" s="26">
        <v>4</v>
      </c>
      <c r="JLX138" s="26" t="s">
        <v>794</v>
      </c>
      <c r="JLY138" s="26">
        <v>4</v>
      </c>
      <c r="JLZ138" s="26" t="s">
        <v>794</v>
      </c>
      <c r="JMA138" s="26">
        <v>4</v>
      </c>
      <c r="JMB138" s="26" t="s">
        <v>794</v>
      </c>
      <c r="JMC138" s="26">
        <v>4</v>
      </c>
      <c r="JMD138" s="26" t="s">
        <v>794</v>
      </c>
      <c r="JME138" s="26">
        <v>4</v>
      </c>
      <c r="JMF138" s="26" t="s">
        <v>794</v>
      </c>
      <c r="JMG138" s="26">
        <v>4</v>
      </c>
      <c r="JMH138" s="26" t="s">
        <v>794</v>
      </c>
      <c r="JMI138" s="26">
        <v>4</v>
      </c>
      <c r="JMJ138" s="26" t="s">
        <v>794</v>
      </c>
      <c r="JMK138" s="26">
        <v>4</v>
      </c>
      <c r="JML138" s="26" t="s">
        <v>794</v>
      </c>
      <c r="JMM138" s="26">
        <v>4</v>
      </c>
      <c r="JMN138" s="26" t="s">
        <v>794</v>
      </c>
      <c r="JMO138" s="26">
        <v>4</v>
      </c>
      <c r="JMP138" s="26" t="s">
        <v>794</v>
      </c>
      <c r="JMQ138" s="26">
        <v>4</v>
      </c>
      <c r="JMR138" s="26" t="s">
        <v>794</v>
      </c>
      <c r="JMS138" s="26">
        <v>4</v>
      </c>
      <c r="JMT138" s="26" t="s">
        <v>794</v>
      </c>
      <c r="JMU138" s="26">
        <v>4</v>
      </c>
      <c r="JMV138" s="26" t="s">
        <v>794</v>
      </c>
      <c r="JMW138" s="26">
        <v>4</v>
      </c>
      <c r="JMX138" s="26" t="s">
        <v>794</v>
      </c>
      <c r="JMY138" s="26">
        <v>4</v>
      </c>
      <c r="JMZ138" s="26" t="s">
        <v>794</v>
      </c>
      <c r="JNA138" s="26">
        <v>4</v>
      </c>
      <c r="JNB138" s="26" t="s">
        <v>794</v>
      </c>
      <c r="JNC138" s="26">
        <v>4</v>
      </c>
      <c r="JND138" s="26" t="s">
        <v>794</v>
      </c>
      <c r="JNE138" s="26">
        <v>4</v>
      </c>
      <c r="JNF138" s="26" t="s">
        <v>794</v>
      </c>
      <c r="JNG138" s="26">
        <v>4</v>
      </c>
      <c r="JNH138" s="26" t="s">
        <v>794</v>
      </c>
      <c r="JNI138" s="26">
        <v>4</v>
      </c>
      <c r="JNJ138" s="26" t="s">
        <v>794</v>
      </c>
      <c r="JNK138" s="26">
        <v>4</v>
      </c>
      <c r="JNL138" s="26" t="s">
        <v>794</v>
      </c>
      <c r="JNM138" s="26">
        <v>4</v>
      </c>
      <c r="JNN138" s="26" t="s">
        <v>794</v>
      </c>
      <c r="JNO138" s="26">
        <v>4</v>
      </c>
      <c r="JNP138" s="26" t="s">
        <v>794</v>
      </c>
      <c r="JNQ138" s="26">
        <v>4</v>
      </c>
      <c r="JNR138" s="26" t="s">
        <v>794</v>
      </c>
      <c r="JNS138" s="26">
        <v>4</v>
      </c>
      <c r="JNT138" s="26" t="s">
        <v>794</v>
      </c>
      <c r="JNU138" s="26">
        <v>4</v>
      </c>
      <c r="JNV138" s="26" t="s">
        <v>794</v>
      </c>
      <c r="JNW138" s="26">
        <v>4</v>
      </c>
      <c r="JNX138" s="26" t="s">
        <v>794</v>
      </c>
      <c r="JNY138" s="26">
        <v>4</v>
      </c>
      <c r="JNZ138" s="26" t="s">
        <v>794</v>
      </c>
      <c r="JOA138" s="26">
        <v>4</v>
      </c>
      <c r="JOB138" s="26" t="s">
        <v>794</v>
      </c>
      <c r="JOC138" s="26">
        <v>4</v>
      </c>
      <c r="JOD138" s="26" t="s">
        <v>794</v>
      </c>
      <c r="JOE138" s="26">
        <v>4</v>
      </c>
      <c r="JOF138" s="26" t="s">
        <v>794</v>
      </c>
      <c r="JOG138" s="26">
        <v>4</v>
      </c>
      <c r="JOH138" s="26" t="s">
        <v>794</v>
      </c>
      <c r="JOI138" s="26">
        <v>4</v>
      </c>
      <c r="JOJ138" s="26" t="s">
        <v>794</v>
      </c>
      <c r="JOK138" s="26">
        <v>4</v>
      </c>
      <c r="JOL138" s="26" t="s">
        <v>794</v>
      </c>
      <c r="JOM138" s="26">
        <v>4</v>
      </c>
      <c r="JON138" s="26" t="s">
        <v>794</v>
      </c>
      <c r="JOO138" s="26">
        <v>4</v>
      </c>
      <c r="JOP138" s="26" t="s">
        <v>794</v>
      </c>
      <c r="JOQ138" s="26">
        <v>4</v>
      </c>
      <c r="JOR138" s="26" t="s">
        <v>794</v>
      </c>
      <c r="JOS138" s="26">
        <v>4</v>
      </c>
      <c r="JOT138" s="26" t="s">
        <v>794</v>
      </c>
      <c r="JOU138" s="26">
        <v>4</v>
      </c>
      <c r="JOV138" s="26" t="s">
        <v>794</v>
      </c>
      <c r="JOW138" s="26">
        <v>4</v>
      </c>
      <c r="JOX138" s="26" t="s">
        <v>794</v>
      </c>
      <c r="JOY138" s="26">
        <v>4</v>
      </c>
      <c r="JOZ138" s="26" t="s">
        <v>794</v>
      </c>
      <c r="JPA138" s="26">
        <v>4</v>
      </c>
      <c r="JPB138" s="26" t="s">
        <v>794</v>
      </c>
      <c r="JPC138" s="26">
        <v>4</v>
      </c>
      <c r="JPD138" s="26" t="s">
        <v>794</v>
      </c>
      <c r="JPE138" s="26">
        <v>4</v>
      </c>
      <c r="JPF138" s="26" t="s">
        <v>794</v>
      </c>
      <c r="JPG138" s="26">
        <v>4</v>
      </c>
      <c r="JPH138" s="26" t="s">
        <v>794</v>
      </c>
      <c r="JPI138" s="26">
        <v>4</v>
      </c>
      <c r="JPJ138" s="26" t="s">
        <v>794</v>
      </c>
      <c r="JPK138" s="26">
        <v>4</v>
      </c>
      <c r="JPL138" s="26" t="s">
        <v>794</v>
      </c>
      <c r="JPM138" s="26">
        <v>4</v>
      </c>
      <c r="JPN138" s="26" t="s">
        <v>794</v>
      </c>
      <c r="JPO138" s="26">
        <v>4</v>
      </c>
      <c r="JPP138" s="26" t="s">
        <v>794</v>
      </c>
      <c r="JPQ138" s="26">
        <v>4</v>
      </c>
      <c r="JPR138" s="26" t="s">
        <v>794</v>
      </c>
      <c r="JPS138" s="26">
        <v>4</v>
      </c>
      <c r="JPT138" s="26" t="s">
        <v>794</v>
      </c>
      <c r="JPU138" s="26">
        <v>4</v>
      </c>
      <c r="JPV138" s="26" t="s">
        <v>794</v>
      </c>
      <c r="JPW138" s="26">
        <v>4</v>
      </c>
      <c r="JPX138" s="26" t="s">
        <v>794</v>
      </c>
      <c r="JPY138" s="26">
        <v>4</v>
      </c>
      <c r="JPZ138" s="26" t="s">
        <v>794</v>
      </c>
      <c r="JQA138" s="26">
        <v>4</v>
      </c>
      <c r="JQB138" s="26" t="s">
        <v>794</v>
      </c>
      <c r="JQC138" s="26">
        <v>4</v>
      </c>
      <c r="JQD138" s="26" t="s">
        <v>794</v>
      </c>
      <c r="JQE138" s="26">
        <v>4</v>
      </c>
      <c r="JQF138" s="26" t="s">
        <v>794</v>
      </c>
      <c r="JQG138" s="26">
        <v>4</v>
      </c>
      <c r="JQH138" s="26" t="s">
        <v>794</v>
      </c>
      <c r="JQI138" s="26">
        <v>4</v>
      </c>
      <c r="JQJ138" s="26" t="s">
        <v>794</v>
      </c>
      <c r="JQK138" s="26">
        <v>4</v>
      </c>
      <c r="JQL138" s="26" t="s">
        <v>794</v>
      </c>
      <c r="JQM138" s="26">
        <v>4</v>
      </c>
      <c r="JQN138" s="26" t="s">
        <v>794</v>
      </c>
      <c r="JQO138" s="26">
        <v>4</v>
      </c>
      <c r="JQP138" s="26" t="s">
        <v>794</v>
      </c>
      <c r="JQQ138" s="26">
        <v>4</v>
      </c>
      <c r="JQR138" s="26" t="s">
        <v>794</v>
      </c>
      <c r="JQS138" s="26">
        <v>4</v>
      </c>
      <c r="JQT138" s="26" t="s">
        <v>794</v>
      </c>
      <c r="JQU138" s="26">
        <v>4</v>
      </c>
      <c r="JQV138" s="26" t="s">
        <v>794</v>
      </c>
      <c r="JQW138" s="26">
        <v>4</v>
      </c>
      <c r="JQX138" s="26" t="s">
        <v>794</v>
      </c>
      <c r="JQY138" s="26">
        <v>4</v>
      </c>
      <c r="JQZ138" s="26" t="s">
        <v>794</v>
      </c>
      <c r="JRA138" s="26">
        <v>4</v>
      </c>
      <c r="JRB138" s="26" t="s">
        <v>794</v>
      </c>
      <c r="JRC138" s="26">
        <v>4</v>
      </c>
      <c r="JRD138" s="26" t="s">
        <v>794</v>
      </c>
      <c r="JRE138" s="26">
        <v>4</v>
      </c>
      <c r="JRF138" s="26" t="s">
        <v>794</v>
      </c>
      <c r="JRG138" s="26">
        <v>4</v>
      </c>
      <c r="JRH138" s="26" t="s">
        <v>794</v>
      </c>
      <c r="JRI138" s="26">
        <v>4</v>
      </c>
      <c r="JRJ138" s="26" t="s">
        <v>794</v>
      </c>
      <c r="JRK138" s="26">
        <v>4</v>
      </c>
      <c r="JRL138" s="26" t="s">
        <v>794</v>
      </c>
      <c r="JRM138" s="26">
        <v>4</v>
      </c>
      <c r="JRN138" s="26" t="s">
        <v>794</v>
      </c>
      <c r="JRO138" s="26">
        <v>4</v>
      </c>
      <c r="JRP138" s="26" t="s">
        <v>794</v>
      </c>
      <c r="JRQ138" s="26">
        <v>4</v>
      </c>
      <c r="JRR138" s="26" t="s">
        <v>794</v>
      </c>
      <c r="JRS138" s="26">
        <v>4</v>
      </c>
      <c r="JRT138" s="26" t="s">
        <v>794</v>
      </c>
      <c r="JRU138" s="26">
        <v>4</v>
      </c>
      <c r="JRV138" s="26" t="s">
        <v>794</v>
      </c>
      <c r="JRW138" s="26">
        <v>4</v>
      </c>
      <c r="JRX138" s="26" t="s">
        <v>794</v>
      </c>
      <c r="JRY138" s="26">
        <v>4</v>
      </c>
      <c r="JRZ138" s="26" t="s">
        <v>794</v>
      </c>
      <c r="JSA138" s="26">
        <v>4</v>
      </c>
      <c r="JSB138" s="26" t="s">
        <v>794</v>
      </c>
      <c r="JSC138" s="26">
        <v>4</v>
      </c>
      <c r="JSD138" s="26" t="s">
        <v>794</v>
      </c>
      <c r="JSE138" s="26">
        <v>4</v>
      </c>
      <c r="JSF138" s="26" t="s">
        <v>794</v>
      </c>
      <c r="JSG138" s="26">
        <v>4</v>
      </c>
      <c r="JSH138" s="26" t="s">
        <v>794</v>
      </c>
      <c r="JSI138" s="26">
        <v>4</v>
      </c>
      <c r="JSJ138" s="26" t="s">
        <v>794</v>
      </c>
      <c r="JSK138" s="26">
        <v>4</v>
      </c>
      <c r="JSL138" s="26" t="s">
        <v>794</v>
      </c>
      <c r="JSM138" s="26">
        <v>4</v>
      </c>
      <c r="JSN138" s="26" t="s">
        <v>794</v>
      </c>
      <c r="JSO138" s="26">
        <v>4</v>
      </c>
      <c r="JSP138" s="26" t="s">
        <v>794</v>
      </c>
      <c r="JSQ138" s="26">
        <v>4</v>
      </c>
      <c r="JSR138" s="26" t="s">
        <v>794</v>
      </c>
      <c r="JSS138" s="26">
        <v>4</v>
      </c>
      <c r="JST138" s="26" t="s">
        <v>794</v>
      </c>
      <c r="JSU138" s="26">
        <v>4</v>
      </c>
      <c r="JSV138" s="26" t="s">
        <v>794</v>
      </c>
      <c r="JSW138" s="26">
        <v>4</v>
      </c>
      <c r="JSX138" s="26" t="s">
        <v>794</v>
      </c>
      <c r="JSY138" s="26">
        <v>4</v>
      </c>
      <c r="JSZ138" s="26" t="s">
        <v>794</v>
      </c>
      <c r="JTA138" s="26">
        <v>4</v>
      </c>
      <c r="JTB138" s="26" t="s">
        <v>794</v>
      </c>
      <c r="JTC138" s="26">
        <v>4</v>
      </c>
      <c r="JTD138" s="26" t="s">
        <v>794</v>
      </c>
      <c r="JTE138" s="26">
        <v>4</v>
      </c>
      <c r="JTF138" s="26" t="s">
        <v>794</v>
      </c>
      <c r="JTG138" s="26">
        <v>4</v>
      </c>
      <c r="JTH138" s="26" t="s">
        <v>794</v>
      </c>
      <c r="JTI138" s="26">
        <v>4</v>
      </c>
      <c r="JTJ138" s="26" t="s">
        <v>794</v>
      </c>
      <c r="JTK138" s="26">
        <v>4</v>
      </c>
      <c r="JTL138" s="26" t="s">
        <v>794</v>
      </c>
      <c r="JTM138" s="26">
        <v>4</v>
      </c>
      <c r="JTN138" s="26" t="s">
        <v>794</v>
      </c>
      <c r="JTO138" s="26">
        <v>4</v>
      </c>
      <c r="JTP138" s="26" t="s">
        <v>794</v>
      </c>
      <c r="JTQ138" s="26">
        <v>4</v>
      </c>
      <c r="JTR138" s="26" t="s">
        <v>794</v>
      </c>
      <c r="JTS138" s="26">
        <v>4</v>
      </c>
      <c r="JTT138" s="26" t="s">
        <v>794</v>
      </c>
      <c r="JTU138" s="26">
        <v>4</v>
      </c>
      <c r="JTV138" s="26" t="s">
        <v>794</v>
      </c>
      <c r="JTW138" s="26">
        <v>4</v>
      </c>
      <c r="JTX138" s="26" t="s">
        <v>794</v>
      </c>
      <c r="JTY138" s="26">
        <v>4</v>
      </c>
      <c r="JTZ138" s="26" t="s">
        <v>794</v>
      </c>
      <c r="JUA138" s="26">
        <v>4</v>
      </c>
      <c r="JUB138" s="26" t="s">
        <v>794</v>
      </c>
      <c r="JUC138" s="26">
        <v>4</v>
      </c>
      <c r="JUD138" s="26" t="s">
        <v>794</v>
      </c>
      <c r="JUE138" s="26">
        <v>4</v>
      </c>
      <c r="JUF138" s="26" t="s">
        <v>794</v>
      </c>
      <c r="JUG138" s="26">
        <v>4</v>
      </c>
      <c r="JUH138" s="26" t="s">
        <v>794</v>
      </c>
      <c r="JUI138" s="26">
        <v>4</v>
      </c>
      <c r="JUJ138" s="26" t="s">
        <v>794</v>
      </c>
      <c r="JUK138" s="26">
        <v>4</v>
      </c>
      <c r="JUL138" s="26" t="s">
        <v>794</v>
      </c>
      <c r="JUM138" s="26">
        <v>4</v>
      </c>
      <c r="JUN138" s="26" t="s">
        <v>794</v>
      </c>
      <c r="JUO138" s="26">
        <v>4</v>
      </c>
      <c r="JUP138" s="26" t="s">
        <v>794</v>
      </c>
      <c r="JUQ138" s="26">
        <v>4</v>
      </c>
      <c r="JUR138" s="26" t="s">
        <v>794</v>
      </c>
      <c r="JUS138" s="26">
        <v>4</v>
      </c>
      <c r="JUT138" s="26" t="s">
        <v>794</v>
      </c>
      <c r="JUU138" s="26">
        <v>4</v>
      </c>
      <c r="JUV138" s="26" t="s">
        <v>794</v>
      </c>
      <c r="JUW138" s="26">
        <v>4</v>
      </c>
      <c r="JUX138" s="26" t="s">
        <v>794</v>
      </c>
      <c r="JUY138" s="26">
        <v>4</v>
      </c>
      <c r="JUZ138" s="26" t="s">
        <v>794</v>
      </c>
      <c r="JVA138" s="26">
        <v>4</v>
      </c>
      <c r="JVB138" s="26" t="s">
        <v>794</v>
      </c>
      <c r="JVC138" s="26">
        <v>4</v>
      </c>
      <c r="JVD138" s="26" t="s">
        <v>794</v>
      </c>
      <c r="JVE138" s="26">
        <v>4</v>
      </c>
      <c r="JVF138" s="26" t="s">
        <v>794</v>
      </c>
      <c r="JVG138" s="26">
        <v>4</v>
      </c>
      <c r="JVH138" s="26" t="s">
        <v>794</v>
      </c>
      <c r="JVI138" s="26">
        <v>4</v>
      </c>
      <c r="JVJ138" s="26" t="s">
        <v>794</v>
      </c>
      <c r="JVK138" s="26">
        <v>4</v>
      </c>
      <c r="JVL138" s="26" t="s">
        <v>794</v>
      </c>
      <c r="JVM138" s="26">
        <v>4</v>
      </c>
      <c r="JVN138" s="26" t="s">
        <v>794</v>
      </c>
      <c r="JVO138" s="26">
        <v>4</v>
      </c>
      <c r="JVP138" s="26" t="s">
        <v>794</v>
      </c>
      <c r="JVQ138" s="26">
        <v>4</v>
      </c>
      <c r="JVR138" s="26" t="s">
        <v>794</v>
      </c>
      <c r="JVS138" s="26">
        <v>4</v>
      </c>
      <c r="JVT138" s="26" t="s">
        <v>794</v>
      </c>
      <c r="JVU138" s="26">
        <v>4</v>
      </c>
      <c r="JVV138" s="26" t="s">
        <v>794</v>
      </c>
      <c r="JVW138" s="26">
        <v>4</v>
      </c>
      <c r="JVX138" s="26" t="s">
        <v>794</v>
      </c>
      <c r="JVY138" s="26">
        <v>4</v>
      </c>
      <c r="JVZ138" s="26" t="s">
        <v>794</v>
      </c>
      <c r="JWA138" s="26">
        <v>4</v>
      </c>
      <c r="JWB138" s="26" t="s">
        <v>794</v>
      </c>
      <c r="JWC138" s="26">
        <v>4</v>
      </c>
      <c r="JWD138" s="26" t="s">
        <v>794</v>
      </c>
      <c r="JWE138" s="26">
        <v>4</v>
      </c>
      <c r="JWF138" s="26" t="s">
        <v>794</v>
      </c>
      <c r="JWG138" s="26">
        <v>4</v>
      </c>
      <c r="JWH138" s="26" t="s">
        <v>794</v>
      </c>
      <c r="JWI138" s="26">
        <v>4</v>
      </c>
      <c r="JWJ138" s="26" t="s">
        <v>794</v>
      </c>
      <c r="JWK138" s="26">
        <v>4</v>
      </c>
      <c r="JWL138" s="26" t="s">
        <v>794</v>
      </c>
      <c r="JWM138" s="26">
        <v>4</v>
      </c>
      <c r="JWN138" s="26" t="s">
        <v>794</v>
      </c>
      <c r="JWO138" s="26">
        <v>4</v>
      </c>
      <c r="JWP138" s="26" t="s">
        <v>794</v>
      </c>
      <c r="JWQ138" s="26">
        <v>4</v>
      </c>
      <c r="JWR138" s="26" t="s">
        <v>794</v>
      </c>
      <c r="JWS138" s="26">
        <v>4</v>
      </c>
      <c r="JWT138" s="26" t="s">
        <v>794</v>
      </c>
      <c r="JWU138" s="26">
        <v>4</v>
      </c>
      <c r="JWV138" s="26" t="s">
        <v>794</v>
      </c>
      <c r="JWW138" s="26">
        <v>4</v>
      </c>
      <c r="JWX138" s="26" t="s">
        <v>794</v>
      </c>
      <c r="JWY138" s="26">
        <v>4</v>
      </c>
      <c r="JWZ138" s="26" t="s">
        <v>794</v>
      </c>
      <c r="JXA138" s="26">
        <v>4</v>
      </c>
      <c r="JXB138" s="26" t="s">
        <v>794</v>
      </c>
      <c r="JXC138" s="26">
        <v>4</v>
      </c>
      <c r="JXD138" s="26" t="s">
        <v>794</v>
      </c>
      <c r="JXE138" s="26">
        <v>4</v>
      </c>
      <c r="JXF138" s="26" t="s">
        <v>794</v>
      </c>
      <c r="JXG138" s="26">
        <v>4</v>
      </c>
      <c r="JXH138" s="26" t="s">
        <v>794</v>
      </c>
      <c r="JXI138" s="26">
        <v>4</v>
      </c>
      <c r="JXJ138" s="26" t="s">
        <v>794</v>
      </c>
      <c r="JXK138" s="26">
        <v>4</v>
      </c>
      <c r="JXL138" s="26" t="s">
        <v>794</v>
      </c>
      <c r="JXM138" s="26">
        <v>4</v>
      </c>
      <c r="JXN138" s="26" t="s">
        <v>794</v>
      </c>
      <c r="JXO138" s="26">
        <v>4</v>
      </c>
      <c r="JXP138" s="26" t="s">
        <v>794</v>
      </c>
      <c r="JXQ138" s="26">
        <v>4</v>
      </c>
      <c r="JXR138" s="26" t="s">
        <v>794</v>
      </c>
      <c r="JXS138" s="26">
        <v>4</v>
      </c>
      <c r="JXT138" s="26" t="s">
        <v>794</v>
      </c>
      <c r="JXU138" s="26">
        <v>4</v>
      </c>
      <c r="JXV138" s="26" t="s">
        <v>794</v>
      </c>
      <c r="JXW138" s="26">
        <v>4</v>
      </c>
      <c r="JXX138" s="26" t="s">
        <v>794</v>
      </c>
      <c r="JXY138" s="26">
        <v>4</v>
      </c>
      <c r="JXZ138" s="26" t="s">
        <v>794</v>
      </c>
      <c r="JYA138" s="26">
        <v>4</v>
      </c>
      <c r="JYB138" s="26" t="s">
        <v>794</v>
      </c>
      <c r="JYC138" s="26">
        <v>4</v>
      </c>
      <c r="JYD138" s="26" t="s">
        <v>794</v>
      </c>
      <c r="JYE138" s="26">
        <v>4</v>
      </c>
      <c r="JYF138" s="26" t="s">
        <v>794</v>
      </c>
      <c r="JYG138" s="26">
        <v>4</v>
      </c>
      <c r="JYH138" s="26" t="s">
        <v>794</v>
      </c>
      <c r="JYI138" s="26">
        <v>4</v>
      </c>
      <c r="JYJ138" s="26" t="s">
        <v>794</v>
      </c>
      <c r="JYK138" s="26">
        <v>4</v>
      </c>
      <c r="JYL138" s="26" t="s">
        <v>794</v>
      </c>
      <c r="JYM138" s="26">
        <v>4</v>
      </c>
      <c r="JYN138" s="26" t="s">
        <v>794</v>
      </c>
      <c r="JYO138" s="26">
        <v>4</v>
      </c>
      <c r="JYP138" s="26" t="s">
        <v>794</v>
      </c>
      <c r="JYQ138" s="26">
        <v>4</v>
      </c>
      <c r="JYR138" s="26" t="s">
        <v>794</v>
      </c>
      <c r="JYS138" s="26">
        <v>4</v>
      </c>
      <c r="JYT138" s="26" t="s">
        <v>794</v>
      </c>
      <c r="JYU138" s="26">
        <v>4</v>
      </c>
      <c r="JYV138" s="26" t="s">
        <v>794</v>
      </c>
      <c r="JYW138" s="26">
        <v>4</v>
      </c>
      <c r="JYX138" s="26" t="s">
        <v>794</v>
      </c>
      <c r="JYY138" s="26">
        <v>4</v>
      </c>
      <c r="JYZ138" s="26" t="s">
        <v>794</v>
      </c>
      <c r="JZA138" s="26">
        <v>4</v>
      </c>
      <c r="JZB138" s="26" t="s">
        <v>794</v>
      </c>
      <c r="JZC138" s="26">
        <v>4</v>
      </c>
      <c r="JZD138" s="26" t="s">
        <v>794</v>
      </c>
      <c r="JZE138" s="26">
        <v>4</v>
      </c>
      <c r="JZF138" s="26" t="s">
        <v>794</v>
      </c>
      <c r="JZG138" s="26">
        <v>4</v>
      </c>
      <c r="JZH138" s="26" t="s">
        <v>794</v>
      </c>
      <c r="JZI138" s="26">
        <v>4</v>
      </c>
      <c r="JZJ138" s="26" t="s">
        <v>794</v>
      </c>
      <c r="JZK138" s="26">
        <v>4</v>
      </c>
      <c r="JZL138" s="26" t="s">
        <v>794</v>
      </c>
      <c r="JZM138" s="26">
        <v>4</v>
      </c>
      <c r="JZN138" s="26" t="s">
        <v>794</v>
      </c>
      <c r="JZO138" s="26">
        <v>4</v>
      </c>
      <c r="JZP138" s="26" t="s">
        <v>794</v>
      </c>
      <c r="JZQ138" s="26">
        <v>4</v>
      </c>
      <c r="JZR138" s="26" t="s">
        <v>794</v>
      </c>
      <c r="JZS138" s="26">
        <v>4</v>
      </c>
      <c r="JZT138" s="26" t="s">
        <v>794</v>
      </c>
      <c r="JZU138" s="26">
        <v>4</v>
      </c>
      <c r="JZV138" s="26" t="s">
        <v>794</v>
      </c>
      <c r="JZW138" s="26">
        <v>4</v>
      </c>
      <c r="JZX138" s="26" t="s">
        <v>794</v>
      </c>
      <c r="JZY138" s="26">
        <v>4</v>
      </c>
      <c r="JZZ138" s="26" t="s">
        <v>794</v>
      </c>
      <c r="KAA138" s="26">
        <v>4</v>
      </c>
      <c r="KAB138" s="26" t="s">
        <v>794</v>
      </c>
      <c r="KAC138" s="26">
        <v>4</v>
      </c>
      <c r="KAD138" s="26" t="s">
        <v>794</v>
      </c>
      <c r="KAE138" s="26">
        <v>4</v>
      </c>
      <c r="KAF138" s="26" t="s">
        <v>794</v>
      </c>
      <c r="KAG138" s="26">
        <v>4</v>
      </c>
      <c r="KAH138" s="26" t="s">
        <v>794</v>
      </c>
      <c r="KAI138" s="26">
        <v>4</v>
      </c>
      <c r="KAJ138" s="26" t="s">
        <v>794</v>
      </c>
      <c r="KAK138" s="26">
        <v>4</v>
      </c>
      <c r="KAL138" s="26" t="s">
        <v>794</v>
      </c>
      <c r="KAM138" s="26">
        <v>4</v>
      </c>
      <c r="KAN138" s="26" t="s">
        <v>794</v>
      </c>
      <c r="KAO138" s="26">
        <v>4</v>
      </c>
      <c r="KAP138" s="26" t="s">
        <v>794</v>
      </c>
      <c r="KAQ138" s="26">
        <v>4</v>
      </c>
      <c r="KAR138" s="26" t="s">
        <v>794</v>
      </c>
      <c r="KAS138" s="26">
        <v>4</v>
      </c>
      <c r="KAT138" s="26" t="s">
        <v>794</v>
      </c>
      <c r="KAU138" s="26">
        <v>4</v>
      </c>
      <c r="KAV138" s="26" t="s">
        <v>794</v>
      </c>
      <c r="KAW138" s="26">
        <v>4</v>
      </c>
      <c r="KAX138" s="26" t="s">
        <v>794</v>
      </c>
      <c r="KAY138" s="26">
        <v>4</v>
      </c>
      <c r="KAZ138" s="26" t="s">
        <v>794</v>
      </c>
      <c r="KBA138" s="26">
        <v>4</v>
      </c>
      <c r="KBB138" s="26" t="s">
        <v>794</v>
      </c>
      <c r="KBC138" s="26">
        <v>4</v>
      </c>
      <c r="KBD138" s="26" t="s">
        <v>794</v>
      </c>
      <c r="KBE138" s="26">
        <v>4</v>
      </c>
      <c r="KBF138" s="26" t="s">
        <v>794</v>
      </c>
      <c r="KBG138" s="26">
        <v>4</v>
      </c>
      <c r="KBH138" s="26" t="s">
        <v>794</v>
      </c>
      <c r="KBI138" s="26">
        <v>4</v>
      </c>
      <c r="KBJ138" s="26" t="s">
        <v>794</v>
      </c>
      <c r="KBK138" s="26">
        <v>4</v>
      </c>
      <c r="KBL138" s="26" t="s">
        <v>794</v>
      </c>
      <c r="KBM138" s="26">
        <v>4</v>
      </c>
      <c r="KBN138" s="26" t="s">
        <v>794</v>
      </c>
      <c r="KBO138" s="26">
        <v>4</v>
      </c>
      <c r="KBP138" s="26" t="s">
        <v>794</v>
      </c>
      <c r="KBQ138" s="26">
        <v>4</v>
      </c>
      <c r="KBR138" s="26" t="s">
        <v>794</v>
      </c>
      <c r="KBS138" s="26">
        <v>4</v>
      </c>
      <c r="KBT138" s="26" t="s">
        <v>794</v>
      </c>
      <c r="KBU138" s="26">
        <v>4</v>
      </c>
      <c r="KBV138" s="26" t="s">
        <v>794</v>
      </c>
      <c r="KBW138" s="26">
        <v>4</v>
      </c>
      <c r="KBX138" s="26" t="s">
        <v>794</v>
      </c>
      <c r="KBY138" s="26">
        <v>4</v>
      </c>
      <c r="KBZ138" s="26" t="s">
        <v>794</v>
      </c>
      <c r="KCA138" s="26">
        <v>4</v>
      </c>
      <c r="KCB138" s="26" t="s">
        <v>794</v>
      </c>
      <c r="KCC138" s="26">
        <v>4</v>
      </c>
      <c r="KCD138" s="26" t="s">
        <v>794</v>
      </c>
      <c r="KCE138" s="26">
        <v>4</v>
      </c>
      <c r="KCF138" s="26" t="s">
        <v>794</v>
      </c>
      <c r="KCG138" s="26">
        <v>4</v>
      </c>
      <c r="KCH138" s="26" t="s">
        <v>794</v>
      </c>
      <c r="KCI138" s="26">
        <v>4</v>
      </c>
      <c r="KCJ138" s="26" t="s">
        <v>794</v>
      </c>
      <c r="KCK138" s="26">
        <v>4</v>
      </c>
      <c r="KCL138" s="26" t="s">
        <v>794</v>
      </c>
      <c r="KCM138" s="26">
        <v>4</v>
      </c>
      <c r="KCN138" s="26" t="s">
        <v>794</v>
      </c>
      <c r="KCO138" s="26">
        <v>4</v>
      </c>
      <c r="KCP138" s="26" t="s">
        <v>794</v>
      </c>
      <c r="KCQ138" s="26">
        <v>4</v>
      </c>
      <c r="KCR138" s="26" t="s">
        <v>794</v>
      </c>
      <c r="KCS138" s="26">
        <v>4</v>
      </c>
      <c r="KCT138" s="26" t="s">
        <v>794</v>
      </c>
      <c r="KCU138" s="26">
        <v>4</v>
      </c>
      <c r="KCV138" s="26" t="s">
        <v>794</v>
      </c>
      <c r="KCW138" s="26">
        <v>4</v>
      </c>
      <c r="KCX138" s="26" t="s">
        <v>794</v>
      </c>
      <c r="KCY138" s="26">
        <v>4</v>
      </c>
      <c r="KCZ138" s="26" t="s">
        <v>794</v>
      </c>
      <c r="KDA138" s="26">
        <v>4</v>
      </c>
      <c r="KDB138" s="26" t="s">
        <v>794</v>
      </c>
      <c r="KDC138" s="26">
        <v>4</v>
      </c>
      <c r="KDD138" s="26" t="s">
        <v>794</v>
      </c>
      <c r="KDE138" s="26">
        <v>4</v>
      </c>
      <c r="KDF138" s="26" t="s">
        <v>794</v>
      </c>
      <c r="KDG138" s="26">
        <v>4</v>
      </c>
      <c r="KDH138" s="26" t="s">
        <v>794</v>
      </c>
      <c r="KDI138" s="26">
        <v>4</v>
      </c>
      <c r="KDJ138" s="26" t="s">
        <v>794</v>
      </c>
      <c r="KDK138" s="26">
        <v>4</v>
      </c>
      <c r="KDL138" s="26" t="s">
        <v>794</v>
      </c>
      <c r="KDM138" s="26">
        <v>4</v>
      </c>
      <c r="KDN138" s="26" t="s">
        <v>794</v>
      </c>
      <c r="KDO138" s="26">
        <v>4</v>
      </c>
      <c r="KDP138" s="26" t="s">
        <v>794</v>
      </c>
      <c r="KDQ138" s="26">
        <v>4</v>
      </c>
      <c r="KDR138" s="26" t="s">
        <v>794</v>
      </c>
      <c r="KDS138" s="26">
        <v>4</v>
      </c>
      <c r="KDT138" s="26" t="s">
        <v>794</v>
      </c>
      <c r="KDU138" s="26">
        <v>4</v>
      </c>
      <c r="KDV138" s="26" t="s">
        <v>794</v>
      </c>
      <c r="KDW138" s="26">
        <v>4</v>
      </c>
      <c r="KDX138" s="26" t="s">
        <v>794</v>
      </c>
      <c r="KDY138" s="26">
        <v>4</v>
      </c>
      <c r="KDZ138" s="26" t="s">
        <v>794</v>
      </c>
      <c r="KEA138" s="26">
        <v>4</v>
      </c>
      <c r="KEB138" s="26" t="s">
        <v>794</v>
      </c>
      <c r="KEC138" s="26">
        <v>4</v>
      </c>
      <c r="KED138" s="26" t="s">
        <v>794</v>
      </c>
      <c r="KEE138" s="26">
        <v>4</v>
      </c>
      <c r="KEF138" s="26" t="s">
        <v>794</v>
      </c>
      <c r="KEG138" s="26">
        <v>4</v>
      </c>
      <c r="KEH138" s="26" t="s">
        <v>794</v>
      </c>
      <c r="KEI138" s="26">
        <v>4</v>
      </c>
      <c r="KEJ138" s="26" t="s">
        <v>794</v>
      </c>
      <c r="KEK138" s="26">
        <v>4</v>
      </c>
      <c r="KEL138" s="26" t="s">
        <v>794</v>
      </c>
      <c r="KEM138" s="26">
        <v>4</v>
      </c>
      <c r="KEN138" s="26" t="s">
        <v>794</v>
      </c>
      <c r="KEO138" s="26">
        <v>4</v>
      </c>
      <c r="KEP138" s="26" t="s">
        <v>794</v>
      </c>
      <c r="KEQ138" s="26">
        <v>4</v>
      </c>
      <c r="KER138" s="26" t="s">
        <v>794</v>
      </c>
      <c r="KES138" s="26">
        <v>4</v>
      </c>
      <c r="KET138" s="26" t="s">
        <v>794</v>
      </c>
      <c r="KEU138" s="26">
        <v>4</v>
      </c>
      <c r="KEV138" s="26" t="s">
        <v>794</v>
      </c>
      <c r="KEW138" s="26">
        <v>4</v>
      </c>
      <c r="KEX138" s="26" t="s">
        <v>794</v>
      </c>
      <c r="KEY138" s="26">
        <v>4</v>
      </c>
      <c r="KEZ138" s="26" t="s">
        <v>794</v>
      </c>
      <c r="KFA138" s="26">
        <v>4</v>
      </c>
      <c r="KFB138" s="26" t="s">
        <v>794</v>
      </c>
      <c r="KFC138" s="26">
        <v>4</v>
      </c>
      <c r="KFD138" s="26" t="s">
        <v>794</v>
      </c>
      <c r="KFE138" s="26">
        <v>4</v>
      </c>
      <c r="KFF138" s="26" t="s">
        <v>794</v>
      </c>
      <c r="KFG138" s="26">
        <v>4</v>
      </c>
      <c r="KFH138" s="26" t="s">
        <v>794</v>
      </c>
      <c r="KFI138" s="26">
        <v>4</v>
      </c>
      <c r="KFJ138" s="26" t="s">
        <v>794</v>
      </c>
      <c r="KFK138" s="26">
        <v>4</v>
      </c>
      <c r="KFL138" s="26" t="s">
        <v>794</v>
      </c>
      <c r="KFM138" s="26">
        <v>4</v>
      </c>
      <c r="KFN138" s="26" t="s">
        <v>794</v>
      </c>
      <c r="KFO138" s="26">
        <v>4</v>
      </c>
      <c r="KFP138" s="26" t="s">
        <v>794</v>
      </c>
      <c r="KFQ138" s="26">
        <v>4</v>
      </c>
      <c r="KFR138" s="26" t="s">
        <v>794</v>
      </c>
      <c r="KFS138" s="26">
        <v>4</v>
      </c>
      <c r="KFT138" s="26" t="s">
        <v>794</v>
      </c>
      <c r="KFU138" s="26">
        <v>4</v>
      </c>
      <c r="KFV138" s="26" t="s">
        <v>794</v>
      </c>
      <c r="KFW138" s="26">
        <v>4</v>
      </c>
      <c r="KFX138" s="26" t="s">
        <v>794</v>
      </c>
      <c r="KFY138" s="26">
        <v>4</v>
      </c>
      <c r="KFZ138" s="26" t="s">
        <v>794</v>
      </c>
      <c r="KGA138" s="26">
        <v>4</v>
      </c>
      <c r="KGB138" s="26" t="s">
        <v>794</v>
      </c>
      <c r="KGC138" s="26">
        <v>4</v>
      </c>
      <c r="KGD138" s="26" t="s">
        <v>794</v>
      </c>
      <c r="KGE138" s="26">
        <v>4</v>
      </c>
      <c r="KGF138" s="26" t="s">
        <v>794</v>
      </c>
      <c r="KGG138" s="26">
        <v>4</v>
      </c>
      <c r="KGH138" s="26" t="s">
        <v>794</v>
      </c>
      <c r="KGI138" s="26">
        <v>4</v>
      </c>
      <c r="KGJ138" s="26" t="s">
        <v>794</v>
      </c>
      <c r="KGK138" s="26">
        <v>4</v>
      </c>
      <c r="KGL138" s="26" t="s">
        <v>794</v>
      </c>
      <c r="KGM138" s="26">
        <v>4</v>
      </c>
      <c r="KGN138" s="26" t="s">
        <v>794</v>
      </c>
      <c r="KGO138" s="26">
        <v>4</v>
      </c>
      <c r="KGP138" s="26" t="s">
        <v>794</v>
      </c>
      <c r="KGQ138" s="26">
        <v>4</v>
      </c>
      <c r="KGR138" s="26" t="s">
        <v>794</v>
      </c>
      <c r="KGS138" s="26">
        <v>4</v>
      </c>
      <c r="KGT138" s="26" t="s">
        <v>794</v>
      </c>
      <c r="KGU138" s="26">
        <v>4</v>
      </c>
      <c r="KGV138" s="26" t="s">
        <v>794</v>
      </c>
      <c r="KGW138" s="26">
        <v>4</v>
      </c>
      <c r="KGX138" s="26" t="s">
        <v>794</v>
      </c>
      <c r="KGY138" s="26">
        <v>4</v>
      </c>
      <c r="KGZ138" s="26" t="s">
        <v>794</v>
      </c>
      <c r="KHA138" s="26">
        <v>4</v>
      </c>
      <c r="KHB138" s="26" t="s">
        <v>794</v>
      </c>
      <c r="KHC138" s="26">
        <v>4</v>
      </c>
      <c r="KHD138" s="26" t="s">
        <v>794</v>
      </c>
      <c r="KHE138" s="26">
        <v>4</v>
      </c>
      <c r="KHF138" s="26" t="s">
        <v>794</v>
      </c>
      <c r="KHG138" s="26">
        <v>4</v>
      </c>
      <c r="KHH138" s="26" t="s">
        <v>794</v>
      </c>
      <c r="KHI138" s="26">
        <v>4</v>
      </c>
      <c r="KHJ138" s="26" t="s">
        <v>794</v>
      </c>
      <c r="KHK138" s="26">
        <v>4</v>
      </c>
      <c r="KHL138" s="26" t="s">
        <v>794</v>
      </c>
      <c r="KHM138" s="26">
        <v>4</v>
      </c>
      <c r="KHN138" s="26" t="s">
        <v>794</v>
      </c>
      <c r="KHO138" s="26">
        <v>4</v>
      </c>
      <c r="KHP138" s="26" t="s">
        <v>794</v>
      </c>
      <c r="KHQ138" s="26">
        <v>4</v>
      </c>
      <c r="KHR138" s="26" t="s">
        <v>794</v>
      </c>
      <c r="KHS138" s="26">
        <v>4</v>
      </c>
      <c r="KHT138" s="26" t="s">
        <v>794</v>
      </c>
      <c r="KHU138" s="26">
        <v>4</v>
      </c>
      <c r="KHV138" s="26" t="s">
        <v>794</v>
      </c>
      <c r="KHW138" s="26">
        <v>4</v>
      </c>
      <c r="KHX138" s="26" t="s">
        <v>794</v>
      </c>
      <c r="KHY138" s="26">
        <v>4</v>
      </c>
      <c r="KHZ138" s="26" t="s">
        <v>794</v>
      </c>
      <c r="KIA138" s="26">
        <v>4</v>
      </c>
      <c r="KIB138" s="26" t="s">
        <v>794</v>
      </c>
      <c r="KIC138" s="26">
        <v>4</v>
      </c>
      <c r="KID138" s="26" t="s">
        <v>794</v>
      </c>
      <c r="KIE138" s="26">
        <v>4</v>
      </c>
      <c r="KIF138" s="26" t="s">
        <v>794</v>
      </c>
      <c r="KIG138" s="26">
        <v>4</v>
      </c>
      <c r="KIH138" s="26" t="s">
        <v>794</v>
      </c>
      <c r="KII138" s="26">
        <v>4</v>
      </c>
      <c r="KIJ138" s="26" t="s">
        <v>794</v>
      </c>
      <c r="KIK138" s="26">
        <v>4</v>
      </c>
      <c r="KIL138" s="26" t="s">
        <v>794</v>
      </c>
      <c r="KIM138" s="26">
        <v>4</v>
      </c>
      <c r="KIN138" s="26" t="s">
        <v>794</v>
      </c>
      <c r="KIO138" s="26">
        <v>4</v>
      </c>
      <c r="KIP138" s="26" t="s">
        <v>794</v>
      </c>
      <c r="KIQ138" s="26">
        <v>4</v>
      </c>
      <c r="KIR138" s="26" t="s">
        <v>794</v>
      </c>
      <c r="KIS138" s="26">
        <v>4</v>
      </c>
      <c r="KIT138" s="26" t="s">
        <v>794</v>
      </c>
      <c r="KIU138" s="26">
        <v>4</v>
      </c>
      <c r="KIV138" s="26" t="s">
        <v>794</v>
      </c>
      <c r="KIW138" s="26">
        <v>4</v>
      </c>
      <c r="KIX138" s="26" t="s">
        <v>794</v>
      </c>
      <c r="KIY138" s="26">
        <v>4</v>
      </c>
      <c r="KIZ138" s="26" t="s">
        <v>794</v>
      </c>
      <c r="KJA138" s="26">
        <v>4</v>
      </c>
      <c r="KJB138" s="26" t="s">
        <v>794</v>
      </c>
      <c r="KJC138" s="26">
        <v>4</v>
      </c>
      <c r="KJD138" s="26" t="s">
        <v>794</v>
      </c>
      <c r="KJE138" s="26">
        <v>4</v>
      </c>
      <c r="KJF138" s="26" t="s">
        <v>794</v>
      </c>
      <c r="KJG138" s="26">
        <v>4</v>
      </c>
      <c r="KJH138" s="26" t="s">
        <v>794</v>
      </c>
      <c r="KJI138" s="26">
        <v>4</v>
      </c>
      <c r="KJJ138" s="26" t="s">
        <v>794</v>
      </c>
      <c r="KJK138" s="26">
        <v>4</v>
      </c>
      <c r="KJL138" s="26" t="s">
        <v>794</v>
      </c>
      <c r="KJM138" s="26">
        <v>4</v>
      </c>
      <c r="KJN138" s="26" t="s">
        <v>794</v>
      </c>
      <c r="KJO138" s="26">
        <v>4</v>
      </c>
      <c r="KJP138" s="26" t="s">
        <v>794</v>
      </c>
      <c r="KJQ138" s="26">
        <v>4</v>
      </c>
      <c r="KJR138" s="26" t="s">
        <v>794</v>
      </c>
      <c r="KJS138" s="26">
        <v>4</v>
      </c>
      <c r="KJT138" s="26" t="s">
        <v>794</v>
      </c>
      <c r="KJU138" s="26">
        <v>4</v>
      </c>
      <c r="KJV138" s="26" t="s">
        <v>794</v>
      </c>
      <c r="KJW138" s="26">
        <v>4</v>
      </c>
      <c r="KJX138" s="26" t="s">
        <v>794</v>
      </c>
      <c r="KJY138" s="26">
        <v>4</v>
      </c>
      <c r="KJZ138" s="26" t="s">
        <v>794</v>
      </c>
      <c r="KKA138" s="26">
        <v>4</v>
      </c>
      <c r="KKB138" s="26" t="s">
        <v>794</v>
      </c>
      <c r="KKC138" s="26">
        <v>4</v>
      </c>
      <c r="KKD138" s="26" t="s">
        <v>794</v>
      </c>
      <c r="KKE138" s="26">
        <v>4</v>
      </c>
      <c r="KKF138" s="26" t="s">
        <v>794</v>
      </c>
      <c r="KKG138" s="26">
        <v>4</v>
      </c>
      <c r="KKH138" s="26" t="s">
        <v>794</v>
      </c>
      <c r="KKI138" s="26">
        <v>4</v>
      </c>
      <c r="KKJ138" s="26" t="s">
        <v>794</v>
      </c>
      <c r="KKK138" s="26">
        <v>4</v>
      </c>
      <c r="KKL138" s="26" t="s">
        <v>794</v>
      </c>
      <c r="KKM138" s="26">
        <v>4</v>
      </c>
      <c r="KKN138" s="26" t="s">
        <v>794</v>
      </c>
      <c r="KKO138" s="26">
        <v>4</v>
      </c>
      <c r="KKP138" s="26" t="s">
        <v>794</v>
      </c>
      <c r="KKQ138" s="26">
        <v>4</v>
      </c>
      <c r="KKR138" s="26" t="s">
        <v>794</v>
      </c>
      <c r="KKS138" s="26">
        <v>4</v>
      </c>
      <c r="KKT138" s="26" t="s">
        <v>794</v>
      </c>
      <c r="KKU138" s="26">
        <v>4</v>
      </c>
      <c r="KKV138" s="26" t="s">
        <v>794</v>
      </c>
      <c r="KKW138" s="26">
        <v>4</v>
      </c>
      <c r="KKX138" s="26" t="s">
        <v>794</v>
      </c>
      <c r="KKY138" s="26">
        <v>4</v>
      </c>
      <c r="KKZ138" s="26" t="s">
        <v>794</v>
      </c>
      <c r="KLA138" s="26">
        <v>4</v>
      </c>
      <c r="KLB138" s="26" t="s">
        <v>794</v>
      </c>
      <c r="KLC138" s="26">
        <v>4</v>
      </c>
      <c r="KLD138" s="26" t="s">
        <v>794</v>
      </c>
      <c r="KLE138" s="26">
        <v>4</v>
      </c>
      <c r="KLF138" s="26" t="s">
        <v>794</v>
      </c>
      <c r="KLG138" s="26">
        <v>4</v>
      </c>
      <c r="KLH138" s="26" t="s">
        <v>794</v>
      </c>
      <c r="KLI138" s="26">
        <v>4</v>
      </c>
      <c r="KLJ138" s="26" t="s">
        <v>794</v>
      </c>
      <c r="KLK138" s="26">
        <v>4</v>
      </c>
      <c r="KLL138" s="26" t="s">
        <v>794</v>
      </c>
      <c r="KLM138" s="26">
        <v>4</v>
      </c>
      <c r="KLN138" s="26" t="s">
        <v>794</v>
      </c>
      <c r="KLO138" s="26">
        <v>4</v>
      </c>
      <c r="KLP138" s="26" t="s">
        <v>794</v>
      </c>
      <c r="KLQ138" s="26">
        <v>4</v>
      </c>
      <c r="KLR138" s="26" t="s">
        <v>794</v>
      </c>
      <c r="KLS138" s="26">
        <v>4</v>
      </c>
      <c r="KLT138" s="26" t="s">
        <v>794</v>
      </c>
      <c r="KLU138" s="26">
        <v>4</v>
      </c>
      <c r="KLV138" s="26" t="s">
        <v>794</v>
      </c>
      <c r="KLW138" s="26">
        <v>4</v>
      </c>
      <c r="KLX138" s="26" t="s">
        <v>794</v>
      </c>
      <c r="KLY138" s="26">
        <v>4</v>
      </c>
      <c r="KLZ138" s="26" t="s">
        <v>794</v>
      </c>
      <c r="KMA138" s="26">
        <v>4</v>
      </c>
      <c r="KMB138" s="26" t="s">
        <v>794</v>
      </c>
      <c r="KMC138" s="26">
        <v>4</v>
      </c>
      <c r="KMD138" s="26" t="s">
        <v>794</v>
      </c>
      <c r="KME138" s="26">
        <v>4</v>
      </c>
      <c r="KMF138" s="26" t="s">
        <v>794</v>
      </c>
      <c r="KMG138" s="26">
        <v>4</v>
      </c>
      <c r="KMH138" s="26" t="s">
        <v>794</v>
      </c>
      <c r="KMI138" s="26">
        <v>4</v>
      </c>
      <c r="KMJ138" s="26" t="s">
        <v>794</v>
      </c>
      <c r="KMK138" s="26">
        <v>4</v>
      </c>
      <c r="KML138" s="26" t="s">
        <v>794</v>
      </c>
      <c r="KMM138" s="26">
        <v>4</v>
      </c>
      <c r="KMN138" s="26" t="s">
        <v>794</v>
      </c>
      <c r="KMO138" s="26">
        <v>4</v>
      </c>
      <c r="KMP138" s="26" t="s">
        <v>794</v>
      </c>
      <c r="KMQ138" s="26">
        <v>4</v>
      </c>
      <c r="KMR138" s="26" t="s">
        <v>794</v>
      </c>
      <c r="KMS138" s="26">
        <v>4</v>
      </c>
      <c r="KMT138" s="26" t="s">
        <v>794</v>
      </c>
      <c r="KMU138" s="26">
        <v>4</v>
      </c>
      <c r="KMV138" s="26" t="s">
        <v>794</v>
      </c>
      <c r="KMW138" s="26">
        <v>4</v>
      </c>
      <c r="KMX138" s="26" t="s">
        <v>794</v>
      </c>
      <c r="KMY138" s="26">
        <v>4</v>
      </c>
      <c r="KMZ138" s="26" t="s">
        <v>794</v>
      </c>
      <c r="KNA138" s="26">
        <v>4</v>
      </c>
      <c r="KNB138" s="26" t="s">
        <v>794</v>
      </c>
      <c r="KNC138" s="26">
        <v>4</v>
      </c>
      <c r="KND138" s="26" t="s">
        <v>794</v>
      </c>
      <c r="KNE138" s="26">
        <v>4</v>
      </c>
      <c r="KNF138" s="26" t="s">
        <v>794</v>
      </c>
      <c r="KNG138" s="26">
        <v>4</v>
      </c>
      <c r="KNH138" s="26" t="s">
        <v>794</v>
      </c>
      <c r="KNI138" s="26">
        <v>4</v>
      </c>
      <c r="KNJ138" s="26" t="s">
        <v>794</v>
      </c>
      <c r="KNK138" s="26">
        <v>4</v>
      </c>
      <c r="KNL138" s="26" t="s">
        <v>794</v>
      </c>
      <c r="KNM138" s="26">
        <v>4</v>
      </c>
      <c r="KNN138" s="26" t="s">
        <v>794</v>
      </c>
      <c r="KNO138" s="26">
        <v>4</v>
      </c>
      <c r="KNP138" s="26" t="s">
        <v>794</v>
      </c>
      <c r="KNQ138" s="26">
        <v>4</v>
      </c>
      <c r="KNR138" s="26" t="s">
        <v>794</v>
      </c>
      <c r="KNS138" s="26">
        <v>4</v>
      </c>
      <c r="KNT138" s="26" t="s">
        <v>794</v>
      </c>
      <c r="KNU138" s="26">
        <v>4</v>
      </c>
      <c r="KNV138" s="26" t="s">
        <v>794</v>
      </c>
      <c r="KNW138" s="26">
        <v>4</v>
      </c>
      <c r="KNX138" s="26" t="s">
        <v>794</v>
      </c>
      <c r="KNY138" s="26">
        <v>4</v>
      </c>
      <c r="KNZ138" s="26" t="s">
        <v>794</v>
      </c>
      <c r="KOA138" s="26">
        <v>4</v>
      </c>
      <c r="KOB138" s="26" t="s">
        <v>794</v>
      </c>
      <c r="KOC138" s="26">
        <v>4</v>
      </c>
      <c r="KOD138" s="26" t="s">
        <v>794</v>
      </c>
      <c r="KOE138" s="26">
        <v>4</v>
      </c>
      <c r="KOF138" s="26" t="s">
        <v>794</v>
      </c>
      <c r="KOG138" s="26">
        <v>4</v>
      </c>
      <c r="KOH138" s="26" t="s">
        <v>794</v>
      </c>
      <c r="KOI138" s="26">
        <v>4</v>
      </c>
      <c r="KOJ138" s="26" t="s">
        <v>794</v>
      </c>
      <c r="KOK138" s="26">
        <v>4</v>
      </c>
      <c r="KOL138" s="26" t="s">
        <v>794</v>
      </c>
      <c r="KOM138" s="26">
        <v>4</v>
      </c>
      <c r="KON138" s="26" t="s">
        <v>794</v>
      </c>
      <c r="KOO138" s="26">
        <v>4</v>
      </c>
      <c r="KOP138" s="26" t="s">
        <v>794</v>
      </c>
      <c r="KOQ138" s="26">
        <v>4</v>
      </c>
      <c r="KOR138" s="26" t="s">
        <v>794</v>
      </c>
      <c r="KOS138" s="26">
        <v>4</v>
      </c>
      <c r="KOT138" s="26" t="s">
        <v>794</v>
      </c>
      <c r="KOU138" s="26">
        <v>4</v>
      </c>
      <c r="KOV138" s="26" t="s">
        <v>794</v>
      </c>
      <c r="KOW138" s="26">
        <v>4</v>
      </c>
      <c r="KOX138" s="26" t="s">
        <v>794</v>
      </c>
      <c r="KOY138" s="26">
        <v>4</v>
      </c>
      <c r="KOZ138" s="26" t="s">
        <v>794</v>
      </c>
      <c r="KPA138" s="26">
        <v>4</v>
      </c>
      <c r="KPB138" s="26" t="s">
        <v>794</v>
      </c>
      <c r="KPC138" s="26">
        <v>4</v>
      </c>
      <c r="KPD138" s="26" t="s">
        <v>794</v>
      </c>
      <c r="KPE138" s="26">
        <v>4</v>
      </c>
      <c r="KPF138" s="26" t="s">
        <v>794</v>
      </c>
      <c r="KPG138" s="26">
        <v>4</v>
      </c>
      <c r="KPH138" s="26" t="s">
        <v>794</v>
      </c>
      <c r="KPI138" s="26">
        <v>4</v>
      </c>
      <c r="KPJ138" s="26" t="s">
        <v>794</v>
      </c>
      <c r="KPK138" s="26">
        <v>4</v>
      </c>
      <c r="KPL138" s="26" t="s">
        <v>794</v>
      </c>
      <c r="KPM138" s="26">
        <v>4</v>
      </c>
      <c r="KPN138" s="26" t="s">
        <v>794</v>
      </c>
      <c r="KPO138" s="26">
        <v>4</v>
      </c>
      <c r="KPP138" s="26" t="s">
        <v>794</v>
      </c>
      <c r="KPQ138" s="26">
        <v>4</v>
      </c>
      <c r="KPR138" s="26" t="s">
        <v>794</v>
      </c>
      <c r="KPS138" s="26">
        <v>4</v>
      </c>
      <c r="KPT138" s="26" t="s">
        <v>794</v>
      </c>
      <c r="KPU138" s="26">
        <v>4</v>
      </c>
      <c r="KPV138" s="26" t="s">
        <v>794</v>
      </c>
      <c r="KPW138" s="26">
        <v>4</v>
      </c>
      <c r="KPX138" s="26" t="s">
        <v>794</v>
      </c>
      <c r="KPY138" s="26">
        <v>4</v>
      </c>
      <c r="KPZ138" s="26" t="s">
        <v>794</v>
      </c>
      <c r="KQA138" s="26">
        <v>4</v>
      </c>
      <c r="KQB138" s="26" t="s">
        <v>794</v>
      </c>
      <c r="KQC138" s="26">
        <v>4</v>
      </c>
      <c r="KQD138" s="26" t="s">
        <v>794</v>
      </c>
      <c r="KQE138" s="26">
        <v>4</v>
      </c>
      <c r="KQF138" s="26" t="s">
        <v>794</v>
      </c>
      <c r="KQG138" s="26">
        <v>4</v>
      </c>
      <c r="KQH138" s="26" t="s">
        <v>794</v>
      </c>
      <c r="KQI138" s="26">
        <v>4</v>
      </c>
      <c r="KQJ138" s="26" t="s">
        <v>794</v>
      </c>
      <c r="KQK138" s="26">
        <v>4</v>
      </c>
      <c r="KQL138" s="26" t="s">
        <v>794</v>
      </c>
      <c r="KQM138" s="26">
        <v>4</v>
      </c>
      <c r="KQN138" s="26" t="s">
        <v>794</v>
      </c>
      <c r="KQO138" s="26">
        <v>4</v>
      </c>
      <c r="KQP138" s="26" t="s">
        <v>794</v>
      </c>
      <c r="KQQ138" s="26">
        <v>4</v>
      </c>
      <c r="KQR138" s="26" t="s">
        <v>794</v>
      </c>
      <c r="KQS138" s="26">
        <v>4</v>
      </c>
      <c r="KQT138" s="26" t="s">
        <v>794</v>
      </c>
      <c r="KQU138" s="26">
        <v>4</v>
      </c>
      <c r="KQV138" s="26" t="s">
        <v>794</v>
      </c>
      <c r="KQW138" s="26">
        <v>4</v>
      </c>
      <c r="KQX138" s="26" t="s">
        <v>794</v>
      </c>
      <c r="KQY138" s="26">
        <v>4</v>
      </c>
      <c r="KQZ138" s="26" t="s">
        <v>794</v>
      </c>
      <c r="KRA138" s="26">
        <v>4</v>
      </c>
      <c r="KRB138" s="26" t="s">
        <v>794</v>
      </c>
      <c r="KRC138" s="26">
        <v>4</v>
      </c>
      <c r="KRD138" s="26" t="s">
        <v>794</v>
      </c>
      <c r="KRE138" s="26">
        <v>4</v>
      </c>
      <c r="KRF138" s="26" t="s">
        <v>794</v>
      </c>
      <c r="KRG138" s="26">
        <v>4</v>
      </c>
      <c r="KRH138" s="26" t="s">
        <v>794</v>
      </c>
      <c r="KRI138" s="26">
        <v>4</v>
      </c>
      <c r="KRJ138" s="26" t="s">
        <v>794</v>
      </c>
      <c r="KRK138" s="26">
        <v>4</v>
      </c>
      <c r="KRL138" s="26" t="s">
        <v>794</v>
      </c>
      <c r="KRM138" s="26">
        <v>4</v>
      </c>
      <c r="KRN138" s="26" t="s">
        <v>794</v>
      </c>
      <c r="KRO138" s="26">
        <v>4</v>
      </c>
      <c r="KRP138" s="26" t="s">
        <v>794</v>
      </c>
      <c r="KRQ138" s="26">
        <v>4</v>
      </c>
      <c r="KRR138" s="26" t="s">
        <v>794</v>
      </c>
      <c r="KRS138" s="26">
        <v>4</v>
      </c>
      <c r="KRT138" s="26" t="s">
        <v>794</v>
      </c>
      <c r="KRU138" s="26">
        <v>4</v>
      </c>
      <c r="KRV138" s="26" t="s">
        <v>794</v>
      </c>
      <c r="KRW138" s="26">
        <v>4</v>
      </c>
      <c r="KRX138" s="26" t="s">
        <v>794</v>
      </c>
      <c r="KRY138" s="26">
        <v>4</v>
      </c>
      <c r="KRZ138" s="26" t="s">
        <v>794</v>
      </c>
      <c r="KSA138" s="26">
        <v>4</v>
      </c>
      <c r="KSB138" s="26" t="s">
        <v>794</v>
      </c>
      <c r="KSC138" s="26">
        <v>4</v>
      </c>
      <c r="KSD138" s="26" t="s">
        <v>794</v>
      </c>
      <c r="KSE138" s="26">
        <v>4</v>
      </c>
      <c r="KSF138" s="26" t="s">
        <v>794</v>
      </c>
      <c r="KSG138" s="26">
        <v>4</v>
      </c>
      <c r="KSH138" s="26" t="s">
        <v>794</v>
      </c>
      <c r="KSI138" s="26">
        <v>4</v>
      </c>
      <c r="KSJ138" s="26" t="s">
        <v>794</v>
      </c>
      <c r="KSK138" s="26">
        <v>4</v>
      </c>
      <c r="KSL138" s="26" t="s">
        <v>794</v>
      </c>
      <c r="KSM138" s="26">
        <v>4</v>
      </c>
      <c r="KSN138" s="26" t="s">
        <v>794</v>
      </c>
      <c r="KSO138" s="26">
        <v>4</v>
      </c>
      <c r="KSP138" s="26" t="s">
        <v>794</v>
      </c>
      <c r="KSQ138" s="26">
        <v>4</v>
      </c>
      <c r="KSR138" s="26" t="s">
        <v>794</v>
      </c>
      <c r="KSS138" s="26">
        <v>4</v>
      </c>
      <c r="KST138" s="26" t="s">
        <v>794</v>
      </c>
      <c r="KSU138" s="26">
        <v>4</v>
      </c>
      <c r="KSV138" s="26" t="s">
        <v>794</v>
      </c>
      <c r="KSW138" s="26">
        <v>4</v>
      </c>
      <c r="KSX138" s="26" t="s">
        <v>794</v>
      </c>
      <c r="KSY138" s="26">
        <v>4</v>
      </c>
      <c r="KSZ138" s="26" t="s">
        <v>794</v>
      </c>
      <c r="KTA138" s="26">
        <v>4</v>
      </c>
      <c r="KTB138" s="26" t="s">
        <v>794</v>
      </c>
      <c r="KTC138" s="26">
        <v>4</v>
      </c>
      <c r="KTD138" s="26" t="s">
        <v>794</v>
      </c>
      <c r="KTE138" s="26">
        <v>4</v>
      </c>
      <c r="KTF138" s="26" t="s">
        <v>794</v>
      </c>
      <c r="KTG138" s="26">
        <v>4</v>
      </c>
      <c r="KTH138" s="26" t="s">
        <v>794</v>
      </c>
      <c r="KTI138" s="26">
        <v>4</v>
      </c>
      <c r="KTJ138" s="26" t="s">
        <v>794</v>
      </c>
      <c r="KTK138" s="26">
        <v>4</v>
      </c>
      <c r="KTL138" s="26" t="s">
        <v>794</v>
      </c>
      <c r="KTM138" s="26">
        <v>4</v>
      </c>
      <c r="KTN138" s="26" t="s">
        <v>794</v>
      </c>
      <c r="KTO138" s="26">
        <v>4</v>
      </c>
      <c r="KTP138" s="26" t="s">
        <v>794</v>
      </c>
      <c r="KTQ138" s="26">
        <v>4</v>
      </c>
      <c r="KTR138" s="26" t="s">
        <v>794</v>
      </c>
      <c r="KTS138" s="26">
        <v>4</v>
      </c>
      <c r="KTT138" s="26" t="s">
        <v>794</v>
      </c>
      <c r="KTU138" s="26">
        <v>4</v>
      </c>
      <c r="KTV138" s="26" t="s">
        <v>794</v>
      </c>
      <c r="KTW138" s="26">
        <v>4</v>
      </c>
      <c r="KTX138" s="26" t="s">
        <v>794</v>
      </c>
      <c r="KTY138" s="26">
        <v>4</v>
      </c>
      <c r="KTZ138" s="26" t="s">
        <v>794</v>
      </c>
      <c r="KUA138" s="26">
        <v>4</v>
      </c>
      <c r="KUB138" s="26" t="s">
        <v>794</v>
      </c>
      <c r="KUC138" s="26">
        <v>4</v>
      </c>
      <c r="KUD138" s="26" t="s">
        <v>794</v>
      </c>
      <c r="KUE138" s="26">
        <v>4</v>
      </c>
      <c r="KUF138" s="26" t="s">
        <v>794</v>
      </c>
      <c r="KUG138" s="26">
        <v>4</v>
      </c>
      <c r="KUH138" s="26" t="s">
        <v>794</v>
      </c>
      <c r="KUI138" s="26">
        <v>4</v>
      </c>
      <c r="KUJ138" s="26" t="s">
        <v>794</v>
      </c>
      <c r="KUK138" s="26">
        <v>4</v>
      </c>
      <c r="KUL138" s="26" t="s">
        <v>794</v>
      </c>
      <c r="KUM138" s="26">
        <v>4</v>
      </c>
      <c r="KUN138" s="26" t="s">
        <v>794</v>
      </c>
      <c r="KUO138" s="26">
        <v>4</v>
      </c>
      <c r="KUP138" s="26" t="s">
        <v>794</v>
      </c>
      <c r="KUQ138" s="26">
        <v>4</v>
      </c>
      <c r="KUR138" s="26" t="s">
        <v>794</v>
      </c>
      <c r="KUS138" s="26">
        <v>4</v>
      </c>
      <c r="KUT138" s="26" t="s">
        <v>794</v>
      </c>
      <c r="KUU138" s="26">
        <v>4</v>
      </c>
      <c r="KUV138" s="26" t="s">
        <v>794</v>
      </c>
      <c r="KUW138" s="26">
        <v>4</v>
      </c>
      <c r="KUX138" s="26" t="s">
        <v>794</v>
      </c>
      <c r="KUY138" s="26">
        <v>4</v>
      </c>
      <c r="KUZ138" s="26" t="s">
        <v>794</v>
      </c>
      <c r="KVA138" s="26">
        <v>4</v>
      </c>
      <c r="KVB138" s="26" t="s">
        <v>794</v>
      </c>
      <c r="KVC138" s="26">
        <v>4</v>
      </c>
      <c r="KVD138" s="26" t="s">
        <v>794</v>
      </c>
      <c r="KVE138" s="26">
        <v>4</v>
      </c>
      <c r="KVF138" s="26" t="s">
        <v>794</v>
      </c>
      <c r="KVG138" s="26">
        <v>4</v>
      </c>
      <c r="KVH138" s="26" t="s">
        <v>794</v>
      </c>
      <c r="KVI138" s="26">
        <v>4</v>
      </c>
      <c r="KVJ138" s="26" t="s">
        <v>794</v>
      </c>
      <c r="KVK138" s="26">
        <v>4</v>
      </c>
      <c r="KVL138" s="26" t="s">
        <v>794</v>
      </c>
      <c r="KVM138" s="26">
        <v>4</v>
      </c>
      <c r="KVN138" s="26" t="s">
        <v>794</v>
      </c>
      <c r="KVO138" s="26">
        <v>4</v>
      </c>
      <c r="KVP138" s="26" t="s">
        <v>794</v>
      </c>
      <c r="KVQ138" s="26">
        <v>4</v>
      </c>
      <c r="KVR138" s="26" t="s">
        <v>794</v>
      </c>
      <c r="KVS138" s="26">
        <v>4</v>
      </c>
      <c r="KVT138" s="26" t="s">
        <v>794</v>
      </c>
      <c r="KVU138" s="26">
        <v>4</v>
      </c>
      <c r="KVV138" s="26" t="s">
        <v>794</v>
      </c>
      <c r="KVW138" s="26">
        <v>4</v>
      </c>
      <c r="KVX138" s="26" t="s">
        <v>794</v>
      </c>
      <c r="KVY138" s="26">
        <v>4</v>
      </c>
      <c r="KVZ138" s="26" t="s">
        <v>794</v>
      </c>
      <c r="KWA138" s="26">
        <v>4</v>
      </c>
      <c r="KWB138" s="26" t="s">
        <v>794</v>
      </c>
      <c r="KWC138" s="26">
        <v>4</v>
      </c>
      <c r="KWD138" s="26" t="s">
        <v>794</v>
      </c>
      <c r="KWE138" s="26">
        <v>4</v>
      </c>
      <c r="KWF138" s="26" t="s">
        <v>794</v>
      </c>
      <c r="KWG138" s="26">
        <v>4</v>
      </c>
      <c r="KWH138" s="26" t="s">
        <v>794</v>
      </c>
      <c r="KWI138" s="26">
        <v>4</v>
      </c>
      <c r="KWJ138" s="26" t="s">
        <v>794</v>
      </c>
      <c r="KWK138" s="26">
        <v>4</v>
      </c>
      <c r="KWL138" s="26" t="s">
        <v>794</v>
      </c>
      <c r="KWM138" s="26">
        <v>4</v>
      </c>
      <c r="KWN138" s="26" t="s">
        <v>794</v>
      </c>
      <c r="KWO138" s="26">
        <v>4</v>
      </c>
      <c r="KWP138" s="26" t="s">
        <v>794</v>
      </c>
      <c r="KWQ138" s="26">
        <v>4</v>
      </c>
      <c r="KWR138" s="26" t="s">
        <v>794</v>
      </c>
      <c r="KWS138" s="26">
        <v>4</v>
      </c>
      <c r="KWT138" s="26" t="s">
        <v>794</v>
      </c>
      <c r="KWU138" s="26">
        <v>4</v>
      </c>
      <c r="KWV138" s="26" t="s">
        <v>794</v>
      </c>
      <c r="KWW138" s="26">
        <v>4</v>
      </c>
      <c r="KWX138" s="26" t="s">
        <v>794</v>
      </c>
      <c r="KWY138" s="26">
        <v>4</v>
      </c>
      <c r="KWZ138" s="26" t="s">
        <v>794</v>
      </c>
      <c r="KXA138" s="26">
        <v>4</v>
      </c>
      <c r="KXB138" s="26" t="s">
        <v>794</v>
      </c>
      <c r="KXC138" s="26">
        <v>4</v>
      </c>
      <c r="KXD138" s="26" t="s">
        <v>794</v>
      </c>
      <c r="KXE138" s="26">
        <v>4</v>
      </c>
      <c r="KXF138" s="26" t="s">
        <v>794</v>
      </c>
      <c r="KXG138" s="26">
        <v>4</v>
      </c>
      <c r="KXH138" s="26" t="s">
        <v>794</v>
      </c>
      <c r="KXI138" s="26">
        <v>4</v>
      </c>
      <c r="KXJ138" s="26" t="s">
        <v>794</v>
      </c>
      <c r="KXK138" s="26">
        <v>4</v>
      </c>
      <c r="KXL138" s="26" t="s">
        <v>794</v>
      </c>
      <c r="KXM138" s="26">
        <v>4</v>
      </c>
      <c r="KXN138" s="26" t="s">
        <v>794</v>
      </c>
      <c r="KXO138" s="26">
        <v>4</v>
      </c>
      <c r="KXP138" s="26" t="s">
        <v>794</v>
      </c>
      <c r="KXQ138" s="26">
        <v>4</v>
      </c>
      <c r="KXR138" s="26" t="s">
        <v>794</v>
      </c>
      <c r="KXS138" s="26">
        <v>4</v>
      </c>
      <c r="KXT138" s="26" t="s">
        <v>794</v>
      </c>
      <c r="KXU138" s="26">
        <v>4</v>
      </c>
      <c r="KXV138" s="26" t="s">
        <v>794</v>
      </c>
      <c r="KXW138" s="26">
        <v>4</v>
      </c>
      <c r="KXX138" s="26" t="s">
        <v>794</v>
      </c>
      <c r="KXY138" s="26">
        <v>4</v>
      </c>
      <c r="KXZ138" s="26" t="s">
        <v>794</v>
      </c>
      <c r="KYA138" s="26">
        <v>4</v>
      </c>
      <c r="KYB138" s="26" t="s">
        <v>794</v>
      </c>
      <c r="KYC138" s="26">
        <v>4</v>
      </c>
      <c r="KYD138" s="26" t="s">
        <v>794</v>
      </c>
      <c r="KYE138" s="26">
        <v>4</v>
      </c>
      <c r="KYF138" s="26" t="s">
        <v>794</v>
      </c>
      <c r="KYG138" s="26">
        <v>4</v>
      </c>
      <c r="KYH138" s="26" t="s">
        <v>794</v>
      </c>
      <c r="KYI138" s="26">
        <v>4</v>
      </c>
      <c r="KYJ138" s="26" t="s">
        <v>794</v>
      </c>
      <c r="KYK138" s="26">
        <v>4</v>
      </c>
      <c r="KYL138" s="26" t="s">
        <v>794</v>
      </c>
      <c r="KYM138" s="26">
        <v>4</v>
      </c>
      <c r="KYN138" s="26" t="s">
        <v>794</v>
      </c>
      <c r="KYO138" s="26">
        <v>4</v>
      </c>
      <c r="KYP138" s="26" t="s">
        <v>794</v>
      </c>
      <c r="KYQ138" s="26">
        <v>4</v>
      </c>
      <c r="KYR138" s="26" t="s">
        <v>794</v>
      </c>
      <c r="KYS138" s="26">
        <v>4</v>
      </c>
      <c r="KYT138" s="26" t="s">
        <v>794</v>
      </c>
      <c r="KYU138" s="26">
        <v>4</v>
      </c>
      <c r="KYV138" s="26" t="s">
        <v>794</v>
      </c>
      <c r="KYW138" s="26">
        <v>4</v>
      </c>
      <c r="KYX138" s="26" t="s">
        <v>794</v>
      </c>
      <c r="KYY138" s="26">
        <v>4</v>
      </c>
      <c r="KYZ138" s="26" t="s">
        <v>794</v>
      </c>
      <c r="KZA138" s="26">
        <v>4</v>
      </c>
      <c r="KZB138" s="26" t="s">
        <v>794</v>
      </c>
      <c r="KZC138" s="26">
        <v>4</v>
      </c>
      <c r="KZD138" s="26" t="s">
        <v>794</v>
      </c>
      <c r="KZE138" s="26">
        <v>4</v>
      </c>
      <c r="KZF138" s="26" t="s">
        <v>794</v>
      </c>
      <c r="KZG138" s="26">
        <v>4</v>
      </c>
      <c r="KZH138" s="26" t="s">
        <v>794</v>
      </c>
      <c r="KZI138" s="26">
        <v>4</v>
      </c>
      <c r="KZJ138" s="26" t="s">
        <v>794</v>
      </c>
      <c r="KZK138" s="26">
        <v>4</v>
      </c>
      <c r="KZL138" s="26" t="s">
        <v>794</v>
      </c>
      <c r="KZM138" s="26">
        <v>4</v>
      </c>
      <c r="KZN138" s="26" t="s">
        <v>794</v>
      </c>
      <c r="KZO138" s="26">
        <v>4</v>
      </c>
      <c r="KZP138" s="26" t="s">
        <v>794</v>
      </c>
      <c r="KZQ138" s="26">
        <v>4</v>
      </c>
      <c r="KZR138" s="26" t="s">
        <v>794</v>
      </c>
      <c r="KZS138" s="26">
        <v>4</v>
      </c>
      <c r="KZT138" s="26" t="s">
        <v>794</v>
      </c>
      <c r="KZU138" s="26">
        <v>4</v>
      </c>
      <c r="KZV138" s="26" t="s">
        <v>794</v>
      </c>
      <c r="KZW138" s="26">
        <v>4</v>
      </c>
      <c r="KZX138" s="26" t="s">
        <v>794</v>
      </c>
      <c r="KZY138" s="26">
        <v>4</v>
      </c>
      <c r="KZZ138" s="26" t="s">
        <v>794</v>
      </c>
      <c r="LAA138" s="26">
        <v>4</v>
      </c>
      <c r="LAB138" s="26" t="s">
        <v>794</v>
      </c>
      <c r="LAC138" s="26">
        <v>4</v>
      </c>
      <c r="LAD138" s="26" t="s">
        <v>794</v>
      </c>
      <c r="LAE138" s="26">
        <v>4</v>
      </c>
      <c r="LAF138" s="26" t="s">
        <v>794</v>
      </c>
      <c r="LAG138" s="26">
        <v>4</v>
      </c>
      <c r="LAH138" s="26" t="s">
        <v>794</v>
      </c>
      <c r="LAI138" s="26">
        <v>4</v>
      </c>
      <c r="LAJ138" s="26" t="s">
        <v>794</v>
      </c>
      <c r="LAK138" s="26">
        <v>4</v>
      </c>
      <c r="LAL138" s="26" t="s">
        <v>794</v>
      </c>
      <c r="LAM138" s="26">
        <v>4</v>
      </c>
      <c r="LAN138" s="26" t="s">
        <v>794</v>
      </c>
      <c r="LAO138" s="26">
        <v>4</v>
      </c>
      <c r="LAP138" s="26" t="s">
        <v>794</v>
      </c>
      <c r="LAQ138" s="26">
        <v>4</v>
      </c>
      <c r="LAR138" s="26" t="s">
        <v>794</v>
      </c>
      <c r="LAS138" s="26">
        <v>4</v>
      </c>
      <c r="LAT138" s="26" t="s">
        <v>794</v>
      </c>
      <c r="LAU138" s="26">
        <v>4</v>
      </c>
      <c r="LAV138" s="26" t="s">
        <v>794</v>
      </c>
      <c r="LAW138" s="26">
        <v>4</v>
      </c>
      <c r="LAX138" s="26" t="s">
        <v>794</v>
      </c>
      <c r="LAY138" s="26">
        <v>4</v>
      </c>
      <c r="LAZ138" s="26" t="s">
        <v>794</v>
      </c>
      <c r="LBA138" s="26">
        <v>4</v>
      </c>
      <c r="LBB138" s="26" t="s">
        <v>794</v>
      </c>
      <c r="LBC138" s="26">
        <v>4</v>
      </c>
      <c r="LBD138" s="26" t="s">
        <v>794</v>
      </c>
      <c r="LBE138" s="26">
        <v>4</v>
      </c>
      <c r="LBF138" s="26" t="s">
        <v>794</v>
      </c>
      <c r="LBG138" s="26">
        <v>4</v>
      </c>
      <c r="LBH138" s="26" t="s">
        <v>794</v>
      </c>
      <c r="LBI138" s="26">
        <v>4</v>
      </c>
      <c r="LBJ138" s="26" t="s">
        <v>794</v>
      </c>
      <c r="LBK138" s="26">
        <v>4</v>
      </c>
      <c r="LBL138" s="26" t="s">
        <v>794</v>
      </c>
      <c r="LBM138" s="26">
        <v>4</v>
      </c>
      <c r="LBN138" s="26" t="s">
        <v>794</v>
      </c>
      <c r="LBO138" s="26">
        <v>4</v>
      </c>
      <c r="LBP138" s="26" t="s">
        <v>794</v>
      </c>
      <c r="LBQ138" s="26">
        <v>4</v>
      </c>
      <c r="LBR138" s="26" t="s">
        <v>794</v>
      </c>
      <c r="LBS138" s="26">
        <v>4</v>
      </c>
      <c r="LBT138" s="26" t="s">
        <v>794</v>
      </c>
      <c r="LBU138" s="26">
        <v>4</v>
      </c>
      <c r="LBV138" s="26" t="s">
        <v>794</v>
      </c>
      <c r="LBW138" s="26">
        <v>4</v>
      </c>
      <c r="LBX138" s="26" t="s">
        <v>794</v>
      </c>
      <c r="LBY138" s="26">
        <v>4</v>
      </c>
      <c r="LBZ138" s="26" t="s">
        <v>794</v>
      </c>
      <c r="LCA138" s="26">
        <v>4</v>
      </c>
      <c r="LCB138" s="26" t="s">
        <v>794</v>
      </c>
      <c r="LCC138" s="26">
        <v>4</v>
      </c>
      <c r="LCD138" s="26" t="s">
        <v>794</v>
      </c>
      <c r="LCE138" s="26">
        <v>4</v>
      </c>
      <c r="LCF138" s="26" t="s">
        <v>794</v>
      </c>
      <c r="LCG138" s="26">
        <v>4</v>
      </c>
      <c r="LCH138" s="26" t="s">
        <v>794</v>
      </c>
      <c r="LCI138" s="26">
        <v>4</v>
      </c>
      <c r="LCJ138" s="26" t="s">
        <v>794</v>
      </c>
      <c r="LCK138" s="26">
        <v>4</v>
      </c>
      <c r="LCL138" s="26" t="s">
        <v>794</v>
      </c>
      <c r="LCM138" s="26">
        <v>4</v>
      </c>
      <c r="LCN138" s="26" t="s">
        <v>794</v>
      </c>
      <c r="LCO138" s="26">
        <v>4</v>
      </c>
      <c r="LCP138" s="26" t="s">
        <v>794</v>
      </c>
      <c r="LCQ138" s="26">
        <v>4</v>
      </c>
      <c r="LCR138" s="26" t="s">
        <v>794</v>
      </c>
      <c r="LCS138" s="26">
        <v>4</v>
      </c>
      <c r="LCT138" s="26" t="s">
        <v>794</v>
      </c>
      <c r="LCU138" s="26">
        <v>4</v>
      </c>
      <c r="LCV138" s="26" t="s">
        <v>794</v>
      </c>
      <c r="LCW138" s="26">
        <v>4</v>
      </c>
      <c r="LCX138" s="26" t="s">
        <v>794</v>
      </c>
      <c r="LCY138" s="26">
        <v>4</v>
      </c>
      <c r="LCZ138" s="26" t="s">
        <v>794</v>
      </c>
      <c r="LDA138" s="26">
        <v>4</v>
      </c>
      <c r="LDB138" s="26" t="s">
        <v>794</v>
      </c>
      <c r="LDC138" s="26">
        <v>4</v>
      </c>
      <c r="LDD138" s="26" t="s">
        <v>794</v>
      </c>
      <c r="LDE138" s="26">
        <v>4</v>
      </c>
      <c r="LDF138" s="26" t="s">
        <v>794</v>
      </c>
      <c r="LDG138" s="26">
        <v>4</v>
      </c>
      <c r="LDH138" s="26" t="s">
        <v>794</v>
      </c>
      <c r="LDI138" s="26">
        <v>4</v>
      </c>
      <c r="LDJ138" s="26" t="s">
        <v>794</v>
      </c>
      <c r="LDK138" s="26">
        <v>4</v>
      </c>
      <c r="LDL138" s="26" t="s">
        <v>794</v>
      </c>
      <c r="LDM138" s="26">
        <v>4</v>
      </c>
      <c r="LDN138" s="26" t="s">
        <v>794</v>
      </c>
      <c r="LDO138" s="26">
        <v>4</v>
      </c>
      <c r="LDP138" s="26" t="s">
        <v>794</v>
      </c>
      <c r="LDQ138" s="26">
        <v>4</v>
      </c>
      <c r="LDR138" s="26" t="s">
        <v>794</v>
      </c>
      <c r="LDS138" s="26">
        <v>4</v>
      </c>
      <c r="LDT138" s="26" t="s">
        <v>794</v>
      </c>
      <c r="LDU138" s="26">
        <v>4</v>
      </c>
      <c r="LDV138" s="26" t="s">
        <v>794</v>
      </c>
      <c r="LDW138" s="26">
        <v>4</v>
      </c>
      <c r="LDX138" s="26" t="s">
        <v>794</v>
      </c>
      <c r="LDY138" s="26">
        <v>4</v>
      </c>
      <c r="LDZ138" s="26" t="s">
        <v>794</v>
      </c>
      <c r="LEA138" s="26">
        <v>4</v>
      </c>
      <c r="LEB138" s="26" t="s">
        <v>794</v>
      </c>
      <c r="LEC138" s="26">
        <v>4</v>
      </c>
      <c r="LED138" s="26" t="s">
        <v>794</v>
      </c>
      <c r="LEE138" s="26">
        <v>4</v>
      </c>
      <c r="LEF138" s="26" t="s">
        <v>794</v>
      </c>
      <c r="LEG138" s="26">
        <v>4</v>
      </c>
      <c r="LEH138" s="26" t="s">
        <v>794</v>
      </c>
      <c r="LEI138" s="26">
        <v>4</v>
      </c>
      <c r="LEJ138" s="26" t="s">
        <v>794</v>
      </c>
      <c r="LEK138" s="26">
        <v>4</v>
      </c>
      <c r="LEL138" s="26" t="s">
        <v>794</v>
      </c>
      <c r="LEM138" s="26">
        <v>4</v>
      </c>
      <c r="LEN138" s="26" t="s">
        <v>794</v>
      </c>
      <c r="LEO138" s="26">
        <v>4</v>
      </c>
      <c r="LEP138" s="26" t="s">
        <v>794</v>
      </c>
      <c r="LEQ138" s="26">
        <v>4</v>
      </c>
      <c r="LER138" s="26" t="s">
        <v>794</v>
      </c>
      <c r="LES138" s="26">
        <v>4</v>
      </c>
      <c r="LET138" s="26" t="s">
        <v>794</v>
      </c>
      <c r="LEU138" s="26">
        <v>4</v>
      </c>
      <c r="LEV138" s="26" t="s">
        <v>794</v>
      </c>
      <c r="LEW138" s="26">
        <v>4</v>
      </c>
      <c r="LEX138" s="26" t="s">
        <v>794</v>
      </c>
      <c r="LEY138" s="26">
        <v>4</v>
      </c>
      <c r="LEZ138" s="26" t="s">
        <v>794</v>
      </c>
      <c r="LFA138" s="26">
        <v>4</v>
      </c>
      <c r="LFB138" s="26" t="s">
        <v>794</v>
      </c>
      <c r="LFC138" s="26">
        <v>4</v>
      </c>
      <c r="LFD138" s="26" t="s">
        <v>794</v>
      </c>
      <c r="LFE138" s="26">
        <v>4</v>
      </c>
      <c r="LFF138" s="26" t="s">
        <v>794</v>
      </c>
      <c r="LFG138" s="26">
        <v>4</v>
      </c>
      <c r="LFH138" s="26" t="s">
        <v>794</v>
      </c>
      <c r="LFI138" s="26">
        <v>4</v>
      </c>
      <c r="LFJ138" s="26" t="s">
        <v>794</v>
      </c>
      <c r="LFK138" s="26">
        <v>4</v>
      </c>
      <c r="LFL138" s="26" t="s">
        <v>794</v>
      </c>
      <c r="LFM138" s="26">
        <v>4</v>
      </c>
      <c r="LFN138" s="26" t="s">
        <v>794</v>
      </c>
      <c r="LFO138" s="26">
        <v>4</v>
      </c>
      <c r="LFP138" s="26" t="s">
        <v>794</v>
      </c>
      <c r="LFQ138" s="26">
        <v>4</v>
      </c>
      <c r="LFR138" s="26" t="s">
        <v>794</v>
      </c>
      <c r="LFS138" s="26">
        <v>4</v>
      </c>
      <c r="LFT138" s="26" t="s">
        <v>794</v>
      </c>
      <c r="LFU138" s="26">
        <v>4</v>
      </c>
      <c r="LFV138" s="26" t="s">
        <v>794</v>
      </c>
      <c r="LFW138" s="26">
        <v>4</v>
      </c>
      <c r="LFX138" s="26" t="s">
        <v>794</v>
      </c>
      <c r="LFY138" s="26">
        <v>4</v>
      </c>
      <c r="LFZ138" s="26" t="s">
        <v>794</v>
      </c>
      <c r="LGA138" s="26">
        <v>4</v>
      </c>
      <c r="LGB138" s="26" t="s">
        <v>794</v>
      </c>
      <c r="LGC138" s="26">
        <v>4</v>
      </c>
      <c r="LGD138" s="26" t="s">
        <v>794</v>
      </c>
      <c r="LGE138" s="26">
        <v>4</v>
      </c>
      <c r="LGF138" s="26" t="s">
        <v>794</v>
      </c>
      <c r="LGG138" s="26">
        <v>4</v>
      </c>
      <c r="LGH138" s="26" t="s">
        <v>794</v>
      </c>
      <c r="LGI138" s="26">
        <v>4</v>
      </c>
      <c r="LGJ138" s="26" t="s">
        <v>794</v>
      </c>
      <c r="LGK138" s="26">
        <v>4</v>
      </c>
      <c r="LGL138" s="26" t="s">
        <v>794</v>
      </c>
      <c r="LGM138" s="26">
        <v>4</v>
      </c>
      <c r="LGN138" s="26" t="s">
        <v>794</v>
      </c>
      <c r="LGO138" s="26">
        <v>4</v>
      </c>
      <c r="LGP138" s="26" t="s">
        <v>794</v>
      </c>
      <c r="LGQ138" s="26">
        <v>4</v>
      </c>
      <c r="LGR138" s="26" t="s">
        <v>794</v>
      </c>
      <c r="LGS138" s="26">
        <v>4</v>
      </c>
      <c r="LGT138" s="26" t="s">
        <v>794</v>
      </c>
      <c r="LGU138" s="26">
        <v>4</v>
      </c>
      <c r="LGV138" s="26" t="s">
        <v>794</v>
      </c>
      <c r="LGW138" s="26">
        <v>4</v>
      </c>
      <c r="LGX138" s="26" t="s">
        <v>794</v>
      </c>
      <c r="LGY138" s="26">
        <v>4</v>
      </c>
      <c r="LGZ138" s="26" t="s">
        <v>794</v>
      </c>
      <c r="LHA138" s="26">
        <v>4</v>
      </c>
      <c r="LHB138" s="26" t="s">
        <v>794</v>
      </c>
      <c r="LHC138" s="26">
        <v>4</v>
      </c>
      <c r="LHD138" s="26" t="s">
        <v>794</v>
      </c>
      <c r="LHE138" s="26">
        <v>4</v>
      </c>
      <c r="LHF138" s="26" t="s">
        <v>794</v>
      </c>
      <c r="LHG138" s="26">
        <v>4</v>
      </c>
      <c r="LHH138" s="26" t="s">
        <v>794</v>
      </c>
      <c r="LHI138" s="26">
        <v>4</v>
      </c>
      <c r="LHJ138" s="26" t="s">
        <v>794</v>
      </c>
      <c r="LHK138" s="26">
        <v>4</v>
      </c>
      <c r="LHL138" s="26" t="s">
        <v>794</v>
      </c>
      <c r="LHM138" s="26">
        <v>4</v>
      </c>
      <c r="LHN138" s="26" t="s">
        <v>794</v>
      </c>
      <c r="LHO138" s="26">
        <v>4</v>
      </c>
      <c r="LHP138" s="26" t="s">
        <v>794</v>
      </c>
      <c r="LHQ138" s="26">
        <v>4</v>
      </c>
      <c r="LHR138" s="26" t="s">
        <v>794</v>
      </c>
      <c r="LHS138" s="26">
        <v>4</v>
      </c>
      <c r="LHT138" s="26" t="s">
        <v>794</v>
      </c>
      <c r="LHU138" s="26">
        <v>4</v>
      </c>
      <c r="LHV138" s="26" t="s">
        <v>794</v>
      </c>
      <c r="LHW138" s="26">
        <v>4</v>
      </c>
      <c r="LHX138" s="26" t="s">
        <v>794</v>
      </c>
      <c r="LHY138" s="26">
        <v>4</v>
      </c>
      <c r="LHZ138" s="26" t="s">
        <v>794</v>
      </c>
      <c r="LIA138" s="26">
        <v>4</v>
      </c>
      <c r="LIB138" s="26" t="s">
        <v>794</v>
      </c>
      <c r="LIC138" s="26">
        <v>4</v>
      </c>
      <c r="LID138" s="26" t="s">
        <v>794</v>
      </c>
      <c r="LIE138" s="26">
        <v>4</v>
      </c>
      <c r="LIF138" s="26" t="s">
        <v>794</v>
      </c>
      <c r="LIG138" s="26">
        <v>4</v>
      </c>
      <c r="LIH138" s="26" t="s">
        <v>794</v>
      </c>
      <c r="LII138" s="26">
        <v>4</v>
      </c>
      <c r="LIJ138" s="26" t="s">
        <v>794</v>
      </c>
      <c r="LIK138" s="26">
        <v>4</v>
      </c>
      <c r="LIL138" s="26" t="s">
        <v>794</v>
      </c>
      <c r="LIM138" s="26">
        <v>4</v>
      </c>
      <c r="LIN138" s="26" t="s">
        <v>794</v>
      </c>
      <c r="LIO138" s="26">
        <v>4</v>
      </c>
      <c r="LIP138" s="26" t="s">
        <v>794</v>
      </c>
      <c r="LIQ138" s="26">
        <v>4</v>
      </c>
      <c r="LIR138" s="26" t="s">
        <v>794</v>
      </c>
      <c r="LIS138" s="26">
        <v>4</v>
      </c>
      <c r="LIT138" s="26" t="s">
        <v>794</v>
      </c>
      <c r="LIU138" s="26">
        <v>4</v>
      </c>
      <c r="LIV138" s="26" t="s">
        <v>794</v>
      </c>
      <c r="LIW138" s="26">
        <v>4</v>
      </c>
      <c r="LIX138" s="26" t="s">
        <v>794</v>
      </c>
      <c r="LIY138" s="26">
        <v>4</v>
      </c>
      <c r="LIZ138" s="26" t="s">
        <v>794</v>
      </c>
      <c r="LJA138" s="26">
        <v>4</v>
      </c>
      <c r="LJB138" s="26" t="s">
        <v>794</v>
      </c>
      <c r="LJC138" s="26">
        <v>4</v>
      </c>
      <c r="LJD138" s="26" t="s">
        <v>794</v>
      </c>
      <c r="LJE138" s="26">
        <v>4</v>
      </c>
      <c r="LJF138" s="26" t="s">
        <v>794</v>
      </c>
      <c r="LJG138" s="26">
        <v>4</v>
      </c>
      <c r="LJH138" s="26" t="s">
        <v>794</v>
      </c>
      <c r="LJI138" s="26">
        <v>4</v>
      </c>
      <c r="LJJ138" s="26" t="s">
        <v>794</v>
      </c>
      <c r="LJK138" s="26">
        <v>4</v>
      </c>
      <c r="LJL138" s="26" t="s">
        <v>794</v>
      </c>
      <c r="LJM138" s="26">
        <v>4</v>
      </c>
      <c r="LJN138" s="26" t="s">
        <v>794</v>
      </c>
      <c r="LJO138" s="26">
        <v>4</v>
      </c>
      <c r="LJP138" s="26" t="s">
        <v>794</v>
      </c>
      <c r="LJQ138" s="26">
        <v>4</v>
      </c>
      <c r="LJR138" s="26" t="s">
        <v>794</v>
      </c>
      <c r="LJS138" s="26">
        <v>4</v>
      </c>
      <c r="LJT138" s="26" t="s">
        <v>794</v>
      </c>
      <c r="LJU138" s="26">
        <v>4</v>
      </c>
      <c r="LJV138" s="26" t="s">
        <v>794</v>
      </c>
      <c r="LJW138" s="26">
        <v>4</v>
      </c>
      <c r="LJX138" s="26" t="s">
        <v>794</v>
      </c>
      <c r="LJY138" s="26">
        <v>4</v>
      </c>
      <c r="LJZ138" s="26" t="s">
        <v>794</v>
      </c>
      <c r="LKA138" s="26">
        <v>4</v>
      </c>
      <c r="LKB138" s="26" t="s">
        <v>794</v>
      </c>
      <c r="LKC138" s="26">
        <v>4</v>
      </c>
      <c r="LKD138" s="26" t="s">
        <v>794</v>
      </c>
      <c r="LKE138" s="26">
        <v>4</v>
      </c>
      <c r="LKF138" s="26" t="s">
        <v>794</v>
      </c>
      <c r="LKG138" s="26">
        <v>4</v>
      </c>
      <c r="LKH138" s="26" t="s">
        <v>794</v>
      </c>
      <c r="LKI138" s="26">
        <v>4</v>
      </c>
      <c r="LKJ138" s="26" t="s">
        <v>794</v>
      </c>
      <c r="LKK138" s="26">
        <v>4</v>
      </c>
      <c r="LKL138" s="26" t="s">
        <v>794</v>
      </c>
      <c r="LKM138" s="26">
        <v>4</v>
      </c>
      <c r="LKN138" s="26" t="s">
        <v>794</v>
      </c>
      <c r="LKO138" s="26">
        <v>4</v>
      </c>
      <c r="LKP138" s="26" t="s">
        <v>794</v>
      </c>
      <c r="LKQ138" s="26">
        <v>4</v>
      </c>
      <c r="LKR138" s="26" t="s">
        <v>794</v>
      </c>
      <c r="LKS138" s="26">
        <v>4</v>
      </c>
      <c r="LKT138" s="26" t="s">
        <v>794</v>
      </c>
      <c r="LKU138" s="26">
        <v>4</v>
      </c>
      <c r="LKV138" s="26" t="s">
        <v>794</v>
      </c>
      <c r="LKW138" s="26">
        <v>4</v>
      </c>
      <c r="LKX138" s="26" t="s">
        <v>794</v>
      </c>
      <c r="LKY138" s="26">
        <v>4</v>
      </c>
      <c r="LKZ138" s="26" t="s">
        <v>794</v>
      </c>
      <c r="LLA138" s="26">
        <v>4</v>
      </c>
      <c r="LLB138" s="26" t="s">
        <v>794</v>
      </c>
      <c r="LLC138" s="26">
        <v>4</v>
      </c>
      <c r="LLD138" s="26" t="s">
        <v>794</v>
      </c>
      <c r="LLE138" s="26">
        <v>4</v>
      </c>
      <c r="LLF138" s="26" t="s">
        <v>794</v>
      </c>
      <c r="LLG138" s="26">
        <v>4</v>
      </c>
      <c r="LLH138" s="26" t="s">
        <v>794</v>
      </c>
      <c r="LLI138" s="26">
        <v>4</v>
      </c>
      <c r="LLJ138" s="26" t="s">
        <v>794</v>
      </c>
      <c r="LLK138" s="26">
        <v>4</v>
      </c>
      <c r="LLL138" s="26" t="s">
        <v>794</v>
      </c>
      <c r="LLM138" s="26">
        <v>4</v>
      </c>
      <c r="LLN138" s="26" t="s">
        <v>794</v>
      </c>
      <c r="LLO138" s="26">
        <v>4</v>
      </c>
      <c r="LLP138" s="26" t="s">
        <v>794</v>
      </c>
      <c r="LLQ138" s="26">
        <v>4</v>
      </c>
      <c r="LLR138" s="26" t="s">
        <v>794</v>
      </c>
      <c r="LLS138" s="26">
        <v>4</v>
      </c>
      <c r="LLT138" s="26" t="s">
        <v>794</v>
      </c>
      <c r="LLU138" s="26">
        <v>4</v>
      </c>
      <c r="LLV138" s="26" t="s">
        <v>794</v>
      </c>
      <c r="LLW138" s="26">
        <v>4</v>
      </c>
      <c r="LLX138" s="26" t="s">
        <v>794</v>
      </c>
      <c r="LLY138" s="26">
        <v>4</v>
      </c>
      <c r="LLZ138" s="26" t="s">
        <v>794</v>
      </c>
      <c r="LMA138" s="26">
        <v>4</v>
      </c>
      <c r="LMB138" s="26" t="s">
        <v>794</v>
      </c>
      <c r="LMC138" s="26">
        <v>4</v>
      </c>
      <c r="LMD138" s="26" t="s">
        <v>794</v>
      </c>
      <c r="LME138" s="26">
        <v>4</v>
      </c>
      <c r="LMF138" s="26" t="s">
        <v>794</v>
      </c>
      <c r="LMG138" s="26">
        <v>4</v>
      </c>
      <c r="LMH138" s="26" t="s">
        <v>794</v>
      </c>
      <c r="LMI138" s="26">
        <v>4</v>
      </c>
      <c r="LMJ138" s="26" t="s">
        <v>794</v>
      </c>
      <c r="LMK138" s="26">
        <v>4</v>
      </c>
      <c r="LML138" s="26" t="s">
        <v>794</v>
      </c>
      <c r="LMM138" s="26">
        <v>4</v>
      </c>
      <c r="LMN138" s="26" t="s">
        <v>794</v>
      </c>
      <c r="LMO138" s="26">
        <v>4</v>
      </c>
      <c r="LMP138" s="26" t="s">
        <v>794</v>
      </c>
      <c r="LMQ138" s="26">
        <v>4</v>
      </c>
      <c r="LMR138" s="26" t="s">
        <v>794</v>
      </c>
      <c r="LMS138" s="26">
        <v>4</v>
      </c>
      <c r="LMT138" s="26" t="s">
        <v>794</v>
      </c>
      <c r="LMU138" s="26">
        <v>4</v>
      </c>
      <c r="LMV138" s="26" t="s">
        <v>794</v>
      </c>
      <c r="LMW138" s="26">
        <v>4</v>
      </c>
      <c r="LMX138" s="26" t="s">
        <v>794</v>
      </c>
      <c r="LMY138" s="26">
        <v>4</v>
      </c>
      <c r="LMZ138" s="26" t="s">
        <v>794</v>
      </c>
      <c r="LNA138" s="26">
        <v>4</v>
      </c>
      <c r="LNB138" s="26" t="s">
        <v>794</v>
      </c>
      <c r="LNC138" s="26">
        <v>4</v>
      </c>
      <c r="LND138" s="26" t="s">
        <v>794</v>
      </c>
      <c r="LNE138" s="26">
        <v>4</v>
      </c>
      <c r="LNF138" s="26" t="s">
        <v>794</v>
      </c>
      <c r="LNG138" s="26">
        <v>4</v>
      </c>
      <c r="LNH138" s="26" t="s">
        <v>794</v>
      </c>
      <c r="LNI138" s="26">
        <v>4</v>
      </c>
      <c r="LNJ138" s="26" t="s">
        <v>794</v>
      </c>
      <c r="LNK138" s="26">
        <v>4</v>
      </c>
      <c r="LNL138" s="26" t="s">
        <v>794</v>
      </c>
      <c r="LNM138" s="26">
        <v>4</v>
      </c>
      <c r="LNN138" s="26" t="s">
        <v>794</v>
      </c>
      <c r="LNO138" s="26">
        <v>4</v>
      </c>
      <c r="LNP138" s="26" t="s">
        <v>794</v>
      </c>
      <c r="LNQ138" s="26">
        <v>4</v>
      </c>
      <c r="LNR138" s="26" t="s">
        <v>794</v>
      </c>
      <c r="LNS138" s="26">
        <v>4</v>
      </c>
      <c r="LNT138" s="26" t="s">
        <v>794</v>
      </c>
      <c r="LNU138" s="26">
        <v>4</v>
      </c>
      <c r="LNV138" s="26" t="s">
        <v>794</v>
      </c>
      <c r="LNW138" s="26">
        <v>4</v>
      </c>
      <c r="LNX138" s="26" t="s">
        <v>794</v>
      </c>
      <c r="LNY138" s="26">
        <v>4</v>
      </c>
      <c r="LNZ138" s="26" t="s">
        <v>794</v>
      </c>
      <c r="LOA138" s="26">
        <v>4</v>
      </c>
      <c r="LOB138" s="26" t="s">
        <v>794</v>
      </c>
      <c r="LOC138" s="26">
        <v>4</v>
      </c>
      <c r="LOD138" s="26" t="s">
        <v>794</v>
      </c>
      <c r="LOE138" s="26">
        <v>4</v>
      </c>
      <c r="LOF138" s="26" t="s">
        <v>794</v>
      </c>
      <c r="LOG138" s="26">
        <v>4</v>
      </c>
      <c r="LOH138" s="26" t="s">
        <v>794</v>
      </c>
      <c r="LOI138" s="26">
        <v>4</v>
      </c>
      <c r="LOJ138" s="26" t="s">
        <v>794</v>
      </c>
      <c r="LOK138" s="26">
        <v>4</v>
      </c>
      <c r="LOL138" s="26" t="s">
        <v>794</v>
      </c>
      <c r="LOM138" s="26">
        <v>4</v>
      </c>
      <c r="LON138" s="26" t="s">
        <v>794</v>
      </c>
      <c r="LOO138" s="26">
        <v>4</v>
      </c>
      <c r="LOP138" s="26" t="s">
        <v>794</v>
      </c>
      <c r="LOQ138" s="26">
        <v>4</v>
      </c>
      <c r="LOR138" s="26" t="s">
        <v>794</v>
      </c>
      <c r="LOS138" s="26">
        <v>4</v>
      </c>
      <c r="LOT138" s="26" t="s">
        <v>794</v>
      </c>
      <c r="LOU138" s="26">
        <v>4</v>
      </c>
      <c r="LOV138" s="26" t="s">
        <v>794</v>
      </c>
      <c r="LOW138" s="26">
        <v>4</v>
      </c>
      <c r="LOX138" s="26" t="s">
        <v>794</v>
      </c>
      <c r="LOY138" s="26">
        <v>4</v>
      </c>
      <c r="LOZ138" s="26" t="s">
        <v>794</v>
      </c>
      <c r="LPA138" s="26">
        <v>4</v>
      </c>
      <c r="LPB138" s="26" t="s">
        <v>794</v>
      </c>
      <c r="LPC138" s="26">
        <v>4</v>
      </c>
      <c r="LPD138" s="26" t="s">
        <v>794</v>
      </c>
      <c r="LPE138" s="26">
        <v>4</v>
      </c>
      <c r="LPF138" s="26" t="s">
        <v>794</v>
      </c>
      <c r="LPG138" s="26">
        <v>4</v>
      </c>
      <c r="LPH138" s="26" t="s">
        <v>794</v>
      </c>
      <c r="LPI138" s="26">
        <v>4</v>
      </c>
      <c r="LPJ138" s="26" t="s">
        <v>794</v>
      </c>
      <c r="LPK138" s="26">
        <v>4</v>
      </c>
      <c r="LPL138" s="26" t="s">
        <v>794</v>
      </c>
      <c r="LPM138" s="26">
        <v>4</v>
      </c>
      <c r="LPN138" s="26" t="s">
        <v>794</v>
      </c>
      <c r="LPO138" s="26">
        <v>4</v>
      </c>
      <c r="LPP138" s="26" t="s">
        <v>794</v>
      </c>
      <c r="LPQ138" s="26">
        <v>4</v>
      </c>
      <c r="LPR138" s="26" t="s">
        <v>794</v>
      </c>
      <c r="LPS138" s="26">
        <v>4</v>
      </c>
      <c r="LPT138" s="26" t="s">
        <v>794</v>
      </c>
      <c r="LPU138" s="26">
        <v>4</v>
      </c>
      <c r="LPV138" s="26" t="s">
        <v>794</v>
      </c>
      <c r="LPW138" s="26">
        <v>4</v>
      </c>
      <c r="LPX138" s="26" t="s">
        <v>794</v>
      </c>
      <c r="LPY138" s="26">
        <v>4</v>
      </c>
      <c r="LPZ138" s="26" t="s">
        <v>794</v>
      </c>
      <c r="LQA138" s="26">
        <v>4</v>
      </c>
      <c r="LQB138" s="26" t="s">
        <v>794</v>
      </c>
      <c r="LQC138" s="26">
        <v>4</v>
      </c>
      <c r="LQD138" s="26" t="s">
        <v>794</v>
      </c>
      <c r="LQE138" s="26">
        <v>4</v>
      </c>
      <c r="LQF138" s="26" t="s">
        <v>794</v>
      </c>
      <c r="LQG138" s="26">
        <v>4</v>
      </c>
      <c r="LQH138" s="26" t="s">
        <v>794</v>
      </c>
      <c r="LQI138" s="26">
        <v>4</v>
      </c>
      <c r="LQJ138" s="26" t="s">
        <v>794</v>
      </c>
      <c r="LQK138" s="26">
        <v>4</v>
      </c>
      <c r="LQL138" s="26" t="s">
        <v>794</v>
      </c>
      <c r="LQM138" s="26">
        <v>4</v>
      </c>
      <c r="LQN138" s="26" t="s">
        <v>794</v>
      </c>
      <c r="LQO138" s="26">
        <v>4</v>
      </c>
      <c r="LQP138" s="26" t="s">
        <v>794</v>
      </c>
      <c r="LQQ138" s="26">
        <v>4</v>
      </c>
      <c r="LQR138" s="26" t="s">
        <v>794</v>
      </c>
      <c r="LQS138" s="26">
        <v>4</v>
      </c>
      <c r="LQT138" s="26" t="s">
        <v>794</v>
      </c>
      <c r="LQU138" s="26">
        <v>4</v>
      </c>
      <c r="LQV138" s="26" t="s">
        <v>794</v>
      </c>
      <c r="LQW138" s="26">
        <v>4</v>
      </c>
      <c r="LQX138" s="26" t="s">
        <v>794</v>
      </c>
      <c r="LQY138" s="26">
        <v>4</v>
      </c>
      <c r="LQZ138" s="26" t="s">
        <v>794</v>
      </c>
      <c r="LRA138" s="26">
        <v>4</v>
      </c>
      <c r="LRB138" s="26" t="s">
        <v>794</v>
      </c>
      <c r="LRC138" s="26">
        <v>4</v>
      </c>
      <c r="LRD138" s="26" t="s">
        <v>794</v>
      </c>
      <c r="LRE138" s="26">
        <v>4</v>
      </c>
      <c r="LRF138" s="26" t="s">
        <v>794</v>
      </c>
      <c r="LRG138" s="26">
        <v>4</v>
      </c>
      <c r="LRH138" s="26" t="s">
        <v>794</v>
      </c>
      <c r="LRI138" s="26">
        <v>4</v>
      </c>
      <c r="LRJ138" s="26" t="s">
        <v>794</v>
      </c>
      <c r="LRK138" s="26">
        <v>4</v>
      </c>
      <c r="LRL138" s="26" t="s">
        <v>794</v>
      </c>
      <c r="LRM138" s="26">
        <v>4</v>
      </c>
      <c r="LRN138" s="26" t="s">
        <v>794</v>
      </c>
      <c r="LRO138" s="26">
        <v>4</v>
      </c>
      <c r="LRP138" s="26" t="s">
        <v>794</v>
      </c>
      <c r="LRQ138" s="26">
        <v>4</v>
      </c>
      <c r="LRR138" s="26" t="s">
        <v>794</v>
      </c>
      <c r="LRS138" s="26">
        <v>4</v>
      </c>
      <c r="LRT138" s="26" t="s">
        <v>794</v>
      </c>
      <c r="LRU138" s="26">
        <v>4</v>
      </c>
      <c r="LRV138" s="26" t="s">
        <v>794</v>
      </c>
      <c r="LRW138" s="26">
        <v>4</v>
      </c>
      <c r="LRX138" s="26" t="s">
        <v>794</v>
      </c>
      <c r="LRY138" s="26">
        <v>4</v>
      </c>
      <c r="LRZ138" s="26" t="s">
        <v>794</v>
      </c>
      <c r="LSA138" s="26">
        <v>4</v>
      </c>
      <c r="LSB138" s="26" t="s">
        <v>794</v>
      </c>
      <c r="LSC138" s="26">
        <v>4</v>
      </c>
      <c r="LSD138" s="26" t="s">
        <v>794</v>
      </c>
      <c r="LSE138" s="26">
        <v>4</v>
      </c>
      <c r="LSF138" s="26" t="s">
        <v>794</v>
      </c>
      <c r="LSG138" s="26">
        <v>4</v>
      </c>
      <c r="LSH138" s="26" t="s">
        <v>794</v>
      </c>
      <c r="LSI138" s="26">
        <v>4</v>
      </c>
      <c r="LSJ138" s="26" t="s">
        <v>794</v>
      </c>
      <c r="LSK138" s="26">
        <v>4</v>
      </c>
      <c r="LSL138" s="26" t="s">
        <v>794</v>
      </c>
      <c r="LSM138" s="26">
        <v>4</v>
      </c>
      <c r="LSN138" s="26" t="s">
        <v>794</v>
      </c>
      <c r="LSO138" s="26">
        <v>4</v>
      </c>
      <c r="LSP138" s="26" t="s">
        <v>794</v>
      </c>
      <c r="LSQ138" s="26">
        <v>4</v>
      </c>
      <c r="LSR138" s="26" t="s">
        <v>794</v>
      </c>
      <c r="LSS138" s="26">
        <v>4</v>
      </c>
      <c r="LST138" s="26" t="s">
        <v>794</v>
      </c>
      <c r="LSU138" s="26">
        <v>4</v>
      </c>
      <c r="LSV138" s="26" t="s">
        <v>794</v>
      </c>
      <c r="LSW138" s="26">
        <v>4</v>
      </c>
      <c r="LSX138" s="26" t="s">
        <v>794</v>
      </c>
      <c r="LSY138" s="26">
        <v>4</v>
      </c>
      <c r="LSZ138" s="26" t="s">
        <v>794</v>
      </c>
      <c r="LTA138" s="26">
        <v>4</v>
      </c>
      <c r="LTB138" s="26" t="s">
        <v>794</v>
      </c>
      <c r="LTC138" s="26">
        <v>4</v>
      </c>
      <c r="LTD138" s="26" t="s">
        <v>794</v>
      </c>
      <c r="LTE138" s="26">
        <v>4</v>
      </c>
      <c r="LTF138" s="26" t="s">
        <v>794</v>
      </c>
      <c r="LTG138" s="26">
        <v>4</v>
      </c>
      <c r="LTH138" s="26" t="s">
        <v>794</v>
      </c>
      <c r="LTI138" s="26">
        <v>4</v>
      </c>
      <c r="LTJ138" s="26" t="s">
        <v>794</v>
      </c>
      <c r="LTK138" s="26">
        <v>4</v>
      </c>
      <c r="LTL138" s="26" t="s">
        <v>794</v>
      </c>
      <c r="LTM138" s="26">
        <v>4</v>
      </c>
      <c r="LTN138" s="26" t="s">
        <v>794</v>
      </c>
      <c r="LTO138" s="26">
        <v>4</v>
      </c>
      <c r="LTP138" s="26" t="s">
        <v>794</v>
      </c>
      <c r="LTQ138" s="26">
        <v>4</v>
      </c>
      <c r="LTR138" s="26" t="s">
        <v>794</v>
      </c>
      <c r="LTS138" s="26">
        <v>4</v>
      </c>
      <c r="LTT138" s="26" t="s">
        <v>794</v>
      </c>
      <c r="LTU138" s="26">
        <v>4</v>
      </c>
      <c r="LTV138" s="26" t="s">
        <v>794</v>
      </c>
      <c r="LTW138" s="26">
        <v>4</v>
      </c>
      <c r="LTX138" s="26" t="s">
        <v>794</v>
      </c>
      <c r="LTY138" s="26">
        <v>4</v>
      </c>
      <c r="LTZ138" s="26" t="s">
        <v>794</v>
      </c>
      <c r="LUA138" s="26">
        <v>4</v>
      </c>
      <c r="LUB138" s="26" t="s">
        <v>794</v>
      </c>
      <c r="LUC138" s="26">
        <v>4</v>
      </c>
      <c r="LUD138" s="26" t="s">
        <v>794</v>
      </c>
      <c r="LUE138" s="26">
        <v>4</v>
      </c>
      <c r="LUF138" s="26" t="s">
        <v>794</v>
      </c>
      <c r="LUG138" s="26">
        <v>4</v>
      </c>
      <c r="LUH138" s="26" t="s">
        <v>794</v>
      </c>
      <c r="LUI138" s="26">
        <v>4</v>
      </c>
      <c r="LUJ138" s="26" t="s">
        <v>794</v>
      </c>
      <c r="LUK138" s="26">
        <v>4</v>
      </c>
      <c r="LUL138" s="26" t="s">
        <v>794</v>
      </c>
      <c r="LUM138" s="26">
        <v>4</v>
      </c>
      <c r="LUN138" s="26" t="s">
        <v>794</v>
      </c>
      <c r="LUO138" s="26">
        <v>4</v>
      </c>
      <c r="LUP138" s="26" t="s">
        <v>794</v>
      </c>
      <c r="LUQ138" s="26">
        <v>4</v>
      </c>
      <c r="LUR138" s="26" t="s">
        <v>794</v>
      </c>
      <c r="LUS138" s="26">
        <v>4</v>
      </c>
      <c r="LUT138" s="26" t="s">
        <v>794</v>
      </c>
      <c r="LUU138" s="26">
        <v>4</v>
      </c>
      <c r="LUV138" s="26" t="s">
        <v>794</v>
      </c>
      <c r="LUW138" s="26">
        <v>4</v>
      </c>
      <c r="LUX138" s="26" t="s">
        <v>794</v>
      </c>
      <c r="LUY138" s="26">
        <v>4</v>
      </c>
      <c r="LUZ138" s="26" t="s">
        <v>794</v>
      </c>
      <c r="LVA138" s="26">
        <v>4</v>
      </c>
      <c r="LVB138" s="26" t="s">
        <v>794</v>
      </c>
      <c r="LVC138" s="26">
        <v>4</v>
      </c>
      <c r="LVD138" s="26" t="s">
        <v>794</v>
      </c>
      <c r="LVE138" s="26">
        <v>4</v>
      </c>
      <c r="LVF138" s="26" t="s">
        <v>794</v>
      </c>
      <c r="LVG138" s="26">
        <v>4</v>
      </c>
      <c r="LVH138" s="26" t="s">
        <v>794</v>
      </c>
      <c r="LVI138" s="26">
        <v>4</v>
      </c>
      <c r="LVJ138" s="26" t="s">
        <v>794</v>
      </c>
      <c r="LVK138" s="26">
        <v>4</v>
      </c>
      <c r="LVL138" s="26" t="s">
        <v>794</v>
      </c>
      <c r="LVM138" s="26">
        <v>4</v>
      </c>
      <c r="LVN138" s="26" t="s">
        <v>794</v>
      </c>
      <c r="LVO138" s="26">
        <v>4</v>
      </c>
      <c r="LVP138" s="26" t="s">
        <v>794</v>
      </c>
      <c r="LVQ138" s="26">
        <v>4</v>
      </c>
      <c r="LVR138" s="26" t="s">
        <v>794</v>
      </c>
      <c r="LVS138" s="26">
        <v>4</v>
      </c>
      <c r="LVT138" s="26" t="s">
        <v>794</v>
      </c>
      <c r="LVU138" s="26">
        <v>4</v>
      </c>
      <c r="LVV138" s="26" t="s">
        <v>794</v>
      </c>
      <c r="LVW138" s="26">
        <v>4</v>
      </c>
      <c r="LVX138" s="26" t="s">
        <v>794</v>
      </c>
      <c r="LVY138" s="26">
        <v>4</v>
      </c>
      <c r="LVZ138" s="26" t="s">
        <v>794</v>
      </c>
      <c r="LWA138" s="26">
        <v>4</v>
      </c>
      <c r="LWB138" s="26" t="s">
        <v>794</v>
      </c>
      <c r="LWC138" s="26">
        <v>4</v>
      </c>
      <c r="LWD138" s="26" t="s">
        <v>794</v>
      </c>
      <c r="LWE138" s="26">
        <v>4</v>
      </c>
      <c r="LWF138" s="26" t="s">
        <v>794</v>
      </c>
      <c r="LWG138" s="26">
        <v>4</v>
      </c>
      <c r="LWH138" s="26" t="s">
        <v>794</v>
      </c>
      <c r="LWI138" s="26">
        <v>4</v>
      </c>
      <c r="LWJ138" s="26" t="s">
        <v>794</v>
      </c>
      <c r="LWK138" s="26">
        <v>4</v>
      </c>
      <c r="LWL138" s="26" t="s">
        <v>794</v>
      </c>
      <c r="LWM138" s="26">
        <v>4</v>
      </c>
      <c r="LWN138" s="26" t="s">
        <v>794</v>
      </c>
      <c r="LWO138" s="26">
        <v>4</v>
      </c>
      <c r="LWP138" s="26" t="s">
        <v>794</v>
      </c>
      <c r="LWQ138" s="26">
        <v>4</v>
      </c>
      <c r="LWR138" s="26" t="s">
        <v>794</v>
      </c>
      <c r="LWS138" s="26">
        <v>4</v>
      </c>
      <c r="LWT138" s="26" t="s">
        <v>794</v>
      </c>
      <c r="LWU138" s="26">
        <v>4</v>
      </c>
      <c r="LWV138" s="26" t="s">
        <v>794</v>
      </c>
      <c r="LWW138" s="26">
        <v>4</v>
      </c>
      <c r="LWX138" s="26" t="s">
        <v>794</v>
      </c>
      <c r="LWY138" s="26">
        <v>4</v>
      </c>
      <c r="LWZ138" s="26" t="s">
        <v>794</v>
      </c>
      <c r="LXA138" s="26">
        <v>4</v>
      </c>
      <c r="LXB138" s="26" t="s">
        <v>794</v>
      </c>
      <c r="LXC138" s="26">
        <v>4</v>
      </c>
      <c r="LXD138" s="26" t="s">
        <v>794</v>
      </c>
      <c r="LXE138" s="26">
        <v>4</v>
      </c>
      <c r="LXF138" s="26" t="s">
        <v>794</v>
      </c>
      <c r="LXG138" s="26">
        <v>4</v>
      </c>
      <c r="LXH138" s="26" t="s">
        <v>794</v>
      </c>
      <c r="LXI138" s="26">
        <v>4</v>
      </c>
      <c r="LXJ138" s="26" t="s">
        <v>794</v>
      </c>
      <c r="LXK138" s="26">
        <v>4</v>
      </c>
      <c r="LXL138" s="26" t="s">
        <v>794</v>
      </c>
      <c r="LXM138" s="26">
        <v>4</v>
      </c>
      <c r="LXN138" s="26" t="s">
        <v>794</v>
      </c>
      <c r="LXO138" s="26">
        <v>4</v>
      </c>
      <c r="LXP138" s="26" t="s">
        <v>794</v>
      </c>
      <c r="LXQ138" s="26">
        <v>4</v>
      </c>
      <c r="LXR138" s="26" t="s">
        <v>794</v>
      </c>
      <c r="LXS138" s="26">
        <v>4</v>
      </c>
      <c r="LXT138" s="26" t="s">
        <v>794</v>
      </c>
      <c r="LXU138" s="26">
        <v>4</v>
      </c>
      <c r="LXV138" s="26" t="s">
        <v>794</v>
      </c>
      <c r="LXW138" s="26">
        <v>4</v>
      </c>
      <c r="LXX138" s="26" t="s">
        <v>794</v>
      </c>
      <c r="LXY138" s="26">
        <v>4</v>
      </c>
      <c r="LXZ138" s="26" t="s">
        <v>794</v>
      </c>
      <c r="LYA138" s="26">
        <v>4</v>
      </c>
      <c r="LYB138" s="26" t="s">
        <v>794</v>
      </c>
      <c r="LYC138" s="26">
        <v>4</v>
      </c>
      <c r="LYD138" s="26" t="s">
        <v>794</v>
      </c>
      <c r="LYE138" s="26">
        <v>4</v>
      </c>
      <c r="LYF138" s="26" t="s">
        <v>794</v>
      </c>
      <c r="LYG138" s="26">
        <v>4</v>
      </c>
      <c r="LYH138" s="26" t="s">
        <v>794</v>
      </c>
      <c r="LYI138" s="26">
        <v>4</v>
      </c>
      <c r="LYJ138" s="26" t="s">
        <v>794</v>
      </c>
      <c r="LYK138" s="26">
        <v>4</v>
      </c>
      <c r="LYL138" s="26" t="s">
        <v>794</v>
      </c>
      <c r="LYM138" s="26">
        <v>4</v>
      </c>
      <c r="LYN138" s="26" t="s">
        <v>794</v>
      </c>
      <c r="LYO138" s="26">
        <v>4</v>
      </c>
      <c r="LYP138" s="26" t="s">
        <v>794</v>
      </c>
      <c r="LYQ138" s="26">
        <v>4</v>
      </c>
      <c r="LYR138" s="26" t="s">
        <v>794</v>
      </c>
      <c r="LYS138" s="26">
        <v>4</v>
      </c>
      <c r="LYT138" s="26" t="s">
        <v>794</v>
      </c>
      <c r="LYU138" s="26">
        <v>4</v>
      </c>
      <c r="LYV138" s="26" t="s">
        <v>794</v>
      </c>
      <c r="LYW138" s="26">
        <v>4</v>
      </c>
      <c r="LYX138" s="26" t="s">
        <v>794</v>
      </c>
      <c r="LYY138" s="26">
        <v>4</v>
      </c>
      <c r="LYZ138" s="26" t="s">
        <v>794</v>
      </c>
      <c r="LZA138" s="26">
        <v>4</v>
      </c>
      <c r="LZB138" s="26" t="s">
        <v>794</v>
      </c>
      <c r="LZC138" s="26">
        <v>4</v>
      </c>
      <c r="LZD138" s="26" t="s">
        <v>794</v>
      </c>
      <c r="LZE138" s="26">
        <v>4</v>
      </c>
      <c r="LZF138" s="26" t="s">
        <v>794</v>
      </c>
      <c r="LZG138" s="26">
        <v>4</v>
      </c>
      <c r="LZH138" s="26" t="s">
        <v>794</v>
      </c>
      <c r="LZI138" s="26">
        <v>4</v>
      </c>
      <c r="LZJ138" s="26" t="s">
        <v>794</v>
      </c>
      <c r="LZK138" s="26">
        <v>4</v>
      </c>
      <c r="LZL138" s="26" t="s">
        <v>794</v>
      </c>
      <c r="LZM138" s="26">
        <v>4</v>
      </c>
      <c r="LZN138" s="26" t="s">
        <v>794</v>
      </c>
      <c r="LZO138" s="26">
        <v>4</v>
      </c>
      <c r="LZP138" s="26" t="s">
        <v>794</v>
      </c>
      <c r="LZQ138" s="26">
        <v>4</v>
      </c>
      <c r="LZR138" s="26" t="s">
        <v>794</v>
      </c>
      <c r="LZS138" s="26">
        <v>4</v>
      </c>
      <c r="LZT138" s="26" t="s">
        <v>794</v>
      </c>
      <c r="LZU138" s="26">
        <v>4</v>
      </c>
      <c r="LZV138" s="26" t="s">
        <v>794</v>
      </c>
      <c r="LZW138" s="26">
        <v>4</v>
      </c>
      <c r="LZX138" s="26" t="s">
        <v>794</v>
      </c>
      <c r="LZY138" s="26">
        <v>4</v>
      </c>
      <c r="LZZ138" s="26" t="s">
        <v>794</v>
      </c>
      <c r="MAA138" s="26">
        <v>4</v>
      </c>
      <c r="MAB138" s="26" t="s">
        <v>794</v>
      </c>
      <c r="MAC138" s="26">
        <v>4</v>
      </c>
      <c r="MAD138" s="26" t="s">
        <v>794</v>
      </c>
      <c r="MAE138" s="26">
        <v>4</v>
      </c>
      <c r="MAF138" s="26" t="s">
        <v>794</v>
      </c>
      <c r="MAG138" s="26">
        <v>4</v>
      </c>
      <c r="MAH138" s="26" t="s">
        <v>794</v>
      </c>
      <c r="MAI138" s="26">
        <v>4</v>
      </c>
      <c r="MAJ138" s="26" t="s">
        <v>794</v>
      </c>
      <c r="MAK138" s="26">
        <v>4</v>
      </c>
      <c r="MAL138" s="26" t="s">
        <v>794</v>
      </c>
      <c r="MAM138" s="26">
        <v>4</v>
      </c>
      <c r="MAN138" s="26" t="s">
        <v>794</v>
      </c>
      <c r="MAO138" s="26">
        <v>4</v>
      </c>
      <c r="MAP138" s="26" t="s">
        <v>794</v>
      </c>
      <c r="MAQ138" s="26">
        <v>4</v>
      </c>
      <c r="MAR138" s="26" t="s">
        <v>794</v>
      </c>
      <c r="MAS138" s="26">
        <v>4</v>
      </c>
      <c r="MAT138" s="26" t="s">
        <v>794</v>
      </c>
      <c r="MAU138" s="26">
        <v>4</v>
      </c>
      <c r="MAV138" s="26" t="s">
        <v>794</v>
      </c>
      <c r="MAW138" s="26">
        <v>4</v>
      </c>
      <c r="MAX138" s="26" t="s">
        <v>794</v>
      </c>
      <c r="MAY138" s="26">
        <v>4</v>
      </c>
      <c r="MAZ138" s="26" t="s">
        <v>794</v>
      </c>
      <c r="MBA138" s="26">
        <v>4</v>
      </c>
      <c r="MBB138" s="26" t="s">
        <v>794</v>
      </c>
      <c r="MBC138" s="26">
        <v>4</v>
      </c>
      <c r="MBD138" s="26" t="s">
        <v>794</v>
      </c>
      <c r="MBE138" s="26">
        <v>4</v>
      </c>
      <c r="MBF138" s="26" t="s">
        <v>794</v>
      </c>
      <c r="MBG138" s="26">
        <v>4</v>
      </c>
      <c r="MBH138" s="26" t="s">
        <v>794</v>
      </c>
      <c r="MBI138" s="26">
        <v>4</v>
      </c>
      <c r="MBJ138" s="26" t="s">
        <v>794</v>
      </c>
      <c r="MBK138" s="26">
        <v>4</v>
      </c>
      <c r="MBL138" s="26" t="s">
        <v>794</v>
      </c>
      <c r="MBM138" s="26">
        <v>4</v>
      </c>
      <c r="MBN138" s="26" t="s">
        <v>794</v>
      </c>
      <c r="MBO138" s="26">
        <v>4</v>
      </c>
      <c r="MBP138" s="26" t="s">
        <v>794</v>
      </c>
      <c r="MBQ138" s="26">
        <v>4</v>
      </c>
      <c r="MBR138" s="26" t="s">
        <v>794</v>
      </c>
      <c r="MBS138" s="26">
        <v>4</v>
      </c>
      <c r="MBT138" s="26" t="s">
        <v>794</v>
      </c>
      <c r="MBU138" s="26">
        <v>4</v>
      </c>
      <c r="MBV138" s="26" t="s">
        <v>794</v>
      </c>
      <c r="MBW138" s="26">
        <v>4</v>
      </c>
      <c r="MBX138" s="26" t="s">
        <v>794</v>
      </c>
      <c r="MBY138" s="26">
        <v>4</v>
      </c>
      <c r="MBZ138" s="26" t="s">
        <v>794</v>
      </c>
      <c r="MCA138" s="26">
        <v>4</v>
      </c>
      <c r="MCB138" s="26" t="s">
        <v>794</v>
      </c>
      <c r="MCC138" s="26">
        <v>4</v>
      </c>
      <c r="MCD138" s="26" t="s">
        <v>794</v>
      </c>
      <c r="MCE138" s="26">
        <v>4</v>
      </c>
      <c r="MCF138" s="26" t="s">
        <v>794</v>
      </c>
      <c r="MCG138" s="26">
        <v>4</v>
      </c>
      <c r="MCH138" s="26" t="s">
        <v>794</v>
      </c>
      <c r="MCI138" s="26">
        <v>4</v>
      </c>
      <c r="MCJ138" s="26" t="s">
        <v>794</v>
      </c>
      <c r="MCK138" s="26">
        <v>4</v>
      </c>
      <c r="MCL138" s="26" t="s">
        <v>794</v>
      </c>
      <c r="MCM138" s="26">
        <v>4</v>
      </c>
      <c r="MCN138" s="26" t="s">
        <v>794</v>
      </c>
      <c r="MCO138" s="26">
        <v>4</v>
      </c>
      <c r="MCP138" s="26" t="s">
        <v>794</v>
      </c>
      <c r="MCQ138" s="26">
        <v>4</v>
      </c>
      <c r="MCR138" s="26" t="s">
        <v>794</v>
      </c>
      <c r="MCS138" s="26">
        <v>4</v>
      </c>
      <c r="MCT138" s="26" t="s">
        <v>794</v>
      </c>
      <c r="MCU138" s="26">
        <v>4</v>
      </c>
      <c r="MCV138" s="26" t="s">
        <v>794</v>
      </c>
      <c r="MCW138" s="26">
        <v>4</v>
      </c>
      <c r="MCX138" s="26" t="s">
        <v>794</v>
      </c>
      <c r="MCY138" s="26">
        <v>4</v>
      </c>
      <c r="MCZ138" s="26" t="s">
        <v>794</v>
      </c>
      <c r="MDA138" s="26">
        <v>4</v>
      </c>
      <c r="MDB138" s="26" t="s">
        <v>794</v>
      </c>
      <c r="MDC138" s="26">
        <v>4</v>
      </c>
      <c r="MDD138" s="26" t="s">
        <v>794</v>
      </c>
      <c r="MDE138" s="26">
        <v>4</v>
      </c>
      <c r="MDF138" s="26" t="s">
        <v>794</v>
      </c>
      <c r="MDG138" s="26">
        <v>4</v>
      </c>
      <c r="MDH138" s="26" t="s">
        <v>794</v>
      </c>
      <c r="MDI138" s="26">
        <v>4</v>
      </c>
      <c r="MDJ138" s="26" t="s">
        <v>794</v>
      </c>
      <c r="MDK138" s="26">
        <v>4</v>
      </c>
      <c r="MDL138" s="26" t="s">
        <v>794</v>
      </c>
      <c r="MDM138" s="26">
        <v>4</v>
      </c>
      <c r="MDN138" s="26" t="s">
        <v>794</v>
      </c>
      <c r="MDO138" s="26">
        <v>4</v>
      </c>
      <c r="MDP138" s="26" t="s">
        <v>794</v>
      </c>
      <c r="MDQ138" s="26">
        <v>4</v>
      </c>
      <c r="MDR138" s="26" t="s">
        <v>794</v>
      </c>
      <c r="MDS138" s="26">
        <v>4</v>
      </c>
      <c r="MDT138" s="26" t="s">
        <v>794</v>
      </c>
      <c r="MDU138" s="26">
        <v>4</v>
      </c>
      <c r="MDV138" s="26" t="s">
        <v>794</v>
      </c>
      <c r="MDW138" s="26">
        <v>4</v>
      </c>
      <c r="MDX138" s="26" t="s">
        <v>794</v>
      </c>
      <c r="MDY138" s="26">
        <v>4</v>
      </c>
      <c r="MDZ138" s="26" t="s">
        <v>794</v>
      </c>
      <c r="MEA138" s="26">
        <v>4</v>
      </c>
      <c r="MEB138" s="26" t="s">
        <v>794</v>
      </c>
      <c r="MEC138" s="26">
        <v>4</v>
      </c>
      <c r="MED138" s="26" t="s">
        <v>794</v>
      </c>
      <c r="MEE138" s="26">
        <v>4</v>
      </c>
      <c r="MEF138" s="26" t="s">
        <v>794</v>
      </c>
      <c r="MEG138" s="26">
        <v>4</v>
      </c>
      <c r="MEH138" s="26" t="s">
        <v>794</v>
      </c>
      <c r="MEI138" s="26">
        <v>4</v>
      </c>
      <c r="MEJ138" s="26" t="s">
        <v>794</v>
      </c>
      <c r="MEK138" s="26">
        <v>4</v>
      </c>
      <c r="MEL138" s="26" t="s">
        <v>794</v>
      </c>
      <c r="MEM138" s="26">
        <v>4</v>
      </c>
      <c r="MEN138" s="26" t="s">
        <v>794</v>
      </c>
      <c r="MEO138" s="26">
        <v>4</v>
      </c>
      <c r="MEP138" s="26" t="s">
        <v>794</v>
      </c>
      <c r="MEQ138" s="26">
        <v>4</v>
      </c>
      <c r="MER138" s="26" t="s">
        <v>794</v>
      </c>
      <c r="MES138" s="26">
        <v>4</v>
      </c>
      <c r="MET138" s="26" t="s">
        <v>794</v>
      </c>
      <c r="MEU138" s="26">
        <v>4</v>
      </c>
      <c r="MEV138" s="26" t="s">
        <v>794</v>
      </c>
      <c r="MEW138" s="26">
        <v>4</v>
      </c>
      <c r="MEX138" s="26" t="s">
        <v>794</v>
      </c>
      <c r="MEY138" s="26">
        <v>4</v>
      </c>
      <c r="MEZ138" s="26" t="s">
        <v>794</v>
      </c>
      <c r="MFA138" s="26">
        <v>4</v>
      </c>
      <c r="MFB138" s="26" t="s">
        <v>794</v>
      </c>
      <c r="MFC138" s="26">
        <v>4</v>
      </c>
      <c r="MFD138" s="26" t="s">
        <v>794</v>
      </c>
      <c r="MFE138" s="26">
        <v>4</v>
      </c>
      <c r="MFF138" s="26" t="s">
        <v>794</v>
      </c>
      <c r="MFG138" s="26">
        <v>4</v>
      </c>
      <c r="MFH138" s="26" t="s">
        <v>794</v>
      </c>
      <c r="MFI138" s="26">
        <v>4</v>
      </c>
      <c r="MFJ138" s="26" t="s">
        <v>794</v>
      </c>
      <c r="MFK138" s="26">
        <v>4</v>
      </c>
      <c r="MFL138" s="26" t="s">
        <v>794</v>
      </c>
      <c r="MFM138" s="26">
        <v>4</v>
      </c>
      <c r="MFN138" s="26" t="s">
        <v>794</v>
      </c>
      <c r="MFO138" s="26">
        <v>4</v>
      </c>
      <c r="MFP138" s="26" t="s">
        <v>794</v>
      </c>
      <c r="MFQ138" s="26">
        <v>4</v>
      </c>
      <c r="MFR138" s="26" t="s">
        <v>794</v>
      </c>
      <c r="MFS138" s="26">
        <v>4</v>
      </c>
      <c r="MFT138" s="26" t="s">
        <v>794</v>
      </c>
      <c r="MFU138" s="26">
        <v>4</v>
      </c>
      <c r="MFV138" s="26" t="s">
        <v>794</v>
      </c>
      <c r="MFW138" s="26">
        <v>4</v>
      </c>
      <c r="MFX138" s="26" t="s">
        <v>794</v>
      </c>
      <c r="MFY138" s="26">
        <v>4</v>
      </c>
      <c r="MFZ138" s="26" t="s">
        <v>794</v>
      </c>
      <c r="MGA138" s="26">
        <v>4</v>
      </c>
      <c r="MGB138" s="26" t="s">
        <v>794</v>
      </c>
      <c r="MGC138" s="26">
        <v>4</v>
      </c>
      <c r="MGD138" s="26" t="s">
        <v>794</v>
      </c>
      <c r="MGE138" s="26">
        <v>4</v>
      </c>
      <c r="MGF138" s="26" t="s">
        <v>794</v>
      </c>
      <c r="MGG138" s="26">
        <v>4</v>
      </c>
      <c r="MGH138" s="26" t="s">
        <v>794</v>
      </c>
      <c r="MGI138" s="26">
        <v>4</v>
      </c>
      <c r="MGJ138" s="26" t="s">
        <v>794</v>
      </c>
      <c r="MGK138" s="26">
        <v>4</v>
      </c>
      <c r="MGL138" s="26" t="s">
        <v>794</v>
      </c>
      <c r="MGM138" s="26">
        <v>4</v>
      </c>
      <c r="MGN138" s="26" t="s">
        <v>794</v>
      </c>
      <c r="MGO138" s="26">
        <v>4</v>
      </c>
      <c r="MGP138" s="26" t="s">
        <v>794</v>
      </c>
      <c r="MGQ138" s="26">
        <v>4</v>
      </c>
      <c r="MGR138" s="26" t="s">
        <v>794</v>
      </c>
      <c r="MGS138" s="26">
        <v>4</v>
      </c>
      <c r="MGT138" s="26" t="s">
        <v>794</v>
      </c>
      <c r="MGU138" s="26">
        <v>4</v>
      </c>
      <c r="MGV138" s="26" t="s">
        <v>794</v>
      </c>
      <c r="MGW138" s="26">
        <v>4</v>
      </c>
      <c r="MGX138" s="26" t="s">
        <v>794</v>
      </c>
      <c r="MGY138" s="26">
        <v>4</v>
      </c>
      <c r="MGZ138" s="26" t="s">
        <v>794</v>
      </c>
      <c r="MHA138" s="26">
        <v>4</v>
      </c>
      <c r="MHB138" s="26" t="s">
        <v>794</v>
      </c>
      <c r="MHC138" s="26">
        <v>4</v>
      </c>
      <c r="MHD138" s="26" t="s">
        <v>794</v>
      </c>
      <c r="MHE138" s="26">
        <v>4</v>
      </c>
      <c r="MHF138" s="26" t="s">
        <v>794</v>
      </c>
      <c r="MHG138" s="26">
        <v>4</v>
      </c>
      <c r="MHH138" s="26" t="s">
        <v>794</v>
      </c>
      <c r="MHI138" s="26">
        <v>4</v>
      </c>
      <c r="MHJ138" s="26" t="s">
        <v>794</v>
      </c>
      <c r="MHK138" s="26">
        <v>4</v>
      </c>
      <c r="MHL138" s="26" t="s">
        <v>794</v>
      </c>
      <c r="MHM138" s="26">
        <v>4</v>
      </c>
      <c r="MHN138" s="26" t="s">
        <v>794</v>
      </c>
      <c r="MHO138" s="26">
        <v>4</v>
      </c>
      <c r="MHP138" s="26" t="s">
        <v>794</v>
      </c>
      <c r="MHQ138" s="26">
        <v>4</v>
      </c>
      <c r="MHR138" s="26" t="s">
        <v>794</v>
      </c>
      <c r="MHS138" s="26">
        <v>4</v>
      </c>
      <c r="MHT138" s="26" t="s">
        <v>794</v>
      </c>
      <c r="MHU138" s="26">
        <v>4</v>
      </c>
      <c r="MHV138" s="26" t="s">
        <v>794</v>
      </c>
      <c r="MHW138" s="26">
        <v>4</v>
      </c>
      <c r="MHX138" s="26" t="s">
        <v>794</v>
      </c>
      <c r="MHY138" s="26">
        <v>4</v>
      </c>
      <c r="MHZ138" s="26" t="s">
        <v>794</v>
      </c>
      <c r="MIA138" s="26">
        <v>4</v>
      </c>
      <c r="MIB138" s="26" t="s">
        <v>794</v>
      </c>
      <c r="MIC138" s="26">
        <v>4</v>
      </c>
      <c r="MID138" s="26" t="s">
        <v>794</v>
      </c>
      <c r="MIE138" s="26">
        <v>4</v>
      </c>
      <c r="MIF138" s="26" t="s">
        <v>794</v>
      </c>
      <c r="MIG138" s="26">
        <v>4</v>
      </c>
      <c r="MIH138" s="26" t="s">
        <v>794</v>
      </c>
      <c r="MII138" s="26">
        <v>4</v>
      </c>
      <c r="MIJ138" s="26" t="s">
        <v>794</v>
      </c>
      <c r="MIK138" s="26">
        <v>4</v>
      </c>
      <c r="MIL138" s="26" t="s">
        <v>794</v>
      </c>
      <c r="MIM138" s="26">
        <v>4</v>
      </c>
      <c r="MIN138" s="26" t="s">
        <v>794</v>
      </c>
      <c r="MIO138" s="26">
        <v>4</v>
      </c>
      <c r="MIP138" s="26" t="s">
        <v>794</v>
      </c>
      <c r="MIQ138" s="26">
        <v>4</v>
      </c>
      <c r="MIR138" s="26" t="s">
        <v>794</v>
      </c>
      <c r="MIS138" s="26">
        <v>4</v>
      </c>
      <c r="MIT138" s="26" t="s">
        <v>794</v>
      </c>
      <c r="MIU138" s="26">
        <v>4</v>
      </c>
      <c r="MIV138" s="26" t="s">
        <v>794</v>
      </c>
      <c r="MIW138" s="26">
        <v>4</v>
      </c>
      <c r="MIX138" s="26" t="s">
        <v>794</v>
      </c>
      <c r="MIY138" s="26">
        <v>4</v>
      </c>
      <c r="MIZ138" s="26" t="s">
        <v>794</v>
      </c>
      <c r="MJA138" s="26">
        <v>4</v>
      </c>
      <c r="MJB138" s="26" t="s">
        <v>794</v>
      </c>
      <c r="MJC138" s="26">
        <v>4</v>
      </c>
      <c r="MJD138" s="26" t="s">
        <v>794</v>
      </c>
      <c r="MJE138" s="26">
        <v>4</v>
      </c>
      <c r="MJF138" s="26" t="s">
        <v>794</v>
      </c>
      <c r="MJG138" s="26">
        <v>4</v>
      </c>
      <c r="MJH138" s="26" t="s">
        <v>794</v>
      </c>
      <c r="MJI138" s="26">
        <v>4</v>
      </c>
      <c r="MJJ138" s="26" t="s">
        <v>794</v>
      </c>
      <c r="MJK138" s="26">
        <v>4</v>
      </c>
      <c r="MJL138" s="26" t="s">
        <v>794</v>
      </c>
      <c r="MJM138" s="26">
        <v>4</v>
      </c>
      <c r="MJN138" s="26" t="s">
        <v>794</v>
      </c>
      <c r="MJO138" s="26">
        <v>4</v>
      </c>
      <c r="MJP138" s="26" t="s">
        <v>794</v>
      </c>
      <c r="MJQ138" s="26">
        <v>4</v>
      </c>
      <c r="MJR138" s="26" t="s">
        <v>794</v>
      </c>
      <c r="MJS138" s="26">
        <v>4</v>
      </c>
      <c r="MJT138" s="26" t="s">
        <v>794</v>
      </c>
      <c r="MJU138" s="26">
        <v>4</v>
      </c>
      <c r="MJV138" s="26" t="s">
        <v>794</v>
      </c>
      <c r="MJW138" s="26">
        <v>4</v>
      </c>
      <c r="MJX138" s="26" t="s">
        <v>794</v>
      </c>
      <c r="MJY138" s="26">
        <v>4</v>
      </c>
      <c r="MJZ138" s="26" t="s">
        <v>794</v>
      </c>
      <c r="MKA138" s="26">
        <v>4</v>
      </c>
      <c r="MKB138" s="26" t="s">
        <v>794</v>
      </c>
      <c r="MKC138" s="26">
        <v>4</v>
      </c>
      <c r="MKD138" s="26" t="s">
        <v>794</v>
      </c>
      <c r="MKE138" s="26">
        <v>4</v>
      </c>
      <c r="MKF138" s="26" t="s">
        <v>794</v>
      </c>
      <c r="MKG138" s="26">
        <v>4</v>
      </c>
      <c r="MKH138" s="26" t="s">
        <v>794</v>
      </c>
      <c r="MKI138" s="26">
        <v>4</v>
      </c>
      <c r="MKJ138" s="26" t="s">
        <v>794</v>
      </c>
      <c r="MKK138" s="26">
        <v>4</v>
      </c>
      <c r="MKL138" s="26" t="s">
        <v>794</v>
      </c>
      <c r="MKM138" s="26">
        <v>4</v>
      </c>
      <c r="MKN138" s="26" t="s">
        <v>794</v>
      </c>
      <c r="MKO138" s="26">
        <v>4</v>
      </c>
      <c r="MKP138" s="26" t="s">
        <v>794</v>
      </c>
      <c r="MKQ138" s="26">
        <v>4</v>
      </c>
      <c r="MKR138" s="26" t="s">
        <v>794</v>
      </c>
      <c r="MKS138" s="26">
        <v>4</v>
      </c>
      <c r="MKT138" s="26" t="s">
        <v>794</v>
      </c>
      <c r="MKU138" s="26">
        <v>4</v>
      </c>
      <c r="MKV138" s="26" t="s">
        <v>794</v>
      </c>
      <c r="MKW138" s="26">
        <v>4</v>
      </c>
      <c r="MKX138" s="26" t="s">
        <v>794</v>
      </c>
      <c r="MKY138" s="26">
        <v>4</v>
      </c>
      <c r="MKZ138" s="26" t="s">
        <v>794</v>
      </c>
      <c r="MLA138" s="26">
        <v>4</v>
      </c>
      <c r="MLB138" s="26" t="s">
        <v>794</v>
      </c>
      <c r="MLC138" s="26">
        <v>4</v>
      </c>
      <c r="MLD138" s="26" t="s">
        <v>794</v>
      </c>
      <c r="MLE138" s="26">
        <v>4</v>
      </c>
      <c r="MLF138" s="26" t="s">
        <v>794</v>
      </c>
      <c r="MLG138" s="26">
        <v>4</v>
      </c>
      <c r="MLH138" s="26" t="s">
        <v>794</v>
      </c>
      <c r="MLI138" s="26">
        <v>4</v>
      </c>
      <c r="MLJ138" s="26" t="s">
        <v>794</v>
      </c>
      <c r="MLK138" s="26">
        <v>4</v>
      </c>
      <c r="MLL138" s="26" t="s">
        <v>794</v>
      </c>
      <c r="MLM138" s="26">
        <v>4</v>
      </c>
      <c r="MLN138" s="26" t="s">
        <v>794</v>
      </c>
      <c r="MLO138" s="26">
        <v>4</v>
      </c>
      <c r="MLP138" s="26" t="s">
        <v>794</v>
      </c>
      <c r="MLQ138" s="26">
        <v>4</v>
      </c>
      <c r="MLR138" s="26" t="s">
        <v>794</v>
      </c>
      <c r="MLS138" s="26">
        <v>4</v>
      </c>
      <c r="MLT138" s="26" t="s">
        <v>794</v>
      </c>
      <c r="MLU138" s="26">
        <v>4</v>
      </c>
      <c r="MLV138" s="26" t="s">
        <v>794</v>
      </c>
      <c r="MLW138" s="26">
        <v>4</v>
      </c>
      <c r="MLX138" s="26" t="s">
        <v>794</v>
      </c>
      <c r="MLY138" s="26">
        <v>4</v>
      </c>
      <c r="MLZ138" s="26" t="s">
        <v>794</v>
      </c>
      <c r="MMA138" s="26">
        <v>4</v>
      </c>
      <c r="MMB138" s="26" t="s">
        <v>794</v>
      </c>
      <c r="MMC138" s="26">
        <v>4</v>
      </c>
      <c r="MMD138" s="26" t="s">
        <v>794</v>
      </c>
      <c r="MME138" s="26">
        <v>4</v>
      </c>
      <c r="MMF138" s="26" t="s">
        <v>794</v>
      </c>
      <c r="MMG138" s="26">
        <v>4</v>
      </c>
      <c r="MMH138" s="26" t="s">
        <v>794</v>
      </c>
      <c r="MMI138" s="26">
        <v>4</v>
      </c>
      <c r="MMJ138" s="26" t="s">
        <v>794</v>
      </c>
      <c r="MMK138" s="26">
        <v>4</v>
      </c>
      <c r="MML138" s="26" t="s">
        <v>794</v>
      </c>
      <c r="MMM138" s="26">
        <v>4</v>
      </c>
      <c r="MMN138" s="26" t="s">
        <v>794</v>
      </c>
      <c r="MMO138" s="26">
        <v>4</v>
      </c>
      <c r="MMP138" s="26" t="s">
        <v>794</v>
      </c>
      <c r="MMQ138" s="26">
        <v>4</v>
      </c>
      <c r="MMR138" s="26" t="s">
        <v>794</v>
      </c>
      <c r="MMS138" s="26">
        <v>4</v>
      </c>
      <c r="MMT138" s="26" t="s">
        <v>794</v>
      </c>
      <c r="MMU138" s="26">
        <v>4</v>
      </c>
      <c r="MMV138" s="26" t="s">
        <v>794</v>
      </c>
      <c r="MMW138" s="26">
        <v>4</v>
      </c>
      <c r="MMX138" s="26" t="s">
        <v>794</v>
      </c>
      <c r="MMY138" s="26">
        <v>4</v>
      </c>
      <c r="MMZ138" s="26" t="s">
        <v>794</v>
      </c>
      <c r="MNA138" s="26">
        <v>4</v>
      </c>
      <c r="MNB138" s="26" t="s">
        <v>794</v>
      </c>
      <c r="MNC138" s="26">
        <v>4</v>
      </c>
      <c r="MND138" s="26" t="s">
        <v>794</v>
      </c>
      <c r="MNE138" s="26">
        <v>4</v>
      </c>
      <c r="MNF138" s="26" t="s">
        <v>794</v>
      </c>
      <c r="MNG138" s="26">
        <v>4</v>
      </c>
      <c r="MNH138" s="26" t="s">
        <v>794</v>
      </c>
      <c r="MNI138" s="26">
        <v>4</v>
      </c>
      <c r="MNJ138" s="26" t="s">
        <v>794</v>
      </c>
      <c r="MNK138" s="26">
        <v>4</v>
      </c>
      <c r="MNL138" s="26" t="s">
        <v>794</v>
      </c>
      <c r="MNM138" s="26">
        <v>4</v>
      </c>
      <c r="MNN138" s="26" t="s">
        <v>794</v>
      </c>
      <c r="MNO138" s="26">
        <v>4</v>
      </c>
      <c r="MNP138" s="26" t="s">
        <v>794</v>
      </c>
      <c r="MNQ138" s="26">
        <v>4</v>
      </c>
      <c r="MNR138" s="26" t="s">
        <v>794</v>
      </c>
      <c r="MNS138" s="26">
        <v>4</v>
      </c>
      <c r="MNT138" s="26" t="s">
        <v>794</v>
      </c>
      <c r="MNU138" s="26">
        <v>4</v>
      </c>
      <c r="MNV138" s="26" t="s">
        <v>794</v>
      </c>
      <c r="MNW138" s="26">
        <v>4</v>
      </c>
      <c r="MNX138" s="26" t="s">
        <v>794</v>
      </c>
      <c r="MNY138" s="26">
        <v>4</v>
      </c>
      <c r="MNZ138" s="26" t="s">
        <v>794</v>
      </c>
      <c r="MOA138" s="26">
        <v>4</v>
      </c>
      <c r="MOB138" s="26" t="s">
        <v>794</v>
      </c>
      <c r="MOC138" s="26">
        <v>4</v>
      </c>
      <c r="MOD138" s="26" t="s">
        <v>794</v>
      </c>
      <c r="MOE138" s="26">
        <v>4</v>
      </c>
      <c r="MOF138" s="26" t="s">
        <v>794</v>
      </c>
      <c r="MOG138" s="26">
        <v>4</v>
      </c>
      <c r="MOH138" s="26" t="s">
        <v>794</v>
      </c>
      <c r="MOI138" s="26">
        <v>4</v>
      </c>
      <c r="MOJ138" s="26" t="s">
        <v>794</v>
      </c>
      <c r="MOK138" s="26">
        <v>4</v>
      </c>
      <c r="MOL138" s="26" t="s">
        <v>794</v>
      </c>
      <c r="MOM138" s="26">
        <v>4</v>
      </c>
      <c r="MON138" s="26" t="s">
        <v>794</v>
      </c>
      <c r="MOO138" s="26">
        <v>4</v>
      </c>
      <c r="MOP138" s="26" t="s">
        <v>794</v>
      </c>
      <c r="MOQ138" s="26">
        <v>4</v>
      </c>
      <c r="MOR138" s="26" t="s">
        <v>794</v>
      </c>
      <c r="MOS138" s="26">
        <v>4</v>
      </c>
      <c r="MOT138" s="26" t="s">
        <v>794</v>
      </c>
      <c r="MOU138" s="26">
        <v>4</v>
      </c>
      <c r="MOV138" s="26" t="s">
        <v>794</v>
      </c>
      <c r="MOW138" s="26">
        <v>4</v>
      </c>
      <c r="MOX138" s="26" t="s">
        <v>794</v>
      </c>
      <c r="MOY138" s="26">
        <v>4</v>
      </c>
      <c r="MOZ138" s="26" t="s">
        <v>794</v>
      </c>
      <c r="MPA138" s="26">
        <v>4</v>
      </c>
      <c r="MPB138" s="26" t="s">
        <v>794</v>
      </c>
      <c r="MPC138" s="26">
        <v>4</v>
      </c>
      <c r="MPD138" s="26" t="s">
        <v>794</v>
      </c>
      <c r="MPE138" s="26">
        <v>4</v>
      </c>
      <c r="MPF138" s="26" t="s">
        <v>794</v>
      </c>
      <c r="MPG138" s="26">
        <v>4</v>
      </c>
      <c r="MPH138" s="26" t="s">
        <v>794</v>
      </c>
      <c r="MPI138" s="26">
        <v>4</v>
      </c>
      <c r="MPJ138" s="26" t="s">
        <v>794</v>
      </c>
      <c r="MPK138" s="26">
        <v>4</v>
      </c>
      <c r="MPL138" s="26" t="s">
        <v>794</v>
      </c>
      <c r="MPM138" s="26">
        <v>4</v>
      </c>
      <c r="MPN138" s="26" t="s">
        <v>794</v>
      </c>
      <c r="MPO138" s="26">
        <v>4</v>
      </c>
      <c r="MPP138" s="26" t="s">
        <v>794</v>
      </c>
      <c r="MPQ138" s="26">
        <v>4</v>
      </c>
      <c r="MPR138" s="26" t="s">
        <v>794</v>
      </c>
      <c r="MPS138" s="26">
        <v>4</v>
      </c>
      <c r="MPT138" s="26" t="s">
        <v>794</v>
      </c>
      <c r="MPU138" s="26">
        <v>4</v>
      </c>
      <c r="MPV138" s="26" t="s">
        <v>794</v>
      </c>
      <c r="MPW138" s="26">
        <v>4</v>
      </c>
      <c r="MPX138" s="26" t="s">
        <v>794</v>
      </c>
      <c r="MPY138" s="26">
        <v>4</v>
      </c>
      <c r="MPZ138" s="26" t="s">
        <v>794</v>
      </c>
      <c r="MQA138" s="26">
        <v>4</v>
      </c>
      <c r="MQB138" s="26" t="s">
        <v>794</v>
      </c>
      <c r="MQC138" s="26">
        <v>4</v>
      </c>
      <c r="MQD138" s="26" t="s">
        <v>794</v>
      </c>
      <c r="MQE138" s="26">
        <v>4</v>
      </c>
      <c r="MQF138" s="26" t="s">
        <v>794</v>
      </c>
      <c r="MQG138" s="26">
        <v>4</v>
      </c>
      <c r="MQH138" s="26" t="s">
        <v>794</v>
      </c>
      <c r="MQI138" s="26">
        <v>4</v>
      </c>
      <c r="MQJ138" s="26" t="s">
        <v>794</v>
      </c>
      <c r="MQK138" s="26">
        <v>4</v>
      </c>
      <c r="MQL138" s="26" t="s">
        <v>794</v>
      </c>
      <c r="MQM138" s="26">
        <v>4</v>
      </c>
      <c r="MQN138" s="26" t="s">
        <v>794</v>
      </c>
      <c r="MQO138" s="26">
        <v>4</v>
      </c>
      <c r="MQP138" s="26" t="s">
        <v>794</v>
      </c>
      <c r="MQQ138" s="26">
        <v>4</v>
      </c>
      <c r="MQR138" s="26" t="s">
        <v>794</v>
      </c>
      <c r="MQS138" s="26">
        <v>4</v>
      </c>
      <c r="MQT138" s="26" t="s">
        <v>794</v>
      </c>
      <c r="MQU138" s="26">
        <v>4</v>
      </c>
      <c r="MQV138" s="26" t="s">
        <v>794</v>
      </c>
      <c r="MQW138" s="26">
        <v>4</v>
      </c>
      <c r="MQX138" s="26" t="s">
        <v>794</v>
      </c>
      <c r="MQY138" s="26">
        <v>4</v>
      </c>
      <c r="MQZ138" s="26" t="s">
        <v>794</v>
      </c>
      <c r="MRA138" s="26">
        <v>4</v>
      </c>
      <c r="MRB138" s="26" t="s">
        <v>794</v>
      </c>
      <c r="MRC138" s="26">
        <v>4</v>
      </c>
      <c r="MRD138" s="26" t="s">
        <v>794</v>
      </c>
      <c r="MRE138" s="26">
        <v>4</v>
      </c>
      <c r="MRF138" s="26" t="s">
        <v>794</v>
      </c>
      <c r="MRG138" s="26">
        <v>4</v>
      </c>
      <c r="MRH138" s="26" t="s">
        <v>794</v>
      </c>
      <c r="MRI138" s="26">
        <v>4</v>
      </c>
      <c r="MRJ138" s="26" t="s">
        <v>794</v>
      </c>
      <c r="MRK138" s="26">
        <v>4</v>
      </c>
      <c r="MRL138" s="26" t="s">
        <v>794</v>
      </c>
      <c r="MRM138" s="26">
        <v>4</v>
      </c>
      <c r="MRN138" s="26" t="s">
        <v>794</v>
      </c>
      <c r="MRO138" s="26">
        <v>4</v>
      </c>
      <c r="MRP138" s="26" t="s">
        <v>794</v>
      </c>
      <c r="MRQ138" s="26">
        <v>4</v>
      </c>
      <c r="MRR138" s="26" t="s">
        <v>794</v>
      </c>
      <c r="MRS138" s="26">
        <v>4</v>
      </c>
      <c r="MRT138" s="26" t="s">
        <v>794</v>
      </c>
      <c r="MRU138" s="26">
        <v>4</v>
      </c>
      <c r="MRV138" s="26" t="s">
        <v>794</v>
      </c>
      <c r="MRW138" s="26">
        <v>4</v>
      </c>
      <c r="MRX138" s="26" t="s">
        <v>794</v>
      </c>
      <c r="MRY138" s="26">
        <v>4</v>
      </c>
      <c r="MRZ138" s="26" t="s">
        <v>794</v>
      </c>
      <c r="MSA138" s="26">
        <v>4</v>
      </c>
      <c r="MSB138" s="26" t="s">
        <v>794</v>
      </c>
      <c r="MSC138" s="26">
        <v>4</v>
      </c>
      <c r="MSD138" s="26" t="s">
        <v>794</v>
      </c>
      <c r="MSE138" s="26">
        <v>4</v>
      </c>
      <c r="MSF138" s="26" t="s">
        <v>794</v>
      </c>
      <c r="MSG138" s="26">
        <v>4</v>
      </c>
      <c r="MSH138" s="26" t="s">
        <v>794</v>
      </c>
      <c r="MSI138" s="26">
        <v>4</v>
      </c>
      <c r="MSJ138" s="26" t="s">
        <v>794</v>
      </c>
      <c r="MSK138" s="26">
        <v>4</v>
      </c>
      <c r="MSL138" s="26" t="s">
        <v>794</v>
      </c>
      <c r="MSM138" s="26">
        <v>4</v>
      </c>
      <c r="MSN138" s="26" t="s">
        <v>794</v>
      </c>
      <c r="MSO138" s="26">
        <v>4</v>
      </c>
      <c r="MSP138" s="26" t="s">
        <v>794</v>
      </c>
      <c r="MSQ138" s="26">
        <v>4</v>
      </c>
      <c r="MSR138" s="26" t="s">
        <v>794</v>
      </c>
      <c r="MSS138" s="26">
        <v>4</v>
      </c>
      <c r="MST138" s="26" t="s">
        <v>794</v>
      </c>
      <c r="MSU138" s="26">
        <v>4</v>
      </c>
      <c r="MSV138" s="26" t="s">
        <v>794</v>
      </c>
      <c r="MSW138" s="26">
        <v>4</v>
      </c>
      <c r="MSX138" s="26" t="s">
        <v>794</v>
      </c>
      <c r="MSY138" s="26">
        <v>4</v>
      </c>
      <c r="MSZ138" s="26" t="s">
        <v>794</v>
      </c>
      <c r="MTA138" s="26">
        <v>4</v>
      </c>
      <c r="MTB138" s="26" t="s">
        <v>794</v>
      </c>
      <c r="MTC138" s="26">
        <v>4</v>
      </c>
      <c r="MTD138" s="26" t="s">
        <v>794</v>
      </c>
      <c r="MTE138" s="26">
        <v>4</v>
      </c>
      <c r="MTF138" s="26" t="s">
        <v>794</v>
      </c>
      <c r="MTG138" s="26">
        <v>4</v>
      </c>
      <c r="MTH138" s="26" t="s">
        <v>794</v>
      </c>
      <c r="MTI138" s="26">
        <v>4</v>
      </c>
      <c r="MTJ138" s="26" t="s">
        <v>794</v>
      </c>
      <c r="MTK138" s="26">
        <v>4</v>
      </c>
      <c r="MTL138" s="26" t="s">
        <v>794</v>
      </c>
      <c r="MTM138" s="26">
        <v>4</v>
      </c>
      <c r="MTN138" s="26" t="s">
        <v>794</v>
      </c>
      <c r="MTO138" s="26">
        <v>4</v>
      </c>
      <c r="MTP138" s="26" t="s">
        <v>794</v>
      </c>
      <c r="MTQ138" s="26">
        <v>4</v>
      </c>
      <c r="MTR138" s="26" t="s">
        <v>794</v>
      </c>
      <c r="MTS138" s="26">
        <v>4</v>
      </c>
      <c r="MTT138" s="26" t="s">
        <v>794</v>
      </c>
      <c r="MTU138" s="26">
        <v>4</v>
      </c>
      <c r="MTV138" s="26" t="s">
        <v>794</v>
      </c>
      <c r="MTW138" s="26">
        <v>4</v>
      </c>
      <c r="MTX138" s="26" t="s">
        <v>794</v>
      </c>
      <c r="MTY138" s="26">
        <v>4</v>
      </c>
      <c r="MTZ138" s="26" t="s">
        <v>794</v>
      </c>
      <c r="MUA138" s="26">
        <v>4</v>
      </c>
      <c r="MUB138" s="26" t="s">
        <v>794</v>
      </c>
      <c r="MUC138" s="26">
        <v>4</v>
      </c>
      <c r="MUD138" s="26" t="s">
        <v>794</v>
      </c>
      <c r="MUE138" s="26">
        <v>4</v>
      </c>
      <c r="MUF138" s="26" t="s">
        <v>794</v>
      </c>
      <c r="MUG138" s="26">
        <v>4</v>
      </c>
      <c r="MUH138" s="26" t="s">
        <v>794</v>
      </c>
      <c r="MUI138" s="26">
        <v>4</v>
      </c>
      <c r="MUJ138" s="26" t="s">
        <v>794</v>
      </c>
      <c r="MUK138" s="26">
        <v>4</v>
      </c>
      <c r="MUL138" s="26" t="s">
        <v>794</v>
      </c>
      <c r="MUM138" s="26">
        <v>4</v>
      </c>
      <c r="MUN138" s="26" t="s">
        <v>794</v>
      </c>
      <c r="MUO138" s="26">
        <v>4</v>
      </c>
      <c r="MUP138" s="26" t="s">
        <v>794</v>
      </c>
      <c r="MUQ138" s="26">
        <v>4</v>
      </c>
      <c r="MUR138" s="26" t="s">
        <v>794</v>
      </c>
      <c r="MUS138" s="26">
        <v>4</v>
      </c>
      <c r="MUT138" s="26" t="s">
        <v>794</v>
      </c>
      <c r="MUU138" s="26">
        <v>4</v>
      </c>
      <c r="MUV138" s="26" t="s">
        <v>794</v>
      </c>
      <c r="MUW138" s="26">
        <v>4</v>
      </c>
      <c r="MUX138" s="26" t="s">
        <v>794</v>
      </c>
      <c r="MUY138" s="26">
        <v>4</v>
      </c>
      <c r="MUZ138" s="26" t="s">
        <v>794</v>
      </c>
      <c r="MVA138" s="26">
        <v>4</v>
      </c>
      <c r="MVB138" s="26" t="s">
        <v>794</v>
      </c>
      <c r="MVC138" s="26">
        <v>4</v>
      </c>
      <c r="MVD138" s="26" t="s">
        <v>794</v>
      </c>
      <c r="MVE138" s="26">
        <v>4</v>
      </c>
      <c r="MVF138" s="26" t="s">
        <v>794</v>
      </c>
      <c r="MVG138" s="26">
        <v>4</v>
      </c>
      <c r="MVH138" s="26" t="s">
        <v>794</v>
      </c>
      <c r="MVI138" s="26">
        <v>4</v>
      </c>
      <c r="MVJ138" s="26" t="s">
        <v>794</v>
      </c>
      <c r="MVK138" s="26">
        <v>4</v>
      </c>
      <c r="MVL138" s="26" t="s">
        <v>794</v>
      </c>
      <c r="MVM138" s="26">
        <v>4</v>
      </c>
      <c r="MVN138" s="26" t="s">
        <v>794</v>
      </c>
      <c r="MVO138" s="26">
        <v>4</v>
      </c>
      <c r="MVP138" s="26" t="s">
        <v>794</v>
      </c>
      <c r="MVQ138" s="26">
        <v>4</v>
      </c>
      <c r="MVR138" s="26" t="s">
        <v>794</v>
      </c>
      <c r="MVS138" s="26">
        <v>4</v>
      </c>
      <c r="MVT138" s="26" t="s">
        <v>794</v>
      </c>
      <c r="MVU138" s="26">
        <v>4</v>
      </c>
      <c r="MVV138" s="26" t="s">
        <v>794</v>
      </c>
      <c r="MVW138" s="26">
        <v>4</v>
      </c>
      <c r="MVX138" s="26" t="s">
        <v>794</v>
      </c>
      <c r="MVY138" s="26">
        <v>4</v>
      </c>
      <c r="MVZ138" s="26" t="s">
        <v>794</v>
      </c>
      <c r="MWA138" s="26">
        <v>4</v>
      </c>
      <c r="MWB138" s="26" t="s">
        <v>794</v>
      </c>
      <c r="MWC138" s="26">
        <v>4</v>
      </c>
      <c r="MWD138" s="26" t="s">
        <v>794</v>
      </c>
      <c r="MWE138" s="26">
        <v>4</v>
      </c>
      <c r="MWF138" s="26" t="s">
        <v>794</v>
      </c>
      <c r="MWG138" s="26">
        <v>4</v>
      </c>
      <c r="MWH138" s="26" t="s">
        <v>794</v>
      </c>
      <c r="MWI138" s="26">
        <v>4</v>
      </c>
      <c r="MWJ138" s="26" t="s">
        <v>794</v>
      </c>
      <c r="MWK138" s="26">
        <v>4</v>
      </c>
      <c r="MWL138" s="26" t="s">
        <v>794</v>
      </c>
      <c r="MWM138" s="26">
        <v>4</v>
      </c>
      <c r="MWN138" s="26" t="s">
        <v>794</v>
      </c>
      <c r="MWO138" s="26">
        <v>4</v>
      </c>
      <c r="MWP138" s="26" t="s">
        <v>794</v>
      </c>
      <c r="MWQ138" s="26">
        <v>4</v>
      </c>
      <c r="MWR138" s="26" t="s">
        <v>794</v>
      </c>
      <c r="MWS138" s="26">
        <v>4</v>
      </c>
      <c r="MWT138" s="26" t="s">
        <v>794</v>
      </c>
      <c r="MWU138" s="26">
        <v>4</v>
      </c>
      <c r="MWV138" s="26" t="s">
        <v>794</v>
      </c>
      <c r="MWW138" s="26">
        <v>4</v>
      </c>
      <c r="MWX138" s="26" t="s">
        <v>794</v>
      </c>
      <c r="MWY138" s="26">
        <v>4</v>
      </c>
      <c r="MWZ138" s="26" t="s">
        <v>794</v>
      </c>
      <c r="MXA138" s="26">
        <v>4</v>
      </c>
      <c r="MXB138" s="26" t="s">
        <v>794</v>
      </c>
      <c r="MXC138" s="26">
        <v>4</v>
      </c>
      <c r="MXD138" s="26" t="s">
        <v>794</v>
      </c>
      <c r="MXE138" s="26">
        <v>4</v>
      </c>
      <c r="MXF138" s="26" t="s">
        <v>794</v>
      </c>
      <c r="MXG138" s="26">
        <v>4</v>
      </c>
      <c r="MXH138" s="26" t="s">
        <v>794</v>
      </c>
      <c r="MXI138" s="26">
        <v>4</v>
      </c>
      <c r="MXJ138" s="26" t="s">
        <v>794</v>
      </c>
      <c r="MXK138" s="26">
        <v>4</v>
      </c>
      <c r="MXL138" s="26" t="s">
        <v>794</v>
      </c>
      <c r="MXM138" s="26">
        <v>4</v>
      </c>
      <c r="MXN138" s="26" t="s">
        <v>794</v>
      </c>
      <c r="MXO138" s="26">
        <v>4</v>
      </c>
      <c r="MXP138" s="26" t="s">
        <v>794</v>
      </c>
      <c r="MXQ138" s="26">
        <v>4</v>
      </c>
      <c r="MXR138" s="26" t="s">
        <v>794</v>
      </c>
      <c r="MXS138" s="26">
        <v>4</v>
      </c>
      <c r="MXT138" s="26" t="s">
        <v>794</v>
      </c>
      <c r="MXU138" s="26">
        <v>4</v>
      </c>
      <c r="MXV138" s="26" t="s">
        <v>794</v>
      </c>
      <c r="MXW138" s="26">
        <v>4</v>
      </c>
      <c r="MXX138" s="26" t="s">
        <v>794</v>
      </c>
      <c r="MXY138" s="26">
        <v>4</v>
      </c>
      <c r="MXZ138" s="26" t="s">
        <v>794</v>
      </c>
      <c r="MYA138" s="26">
        <v>4</v>
      </c>
      <c r="MYB138" s="26" t="s">
        <v>794</v>
      </c>
      <c r="MYC138" s="26">
        <v>4</v>
      </c>
      <c r="MYD138" s="26" t="s">
        <v>794</v>
      </c>
      <c r="MYE138" s="26">
        <v>4</v>
      </c>
      <c r="MYF138" s="26" t="s">
        <v>794</v>
      </c>
      <c r="MYG138" s="26">
        <v>4</v>
      </c>
      <c r="MYH138" s="26" t="s">
        <v>794</v>
      </c>
      <c r="MYI138" s="26">
        <v>4</v>
      </c>
      <c r="MYJ138" s="26" t="s">
        <v>794</v>
      </c>
      <c r="MYK138" s="26">
        <v>4</v>
      </c>
      <c r="MYL138" s="26" t="s">
        <v>794</v>
      </c>
      <c r="MYM138" s="26">
        <v>4</v>
      </c>
      <c r="MYN138" s="26" t="s">
        <v>794</v>
      </c>
      <c r="MYO138" s="26">
        <v>4</v>
      </c>
      <c r="MYP138" s="26" t="s">
        <v>794</v>
      </c>
      <c r="MYQ138" s="26">
        <v>4</v>
      </c>
      <c r="MYR138" s="26" t="s">
        <v>794</v>
      </c>
      <c r="MYS138" s="26">
        <v>4</v>
      </c>
      <c r="MYT138" s="26" t="s">
        <v>794</v>
      </c>
      <c r="MYU138" s="26">
        <v>4</v>
      </c>
      <c r="MYV138" s="26" t="s">
        <v>794</v>
      </c>
      <c r="MYW138" s="26">
        <v>4</v>
      </c>
      <c r="MYX138" s="26" t="s">
        <v>794</v>
      </c>
      <c r="MYY138" s="26">
        <v>4</v>
      </c>
      <c r="MYZ138" s="26" t="s">
        <v>794</v>
      </c>
      <c r="MZA138" s="26">
        <v>4</v>
      </c>
      <c r="MZB138" s="26" t="s">
        <v>794</v>
      </c>
      <c r="MZC138" s="26">
        <v>4</v>
      </c>
      <c r="MZD138" s="26" t="s">
        <v>794</v>
      </c>
      <c r="MZE138" s="26">
        <v>4</v>
      </c>
      <c r="MZF138" s="26" t="s">
        <v>794</v>
      </c>
      <c r="MZG138" s="26">
        <v>4</v>
      </c>
      <c r="MZH138" s="26" t="s">
        <v>794</v>
      </c>
      <c r="MZI138" s="26">
        <v>4</v>
      </c>
      <c r="MZJ138" s="26" t="s">
        <v>794</v>
      </c>
      <c r="MZK138" s="26">
        <v>4</v>
      </c>
      <c r="MZL138" s="26" t="s">
        <v>794</v>
      </c>
      <c r="MZM138" s="26">
        <v>4</v>
      </c>
      <c r="MZN138" s="26" t="s">
        <v>794</v>
      </c>
      <c r="MZO138" s="26">
        <v>4</v>
      </c>
      <c r="MZP138" s="26" t="s">
        <v>794</v>
      </c>
      <c r="MZQ138" s="26">
        <v>4</v>
      </c>
      <c r="MZR138" s="26" t="s">
        <v>794</v>
      </c>
      <c r="MZS138" s="26">
        <v>4</v>
      </c>
      <c r="MZT138" s="26" t="s">
        <v>794</v>
      </c>
      <c r="MZU138" s="26">
        <v>4</v>
      </c>
      <c r="MZV138" s="26" t="s">
        <v>794</v>
      </c>
      <c r="MZW138" s="26">
        <v>4</v>
      </c>
      <c r="MZX138" s="26" t="s">
        <v>794</v>
      </c>
      <c r="MZY138" s="26">
        <v>4</v>
      </c>
      <c r="MZZ138" s="26" t="s">
        <v>794</v>
      </c>
      <c r="NAA138" s="26">
        <v>4</v>
      </c>
      <c r="NAB138" s="26" t="s">
        <v>794</v>
      </c>
      <c r="NAC138" s="26">
        <v>4</v>
      </c>
      <c r="NAD138" s="26" t="s">
        <v>794</v>
      </c>
      <c r="NAE138" s="26">
        <v>4</v>
      </c>
      <c r="NAF138" s="26" t="s">
        <v>794</v>
      </c>
      <c r="NAG138" s="26">
        <v>4</v>
      </c>
      <c r="NAH138" s="26" t="s">
        <v>794</v>
      </c>
      <c r="NAI138" s="26">
        <v>4</v>
      </c>
      <c r="NAJ138" s="26" t="s">
        <v>794</v>
      </c>
      <c r="NAK138" s="26">
        <v>4</v>
      </c>
      <c r="NAL138" s="26" t="s">
        <v>794</v>
      </c>
      <c r="NAM138" s="26">
        <v>4</v>
      </c>
      <c r="NAN138" s="26" t="s">
        <v>794</v>
      </c>
      <c r="NAO138" s="26">
        <v>4</v>
      </c>
      <c r="NAP138" s="26" t="s">
        <v>794</v>
      </c>
      <c r="NAQ138" s="26">
        <v>4</v>
      </c>
      <c r="NAR138" s="26" t="s">
        <v>794</v>
      </c>
      <c r="NAS138" s="26">
        <v>4</v>
      </c>
      <c r="NAT138" s="26" t="s">
        <v>794</v>
      </c>
      <c r="NAU138" s="26">
        <v>4</v>
      </c>
      <c r="NAV138" s="26" t="s">
        <v>794</v>
      </c>
      <c r="NAW138" s="26">
        <v>4</v>
      </c>
      <c r="NAX138" s="26" t="s">
        <v>794</v>
      </c>
      <c r="NAY138" s="26">
        <v>4</v>
      </c>
      <c r="NAZ138" s="26" t="s">
        <v>794</v>
      </c>
      <c r="NBA138" s="26">
        <v>4</v>
      </c>
      <c r="NBB138" s="26" t="s">
        <v>794</v>
      </c>
      <c r="NBC138" s="26">
        <v>4</v>
      </c>
      <c r="NBD138" s="26" t="s">
        <v>794</v>
      </c>
      <c r="NBE138" s="26">
        <v>4</v>
      </c>
      <c r="NBF138" s="26" t="s">
        <v>794</v>
      </c>
      <c r="NBG138" s="26">
        <v>4</v>
      </c>
      <c r="NBH138" s="26" t="s">
        <v>794</v>
      </c>
      <c r="NBI138" s="26">
        <v>4</v>
      </c>
      <c r="NBJ138" s="26" t="s">
        <v>794</v>
      </c>
      <c r="NBK138" s="26">
        <v>4</v>
      </c>
      <c r="NBL138" s="26" t="s">
        <v>794</v>
      </c>
      <c r="NBM138" s="26">
        <v>4</v>
      </c>
      <c r="NBN138" s="26" t="s">
        <v>794</v>
      </c>
      <c r="NBO138" s="26">
        <v>4</v>
      </c>
      <c r="NBP138" s="26" t="s">
        <v>794</v>
      </c>
      <c r="NBQ138" s="26">
        <v>4</v>
      </c>
      <c r="NBR138" s="26" t="s">
        <v>794</v>
      </c>
      <c r="NBS138" s="26">
        <v>4</v>
      </c>
      <c r="NBT138" s="26" t="s">
        <v>794</v>
      </c>
      <c r="NBU138" s="26">
        <v>4</v>
      </c>
      <c r="NBV138" s="26" t="s">
        <v>794</v>
      </c>
      <c r="NBW138" s="26">
        <v>4</v>
      </c>
      <c r="NBX138" s="26" t="s">
        <v>794</v>
      </c>
      <c r="NBY138" s="26">
        <v>4</v>
      </c>
      <c r="NBZ138" s="26" t="s">
        <v>794</v>
      </c>
      <c r="NCA138" s="26">
        <v>4</v>
      </c>
      <c r="NCB138" s="26" t="s">
        <v>794</v>
      </c>
      <c r="NCC138" s="26">
        <v>4</v>
      </c>
      <c r="NCD138" s="26" t="s">
        <v>794</v>
      </c>
      <c r="NCE138" s="26">
        <v>4</v>
      </c>
      <c r="NCF138" s="26" t="s">
        <v>794</v>
      </c>
      <c r="NCG138" s="26">
        <v>4</v>
      </c>
      <c r="NCH138" s="26" t="s">
        <v>794</v>
      </c>
      <c r="NCI138" s="26">
        <v>4</v>
      </c>
      <c r="NCJ138" s="26" t="s">
        <v>794</v>
      </c>
      <c r="NCK138" s="26">
        <v>4</v>
      </c>
      <c r="NCL138" s="26" t="s">
        <v>794</v>
      </c>
      <c r="NCM138" s="26">
        <v>4</v>
      </c>
      <c r="NCN138" s="26" t="s">
        <v>794</v>
      </c>
      <c r="NCO138" s="26">
        <v>4</v>
      </c>
      <c r="NCP138" s="26" t="s">
        <v>794</v>
      </c>
      <c r="NCQ138" s="26">
        <v>4</v>
      </c>
      <c r="NCR138" s="26" t="s">
        <v>794</v>
      </c>
      <c r="NCS138" s="26">
        <v>4</v>
      </c>
      <c r="NCT138" s="26" t="s">
        <v>794</v>
      </c>
      <c r="NCU138" s="26">
        <v>4</v>
      </c>
      <c r="NCV138" s="26" t="s">
        <v>794</v>
      </c>
      <c r="NCW138" s="26">
        <v>4</v>
      </c>
      <c r="NCX138" s="26" t="s">
        <v>794</v>
      </c>
      <c r="NCY138" s="26">
        <v>4</v>
      </c>
      <c r="NCZ138" s="26" t="s">
        <v>794</v>
      </c>
      <c r="NDA138" s="26">
        <v>4</v>
      </c>
      <c r="NDB138" s="26" t="s">
        <v>794</v>
      </c>
      <c r="NDC138" s="26">
        <v>4</v>
      </c>
      <c r="NDD138" s="26" t="s">
        <v>794</v>
      </c>
      <c r="NDE138" s="26">
        <v>4</v>
      </c>
      <c r="NDF138" s="26" t="s">
        <v>794</v>
      </c>
      <c r="NDG138" s="26">
        <v>4</v>
      </c>
      <c r="NDH138" s="26" t="s">
        <v>794</v>
      </c>
      <c r="NDI138" s="26">
        <v>4</v>
      </c>
      <c r="NDJ138" s="26" t="s">
        <v>794</v>
      </c>
      <c r="NDK138" s="26">
        <v>4</v>
      </c>
      <c r="NDL138" s="26" t="s">
        <v>794</v>
      </c>
      <c r="NDM138" s="26">
        <v>4</v>
      </c>
      <c r="NDN138" s="26" t="s">
        <v>794</v>
      </c>
      <c r="NDO138" s="26">
        <v>4</v>
      </c>
      <c r="NDP138" s="26" t="s">
        <v>794</v>
      </c>
      <c r="NDQ138" s="26">
        <v>4</v>
      </c>
      <c r="NDR138" s="26" t="s">
        <v>794</v>
      </c>
      <c r="NDS138" s="26">
        <v>4</v>
      </c>
      <c r="NDT138" s="26" t="s">
        <v>794</v>
      </c>
      <c r="NDU138" s="26">
        <v>4</v>
      </c>
      <c r="NDV138" s="26" t="s">
        <v>794</v>
      </c>
      <c r="NDW138" s="26">
        <v>4</v>
      </c>
      <c r="NDX138" s="26" t="s">
        <v>794</v>
      </c>
      <c r="NDY138" s="26">
        <v>4</v>
      </c>
      <c r="NDZ138" s="26" t="s">
        <v>794</v>
      </c>
      <c r="NEA138" s="26">
        <v>4</v>
      </c>
      <c r="NEB138" s="26" t="s">
        <v>794</v>
      </c>
      <c r="NEC138" s="26">
        <v>4</v>
      </c>
      <c r="NED138" s="26" t="s">
        <v>794</v>
      </c>
      <c r="NEE138" s="26">
        <v>4</v>
      </c>
      <c r="NEF138" s="26" t="s">
        <v>794</v>
      </c>
      <c r="NEG138" s="26">
        <v>4</v>
      </c>
      <c r="NEH138" s="26" t="s">
        <v>794</v>
      </c>
      <c r="NEI138" s="26">
        <v>4</v>
      </c>
      <c r="NEJ138" s="26" t="s">
        <v>794</v>
      </c>
      <c r="NEK138" s="26">
        <v>4</v>
      </c>
      <c r="NEL138" s="26" t="s">
        <v>794</v>
      </c>
      <c r="NEM138" s="26">
        <v>4</v>
      </c>
      <c r="NEN138" s="26" t="s">
        <v>794</v>
      </c>
      <c r="NEO138" s="26">
        <v>4</v>
      </c>
      <c r="NEP138" s="26" t="s">
        <v>794</v>
      </c>
      <c r="NEQ138" s="26">
        <v>4</v>
      </c>
      <c r="NER138" s="26" t="s">
        <v>794</v>
      </c>
      <c r="NES138" s="26">
        <v>4</v>
      </c>
      <c r="NET138" s="26" t="s">
        <v>794</v>
      </c>
      <c r="NEU138" s="26">
        <v>4</v>
      </c>
      <c r="NEV138" s="26" t="s">
        <v>794</v>
      </c>
      <c r="NEW138" s="26">
        <v>4</v>
      </c>
      <c r="NEX138" s="26" t="s">
        <v>794</v>
      </c>
      <c r="NEY138" s="26">
        <v>4</v>
      </c>
      <c r="NEZ138" s="26" t="s">
        <v>794</v>
      </c>
      <c r="NFA138" s="26">
        <v>4</v>
      </c>
      <c r="NFB138" s="26" t="s">
        <v>794</v>
      </c>
      <c r="NFC138" s="26">
        <v>4</v>
      </c>
      <c r="NFD138" s="26" t="s">
        <v>794</v>
      </c>
      <c r="NFE138" s="26">
        <v>4</v>
      </c>
      <c r="NFF138" s="26" t="s">
        <v>794</v>
      </c>
      <c r="NFG138" s="26">
        <v>4</v>
      </c>
      <c r="NFH138" s="26" t="s">
        <v>794</v>
      </c>
      <c r="NFI138" s="26">
        <v>4</v>
      </c>
      <c r="NFJ138" s="26" t="s">
        <v>794</v>
      </c>
      <c r="NFK138" s="26">
        <v>4</v>
      </c>
      <c r="NFL138" s="26" t="s">
        <v>794</v>
      </c>
      <c r="NFM138" s="26">
        <v>4</v>
      </c>
      <c r="NFN138" s="26" t="s">
        <v>794</v>
      </c>
      <c r="NFO138" s="26">
        <v>4</v>
      </c>
      <c r="NFP138" s="26" t="s">
        <v>794</v>
      </c>
      <c r="NFQ138" s="26">
        <v>4</v>
      </c>
      <c r="NFR138" s="26" t="s">
        <v>794</v>
      </c>
      <c r="NFS138" s="26">
        <v>4</v>
      </c>
      <c r="NFT138" s="26" t="s">
        <v>794</v>
      </c>
      <c r="NFU138" s="26">
        <v>4</v>
      </c>
      <c r="NFV138" s="26" t="s">
        <v>794</v>
      </c>
      <c r="NFW138" s="26">
        <v>4</v>
      </c>
      <c r="NFX138" s="26" t="s">
        <v>794</v>
      </c>
      <c r="NFY138" s="26">
        <v>4</v>
      </c>
      <c r="NFZ138" s="26" t="s">
        <v>794</v>
      </c>
      <c r="NGA138" s="26">
        <v>4</v>
      </c>
      <c r="NGB138" s="26" t="s">
        <v>794</v>
      </c>
      <c r="NGC138" s="26">
        <v>4</v>
      </c>
      <c r="NGD138" s="26" t="s">
        <v>794</v>
      </c>
      <c r="NGE138" s="26">
        <v>4</v>
      </c>
      <c r="NGF138" s="26" t="s">
        <v>794</v>
      </c>
      <c r="NGG138" s="26">
        <v>4</v>
      </c>
      <c r="NGH138" s="26" t="s">
        <v>794</v>
      </c>
      <c r="NGI138" s="26">
        <v>4</v>
      </c>
      <c r="NGJ138" s="26" t="s">
        <v>794</v>
      </c>
      <c r="NGK138" s="26">
        <v>4</v>
      </c>
      <c r="NGL138" s="26" t="s">
        <v>794</v>
      </c>
      <c r="NGM138" s="26">
        <v>4</v>
      </c>
      <c r="NGN138" s="26" t="s">
        <v>794</v>
      </c>
      <c r="NGO138" s="26">
        <v>4</v>
      </c>
      <c r="NGP138" s="26" t="s">
        <v>794</v>
      </c>
      <c r="NGQ138" s="26">
        <v>4</v>
      </c>
      <c r="NGR138" s="26" t="s">
        <v>794</v>
      </c>
      <c r="NGS138" s="26">
        <v>4</v>
      </c>
      <c r="NGT138" s="26" t="s">
        <v>794</v>
      </c>
      <c r="NGU138" s="26">
        <v>4</v>
      </c>
      <c r="NGV138" s="26" t="s">
        <v>794</v>
      </c>
      <c r="NGW138" s="26">
        <v>4</v>
      </c>
      <c r="NGX138" s="26" t="s">
        <v>794</v>
      </c>
      <c r="NGY138" s="26">
        <v>4</v>
      </c>
      <c r="NGZ138" s="26" t="s">
        <v>794</v>
      </c>
      <c r="NHA138" s="26">
        <v>4</v>
      </c>
      <c r="NHB138" s="26" t="s">
        <v>794</v>
      </c>
      <c r="NHC138" s="26">
        <v>4</v>
      </c>
      <c r="NHD138" s="26" t="s">
        <v>794</v>
      </c>
      <c r="NHE138" s="26">
        <v>4</v>
      </c>
      <c r="NHF138" s="26" t="s">
        <v>794</v>
      </c>
      <c r="NHG138" s="26">
        <v>4</v>
      </c>
      <c r="NHH138" s="26" t="s">
        <v>794</v>
      </c>
      <c r="NHI138" s="26">
        <v>4</v>
      </c>
      <c r="NHJ138" s="26" t="s">
        <v>794</v>
      </c>
      <c r="NHK138" s="26">
        <v>4</v>
      </c>
      <c r="NHL138" s="26" t="s">
        <v>794</v>
      </c>
      <c r="NHM138" s="26">
        <v>4</v>
      </c>
      <c r="NHN138" s="26" t="s">
        <v>794</v>
      </c>
      <c r="NHO138" s="26">
        <v>4</v>
      </c>
      <c r="NHP138" s="26" t="s">
        <v>794</v>
      </c>
      <c r="NHQ138" s="26">
        <v>4</v>
      </c>
      <c r="NHR138" s="26" t="s">
        <v>794</v>
      </c>
      <c r="NHS138" s="26">
        <v>4</v>
      </c>
      <c r="NHT138" s="26" t="s">
        <v>794</v>
      </c>
      <c r="NHU138" s="26">
        <v>4</v>
      </c>
      <c r="NHV138" s="26" t="s">
        <v>794</v>
      </c>
      <c r="NHW138" s="26">
        <v>4</v>
      </c>
      <c r="NHX138" s="26" t="s">
        <v>794</v>
      </c>
      <c r="NHY138" s="26">
        <v>4</v>
      </c>
      <c r="NHZ138" s="26" t="s">
        <v>794</v>
      </c>
      <c r="NIA138" s="26">
        <v>4</v>
      </c>
      <c r="NIB138" s="26" t="s">
        <v>794</v>
      </c>
      <c r="NIC138" s="26">
        <v>4</v>
      </c>
      <c r="NID138" s="26" t="s">
        <v>794</v>
      </c>
      <c r="NIE138" s="26">
        <v>4</v>
      </c>
      <c r="NIF138" s="26" t="s">
        <v>794</v>
      </c>
      <c r="NIG138" s="26">
        <v>4</v>
      </c>
      <c r="NIH138" s="26" t="s">
        <v>794</v>
      </c>
      <c r="NII138" s="26">
        <v>4</v>
      </c>
      <c r="NIJ138" s="26" t="s">
        <v>794</v>
      </c>
      <c r="NIK138" s="26">
        <v>4</v>
      </c>
      <c r="NIL138" s="26" t="s">
        <v>794</v>
      </c>
      <c r="NIM138" s="26">
        <v>4</v>
      </c>
      <c r="NIN138" s="26" t="s">
        <v>794</v>
      </c>
      <c r="NIO138" s="26">
        <v>4</v>
      </c>
      <c r="NIP138" s="26" t="s">
        <v>794</v>
      </c>
      <c r="NIQ138" s="26">
        <v>4</v>
      </c>
      <c r="NIR138" s="26" t="s">
        <v>794</v>
      </c>
      <c r="NIS138" s="26">
        <v>4</v>
      </c>
      <c r="NIT138" s="26" t="s">
        <v>794</v>
      </c>
      <c r="NIU138" s="26">
        <v>4</v>
      </c>
      <c r="NIV138" s="26" t="s">
        <v>794</v>
      </c>
      <c r="NIW138" s="26">
        <v>4</v>
      </c>
      <c r="NIX138" s="26" t="s">
        <v>794</v>
      </c>
      <c r="NIY138" s="26">
        <v>4</v>
      </c>
      <c r="NIZ138" s="26" t="s">
        <v>794</v>
      </c>
      <c r="NJA138" s="26">
        <v>4</v>
      </c>
      <c r="NJB138" s="26" t="s">
        <v>794</v>
      </c>
      <c r="NJC138" s="26">
        <v>4</v>
      </c>
      <c r="NJD138" s="26" t="s">
        <v>794</v>
      </c>
      <c r="NJE138" s="26">
        <v>4</v>
      </c>
      <c r="NJF138" s="26" t="s">
        <v>794</v>
      </c>
      <c r="NJG138" s="26">
        <v>4</v>
      </c>
      <c r="NJH138" s="26" t="s">
        <v>794</v>
      </c>
      <c r="NJI138" s="26">
        <v>4</v>
      </c>
      <c r="NJJ138" s="26" t="s">
        <v>794</v>
      </c>
      <c r="NJK138" s="26">
        <v>4</v>
      </c>
      <c r="NJL138" s="26" t="s">
        <v>794</v>
      </c>
      <c r="NJM138" s="26">
        <v>4</v>
      </c>
      <c r="NJN138" s="26" t="s">
        <v>794</v>
      </c>
      <c r="NJO138" s="26">
        <v>4</v>
      </c>
      <c r="NJP138" s="26" t="s">
        <v>794</v>
      </c>
      <c r="NJQ138" s="26">
        <v>4</v>
      </c>
      <c r="NJR138" s="26" t="s">
        <v>794</v>
      </c>
      <c r="NJS138" s="26">
        <v>4</v>
      </c>
      <c r="NJT138" s="26" t="s">
        <v>794</v>
      </c>
      <c r="NJU138" s="26">
        <v>4</v>
      </c>
      <c r="NJV138" s="26" t="s">
        <v>794</v>
      </c>
      <c r="NJW138" s="26">
        <v>4</v>
      </c>
      <c r="NJX138" s="26" t="s">
        <v>794</v>
      </c>
      <c r="NJY138" s="26">
        <v>4</v>
      </c>
      <c r="NJZ138" s="26" t="s">
        <v>794</v>
      </c>
      <c r="NKA138" s="26">
        <v>4</v>
      </c>
      <c r="NKB138" s="26" t="s">
        <v>794</v>
      </c>
      <c r="NKC138" s="26">
        <v>4</v>
      </c>
      <c r="NKD138" s="26" t="s">
        <v>794</v>
      </c>
      <c r="NKE138" s="26">
        <v>4</v>
      </c>
      <c r="NKF138" s="26" t="s">
        <v>794</v>
      </c>
      <c r="NKG138" s="26">
        <v>4</v>
      </c>
      <c r="NKH138" s="26" t="s">
        <v>794</v>
      </c>
      <c r="NKI138" s="26">
        <v>4</v>
      </c>
      <c r="NKJ138" s="26" t="s">
        <v>794</v>
      </c>
      <c r="NKK138" s="26">
        <v>4</v>
      </c>
      <c r="NKL138" s="26" t="s">
        <v>794</v>
      </c>
      <c r="NKM138" s="26">
        <v>4</v>
      </c>
      <c r="NKN138" s="26" t="s">
        <v>794</v>
      </c>
      <c r="NKO138" s="26">
        <v>4</v>
      </c>
      <c r="NKP138" s="26" t="s">
        <v>794</v>
      </c>
      <c r="NKQ138" s="26">
        <v>4</v>
      </c>
      <c r="NKR138" s="26" t="s">
        <v>794</v>
      </c>
      <c r="NKS138" s="26">
        <v>4</v>
      </c>
      <c r="NKT138" s="26" t="s">
        <v>794</v>
      </c>
      <c r="NKU138" s="26">
        <v>4</v>
      </c>
      <c r="NKV138" s="26" t="s">
        <v>794</v>
      </c>
      <c r="NKW138" s="26">
        <v>4</v>
      </c>
      <c r="NKX138" s="26" t="s">
        <v>794</v>
      </c>
      <c r="NKY138" s="26">
        <v>4</v>
      </c>
      <c r="NKZ138" s="26" t="s">
        <v>794</v>
      </c>
      <c r="NLA138" s="26">
        <v>4</v>
      </c>
      <c r="NLB138" s="26" t="s">
        <v>794</v>
      </c>
      <c r="NLC138" s="26">
        <v>4</v>
      </c>
      <c r="NLD138" s="26" t="s">
        <v>794</v>
      </c>
      <c r="NLE138" s="26">
        <v>4</v>
      </c>
      <c r="NLF138" s="26" t="s">
        <v>794</v>
      </c>
      <c r="NLG138" s="26">
        <v>4</v>
      </c>
      <c r="NLH138" s="26" t="s">
        <v>794</v>
      </c>
      <c r="NLI138" s="26">
        <v>4</v>
      </c>
      <c r="NLJ138" s="26" t="s">
        <v>794</v>
      </c>
      <c r="NLK138" s="26">
        <v>4</v>
      </c>
      <c r="NLL138" s="26" t="s">
        <v>794</v>
      </c>
      <c r="NLM138" s="26">
        <v>4</v>
      </c>
      <c r="NLN138" s="26" t="s">
        <v>794</v>
      </c>
      <c r="NLO138" s="26">
        <v>4</v>
      </c>
      <c r="NLP138" s="26" t="s">
        <v>794</v>
      </c>
      <c r="NLQ138" s="26">
        <v>4</v>
      </c>
      <c r="NLR138" s="26" t="s">
        <v>794</v>
      </c>
      <c r="NLS138" s="26">
        <v>4</v>
      </c>
      <c r="NLT138" s="26" t="s">
        <v>794</v>
      </c>
      <c r="NLU138" s="26">
        <v>4</v>
      </c>
      <c r="NLV138" s="26" t="s">
        <v>794</v>
      </c>
      <c r="NLW138" s="26">
        <v>4</v>
      </c>
      <c r="NLX138" s="26" t="s">
        <v>794</v>
      </c>
      <c r="NLY138" s="26">
        <v>4</v>
      </c>
      <c r="NLZ138" s="26" t="s">
        <v>794</v>
      </c>
      <c r="NMA138" s="26">
        <v>4</v>
      </c>
      <c r="NMB138" s="26" t="s">
        <v>794</v>
      </c>
      <c r="NMC138" s="26">
        <v>4</v>
      </c>
      <c r="NMD138" s="26" t="s">
        <v>794</v>
      </c>
      <c r="NME138" s="26">
        <v>4</v>
      </c>
      <c r="NMF138" s="26" t="s">
        <v>794</v>
      </c>
      <c r="NMG138" s="26">
        <v>4</v>
      </c>
      <c r="NMH138" s="26" t="s">
        <v>794</v>
      </c>
      <c r="NMI138" s="26">
        <v>4</v>
      </c>
      <c r="NMJ138" s="26" t="s">
        <v>794</v>
      </c>
      <c r="NMK138" s="26">
        <v>4</v>
      </c>
      <c r="NML138" s="26" t="s">
        <v>794</v>
      </c>
      <c r="NMM138" s="26">
        <v>4</v>
      </c>
      <c r="NMN138" s="26" t="s">
        <v>794</v>
      </c>
      <c r="NMO138" s="26">
        <v>4</v>
      </c>
      <c r="NMP138" s="26" t="s">
        <v>794</v>
      </c>
      <c r="NMQ138" s="26">
        <v>4</v>
      </c>
      <c r="NMR138" s="26" t="s">
        <v>794</v>
      </c>
      <c r="NMS138" s="26">
        <v>4</v>
      </c>
      <c r="NMT138" s="26" t="s">
        <v>794</v>
      </c>
      <c r="NMU138" s="26">
        <v>4</v>
      </c>
      <c r="NMV138" s="26" t="s">
        <v>794</v>
      </c>
      <c r="NMW138" s="26">
        <v>4</v>
      </c>
      <c r="NMX138" s="26" t="s">
        <v>794</v>
      </c>
      <c r="NMY138" s="26">
        <v>4</v>
      </c>
      <c r="NMZ138" s="26" t="s">
        <v>794</v>
      </c>
      <c r="NNA138" s="26">
        <v>4</v>
      </c>
      <c r="NNB138" s="26" t="s">
        <v>794</v>
      </c>
      <c r="NNC138" s="26">
        <v>4</v>
      </c>
      <c r="NND138" s="26" t="s">
        <v>794</v>
      </c>
      <c r="NNE138" s="26">
        <v>4</v>
      </c>
      <c r="NNF138" s="26" t="s">
        <v>794</v>
      </c>
      <c r="NNG138" s="26">
        <v>4</v>
      </c>
      <c r="NNH138" s="26" t="s">
        <v>794</v>
      </c>
      <c r="NNI138" s="26">
        <v>4</v>
      </c>
      <c r="NNJ138" s="26" t="s">
        <v>794</v>
      </c>
      <c r="NNK138" s="26">
        <v>4</v>
      </c>
      <c r="NNL138" s="26" t="s">
        <v>794</v>
      </c>
      <c r="NNM138" s="26">
        <v>4</v>
      </c>
      <c r="NNN138" s="26" t="s">
        <v>794</v>
      </c>
      <c r="NNO138" s="26">
        <v>4</v>
      </c>
      <c r="NNP138" s="26" t="s">
        <v>794</v>
      </c>
      <c r="NNQ138" s="26">
        <v>4</v>
      </c>
      <c r="NNR138" s="26" t="s">
        <v>794</v>
      </c>
      <c r="NNS138" s="26">
        <v>4</v>
      </c>
      <c r="NNT138" s="26" t="s">
        <v>794</v>
      </c>
      <c r="NNU138" s="26">
        <v>4</v>
      </c>
      <c r="NNV138" s="26" t="s">
        <v>794</v>
      </c>
      <c r="NNW138" s="26">
        <v>4</v>
      </c>
      <c r="NNX138" s="26" t="s">
        <v>794</v>
      </c>
      <c r="NNY138" s="26">
        <v>4</v>
      </c>
      <c r="NNZ138" s="26" t="s">
        <v>794</v>
      </c>
      <c r="NOA138" s="26">
        <v>4</v>
      </c>
      <c r="NOB138" s="26" t="s">
        <v>794</v>
      </c>
      <c r="NOC138" s="26">
        <v>4</v>
      </c>
      <c r="NOD138" s="26" t="s">
        <v>794</v>
      </c>
      <c r="NOE138" s="26">
        <v>4</v>
      </c>
      <c r="NOF138" s="26" t="s">
        <v>794</v>
      </c>
      <c r="NOG138" s="26">
        <v>4</v>
      </c>
      <c r="NOH138" s="26" t="s">
        <v>794</v>
      </c>
      <c r="NOI138" s="26">
        <v>4</v>
      </c>
      <c r="NOJ138" s="26" t="s">
        <v>794</v>
      </c>
      <c r="NOK138" s="26">
        <v>4</v>
      </c>
      <c r="NOL138" s="26" t="s">
        <v>794</v>
      </c>
      <c r="NOM138" s="26">
        <v>4</v>
      </c>
      <c r="NON138" s="26" t="s">
        <v>794</v>
      </c>
      <c r="NOO138" s="26">
        <v>4</v>
      </c>
      <c r="NOP138" s="26" t="s">
        <v>794</v>
      </c>
      <c r="NOQ138" s="26">
        <v>4</v>
      </c>
      <c r="NOR138" s="26" t="s">
        <v>794</v>
      </c>
      <c r="NOS138" s="26">
        <v>4</v>
      </c>
      <c r="NOT138" s="26" t="s">
        <v>794</v>
      </c>
      <c r="NOU138" s="26">
        <v>4</v>
      </c>
      <c r="NOV138" s="26" t="s">
        <v>794</v>
      </c>
      <c r="NOW138" s="26">
        <v>4</v>
      </c>
      <c r="NOX138" s="26" t="s">
        <v>794</v>
      </c>
      <c r="NOY138" s="26">
        <v>4</v>
      </c>
      <c r="NOZ138" s="26" t="s">
        <v>794</v>
      </c>
      <c r="NPA138" s="26">
        <v>4</v>
      </c>
      <c r="NPB138" s="26" t="s">
        <v>794</v>
      </c>
      <c r="NPC138" s="26">
        <v>4</v>
      </c>
      <c r="NPD138" s="26" t="s">
        <v>794</v>
      </c>
      <c r="NPE138" s="26">
        <v>4</v>
      </c>
      <c r="NPF138" s="26" t="s">
        <v>794</v>
      </c>
      <c r="NPG138" s="26">
        <v>4</v>
      </c>
      <c r="NPH138" s="26" t="s">
        <v>794</v>
      </c>
      <c r="NPI138" s="26">
        <v>4</v>
      </c>
      <c r="NPJ138" s="26" t="s">
        <v>794</v>
      </c>
      <c r="NPK138" s="26">
        <v>4</v>
      </c>
      <c r="NPL138" s="26" t="s">
        <v>794</v>
      </c>
      <c r="NPM138" s="26">
        <v>4</v>
      </c>
      <c r="NPN138" s="26" t="s">
        <v>794</v>
      </c>
      <c r="NPO138" s="26">
        <v>4</v>
      </c>
      <c r="NPP138" s="26" t="s">
        <v>794</v>
      </c>
      <c r="NPQ138" s="26">
        <v>4</v>
      </c>
      <c r="NPR138" s="26" t="s">
        <v>794</v>
      </c>
      <c r="NPS138" s="26">
        <v>4</v>
      </c>
      <c r="NPT138" s="26" t="s">
        <v>794</v>
      </c>
      <c r="NPU138" s="26">
        <v>4</v>
      </c>
      <c r="NPV138" s="26" t="s">
        <v>794</v>
      </c>
      <c r="NPW138" s="26">
        <v>4</v>
      </c>
      <c r="NPX138" s="26" t="s">
        <v>794</v>
      </c>
      <c r="NPY138" s="26">
        <v>4</v>
      </c>
      <c r="NPZ138" s="26" t="s">
        <v>794</v>
      </c>
      <c r="NQA138" s="26">
        <v>4</v>
      </c>
      <c r="NQB138" s="26" t="s">
        <v>794</v>
      </c>
      <c r="NQC138" s="26">
        <v>4</v>
      </c>
      <c r="NQD138" s="26" t="s">
        <v>794</v>
      </c>
      <c r="NQE138" s="26">
        <v>4</v>
      </c>
      <c r="NQF138" s="26" t="s">
        <v>794</v>
      </c>
      <c r="NQG138" s="26">
        <v>4</v>
      </c>
      <c r="NQH138" s="26" t="s">
        <v>794</v>
      </c>
      <c r="NQI138" s="26">
        <v>4</v>
      </c>
      <c r="NQJ138" s="26" t="s">
        <v>794</v>
      </c>
      <c r="NQK138" s="26">
        <v>4</v>
      </c>
      <c r="NQL138" s="26" t="s">
        <v>794</v>
      </c>
      <c r="NQM138" s="26">
        <v>4</v>
      </c>
      <c r="NQN138" s="26" t="s">
        <v>794</v>
      </c>
      <c r="NQO138" s="26">
        <v>4</v>
      </c>
      <c r="NQP138" s="26" t="s">
        <v>794</v>
      </c>
      <c r="NQQ138" s="26">
        <v>4</v>
      </c>
      <c r="NQR138" s="26" t="s">
        <v>794</v>
      </c>
      <c r="NQS138" s="26">
        <v>4</v>
      </c>
      <c r="NQT138" s="26" t="s">
        <v>794</v>
      </c>
      <c r="NQU138" s="26">
        <v>4</v>
      </c>
      <c r="NQV138" s="26" t="s">
        <v>794</v>
      </c>
      <c r="NQW138" s="26">
        <v>4</v>
      </c>
      <c r="NQX138" s="26" t="s">
        <v>794</v>
      </c>
      <c r="NQY138" s="26">
        <v>4</v>
      </c>
      <c r="NQZ138" s="26" t="s">
        <v>794</v>
      </c>
      <c r="NRA138" s="26">
        <v>4</v>
      </c>
      <c r="NRB138" s="26" t="s">
        <v>794</v>
      </c>
      <c r="NRC138" s="26">
        <v>4</v>
      </c>
      <c r="NRD138" s="26" t="s">
        <v>794</v>
      </c>
      <c r="NRE138" s="26">
        <v>4</v>
      </c>
      <c r="NRF138" s="26" t="s">
        <v>794</v>
      </c>
      <c r="NRG138" s="26">
        <v>4</v>
      </c>
      <c r="NRH138" s="26" t="s">
        <v>794</v>
      </c>
      <c r="NRI138" s="26">
        <v>4</v>
      </c>
      <c r="NRJ138" s="26" t="s">
        <v>794</v>
      </c>
      <c r="NRK138" s="26">
        <v>4</v>
      </c>
      <c r="NRL138" s="26" t="s">
        <v>794</v>
      </c>
      <c r="NRM138" s="26">
        <v>4</v>
      </c>
      <c r="NRN138" s="26" t="s">
        <v>794</v>
      </c>
      <c r="NRO138" s="26">
        <v>4</v>
      </c>
      <c r="NRP138" s="26" t="s">
        <v>794</v>
      </c>
      <c r="NRQ138" s="26">
        <v>4</v>
      </c>
      <c r="NRR138" s="26" t="s">
        <v>794</v>
      </c>
      <c r="NRS138" s="26">
        <v>4</v>
      </c>
      <c r="NRT138" s="26" t="s">
        <v>794</v>
      </c>
      <c r="NRU138" s="26">
        <v>4</v>
      </c>
      <c r="NRV138" s="26" t="s">
        <v>794</v>
      </c>
      <c r="NRW138" s="26">
        <v>4</v>
      </c>
      <c r="NRX138" s="26" t="s">
        <v>794</v>
      </c>
      <c r="NRY138" s="26">
        <v>4</v>
      </c>
      <c r="NRZ138" s="26" t="s">
        <v>794</v>
      </c>
      <c r="NSA138" s="26">
        <v>4</v>
      </c>
      <c r="NSB138" s="26" t="s">
        <v>794</v>
      </c>
      <c r="NSC138" s="26">
        <v>4</v>
      </c>
      <c r="NSD138" s="26" t="s">
        <v>794</v>
      </c>
      <c r="NSE138" s="26">
        <v>4</v>
      </c>
      <c r="NSF138" s="26" t="s">
        <v>794</v>
      </c>
      <c r="NSG138" s="26">
        <v>4</v>
      </c>
      <c r="NSH138" s="26" t="s">
        <v>794</v>
      </c>
      <c r="NSI138" s="26">
        <v>4</v>
      </c>
      <c r="NSJ138" s="26" t="s">
        <v>794</v>
      </c>
      <c r="NSK138" s="26">
        <v>4</v>
      </c>
      <c r="NSL138" s="26" t="s">
        <v>794</v>
      </c>
      <c r="NSM138" s="26">
        <v>4</v>
      </c>
      <c r="NSN138" s="26" t="s">
        <v>794</v>
      </c>
      <c r="NSO138" s="26">
        <v>4</v>
      </c>
      <c r="NSP138" s="26" t="s">
        <v>794</v>
      </c>
      <c r="NSQ138" s="26">
        <v>4</v>
      </c>
      <c r="NSR138" s="26" t="s">
        <v>794</v>
      </c>
      <c r="NSS138" s="26">
        <v>4</v>
      </c>
      <c r="NST138" s="26" t="s">
        <v>794</v>
      </c>
      <c r="NSU138" s="26">
        <v>4</v>
      </c>
      <c r="NSV138" s="26" t="s">
        <v>794</v>
      </c>
      <c r="NSW138" s="26">
        <v>4</v>
      </c>
      <c r="NSX138" s="26" t="s">
        <v>794</v>
      </c>
      <c r="NSY138" s="26">
        <v>4</v>
      </c>
      <c r="NSZ138" s="26" t="s">
        <v>794</v>
      </c>
      <c r="NTA138" s="26">
        <v>4</v>
      </c>
      <c r="NTB138" s="26" t="s">
        <v>794</v>
      </c>
      <c r="NTC138" s="26">
        <v>4</v>
      </c>
      <c r="NTD138" s="26" t="s">
        <v>794</v>
      </c>
      <c r="NTE138" s="26">
        <v>4</v>
      </c>
      <c r="NTF138" s="26" t="s">
        <v>794</v>
      </c>
      <c r="NTG138" s="26">
        <v>4</v>
      </c>
      <c r="NTH138" s="26" t="s">
        <v>794</v>
      </c>
      <c r="NTI138" s="26">
        <v>4</v>
      </c>
      <c r="NTJ138" s="26" t="s">
        <v>794</v>
      </c>
      <c r="NTK138" s="26">
        <v>4</v>
      </c>
      <c r="NTL138" s="26" t="s">
        <v>794</v>
      </c>
      <c r="NTM138" s="26">
        <v>4</v>
      </c>
      <c r="NTN138" s="26" t="s">
        <v>794</v>
      </c>
      <c r="NTO138" s="26">
        <v>4</v>
      </c>
      <c r="NTP138" s="26" t="s">
        <v>794</v>
      </c>
      <c r="NTQ138" s="26">
        <v>4</v>
      </c>
      <c r="NTR138" s="26" t="s">
        <v>794</v>
      </c>
      <c r="NTS138" s="26">
        <v>4</v>
      </c>
      <c r="NTT138" s="26" t="s">
        <v>794</v>
      </c>
      <c r="NTU138" s="26">
        <v>4</v>
      </c>
      <c r="NTV138" s="26" t="s">
        <v>794</v>
      </c>
      <c r="NTW138" s="26">
        <v>4</v>
      </c>
      <c r="NTX138" s="26" t="s">
        <v>794</v>
      </c>
      <c r="NTY138" s="26">
        <v>4</v>
      </c>
      <c r="NTZ138" s="26" t="s">
        <v>794</v>
      </c>
      <c r="NUA138" s="26">
        <v>4</v>
      </c>
      <c r="NUB138" s="26" t="s">
        <v>794</v>
      </c>
      <c r="NUC138" s="26">
        <v>4</v>
      </c>
      <c r="NUD138" s="26" t="s">
        <v>794</v>
      </c>
      <c r="NUE138" s="26">
        <v>4</v>
      </c>
      <c r="NUF138" s="26" t="s">
        <v>794</v>
      </c>
      <c r="NUG138" s="26">
        <v>4</v>
      </c>
      <c r="NUH138" s="26" t="s">
        <v>794</v>
      </c>
      <c r="NUI138" s="26">
        <v>4</v>
      </c>
      <c r="NUJ138" s="26" t="s">
        <v>794</v>
      </c>
      <c r="NUK138" s="26">
        <v>4</v>
      </c>
      <c r="NUL138" s="26" t="s">
        <v>794</v>
      </c>
      <c r="NUM138" s="26">
        <v>4</v>
      </c>
      <c r="NUN138" s="26" t="s">
        <v>794</v>
      </c>
      <c r="NUO138" s="26">
        <v>4</v>
      </c>
      <c r="NUP138" s="26" t="s">
        <v>794</v>
      </c>
      <c r="NUQ138" s="26">
        <v>4</v>
      </c>
      <c r="NUR138" s="26" t="s">
        <v>794</v>
      </c>
      <c r="NUS138" s="26">
        <v>4</v>
      </c>
      <c r="NUT138" s="26" t="s">
        <v>794</v>
      </c>
      <c r="NUU138" s="26">
        <v>4</v>
      </c>
      <c r="NUV138" s="26" t="s">
        <v>794</v>
      </c>
      <c r="NUW138" s="26">
        <v>4</v>
      </c>
      <c r="NUX138" s="26" t="s">
        <v>794</v>
      </c>
      <c r="NUY138" s="26">
        <v>4</v>
      </c>
      <c r="NUZ138" s="26" t="s">
        <v>794</v>
      </c>
      <c r="NVA138" s="26">
        <v>4</v>
      </c>
      <c r="NVB138" s="26" t="s">
        <v>794</v>
      </c>
      <c r="NVC138" s="26">
        <v>4</v>
      </c>
      <c r="NVD138" s="26" t="s">
        <v>794</v>
      </c>
      <c r="NVE138" s="26">
        <v>4</v>
      </c>
      <c r="NVF138" s="26" t="s">
        <v>794</v>
      </c>
      <c r="NVG138" s="26">
        <v>4</v>
      </c>
      <c r="NVH138" s="26" t="s">
        <v>794</v>
      </c>
      <c r="NVI138" s="26">
        <v>4</v>
      </c>
      <c r="NVJ138" s="26" t="s">
        <v>794</v>
      </c>
      <c r="NVK138" s="26">
        <v>4</v>
      </c>
      <c r="NVL138" s="26" t="s">
        <v>794</v>
      </c>
      <c r="NVM138" s="26">
        <v>4</v>
      </c>
      <c r="NVN138" s="26" t="s">
        <v>794</v>
      </c>
      <c r="NVO138" s="26">
        <v>4</v>
      </c>
      <c r="NVP138" s="26" t="s">
        <v>794</v>
      </c>
      <c r="NVQ138" s="26">
        <v>4</v>
      </c>
      <c r="NVR138" s="26" t="s">
        <v>794</v>
      </c>
      <c r="NVS138" s="26">
        <v>4</v>
      </c>
      <c r="NVT138" s="26" t="s">
        <v>794</v>
      </c>
      <c r="NVU138" s="26">
        <v>4</v>
      </c>
      <c r="NVV138" s="26" t="s">
        <v>794</v>
      </c>
      <c r="NVW138" s="26">
        <v>4</v>
      </c>
      <c r="NVX138" s="26" t="s">
        <v>794</v>
      </c>
      <c r="NVY138" s="26">
        <v>4</v>
      </c>
      <c r="NVZ138" s="26" t="s">
        <v>794</v>
      </c>
      <c r="NWA138" s="26">
        <v>4</v>
      </c>
      <c r="NWB138" s="26" t="s">
        <v>794</v>
      </c>
      <c r="NWC138" s="26">
        <v>4</v>
      </c>
      <c r="NWD138" s="26" t="s">
        <v>794</v>
      </c>
      <c r="NWE138" s="26">
        <v>4</v>
      </c>
      <c r="NWF138" s="26" t="s">
        <v>794</v>
      </c>
      <c r="NWG138" s="26">
        <v>4</v>
      </c>
      <c r="NWH138" s="26" t="s">
        <v>794</v>
      </c>
      <c r="NWI138" s="26">
        <v>4</v>
      </c>
      <c r="NWJ138" s="26" t="s">
        <v>794</v>
      </c>
      <c r="NWK138" s="26">
        <v>4</v>
      </c>
      <c r="NWL138" s="26" t="s">
        <v>794</v>
      </c>
      <c r="NWM138" s="26">
        <v>4</v>
      </c>
      <c r="NWN138" s="26" t="s">
        <v>794</v>
      </c>
      <c r="NWO138" s="26">
        <v>4</v>
      </c>
      <c r="NWP138" s="26" t="s">
        <v>794</v>
      </c>
      <c r="NWQ138" s="26">
        <v>4</v>
      </c>
      <c r="NWR138" s="26" t="s">
        <v>794</v>
      </c>
      <c r="NWS138" s="26">
        <v>4</v>
      </c>
      <c r="NWT138" s="26" t="s">
        <v>794</v>
      </c>
      <c r="NWU138" s="26">
        <v>4</v>
      </c>
      <c r="NWV138" s="26" t="s">
        <v>794</v>
      </c>
      <c r="NWW138" s="26">
        <v>4</v>
      </c>
      <c r="NWX138" s="26" t="s">
        <v>794</v>
      </c>
      <c r="NWY138" s="26">
        <v>4</v>
      </c>
      <c r="NWZ138" s="26" t="s">
        <v>794</v>
      </c>
      <c r="NXA138" s="26">
        <v>4</v>
      </c>
      <c r="NXB138" s="26" t="s">
        <v>794</v>
      </c>
      <c r="NXC138" s="26">
        <v>4</v>
      </c>
      <c r="NXD138" s="26" t="s">
        <v>794</v>
      </c>
      <c r="NXE138" s="26">
        <v>4</v>
      </c>
      <c r="NXF138" s="26" t="s">
        <v>794</v>
      </c>
      <c r="NXG138" s="26">
        <v>4</v>
      </c>
      <c r="NXH138" s="26" t="s">
        <v>794</v>
      </c>
      <c r="NXI138" s="26">
        <v>4</v>
      </c>
      <c r="NXJ138" s="26" t="s">
        <v>794</v>
      </c>
      <c r="NXK138" s="26">
        <v>4</v>
      </c>
      <c r="NXL138" s="26" t="s">
        <v>794</v>
      </c>
      <c r="NXM138" s="26">
        <v>4</v>
      </c>
      <c r="NXN138" s="26" t="s">
        <v>794</v>
      </c>
      <c r="NXO138" s="26">
        <v>4</v>
      </c>
      <c r="NXP138" s="26" t="s">
        <v>794</v>
      </c>
      <c r="NXQ138" s="26">
        <v>4</v>
      </c>
      <c r="NXR138" s="26" t="s">
        <v>794</v>
      </c>
      <c r="NXS138" s="26">
        <v>4</v>
      </c>
      <c r="NXT138" s="26" t="s">
        <v>794</v>
      </c>
      <c r="NXU138" s="26">
        <v>4</v>
      </c>
      <c r="NXV138" s="26" t="s">
        <v>794</v>
      </c>
      <c r="NXW138" s="26">
        <v>4</v>
      </c>
      <c r="NXX138" s="26" t="s">
        <v>794</v>
      </c>
      <c r="NXY138" s="26">
        <v>4</v>
      </c>
      <c r="NXZ138" s="26" t="s">
        <v>794</v>
      </c>
      <c r="NYA138" s="26">
        <v>4</v>
      </c>
      <c r="NYB138" s="26" t="s">
        <v>794</v>
      </c>
      <c r="NYC138" s="26">
        <v>4</v>
      </c>
      <c r="NYD138" s="26" t="s">
        <v>794</v>
      </c>
      <c r="NYE138" s="26">
        <v>4</v>
      </c>
      <c r="NYF138" s="26" t="s">
        <v>794</v>
      </c>
      <c r="NYG138" s="26">
        <v>4</v>
      </c>
      <c r="NYH138" s="26" t="s">
        <v>794</v>
      </c>
      <c r="NYI138" s="26">
        <v>4</v>
      </c>
      <c r="NYJ138" s="26" t="s">
        <v>794</v>
      </c>
      <c r="NYK138" s="26">
        <v>4</v>
      </c>
      <c r="NYL138" s="26" t="s">
        <v>794</v>
      </c>
      <c r="NYM138" s="26">
        <v>4</v>
      </c>
      <c r="NYN138" s="26" t="s">
        <v>794</v>
      </c>
      <c r="NYO138" s="26">
        <v>4</v>
      </c>
      <c r="NYP138" s="26" t="s">
        <v>794</v>
      </c>
      <c r="NYQ138" s="26">
        <v>4</v>
      </c>
      <c r="NYR138" s="26" t="s">
        <v>794</v>
      </c>
      <c r="NYS138" s="26">
        <v>4</v>
      </c>
      <c r="NYT138" s="26" t="s">
        <v>794</v>
      </c>
      <c r="NYU138" s="26">
        <v>4</v>
      </c>
      <c r="NYV138" s="26" t="s">
        <v>794</v>
      </c>
      <c r="NYW138" s="26">
        <v>4</v>
      </c>
      <c r="NYX138" s="26" t="s">
        <v>794</v>
      </c>
      <c r="NYY138" s="26">
        <v>4</v>
      </c>
      <c r="NYZ138" s="26" t="s">
        <v>794</v>
      </c>
      <c r="NZA138" s="26">
        <v>4</v>
      </c>
      <c r="NZB138" s="26" t="s">
        <v>794</v>
      </c>
      <c r="NZC138" s="26">
        <v>4</v>
      </c>
      <c r="NZD138" s="26" t="s">
        <v>794</v>
      </c>
      <c r="NZE138" s="26">
        <v>4</v>
      </c>
      <c r="NZF138" s="26" t="s">
        <v>794</v>
      </c>
      <c r="NZG138" s="26">
        <v>4</v>
      </c>
      <c r="NZH138" s="26" t="s">
        <v>794</v>
      </c>
      <c r="NZI138" s="26">
        <v>4</v>
      </c>
      <c r="NZJ138" s="26" t="s">
        <v>794</v>
      </c>
      <c r="NZK138" s="26">
        <v>4</v>
      </c>
      <c r="NZL138" s="26" t="s">
        <v>794</v>
      </c>
      <c r="NZM138" s="26">
        <v>4</v>
      </c>
      <c r="NZN138" s="26" t="s">
        <v>794</v>
      </c>
      <c r="NZO138" s="26">
        <v>4</v>
      </c>
      <c r="NZP138" s="26" t="s">
        <v>794</v>
      </c>
      <c r="NZQ138" s="26">
        <v>4</v>
      </c>
      <c r="NZR138" s="26" t="s">
        <v>794</v>
      </c>
      <c r="NZS138" s="26">
        <v>4</v>
      </c>
      <c r="NZT138" s="26" t="s">
        <v>794</v>
      </c>
      <c r="NZU138" s="26">
        <v>4</v>
      </c>
      <c r="NZV138" s="26" t="s">
        <v>794</v>
      </c>
      <c r="NZW138" s="26">
        <v>4</v>
      </c>
      <c r="NZX138" s="26" t="s">
        <v>794</v>
      </c>
      <c r="NZY138" s="26">
        <v>4</v>
      </c>
      <c r="NZZ138" s="26" t="s">
        <v>794</v>
      </c>
      <c r="OAA138" s="26">
        <v>4</v>
      </c>
      <c r="OAB138" s="26" t="s">
        <v>794</v>
      </c>
      <c r="OAC138" s="26">
        <v>4</v>
      </c>
      <c r="OAD138" s="26" t="s">
        <v>794</v>
      </c>
      <c r="OAE138" s="26">
        <v>4</v>
      </c>
      <c r="OAF138" s="26" t="s">
        <v>794</v>
      </c>
      <c r="OAG138" s="26">
        <v>4</v>
      </c>
      <c r="OAH138" s="26" t="s">
        <v>794</v>
      </c>
      <c r="OAI138" s="26">
        <v>4</v>
      </c>
      <c r="OAJ138" s="26" t="s">
        <v>794</v>
      </c>
      <c r="OAK138" s="26">
        <v>4</v>
      </c>
      <c r="OAL138" s="26" t="s">
        <v>794</v>
      </c>
      <c r="OAM138" s="26">
        <v>4</v>
      </c>
      <c r="OAN138" s="26" t="s">
        <v>794</v>
      </c>
      <c r="OAO138" s="26">
        <v>4</v>
      </c>
      <c r="OAP138" s="26" t="s">
        <v>794</v>
      </c>
      <c r="OAQ138" s="26">
        <v>4</v>
      </c>
      <c r="OAR138" s="26" t="s">
        <v>794</v>
      </c>
      <c r="OAS138" s="26">
        <v>4</v>
      </c>
      <c r="OAT138" s="26" t="s">
        <v>794</v>
      </c>
      <c r="OAU138" s="26">
        <v>4</v>
      </c>
      <c r="OAV138" s="26" t="s">
        <v>794</v>
      </c>
      <c r="OAW138" s="26">
        <v>4</v>
      </c>
      <c r="OAX138" s="26" t="s">
        <v>794</v>
      </c>
      <c r="OAY138" s="26">
        <v>4</v>
      </c>
      <c r="OAZ138" s="26" t="s">
        <v>794</v>
      </c>
      <c r="OBA138" s="26">
        <v>4</v>
      </c>
      <c r="OBB138" s="26" t="s">
        <v>794</v>
      </c>
      <c r="OBC138" s="26">
        <v>4</v>
      </c>
      <c r="OBD138" s="26" t="s">
        <v>794</v>
      </c>
      <c r="OBE138" s="26">
        <v>4</v>
      </c>
      <c r="OBF138" s="26" t="s">
        <v>794</v>
      </c>
      <c r="OBG138" s="26">
        <v>4</v>
      </c>
      <c r="OBH138" s="26" t="s">
        <v>794</v>
      </c>
      <c r="OBI138" s="26">
        <v>4</v>
      </c>
      <c r="OBJ138" s="26" t="s">
        <v>794</v>
      </c>
      <c r="OBK138" s="26">
        <v>4</v>
      </c>
      <c r="OBL138" s="26" t="s">
        <v>794</v>
      </c>
      <c r="OBM138" s="26">
        <v>4</v>
      </c>
      <c r="OBN138" s="26" t="s">
        <v>794</v>
      </c>
      <c r="OBO138" s="26">
        <v>4</v>
      </c>
      <c r="OBP138" s="26" t="s">
        <v>794</v>
      </c>
      <c r="OBQ138" s="26">
        <v>4</v>
      </c>
      <c r="OBR138" s="26" t="s">
        <v>794</v>
      </c>
      <c r="OBS138" s="26">
        <v>4</v>
      </c>
      <c r="OBT138" s="26" t="s">
        <v>794</v>
      </c>
      <c r="OBU138" s="26">
        <v>4</v>
      </c>
      <c r="OBV138" s="26" t="s">
        <v>794</v>
      </c>
      <c r="OBW138" s="26">
        <v>4</v>
      </c>
      <c r="OBX138" s="26" t="s">
        <v>794</v>
      </c>
      <c r="OBY138" s="26">
        <v>4</v>
      </c>
      <c r="OBZ138" s="26" t="s">
        <v>794</v>
      </c>
      <c r="OCA138" s="26">
        <v>4</v>
      </c>
      <c r="OCB138" s="26" t="s">
        <v>794</v>
      </c>
      <c r="OCC138" s="26">
        <v>4</v>
      </c>
      <c r="OCD138" s="26" t="s">
        <v>794</v>
      </c>
      <c r="OCE138" s="26">
        <v>4</v>
      </c>
      <c r="OCF138" s="26" t="s">
        <v>794</v>
      </c>
      <c r="OCG138" s="26">
        <v>4</v>
      </c>
      <c r="OCH138" s="26" t="s">
        <v>794</v>
      </c>
      <c r="OCI138" s="26">
        <v>4</v>
      </c>
      <c r="OCJ138" s="26" t="s">
        <v>794</v>
      </c>
      <c r="OCK138" s="26">
        <v>4</v>
      </c>
      <c r="OCL138" s="26" t="s">
        <v>794</v>
      </c>
      <c r="OCM138" s="26">
        <v>4</v>
      </c>
      <c r="OCN138" s="26" t="s">
        <v>794</v>
      </c>
      <c r="OCO138" s="26">
        <v>4</v>
      </c>
      <c r="OCP138" s="26" t="s">
        <v>794</v>
      </c>
      <c r="OCQ138" s="26">
        <v>4</v>
      </c>
      <c r="OCR138" s="26" t="s">
        <v>794</v>
      </c>
      <c r="OCS138" s="26">
        <v>4</v>
      </c>
      <c r="OCT138" s="26" t="s">
        <v>794</v>
      </c>
      <c r="OCU138" s="26">
        <v>4</v>
      </c>
      <c r="OCV138" s="26" t="s">
        <v>794</v>
      </c>
      <c r="OCW138" s="26">
        <v>4</v>
      </c>
      <c r="OCX138" s="26" t="s">
        <v>794</v>
      </c>
      <c r="OCY138" s="26">
        <v>4</v>
      </c>
      <c r="OCZ138" s="26" t="s">
        <v>794</v>
      </c>
      <c r="ODA138" s="26">
        <v>4</v>
      </c>
      <c r="ODB138" s="26" t="s">
        <v>794</v>
      </c>
      <c r="ODC138" s="26">
        <v>4</v>
      </c>
      <c r="ODD138" s="26" t="s">
        <v>794</v>
      </c>
      <c r="ODE138" s="26">
        <v>4</v>
      </c>
      <c r="ODF138" s="26" t="s">
        <v>794</v>
      </c>
      <c r="ODG138" s="26">
        <v>4</v>
      </c>
      <c r="ODH138" s="26" t="s">
        <v>794</v>
      </c>
      <c r="ODI138" s="26">
        <v>4</v>
      </c>
      <c r="ODJ138" s="26" t="s">
        <v>794</v>
      </c>
      <c r="ODK138" s="26">
        <v>4</v>
      </c>
      <c r="ODL138" s="26" t="s">
        <v>794</v>
      </c>
      <c r="ODM138" s="26">
        <v>4</v>
      </c>
      <c r="ODN138" s="26" t="s">
        <v>794</v>
      </c>
      <c r="ODO138" s="26">
        <v>4</v>
      </c>
      <c r="ODP138" s="26" t="s">
        <v>794</v>
      </c>
      <c r="ODQ138" s="26">
        <v>4</v>
      </c>
      <c r="ODR138" s="26" t="s">
        <v>794</v>
      </c>
      <c r="ODS138" s="26">
        <v>4</v>
      </c>
      <c r="ODT138" s="26" t="s">
        <v>794</v>
      </c>
      <c r="ODU138" s="26">
        <v>4</v>
      </c>
      <c r="ODV138" s="26" t="s">
        <v>794</v>
      </c>
      <c r="ODW138" s="26">
        <v>4</v>
      </c>
      <c r="ODX138" s="26" t="s">
        <v>794</v>
      </c>
      <c r="ODY138" s="26">
        <v>4</v>
      </c>
      <c r="ODZ138" s="26" t="s">
        <v>794</v>
      </c>
      <c r="OEA138" s="26">
        <v>4</v>
      </c>
      <c r="OEB138" s="26" t="s">
        <v>794</v>
      </c>
      <c r="OEC138" s="26">
        <v>4</v>
      </c>
      <c r="OED138" s="26" t="s">
        <v>794</v>
      </c>
      <c r="OEE138" s="26">
        <v>4</v>
      </c>
      <c r="OEF138" s="26" t="s">
        <v>794</v>
      </c>
      <c r="OEG138" s="26">
        <v>4</v>
      </c>
      <c r="OEH138" s="26" t="s">
        <v>794</v>
      </c>
      <c r="OEI138" s="26">
        <v>4</v>
      </c>
      <c r="OEJ138" s="26" t="s">
        <v>794</v>
      </c>
      <c r="OEK138" s="26">
        <v>4</v>
      </c>
      <c r="OEL138" s="26" t="s">
        <v>794</v>
      </c>
      <c r="OEM138" s="26">
        <v>4</v>
      </c>
      <c r="OEN138" s="26" t="s">
        <v>794</v>
      </c>
      <c r="OEO138" s="26">
        <v>4</v>
      </c>
      <c r="OEP138" s="26" t="s">
        <v>794</v>
      </c>
      <c r="OEQ138" s="26">
        <v>4</v>
      </c>
      <c r="OER138" s="26" t="s">
        <v>794</v>
      </c>
      <c r="OES138" s="26">
        <v>4</v>
      </c>
      <c r="OET138" s="26" t="s">
        <v>794</v>
      </c>
      <c r="OEU138" s="26">
        <v>4</v>
      </c>
      <c r="OEV138" s="26" t="s">
        <v>794</v>
      </c>
      <c r="OEW138" s="26">
        <v>4</v>
      </c>
      <c r="OEX138" s="26" t="s">
        <v>794</v>
      </c>
      <c r="OEY138" s="26">
        <v>4</v>
      </c>
      <c r="OEZ138" s="26" t="s">
        <v>794</v>
      </c>
      <c r="OFA138" s="26">
        <v>4</v>
      </c>
      <c r="OFB138" s="26" t="s">
        <v>794</v>
      </c>
      <c r="OFC138" s="26">
        <v>4</v>
      </c>
      <c r="OFD138" s="26" t="s">
        <v>794</v>
      </c>
      <c r="OFE138" s="26">
        <v>4</v>
      </c>
      <c r="OFF138" s="26" t="s">
        <v>794</v>
      </c>
      <c r="OFG138" s="26">
        <v>4</v>
      </c>
      <c r="OFH138" s="26" t="s">
        <v>794</v>
      </c>
      <c r="OFI138" s="26">
        <v>4</v>
      </c>
      <c r="OFJ138" s="26" t="s">
        <v>794</v>
      </c>
      <c r="OFK138" s="26">
        <v>4</v>
      </c>
      <c r="OFL138" s="26" t="s">
        <v>794</v>
      </c>
      <c r="OFM138" s="26">
        <v>4</v>
      </c>
      <c r="OFN138" s="26" t="s">
        <v>794</v>
      </c>
      <c r="OFO138" s="26">
        <v>4</v>
      </c>
      <c r="OFP138" s="26" t="s">
        <v>794</v>
      </c>
      <c r="OFQ138" s="26">
        <v>4</v>
      </c>
      <c r="OFR138" s="26" t="s">
        <v>794</v>
      </c>
      <c r="OFS138" s="26">
        <v>4</v>
      </c>
      <c r="OFT138" s="26" t="s">
        <v>794</v>
      </c>
      <c r="OFU138" s="26">
        <v>4</v>
      </c>
      <c r="OFV138" s="26" t="s">
        <v>794</v>
      </c>
      <c r="OFW138" s="26">
        <v>4</v>
      </c>
      <c r="OFX138" s="26" t="s">
        <v>794</v>
      </c>
      <c r="OFY138" s="26">
        <v>4</v>
      </c>
      <c r="OFZ138" s="26" t="s">
        <v>794</v>
      </c>
      <c r="OGA138" s="26">
        <v>4</v>
      </c>
      <c r="OGB138" s="26" t="s">
        <v>794</v>
      </c>
      <c r="OGC138" s="26">
        <v>4</v>
      </c>
      <c r="OGD138" s="26" t="s">
        <v>794</v>
      </c>
      <c r="OGE138" s="26">
        <v>4</v>
      </c>
      <c r="OGF138" s="26" t="s">
        <v>794</v>
      </c>
      <c r="OGG138" s="26">
        <v>4</v>
      </c>
      <c r="OGH138" s="26" t="s">
        <v>794</v>
      </c>
      <c r="OGI138" s="26">
        <v>4</v>
      </c>
      <c r="OGJ138" s="26" t="s">
        <v>794</v>
      </c>
      <c r="OGK138" s="26">
        <v>4</v>
      </c>
      <c r="OGL138" s="26" t="s">
        <v>794</v>
      </c>
      <c r="OGM138" s="26">
        <v>4</v>
      </c>
      <c r="OGN138" s="26" t="s">
        <v>794</v>
      </c>
      <c r="OGO138" s="26">
        <v>4</v>
      </c>
      <c r="OGP138" s="26" t="s">
        <v>794</v>
      </c>
      <c r="OGQ138" s="26">
        <v>4</v>
      </c>
      <c r="OGR138" s="26" t="s">
        <v>794</v>
      </c>
      <c r="OGS138" s="26">
        <v>4</v>
      </c>
      <c r="OGT138" s="26" t="s">
        <v>794</v>
      </c>
      <c r="OGU138" s="26">
        <v>4</v>
      </c>
      <c r="OGV138" s="26" t="s">
        <v>794</v>
      </c>
      <c r="OGW138" s="26">
        <v>4</v>
      </c>
      <c r="OGX138" s="26" t="s">
        <v>794</v>
      </c>
      <c r="OGY138" s="26">
        <v>4</v>
      </c>
      <c r="OGZ138" s="26" t="s">
        <v>794</v>
      </c>
      <c r="OHA138" s="26">
        <v>4</v>
      </c>
      <c r="OHB138" s="26" t="s">
        <v>794</v>
      </c>
      <c r="OHC138" s="26">
        <v>4</v>
      </c>
      <c r="OHD138" s="26" t="s">
        <v>794</v>
      </c>
      <c r="OHE138" s="26">
        <v>4</v>
      </c>
      <c r="OHF138" s="26" t="s">
        <v>794</v>
      </c>
      <c r="OHG138" s="26">
        <v>4</v>
      </c>
      <c r="OHH138" s="26" t="s">
        <v>794</v>
      </c>
      <c r="OHI138" s="26">
        <v>4</v>
      </c>
      <c r="OHJ138" s="26" t="s">
        <v>794</v>
      </c>
      <c r="OHK138" s="26">
        <v>4</v>
      </c>
      <c r="OHL138" s="26" t="s">
        <v>794</v>
      </c>
      <c r="OHM138" s="26">
        <v>4</v>
      </c>
      <c r="OHN138" s="26" t="s">
        <v>794</v>
      </c>
      <c r="OHO138" s="26">
        <v>4</v>
      </c>
      <c r="OHP138" s="26" t="s">
        <v>794</v>
      </c>
      <c r="OHQ138" s="26">
        <v>4</v>
      </c>
      <c r="OHR138" s="26" t="s">
        <v>794</v>
      </c>
      <c r="OHS138" s="26">
        <v>4</v>
      </c>
      <c r="OHT138" s="26" t="s">
        <v>794</v>
      </c>
      <c r="OHU138" s="26">
        <v>4</v>
      </c>
      <c r="OHV138" s="26" t="s">
        <v>794</v>
      </c>
      <c r="OHW138" s="26">
        <v>4</v>
      </c>
      <c r="OHX138" s="26" t="s">
        <v>794</v>
      </c>
      <c r="OHY138" s="26">
        <v>4</v>
      </c>
      <c r="OHZ138" s="26" t="s">
        <v>794</v>
      </c>
      <c r="OIA138" s="26">
        <v>4</v>
      </c>
      <c r="OIB138" s="26" t="s">
        <v>794</v>
      </c>
      <c r="OIC138" s="26">
        <v>4</v>
      </c>
      <c r="OID138" s="26" t="s">
        <v>794</v>
      </c>
      <c r="OIE138" s="26">
        <v>4</v>
      </c>
      <c r="OIF138" s="26" t="s">
        <v>794</v>
      </c>
      <c r="OIG138" s="26">
        <v>4</v>
      </c>
      <c r="OIH138" s="26" t="s">
        <v>794</v>
      </c>
      <c r="OII138" s="26">
        <v>4</v>
      </c>
      <c r="OIJ138" s="26" t="s">
        <v>794</v>
      </c>
      <c r="OIK138" s="26">
        <v>4</v>
      </c>
      <c r="OIL138" s="26" t="s">
        <v>794</v>
      </c>
      <c r="OIM138" s="26">
        <v>4</v>
      </c>
      <c r="OIN138" s="26" t="s">
        <v>794</v>
      </c>
      <c r="OIO138" s="26">
        <v>4</v>
      </c>
      <c r="OIP138" s="26" t="s">
        <v>794</v>
      </c>
      <c r="OIQ138" s="26">
        <v>4</v>
      </c>
      <c r="OIR138" s="26" t="s">
        <v>794</v>
      </c>
      <c r="OIS138" s="26">
        <v>4</v>
      </c>
      <c r="OIT138" s="26" t="s">
        <v>794</v>
      </c>
      <c r="OIU138" s="26">
        <v>4</v>
      </c>
      <c r="OIV138" s="26" t="s">
        <v>794</v>
      </c>
      <c r="OIW138" s="26">
        <v>4</v>
      </c>
      <c r="OIX138" s="26" t="s">
        <v>794</v>
      </c>
      <c r="OIY138" s="26">
        <v>4</v>
      </c>
      <c r="OIZ138" s="26" t="s">
        <v>794</v>
      </c>
      <c r="OJA138" s="26">
        <v>4</v>
      </c>
      <c r="OJB138" s="26" t="s">
        <v>794</v>
      </c>
      <c r="OJC138" s="26">
        <v>4</v>
      </c>
      <c r="OJD138" s="26" t="s">
        <v>794</v>
      </c>
      <c r="OJE138" s="26">
        <v>4</v>
      </c>
      <c r="OJF138" s="26" t="s">
        <v>794</v>
      </c>
      <c r="OJG138" s="26">
        <v>4</v>
      </c>
      <c r="OJH138" s="26" t="s">
        <v>794</v>
      </c>
      <c r="OJI138" s="26">
        <v>4</v>
      </c>
      <c r="OJJ138" s="26" t="s">
        <v>794</v>
      </c>
      <c r="OJK138" s="26">
        <v>4</v>
      </c>
      <c r="OJL138" s="26" t="s">
        <v>794</v>
      </c>
      <c r="OJM138" s="26">
        <v>4</v>
      </c>
      <c r="OJN138" s="26" t="s">
        <v>794</v>
      </c>
      <c r="OJO138" s="26">
        <v>4</v>
      </c>
      <c r="OJP138" s="26" t="s">
        <v>794</v>
      </c>
      <c r="OJQ138" s="26">
        <v>4</v>
      </c>
      <c r="OJR138" s="26" t="s">
        <v>794</v>
      </c>
      <c r="OJS138" s="26">
        <v>4</v>
      </c>
      <c r="OJT138" s="26" t="s">
        <v>794</v>
      </c>
      <c r="OJU138" s="26">
        <v>4</v>
      </c>
      <c r="OJV138" s="26" t="s">
        <v>794</v>
      </c>
      <c r="OJW138" s="26">
        <v>4</v>
      </c>
      <c r="OJX138" s="26" t="s">
        <v>794</v>
      </c>
      <c r="OJY138" s="26">
        <v>4</v>
      </c>
      <c r="OJZ138" s="26" t="s">
        <v>794</v>
      </c>
      <c r="OKA138" s="26">
        <v>4</v>
      </c>
      <c r="OKB138" s="26" t="s">
        <v>794</v>
      </c>
      <c r="OKC138" s="26">
        <v>4</v>
      </c>
      <c r="OKD138" s="26" t="s">
        <v>794</v>
      </c>
      <c r="OKE138" s="26">
        <v>4</v>
      </c>
      <c r="OKF138" s="26" t="s">
        <v>794</v>
      </c>
      <c r="OKG138" s="26">
        <v>4</v>
      </c>
      <c r="OKH138" s="26" t="s">
        <v>794</v>
      </c>
      <c r="OKI138" s="26">
        <v>4</v>
      </c>
      <c r="OKJ138" s="26" t="s">
        <v>794</v>
      </c>
      <c r="OKK138" s="26">
        <v>4</v>
      </c>
      <c r="OKL138" s="26" t="s">
        <v>794</v>
      </c>
      <c r="OKM138" s="26">
        <v>4</v>
      </c>
      <c r="OKN138" s="26" t="s">
        <v>794</v>
      </c>
      <c r="OKO138" s="26">
        <v>4</v>
      </c>
      <c r="OKP138" s="26" t="s">
        <v>794</v>
      </c>
      <c r="OKQ138" s="26">
        <v>4</v>
      </c>
      <c r="OKR138" s="26" t="s">
        <v>794</v>
      </c>
      <c r="OKS138" s="26">
        <v>4</v>
      </c>
      <c r="OKT138" s="26" t="s">
        <v>794</v>
      </c>
      <c r="OKU138" s="26">
        <v>4</v>
      </c>
      <c r="OKV138" s="26" t="s">
        <v>794</v>
      </c>
      <c r="OKW138" s="26">
        <v>4</v>
      </c>
      <c r="OKX138" s="26" t="s">
        <v>794</v>
      </c>
      <c r="OKY138" s="26">
        <v>4</v>
      </c>
      <c r="OKZ138" s="26" t="s">
        <v>794</v>
      </c>
      <c r="OLA138" s="26">
        <v>4</v>
      </c>
      <c r="OLB138" s="26" t="s">
        <v>794</v>
      </c>
      <c r="OLC138" s="26">
        <v>4</v>
      </c>
      <c r="OLD138" s="26" t="s">
        <v>794</v>
      </c>
      <c r="OLE138" s="26">
        <v>4</v>
      </c>
      <c r="OLF138" s="26" t="s">
        <v>794</v>
      </c>
      <c r="OLG138" s="26">
        <v>4</v>
      </c>
      <c r="OLH138" s="26" t="s">
        <v>794</v>
      </c>
      <c r="OLI138" s="26">
        <v>4</v>
      </c>
      <c r="OLJ138" s="26" t="s">
        <v>794</v>
      </c>
      <c r="OLK138" s="26">
        <v>4</v>
      </c>
      <c r="OLL138" s="26" t="s">
        <v>794</v>
      </c>
      <c r="OLM138" s="26">
        <v>4</v>
      </c>
      <c r="OLN138" s="26" t="s">
        <v>794</v>
      </c>
      <c r="OLO138" s="26">
        <v>4</v>
      </c>
      <c r="OLP138" s="26" t="s">
        <v>794</v>
      </c>
      <c r="OLQ138" s="26">
        <v>4</v>
      </c>
      <c r="OLR138" s="26" t="s">
        <v>794</v>
      </c>
      <c r="OLS138" s="26">
        <v>4</v>
      </c>
      <c r="OLT138" s="26" t="s">
        <v>794</v>
      </c>
      <c r="OLU138" s="26">
        <v>4</v>
      </c>
      <c r="OLV138" s="26" t="s">
        <v>794</v>
      </c>
      <c r="OLW138" s="26">
        <v>4</v>
      </c>
      <c r="OLX138" s="26" t="s">
        <v>794</v>
      </c>
      <c r="OLY138" s="26">
        <v>4</v>
      </c>
      <c r="OLZ138" s="26" t="s">
        <v>794</v>
      </c>
      <c r="OMA138" s="26">
        <v>4</v>
      </c>
      <c r="OMB138" s="26" t="s">
        <v>794</v>
      </c>
      <c r="OMC138" s="26">
        <v>4</v>
      </c>
      <c r="OMD138" s="26" t="s">
        <v>794</v>
      </c>
      <c r="OME138" s="26">
        <v>4</v>
      </c>
      <c r="OMF138" s="26" t="s">
        <v>794</v>
      </c>
      <c r="OMG138" s="26">
        <v>4</v>
      </c>
      <c r="OMH138" s="26" t="s">
        <v>794</v>
      </c>
      <c r="OMI138" s="26">
        <v>4</v>
      </c>
      <c r="OMJ138" s="26" t="s">
        <v>794</v>
      </c>
      <c r="OMK138" s="26">
        <v>4</v>
      </c>
      <c r="OML138" s="26" t="s">
        <v>794</v>
      </c>
      <c r="OMM138" s="26">
        <v>4</v>
      </c>
      <c r="OMN138" s="26" t="s">
        <v>794</v>
      </c>
      <c r="OMO138" s="26">
        <v>4</v>
      </c>
      <c r="OMP138" s="26" t="s">
        <v>794</v>
      </c>
      <c r="OMQ138" s="26">
        <v>4</v>
      </c>
      <c r="OMR138" s="26" t="s">
        <v>794</v>
      </c>
      <c r="OMS138" s="26">
        <v>4</v>
      </c>
      <c r="OMT138" s="26" t="s">
        <v>794</v>
      </c>
      <c r="OMU138" s="26">
        <v>4</v>
      </c>
      <c r="OMV138" s="26" t="s">
        <v>794</v>
      </c>
      <c r="OMW138" s="26">
        <v>4</v>
      </c>
      <c r="OMX138" s="26" t="s">
        <v>794</v>
      </c>
      <c r="OMY138" s="26">
        <v>4</v>
      </c>
      <c r="OMZ138" s="26" t="s">
        <v>794</v>
      </c>
      <c r="ONA138" s="26">
        <v>4</v>
      </c>
      <c r="ONB138" s="26" t="s">
        <v>794</v>
      </c>
      <c r="ONC138" s="26">
        <v>4</v>
      </c>
      <c r="OND138" s="26" t="s">
        <v>794</v>
      </c>
      <c r="ONE138" s="26">
        <v>4</v>
      </c>
      <c r="ONF138" s="26" t="s">
        <v>794</v>
      </c>
      <c r="ONG138" s="26">
        <v>4</v>
      </c>
      <c r="ONH138" s="26" t="s">
        <v>794</v>
      </c>
      <c r="ONI138" s="26">
        <v>4</v>
      </c>
      <c r="ONJ138" s="26" t="s">
        <v>794</v>
      </c>
      <c r="ONK138" s="26">
        <v>4</v>
      </c>
      <c r="ONL138" s="26" t="s">
        <v>794</v>
      </c>
      <c r="ONM138" s="26">
        <v>4</v>
      </c>
      <c r="ONN138" s="26" t="s">
        <v>794</v>
      </c>
      <c r="ONO138" s="26">
        <v>4</v>
      </c>
      <c r="ONP138" s="26" t="s">
        <v>794</v>
      </c>
      <c r="ONQ138" s="26">
        <v>4</v>
      </c>
      <c r="ONR138" s="26" t="s">
        <v>794</v>
      </c>
      <c r="ONS138" s="26">
        <v>4</v>
      </c>
      <c r="ONT138" s="26" t="s">
        <v>794</v>
      </c>
      <c r="ONU138" s="26">
        <v>4</v>
      </c>
      <c r="ONV138" s="26" t="s">
        <v>794</v>
      </c>
      <c r="ONW138" s="26">
        <v>4</v>
      </c>
      <c r="ONX138" s="26" t="s">
        <v>794</v>
      </c>
      <c r="ONY138" s="26">
        <v>4</v>
      </c>
      <c r="ONZ138" s="26" t="s">
        <v>794</v>
      </c>
      <c r="OOA138" s="26">
        <v>4</v>
      </c>
      <c r="OOB138" s="26" t="s">
        <v>794</v>
      </c>
      <c r="OOC138" s="26">
        <v>4</v>
      </c>
      <c r="OOD138" s="26" t="s">
        <v>794</v>
      </c>
      <c r="OOE138" s="26">
        <v>4</v>
      </c>
      <c r="OOF138" s="26" t="s">
        <v>794</v>
      </c>
      <c r="OOG138" s="26">
        <v>4</v>
      </c>
      <c r="OOH138" s="26" t="s">
        <v>794</v>
      </c>
      <c r="OOI138" s="26">
        <v>4</v>
      </c>
      <c r="OOJ138" s="26" t="s">
        <v>794</v>
      </c>
      <c r="OOK138" s="26">
        <v>4</v>
      </c>
      <c r="OOL138" s="26" t="s">
        <v>794</v>
      </c>
      <c r="OOM138" s="26">
        <v>4</v>
      </c>
      <c r="OON138" s="26" t="s">
        <v>794</v>
      </c>
      <c r="OOO138" s="26">
        <v>4</v>
      </c>
      <c r="OOP138" s="26" t="s">
        <v>794</v>
      </c>
      <c r="OOQ138" s="26">
        <v>4</v>
      </c>
      <c r="OOR138" s="26" t="s">
        <v>794</v>
      </c>
      <c r="OOS138" s="26">
        <v>4</v>
      </c>
      <c r="OOT138" s="26" t="s">
        <v>794</v>
      </c>
      <c r="OOU138" s="26">
        <v>4</v>
      </c>
      <c r="OOV138" s="26" t="s">
        <v>794</v>
      </c>
      <c r="OOW138" s="26">
        <v>4</v>
      </c>
      <c r="OOX138" s="26" t="s">
        <v>794</v>
      </c>
      <c r="OOY138" s="26">
        <v>4</v>
      </c>
      <c r="OOZ138" s="26" t="s">
        <v>794</v>
      </c>
      <c r="OPA138" s="26">
        <v>4</v>
      </c>
      <c r="OPB138" s="26" t="s">
        <v>794</v>
      </c>
      <c r="OPC138" s="26">
        <v>4</v>
      </c>
      <c r="OPD138" s="26" t="s">
        <v>794</v>
      </c>
      <c r="OPE138" s="26">
        <v>4</v>
      </c>
      <c r="OPF138" s="26" t="s">
        <v>794</v>
      </c>
      <c r="OPG138" s="26">
        <v>4</v>
      </c>
      <c r="OPH138" s="26" t="s">
        <v>794</v>
      </c>
      <c r="OPI138" s="26">
        <v>4</v>
      </c>
      <c r="OPJ138" s="26" t="s">
        <v>794</v>
      </c>
      <c r="OPK138" s="26">
        <v>4</v>
      </c>
      <c r="OPL138" s="26" t="s">
        <v>794</v>
      </c>
      <c r="OPM138" s="26">
        <v>4</v>
      </c>
      <c r="OPN138" s="26" t="s">
        <v>794</v>
      </c>
      <c r="OPO138" s="26">
        <v>4</v>
      </c>
      <c r="OPP138" s="26" t="s">
        <v>794</v>
      </c>
      <c r="OPQ138" s="26">
        <v>4</v>
      </c>
      <c r="OPR138" s="26" t="s">
        <v>794</v>
      </c>
      <c r="OPS138" s="26">
        <v>4</v>
      </c>
      <c r="OPT138" s="26" t="s">
        <v>794</v>
      </c>
      <c r="OPU138" s="26">
        <v>4</v>
      </c>
      <c r="OPV138" s="26" t="s">
        <v>794</v>
      </c>
      <c r="OPW138" s="26">
        <v>4</v>
      </c>
      <c r="OPX138" s="26" t="s">
        <v>794</v>
      </c>
      <c r="OPY138" s="26">
        <v>4</v>
      </c>
      <c r="OPZ138" s="26" t="s">
        <v>794</v>
      </c>
      <c r="OQA138" s="26">
        <v>4</v>
      </c>
      <c r="OQB138" s="26" t="s">
        <v>794</v>
      </c>
      <c r="OQC138" s="26">
        <v>4</v>
      </c>
      <c r="OQD138" s="26" t="s">
        <v>794</v>
      </c>
      <c r="OQE138" s="26">
        <v>4</v>
      </c>
      <c r="OQF138" s="26" t="s">
        <v>794</v>
      </c>
      <c r="OQG138" s="26">
        <v>4</v>
      </c>
      <c r="OQH138" s="26" t="s">
        <v>794</v>
      </c>
      <c r="OQI138" s="26">
        <v>4</v>
      </c>
      <c r="OQJ138" s="26" t="s">
        <v>794</v>
      </c>
      <c r="OQK138" s="26">
        <v>4</v>
      </c>
      <c r="OQL138" s="26" t="s">
        <v>794</v>
      </c>
      <c r="OQM138" s="26">
        <v>4</v>
      </c>
      <c r="OQN138" s="26" t="s">
        <v>794</v>
      </c>
      <c r="OQO138" s="26">
        <v>4</v>
      </c>
      <c r="OQP138" s="26" t="s">
        <v>794</v>
      </c>
      <c r="OQQ138" s="26">
        <v>4</v>
      </c>
      <c r="OQR138" s="26" t="s">
        <v>794</v>
      </c>
      <c r="OQS138" s="26">
        <v>4</v>
      </c>
      <c r="OQT138" s="26" t="s">
        <v>794</v>
      </c>
      <c r="OQU138" s="26">
        <v>4</v>
      </c>
      <c r="OQV138" s="26" t="s">
        <v>794</v>
      </c>
      <c r="OQW138" s="26">
        <v>4</v>
      </c>
      <c r="OQX138" s="26" t="s">
        <v>794</v>
      </c>
      <c r="OQY138" s="26">
        <v>4</v>
      </c>
      <c r="OQZ138" s="26" t="s">
        <v>794</v>
      </c>
      <c r="ORA138" s="26">
        <v>4</v>
      </c>
      <c r="ORB138" s="26" t="s">
        <v>794</v>
      </c>
      <c r="ORC138" s="26">
        <v>4</v>
      </c>
      <c r="ORD138" s="26" t="s">
        <v>794</v>
      </c>
      <c r="ORE138" s="26">
        <v>4</v>
      </c>
      <c r="ORF138" s="26" t="s">
        <v>794</v>
      </c>
      <c r="ORG138" s="26">
        <v>4</v>
      </c>
      <c r="ORH138" s="26" t="s">
        <v>794</v>
      </c>
      <c r="ORI138" s="26">
        <v>4</v>
      </c>
      <c r="ORJ138" s="26" t="s">
        <v>794</v>
      </c>
      <c r="ORK138" s="26">
        <v>4</v>
      </c>
      <c r="ORL138" s="26" t="s">
        <v>794</v>
      </c>
      <c r="ORM138" s="26">
        <v>4</v>
      </c>
      <c r="ORN138" s="26" t="s">
        <v>794</v>
      </c>
      <c r="ORO138" s="26">
        <v>4</v>
      </c>
      <c r="ORP138" s="26" t="s">
        <v>794</v>
      </c>
      <c r="ORQ138" s="26">
        <v>4</v>
      </c>
      <c r="ORR138" s="26" t="s">
        <v>794</v>
      </c>
      <c r="ORS138" s="26">
        <v>4</v>
      </c>
      <c r="ORT138" s="26" t="s">
        <v>794</v>
      </c>
      <c r="ORU138" s="26">
        <v>4</v>
      </c>
      <c r="ORV138" s="26" t="s">
        <v>794</v>
      </c>
      <c r="ORW138" s="26">
        <v>4</v>
      </c>
      <c r="ORX138" s="26" t="s">
        <v>794</v>
      </c>
      <c r="ORY138" s="26">
        <v>4</v>
      </c>
      <c r="ORZ138" s="26" t="s">
        <v>794</v>
      </c>
      <c r="OSA138" s="26">
        <v>4</v>
      </c>
      <c r="OSB138" s="26" t="s">
        <v>794</v>
      </c>
      <c r="OSC138" s="26">
        <v>4</v>
      </c>
      <c r="OSD138" s="26" t="s">
        <v>794</v>
      </c>
      <c r="OSE138" s="26">
        <v>4</v>
      </c>
      <c r="OSF138" s="26" t="s">
        <v>794</v>
      </c>
      <c r="OSG138" s="26">
        <v>4</v>
      </c>
      <c r="OSH138" s="26" t="s">
        <v>794</v>
      </c>
      <c r="OSI138" s="26">
        <v>4</v>
      </c>
      <c r="OSJ138" s="26" t="s">
        <v>794</v>
      </c>
      <c r="OSK138" s="26">
        <v>4</v>
      </c>
      <c r="OSL138" s="26" t="s">
        <v>794</v>
      </c>
      <c r="OSM138" s="26">
        <v>4</v>
      </c>
      <c r="OSN138" s="26" t="s">
        <v>794</v>
      </c>
      <c r="OSO138" s="26">
        <v>4</v>
      </c>
      <c r="OSP138" s="26" t="s">
        <v>794</v>
      </c>
      <c r="OSQ138" s="26">
        <v>4</v>
      </c>
      <c r="OSR138" s="26" t="s">
        <v>794</v>
      </c>
      <c r="OSS138" s="26">
        <v>4</v>
      </c>
      <c r="OST138" s="26" t="s">
        <v>794</v>
      </c>
      <c r="OSU138" s="26">
        <v>4</v>
      </c>
      <c r="OSV138" s="26" t="s">
        <v>794</v>
      </c>
      <c r="OSW138" s="26">
        <v>4</v>
      </c>
      <c r="OSX138" s="26" t="s">
        <v>794</v>
      </c>
      <c r="OSY138" s="26">
        <v>4</v>
      </c>
      <c r="OSZ138" s="26" t="s">
        <v>794</v>
      </c>
      <c r="OTA138" s="26">
        <v>4</v>
      </c>
      <c r="OTB138" s="26" t="s">
        <v>794</v>
      </c>
      <c r="OTC138" s="26">
        <v>4</v>
      </c>
      <c r="OTD138" s="26" t="s">
        <v>794</v>
      </c>
      <c r="OTE138" s="26">
        <v>4</v>
      </c>
      <c r="OTF138" s="26" t="s">
        <v>794</v>
      </c>
      <c r="OTG138" s="26">
        <v>4</v>
      </c>
      <c r="OTH138" s="26" t="s">
        <v>794</v>
      </c>
      <c r="OTI138" s="26">
        <v>4</v>
      </c>
      <c r="OTJ138" s="26" t="s">
        <v>794</v>
      </c>
      <c r="OTK138" s="26">
        <v>4</v>
      </c>
      <c r="OTL138" s="26" t="s">
        <v>794</v>
      </c>
      <c r="OTM138" s="26">
        <v>4</v>
      </c>
      <c r="OTN138" s="26" t="s">
        <v>794</v>
      </c>
      <c r="OTO138" s="26">
        <v>4</v>
      </c>
      <c r="OTP138" s="26" t="s">
        <v>794</v>
      </c>
      <c r="OTQ138" s="26">
        <v>4</v>
      </c>
      <c r="OTR138" s="26" t="s">
        <v>794</v>
      </c>
      <c r="OTS138" s="26">
        <v>4</v>
      </c>
      <c r="OTT138" s="26" t="s">
        <v>794</v>
      </c>
      <c r="OTU138" s="26">
        <v>4</v>
      </c>
      <c r="OTV138" s="26" t="s">
        <v>794</v>
      </c>
      <c r="OTW138" s="26">
        <v>4</v>
      </c>
      <c r="OTX138" s="26" t="s">
        <v>794</v>
      </c>
      <c r="OTY138" s="26">
        <v>4</v>
      </c>
      <c r="OTZ138" s="26" t="s">
        <v>794</v>
      </c>
      <c r="OUA138" s="26">
        <v>4</v>
      </c>
      <c r="OUB138" s="26" t="s">
        <v>794</v>
      </c>
      <c r="OUC138" s="26">
        <v>4</v>
      </c>
      <c r="OUD138" s="26" t="s">
        <v>794</v>
      </c>
      <c r="OUE138" s="26">
        <v>4</v>
      </c>
      <c r="OUF138" s="26" t="s">
        <v>794</v>
      </c>
      <c r="OUG138" s="26">
        <v>4</v>
      </c>
      <c r="OUH138" s="26" t="s">
        <v>794</v>
      </c>
      <c r="OUI138" s="26">
        <v>4</v>
      </c>
      <c r="OUJ138" s="26" t="s">
        <v>794</v>
      </c>
      <c r="OUK138" s="26">
        <v>4</v>
      </c>
      <c r="OUL138" s="26" t="s">
        <v>794</v>
      </c>
      <c r="OUM138" s="26">
        <v>4</v>
      </c>
      <c r="OUN138" s="26" t="s">
        <v>794</v>
      </c>
      <c r="OUO138" s="26">
        <v>4</v>
      </c>
      <c r="OUP138" s="26" t="s">
        <v>794</v>
      </c>
      <c r="OUQ138" s="26">
        <v>4</v>
      </c>
      <c r="OUR138" s="26" t="s">
        <v>794</v>
      </c>
      <c r="OUS138" s="26">
        <v>4</v>
      </c>
      <c r="OUT138" s="26" t="s">
        <v>794</v>
      </c>
      <c r="OUU138" s="26">
        <v>4</v>
      </c>
      <c r="OUV138" s="26" t="s">
        <v>794</v>
      </c>
      <c r="OUW138" s="26">
        <v>4</v>
      </c>
      <c r="OUX138" s="26" t="s">
        <v>794</v>
      </c>
      <c r="OUY138" s="26">
        <v>4</v>
      </c>
      <c r="OUZ138" s="26" t="s">
        <v>794</v>
      </c>
      <c r="OVA138" s="26">
        <v>4</v>
      </c>
      <c r="OVB138" s="26" t="s">
        <v>794</v>
      </c>
      <c r="OVC138" s="26">
        <v>4</v>
      </c>
      <c r="OVD138" s="26" t="s">
        <v>794</v>
      </c>
      <c r="OVE138" s="26">
        <v>4</v>
      </c>
      <c r="OVF138" s="26" t="s">
        <v>794</v>
      </c>
      <c r="OVG138" s="26">
        <v>4</v>
      </c>
      <c r="OVH138" s="26" t="s">
        <v>794</v>
      </c>
      <c r="OVI138" s="26">
        <v>4</v>
      </c>
      <c r="OVJ138" s="26" t="s">
        <v>794</v>
      </c>
      <c r="OVK138" s="26">
        <v>4</v>
      </c>
      <c r="OVL138" s="26" t="s">
        <v>794</v>
      </c>
      <c r="OVM138" s="26">
        <v>4</v>
      </c>
      <c r="OVN138" s="26" t="s">
        <v>794</v>
      </c>
      <c r="OVO138" s="26">
        <v>4</v>
      </c>
      <c r="OVP138" s="26" t="s">
        <v>794</v>
      </c>
      <c r="OVQ138" s="26">
        <v>4</v>
      </c>
      <c r="OVR138" s="26" t="s">
        <v>794</v>
      </c>
      <c r="OVS138" s="26">
        <v>4</v>
      </c>
      <c r="OVT138" s="26" t="s">
        <v>794</v>
      </c>
      <c r="OVU138" s="26">
        <v>4</v>
      </c>
      <c r="OVV138" s="26" t="s">
        <v>794</v>
      </c>
      <c r="OVW138" s="26">
        <v>4</v>
      </c>
      <c r="OVX138" s="26" t="s">
        <v>794</v>
      </c>
      <c r="OVY138" s="26">
        <v>4</v>
      </c>
      <c r="OVZ138" s="26" t="s">
        <v>794</v>
      </c>
      <c r="OWA138" s="26">
        <v>4</v>
      </c>
      <c r="OWB138" s="26" t="s">
        <v>794</v>
      </c>
      <c r="OWC138" s="26">
        <v>4</v>
      </c>
      <c r="OWD138" s="26" t="s">
        <v>794</v>
      </c>
      <c r="OWE138" s="26">
        <v>4</v>
      </c>
      <c r="OWF138" s="26" t="s">
        <v>794</v>
      </c>
      <c r="OWG138" s="26">
        <v>4</v>
      </c>
      <c r="OWH138" s="26" t="s">
        <v>794</v>
      </c>
      <c r="OWI138" s="26">
        <v>4</v>
      </c>
      <c r="OWJ138" s="26" t="s">
        <v>794</v>
      </c>
      <c r="OWK138" s="26">
        <v>4</v>
      </c>
      <c r="OWL138" s="26" t="s">
        <v>794</v>
      </c>
      <c r="OWM138" s="26">
        <v>4</v>
      </c>
      <c r="OWN138" s="26" t="s">
        <v>794</v>
      </c>
      <c r="OWO138" s="26">
        <v>4</v>
      </c>
      <c r="OWP138" s="26" t="s">
        <v>794</v>
      </c>
      <c r="OWQ138" s="26">
        <v>4</v>
      </c>
      <c r="OWR138" s="26" t="s">
        <v>794</v>
      </c>
      <c r="OWS138" s="26">
        <v>4</v>
      </c>
      <c r="OWT138" s="26" t="s">
        <v>794</v>
      </c>
      <c r="OWU138" s="26">
        <v>4</v>
      </c>
      <c r="OWV138" s="26" t="s">
        <v>794</v>
      </c>
      <c r="OWW138" s="26">
        <v>4</v>
      </c>
      <c r="OWX138" s="26" t="s">
        <v>794</v>
      </c>
      <c r="OWY138" s="26">
        <v>4</v>
      </c>
      <c r="OWZ138" s="26" t="s">
        <v>794</v>
      </c>
      <c r="OXA138" s="26">
        <v>4</v>
      </c>
      <c r="OXB138" s="26" t="s">
        <v>794</v>
      </c>
      <c r="OXC138" s="26">
        <v>4</v>
      </c>
      <c r="OXD138" s="26" t="s">
        <v>794</v>
      </c>
      <c r="OXE138" s="26">
        <v>4</v>
      </c>
      <c r="OXF138" s="26" t="s">
        <v>794</v>
      </c>
      <c r="OXG138" s="26">
        <v>4</v>
      </c>
      <c r="OXH138" s="26" t="s">
        <v>794</v>
      </c>
      <c r="OXI138" s="26">
        <v>4</v>
      </c>
      <c r="OXJ138" s="26" t="s">
        <v>794</v>
      </c>
      <c r="OXK138" s="26">
        <v>4</v>
      </c>
      <c r="OXL138" s="26" t="s">
        <v>794</v>
      </c>
      <c r="OXM138" s="26">
        <v>4</v>
      </c>
      <c r="OXN138" s="26" t="s">
        <v>794</v>
      </c>
      <c r="OXO138" s="26">
        <v>4</v>
      </c>
      <c r="OXP138" s="26" t="s">
        <v>794</v>
      </c>
      <c r="OXQ138" s="26">
        <v>4</v>
      </c>
      <c r="OXR138" s="26" t="s">
        <v>794</v>
      </c>
      <c r="OXS138" s="26">
        <v>4</v>
      </c>
      <c r="OXT138" s="26" t="s">
        <v>794</v>
      </c>
      <c r="OXU138" s="26">
        <v>4</v>
      </c>
      <c r="OXV138" s="26" t="s">
        <v>794</v>
      </c>
      <c r="OXW138" s="26">
        <v>4</v>
      </c>
      <c r="OXX138" s="26" t="s">
        <v>794</v>
      </c>
      <c r="OXY138" s="26">
        <v>4</v>
      </c>
      <c r="OXZ138" s="26" t="s">
        <v>794</v>
      </c>
      <c r="OYA138" s="26">
        <v>4</v>
      </c>
      <c r="OYB138" s="26" t="s">
        <v>794</v>
      </c>
      <c r="OYC138" s="26">
        <v>4</v>
      </c>
      <c r="OYD138" s="26" t="s">
        <v>794</v>
      </c>
      <c r="OYE138" s="26">
        <v>4</v>
      </c>
      <c r="OYF138" s="26" t="s">
        <v>794</v>
      </c>
      <c r="OYG138" s="26">
        <v>4</v>
      </c>
      <c r="OYH138" s="26" t="s">
        <v>794</v>
      </c>
      <c r="OYI138" s="26">
        <v>4</v>
      </c>
      <c r="OYJ138" s="26" t="s">
        <v>794</v>
      </c>
      <c r="OYK138" s="26">
        <v>4</v>
      </c>
      <c r="OYL138" s="26" t="s">
        <v>794</v>
      </c>
      <c r="OYM138" s="26">
        <v>4</v>
      </c>
      <c r="OYN138" s="26" t="s">
        <v>794</v>
      </c>
      <c r="OYO138" s="26">
        <v>4</v>
      </c>
      <c r="OYP138" s="26" t="s">
        <v>794</v>
      </c>
      <c r="OYQ138" s="26">
        <v>4</v>
      </c>
      <c r="OYR138" s="26" t="s">
        <v>794</v>
      </c>
      <c r="OYS138" s="26">
        <v>4</v>
      </c>
      <c r="OYT138" s="26" t="s">
        <v>794</v>
      </c>
      <c r="OYU138" s="26">
        <v>4</v>
      </c>
      <c r="OYV138" s="26" t="s">
        <v>794</v>
      </c>
      <c r="OYW138" s="26">
        <v>4</v>
      </c>
      <c r="OYX138" s="26" t="s">
        <v>794</v>
      </c>
      <c r="OYY138" s="26">
        <v>4</v>
      </c>
      <c r="OYZ138" s="26" t="s">
        <v>794</v>
      </c>
      <c r="OZA138" s="26">
        <v>4</v>
      </c>
      <c r="OZB138" s="26" t="s">
        <v>794</v>
      </c>
      <c r="OZC138" s="26">
        <v>4</v>
      </c>
      <c r="OZD138" s="26" t="s">
        <v>794</v>
      </c>
      <c r="OZE138" s="26">
        <v>4</v>
      </c>
      <c r="OZF138" s="26" t="s">
        <v>794</v>
      </c>
      <c r="OZG138" s="26">
        <v>4</v>
      </c>
      <c r="OZH138" s="26" t="s">
        <v>794</v>
      </c>
      <c r="OZI138" s="26">
        <v>4</v>
      </c>
      <c r="OZJ138" s="26" t="s">
        <v>794</v>
      </c>
      <c r="OZK138" s="26">
        <v>4</v>
      </c>
      <c r="OZL138" s="26" t="s">
        <v>794</v>
      </c>
      <c r="OZM138" s="26">
        <v>4</v>
      </c>
      <c r="OZN138" s="26" t="s">
        <v>794</v>
      </c>
      <c r="OZO138" s="26">
        <v>4</v>
      </c>
      <c r="OZP138" s="26" t="s">
        <v>794</v>
      </c>
      <c r="OZQ138" s="26">
        <v>4</v>
      </c>
      <c r="OZR138" s="26" t="s">
        <v>794</v>
      </c>
      <c r="OZS138" s="26">
        <v>4</v>
      </c>
      <c r="OZT138" s="26" t="s">
        <v>794</v>
      </c>
      <c r="OZU138" s="26">
        <v>4</v>
      </c>
      <c r="OZV138" s="26" t="s">
        <v>794</v>
      </c>
      <c r="OZW138" s="26">
        <v>4</v>
      </c>
      <c r="OZX138" s="26" t="s">
        <v>794</v>
      </c>
      <c r="OZY138" s="26">
        <v>4</v>
      </c>
      <c r="OZZ138" s="26" t="s">
        <v>794</v>
      </c>
      <c r="PAA138" s="26">
        <v>4</v>
      </c>
      <c r="PAB138" s="26" t="s">
        <v>794</v>
      </c>
      <c r="PAC138" s="26">
        <v>4</v>
      </c>
      <c r="PAD138" s="26" t="s">
        <v>794</v>
      </c>
      <c r="PAE138" s="26">
        <v>4</v>
      </c>
      <c r="PAF138" s="26" t="s">
        <v>794</v>
      </c>
      <c r="PAG138" s="26">
        <v>4</v>
      </c>
      <c r="PAH138" s="26" t="s">
        <v>794</v>
      </c>
      <c r="PAI138" s="26">
        <v>4</v>
      </c>
      <c r="PAJ138" s="26" t="s">
        <v>794</v>
      </c>
      <c r="PAK138" s="26">
        <v>4</v>
      </c>
      <c r="PAL138" s="26" t="s">
        <v>794</v>
      </c>
      <c r="PAM138" s="26">
        <v>4</v>
      </c>
      <c r="PAN138" s="26" t="s">
        <v>794</v>
      </c>
      <c r="PAO138" s="26">
        <v>4</v>
      </c>
      <c r="PAP138" s="26" t="s">
        <v>794</v>
      </c>
      <c r="PAQ138" s="26">
        <v>4</v>
      </c>
      <c r="PAR138" s="26" t="s">
        <v>794</v>
      </c>
      <c r="PAS138" s="26">
        <v>4</v>
      </c>
      <c r="PAT138" s="26" t="s">
        <v>794</v>
      </c>
      <c r="PAU138" s="26">
        <v>4</v>
      </c>
      <c r="PAV138" s="26" t="s">
        <v>794</v>
      </c>
      <c r="PAW138" s="26">
        <v>4</v>
      </c>
      <c r="PAX138" s="26" t="s">
        <v>794</v>
      </c>
      <c r="PAY138" s="26">
        <v>4</v>
      </c>
      <c r="PAZ138" s="26" t="s">
        <v>794</v>
      </c>
      <c r="PBA138" s="26">
        <v>4</v>
      </c>
      <c r="PBB138" s="26" t="s">
        <v>794</v>
      </c>
      <c r="PBC138" s="26">
        <v>4</v>
      </c>
      <c r="PBD138" s="26" t="s">
        <v>794</v>
      </c>
      <c r="PBE138" s="26">
        <v>4</v>
      </c>
      <c r="PBF138" s="26" t="s">
        <v>794</v>
      </c>
      <c r="PBG138" s="26">
        <v>4</v>
      </c>
      <c r="PBH138" s="26" t="s">
        <v>794</v>
      </c>
      <c r="PBI138" s="26">
        <v>4</v>
      </c>
      <c r="PBJ138" s="26" t="s">
        <v>794</v>
      </c>
      <c r="PBK138" s="26">
        <v>4</v>
      </c>
      <c r="PBL138" s="26" t="s">
        <v>794</v>
      </c>
      <c r="PBM138" s="26">
        <v>4</v>
      </c>
      <c r="PBN138" s="26" t="s">
        <v>794</v>
      </c>
      <c r="PBO138" s="26">
        <v>4</v>
      </c>
      <c r="PBP138" s="26" t="s">
        <v>794</v>
      </c>
      <c r="PBQ138" s="26">
        <v>4</v>
      </c>
      <c r="PBR138" s="26" t="s">
        <v>794</v>
      </c>
      <c r="PBS138" s="26">
        <v>4</v>
      </c>
      <c r="PBT138" s="26" t="s">
        <v>794</v>
      </c>
      <c r="PBU138" s="26">
        <v>4</v>
      </c>
      <c r="PBV138" s="26" t="s">
        <v>794</v>
      </c>
      <c r="PBW138" s="26">
        <v>4</v>
      </c>
      <c r="PBX138" s="26" t="s">
        <v>794</v>
      </c>
      <c r="PBY138" s="26">
        <v>4</v>
      </c>
      <c r="PBZ138" s="26" t="s">
        <v>794</v>
      </c>
      <c r="PCA138" s="26">
        <v>4</v>
      </c>
      <c r="PCB138" s="26" t="s">
        <v>794</v>
      </c>
      <c r="PCC138" s="26">
        <v>4</v>
      </c>
      <c r="PCD138" s="26" t="s">
        <v>794</v>
      </c>
      <c r="PCE138" s="26">
        <v>4</v>
      </c>
      <c r="PCF138" s="26" t="s">
        <v>794</v>
      </c>
      <c r="PCG138" s="26">
        <v>4</v>
      </c>
      <c r="PCH138" s="26" t="s">
        <v>794</v>
      </c>
      <c r="PCI138" s="26">
        <v>4</v>
      </c>
      <c r="PCJ138" s="26" t="s">
        <v>794</v>
      </c>
      <c r="PCK138" s="26">
        <v>4</v>
      </c>
      <c r="PCL138" s="26" t="s">
        <v>794</v>
      </c>
      <c r="PCM138" s="26">
        <v>4</v>
      </c>
      <c r="PCN138" s="26" t="s">
        <v>794</v>
      </c>
      <c r="PCO138" s="26">
        <v>4</v>
      </c>
      <c r="PCP138" s="26" t="s">
        <v>794</v>
      </c>
      <c r="PCQ138" s="26">
        <v>4</v>
      </c>
      <c r="PCR138" s="26" t="s">
        <v>794</v>
      </c>
      <c r="PCS138" s="26">
        <v>4</v>
      </c>
      <c r="PCT138" s="26" t="s">
        <v>794</v>
      </c>
      <c r="PCU138" s="26">
        <v>4</v>
      </c>
      <c r="PCV138" s="26" t="s">
        <v>794</v>
      </c>
      <c r="PCW138" s="26">
        <v>4</v>
      </c>
      <c r="PCX138" s="26" t="s">
        <v>794</v>
      </c>
      <c r="PCY138" s="26">
        <v>4</v>
      </c>
      <c r="PCZ138" s="26" t="s">
        <v>794</v>
      </c>
      <c r="PDA138" s="26">
        <v>4</v>
      </c>
      <c r="PDB138" s="26" t="s">
        <v>794</v>
      </c>
      <c r="PDC138" s="26">
        <v>4</v>
      </c>
      <c r="PDD138" s="26" t="s">
        <v>794</v>
      </c>
      <c r="PDE138" s="26">
        <v>4</v>
      </c>
      <c r="PDF138" s="26" t="s">
        <v>794</v>
      </c>
      <c r="PDG138" s="26">
        <v>4</v>
      </c>
      <c r="PDH138" s="26" t="s">
        <v>794</v>
      </c>
      <c r="PDI138" s="26">
        <v>4</v>
      </c>
      <c r="PDJ138" s="26" t="s">
        <v>794</v>
      </c>
      <c r="PDK138" s="26">
        <v>4</v>
      </c>
      <c r="PDL138" s="26" t="s">
        <v>794</v>
      </c>
      <c r="PDM138" s="26">
        <v>4</v>
      </c>
      <c r="PDN138" s="26" t="s">
        <v>794</v>
      </c>
      <c r="PDO138" s="26">
        <v>4</v>
      </c>
      <c r="PDP138" s="26" t="s">
        <v>794</v>
      </c>
      <c r="PDQ138" s="26">
        <v>4</v>
      </c>
      <c r="PDR138" s="26" t="s">
        <v>794</v>
      </c>
      <c r="PDS138" s="26">
        <v>4</v>
      </c>
      <c r="PDT138" s="26" t="s">
        <v>794</v>
      </c>
      <c r="PDU138" s="26">
        <v>4</v>
      </c>
      <c r="PDV138" s="26" t="s">
        <v>794</v>
      </c>
      <c r="PDW138" s="26">
        <v>4</v>
      </c>
      <c r="PDX138" s="26" t="s">
        <v>794</v>
      </c>
      <c r="PDY138" s="26">
        <v>4</v>
      </c>
      <c r="PDZ138" s="26" t="s">
        <v>794</v>
      </c>
      <c r="PEA138" s="26">
        <v>4</v>
      </c>
      <c r="PEB138" s="26" t="s">
        <v>794</v>
      </c>
      <c r="PEC138" s="26">
        <v>4</v>
      </c>
      <c r="PED138" s="26" t="s">
        <v>794</v>
      </c>
      <c r="PEE138" s="26">
        <v>4</v>
      </c>
      <c r="PEF138" s="26" t="s">
        <v>794</v>
      </c>
      <c r="PEG138" s="26">
        <v>4</v>
      </c>
      <c r="PEH138" s="26" t="s">
        <v>794</v>
      </c>
      <c r="PEI138" s="26">
        <v>4</v>
      </c>
      <c r="PEJ138" s="26" t="s">
        <v>794</v>
      </c>
      <c r="PEK138" s="26">
        <v>4</v>
      </c>
      <c r="PEL138" s="26" t="s">
        <v>794</v>
      </c>
      <c r="PEM138" s="26">
        <v>4</v>
      </c>
      <c r="PEN138" s="26" t="s">
        <v>794</v>
      </c>
      <c r="PEO138" s="26">
        <v>4</v>
      </c>
      <c r="PEP138" s="26" t="s">
        <v>794</v>
      </c>
      <c r="PEQ138" s="26">
        <v>4</v>
      </c>
      <c r="PER138" s="26" t="s">
        <v>794</v>
      </c>
      <c r="PES138" s="26">
        <v>4</v>
      </c>
      <c r="PET138" s="26" t="s">
        <v>794</v>
      </c>
      <c r="PEU138" s="26">
        <v>4</v>
      </c>
      <c r="PEV138" s="26" t="s">
        <v>794</v>
      </c>
      <c r="PEW138" s="26">
        <v>4</v>
      </c>
      <c r="PEX138" s="26" t="s">
        <v>794</v>
      </c>
      <c r="PEY138" s="26">
        <v>4</v>
      </c>
      <c r="PEZ138" s="26" t="s">
        <v>794</v>
      </c>
      <c r="PFA138" s="26">
        <v>4</v>
      </c>
      <c r="PFB138" s="26" t="s">
        <v>794</v>
      </c>
      <c r="PFC138" s="26">
        <v>4</v>
      </c>
      <c r="PFD138" s="26" t="s">
        <v>794</v>
      </c>
      <c r="PFE138" s="26">
        <v>4</v>
      </c>
      <c r="PFF138" s="26" t="s">
        <v>794</v>
      </c>
      <c r="PFG138" s="26">
        <v>4</v>
      </c>
      <c r="PFH138" s="26" t="s">
        <v>794</v>
      </c>
      <c r="PFI138" s="26">
        <v>4</v>
      </c>
      <c r="PFJ138" s="26" t="s">
        <v>794</v>
      </c>
      <c r="PFK138" s="26">
        <v>4</v>
      </c>
      <c r="PFL138" s="26" t="s">
        <v>794</v>
      </c>
      <c r="PFM138" s="26">
        <v>4</v>
      </c>
      <c r="PFN138" s="26" t="s">
        <v>794</v>
      </c>
      <c r="PFO138" s="26">
        <v>4</v>
      </c>
      <c r="PFP138" s="26" t="s">
        <v>794</v>
      </c>
      <c r="PFQ138" s="26">
        <v>4</v>
      </c>
      <c r="PFR138" s="26" t="s">
        <v>794</v>
      </c>
      <c r="PFS138" s="26">
        <v>4</v>
      </c>
      <c r="PFT138" s="26" t="s">
        <v>794</v>
      </c>
      <c r="PFU138" s="26">
        <v>4</v>
      </c>
      <c r="PFV138" s="26" t="s">
        <v>794</v>
      </c>
      <c r="PFW138" s="26">
        <v>4</v>
      </c>
      <c r="PFX138" s="26" t="s">
        <v>794</v>
      </c>
      <c r="PFY138" s="26">
        <v>4</v>
      </c>
      <c r="PFZ138" s="26" t="s">
        <v>794</v>
      </c>
      <c r="PGA138" s="26">
        <v>4</v>
      </c>
      <c r="PGB138" s="26" t="s">
        <v>794</v>
      </c>
      <c r="PGC138" s="26">
        <v>4</v>
      </c>
      <c r="PGD138" s="26" t="s">
        <v>794</v>
      </c>
      <c r="PGE138" s="26">
        <v>4</v>
      </c>
      <c r="PGF138" s="26" t="s">
        <v>794</v>
      </c>
      <c r="PGG138" s="26">
        <v>4</v>
      </c>
      <c r="PGH138" s="26" t="s">
        <v>794</v>
      </c>
      <c r="PGI138" s="26">
        <v>4</v>
      </c>
      <c r="PGJ138" s="26" t="s">
        <v>794</v>
      </c>
      <c r="PGK138" s="26">
        <v>4</v>
      </c>
      <c r="PGL138" s="26" t="s">
        <v>794</v>
      </c>
      <c r="PGM138" s="26">
        <v>4</v>
      </c>
      <c r="PGN138" s="26" t="s">
        <v>794</v>
      </c>
      <c r="PGO138" s="26">
        <v>4</v>
      </c>
      <c r="PGP138" s="26" t="s">
        <v>794</v>
      </c>
      <c r="PGQ138" s="26">
        <v>4</v>
      </c>
      <c r="PGR138" s="26" t="s">
        <v>794</v>
      </c>
      <c r="PGS138" s="26">
        <v>4</v>
      </c>
      <c r="PGT138" s="26" t="s">
        <v>794</v>
      </c>
      <c r="PGU138" s="26">
        <v>4</v>
      </c>
      <c r="PGV138" s="26" t="s">
        <v>794</v>
      </c>
      <c r="PGW138" s="26">
        <v>4</v>
      </c>
      <c r="PGX138" s="26" t="s">
        <v>794</v>
      </c>
      <c r="PGY138" s="26">
        <v>4</v>
      </c>
      <c r="PGZ138" s="26" t="s">
        <v>794</v>
      </c>
      <c r="PHA138" s="26">
        <v>4</v>
      </c>
      <c r="PHB138" s="26" t="s">
        <v>794</v>
      </c>
      <c r="PHC138" s="26">
        <v>4</v>
      </c>
      <c r="PHD138" s="26" t="s">
        <v>794</v>
      </c>
      <c r="PHE138" s="26">
        <v>4</v>
      </c>
      <c r="PHF138" s="26" t="s">
        <v>794</v>
      </c>
      <c r="PHG138" s="26">
        <v>4</v>
      </c>
      <c r="PHH138" s="26" t="s">
        <v>794</v>
      </c>
      <c r="PHI138" s="26">
        <v>4</v>
      </c>
      <c r="PHJ138" s="26" t="s">
        <v>794</v>
      </c>
      <c r="PHK138" s="26">
        <v>4</v>
      </c>
      <c r="PHL138" s="26" t="s">
        <v>794</v>
      </c>
      <c r="PHM138" s="26">
        <v>4</v>
      </c>
      <c r="PHN138" s="26" t="s">
        <v>794</v>
      </c>
      <c r="PHO138" s="26">
        <v>4</v>
      </c>
      <c r="PHP138" s="26" t="s">
        <v>794</v>
      </c>
      <c r="PHQ138" s="26">
        <v>4</v>
      </c>
      <c r="PHR138" s="26" t="s">
        <v>794</v>
      </c>
      <c r="PHS138" s="26">
        <v>4</v>
      </c>
      <c r="PHT138" s="26" t="s">
        <v>794</v>
      </c>
      <c r="PHU138" s="26">
        <v>4</v>
      </c>
      <c r="PHV138" s="26" t="s">
        <v>794</v>
      </c>
      <c r="PHW138" s="26">
        <v>4</v>
      </c>
      <c r="PHX138" s="26" t="s">
        <v>794</v>
      </c>
      <c r="PHY138" s="26">
        <v>4</v>
      </c>
      <c r="PHZ138" s="26" t="s">
        <v>794</v>
      </c>
      <c r="PIA138" s="26">
        <v>4</v>
      </c>
      <c r="PIB138" s="26" t="s">
        <v>794</v>
      </c>
      <c r="PIC138" s="26">
        <v>4</v>
      </c>
      <c r="PID138" s="26" t="s">
        <v>794</v>
      </c>
      <c r="PIE138" s="26">
        <v>4</v>
      </c>
      <c r="PIF138" s="26" t="s">
        <v>794</v>
      </c>
      <c r="PIG138" s="26">
        <v>4</v>
      </c>
      <c r="PIH138" s="26" t="s">
        <v>794</v>
      </c>
      <c r="PII138" s="26">
        <v>4</v>
      </c>
      <c r="PIJ138" s="26" t="s">
        <v>794</v>
      </c>
      <c r="PIK138" s="26">
        <v>4</v>
      </c>
      <c r="PIL138" s="26" t="s">
        <v>794</v>
      </c>
      <c r="PIM138" s="26">
        <v>4</v>
      </c>
      <c r="PIN138" s="26" t="s">
        <v>794</v>
      </c>
      <c r="PIO138" s="26">
        <v>4</v>
      </c>
      <c r="PIP138" s="26" t="s">
        <v>794</v>
      </c>
      <c r="PIQ138" s="26">
        <v>4</v>
      </c>
      <c r="PIR138" s="26" t="s">
        <v>794</v>
      </c>
      <c r="PIS138" s="26">
        <v>4</v>
      </c>
      <c r="PIT138" s="26" t="s">
        <v>794</v>
      </c>
      <c r="PIU138" s="26">
        <v>4</v>
      </c>
      <c r="PIV138" s="26" t="s">
        <v>794</v>
      </c>
      <c r="PIW138" s="26">
        <v>4</v>
      </c>
      <c r="PIX138" s="26" t="s">
        <v>794</v>
      </c>
      <c r="PIY138" s="26">
        <v>4</v>
      </c>
      <c r="PIZ138" s="26" t="s">
        <v>794</v>
      </c>
      <c r="PJA138" s="26">
        <v>4</v>
      </c>
      <c r="PJB138" s="26" t="s">
        <v>794</v>
      </c>
      <c r="PJC138" s="26">
        <v>4</v>
      </c>
      <c r="PJD138" s="26" t="s">
        <v>794</v>
      </c>
      <c r="PJE138" s="26">
        <v>4</v>
      </c>
      <c r="PJF138" s="26" t="s">
        <v>794</v>
      </c>
      <c r="PJG138" s="26">
        <v>4</v>
      </c>
      <c r="PJH138" s="26" t="s">
        <v>794</v>
      </c>
      <c r="PJI138" s="26">
        <v>4</v>
      </c>
      <c r="PJJ138" s="26" t="s">
        <v>794</v>
      </c>
      <c r="PJK138" s="26">
        <v>4</v>
      </c>
      <c r="PJL138" s="26" t="s">
        <v>794</v>
      </c>
      <c r="PJM138" s="26">
        <v>4</v>
      </c>
      <c r="PJN138" s="26" t="s">
        <v>794</v>
      </c>
      <c r="PJO138" s="26">
        <v>4</v>
      </c>
      <c r="PJP138" s="26" t="s">
        <v>794</v>
      </c>
      <c r="PJQ138" s="26">
        <v>4</v>
      </c>
      <c r="PJR138" s="26" t="s">
        <v>794</v>
      </c>
      <c r="PJS138" s="26">
        <v>4</v>
      </c>
      <c r="PJT138" s="26" t="s">
        <v>794</v>
      </c>
      <c r="PJU138" s="26">
        <v>4</v>
      </c>
      <c r="PJV138" s="26" t="s">
        <v>794</v>
      </c>
      <c r="PJW138" s="26">
        <v>4</v>
      </c>
      <c r="PJX138" s="26" t="s">
        <v>794</v>
      </c>
      <c r="PJY138" s="26">
        <v>4</v>
      </c>
      <c r="PJZ138" s="26" t="s">
        <v>794</v>
      </c>
      <c r="PKA138" s="26">
        <v>4</v>
      </c>
      <c r="PKB138" s="26" t="s">
        <v>794</v>
      </c>
      <c r="PKC138" s="26">
        <v>4</v>
      </c>
      <c r="PKD138" s="26" t="s">
        <v>794</v>
      </c>
      <c r="PKE138" s="26">
        <v>4</v>
      </c>
      <c r="PKF138" s="26" t="s">
        <v>794</v>
      </c>
      <c r="PKG138" s="26">
        <v>4</v>
      </c>
      <c r="PKH138" s="26" t="s">
        <v>794</v>
      </c>
      <c r="PKI138" s="26">
        <v>4</v>
      </c>
      <c r="PKJ138" s="26" t="s">
        <v>794</v>
      </c>
      <c r="PKK138" s="26">
        <v>4</v>
      </c>
      <c r="PKL138" s="26" t="s">
        <v>794</v>
      </c>
      <c r="PKM138" s="26">
        <v>4</v>
      </c>
      <c r="PKN138" s="26" t="s">
        <v>794</v>
      </c>
      <c r="PKO138" s="26">
        <v>4</v>
      </c>
      <c r="PKP138" s="26" t="s">
        <v>794</v>
      </c>
      <c r="PKQ138" s="26">
        <v>4</v>
      </c>
      <c r="PKR138" s="26" t="s">
        <v>794</v>
      </c>
      <c r="PKS138" s="26">
        <v>4</v>
      </c>
      <c r="PKT138" s="26" t="s">
        <v>794</v>
      </c>
      <c r="PKU138" s="26">
        <v>4</v>
      </c>
      <c r="PKV138" s="26" t="s">
        <v>794</v>
      </c>
      <c r="PKW138" s="26">
        <v>4</v>
      </c>
      <c r="PKX138" s="26" t="s">
        <v>794</v>
      </c>
      <c r="PKY138" s="26">
        <v>4</v>
      </c>
      <c r="PKZ138" s="26" t="s">
        <v>794</v>
      </c>
      <c r="PLA138" s="26">
        <v>4</v>
      </c>
      <c r="PLB138" s="26" t="s">
        <v>794</v>
      </c>
      <c r="PLC138" s="26">
        <v>4</v>
      </c>
      <c r="PLD138" s="26" t="s">
        <v>794</v>
      </c>
      <c r="PLE138" s="26">
        <v>4</v>
      </c>
      <c r="PLF138" s="26" t="s">
        <v>794</v>
      </c>
      <c r="PLG138" s="26">
        <v>4</v>
      </c>
      <c r="PLH138" s="26" t="s">
        <v>794</v>
      </c>
      <c r="PLI138" s="26">
        <v>4</v>
      </c>
      <c r="PLJ138" s="26" t="s">
        <v>794</v>
      </c>
      <c r="PLK138" s="26">
        <v>4</v>
      </c>
      <c r="PLL138" s="26" t="s">
        <v>794</v>
      </c>
      <c r="PLM138" s="26">
        <v>4</v>
      </c>
      <c r="PLN138" s="26" t="s">
        <v>794</v>
      </c>
      <c r="PLO138" s="26">
        <v>4</v>
      </c>
      <c r="PLP138" s="26" t="s">
        <v>794</v>
      </c>
      <c r="PLQ138" s="26">
        <v>4</v>
      </c>
      <c r="PLR138" s="26" t="s">
        <v>794</v>
      </c>
      <c r="PLS138" s="26">
        <v>4</v>
      </c>
      <c r="PLT138" s="26" t="s">
        <v>794</v>
      </c>
      <c r="PLU138" s="26">
        <v>4</v>
      </c>
      <c r="PLV138" s="26" t="s">
        <v>794</v>
      </c>
      <c r="PLW138" s="26">
        <v>4</v>
      </c>
      <c r="PLX138" s="26" t="s">
        <v>794</v>
      </c>
      <c r="PLY138" s="26">
        <v>4</v>
      </c>
      <c r="PLZ138" s="26" t="s">
        <v>794</v>
      </c>
      <c r="PMA138" s="26">
        <v>4</v>
      </c>
      <c r="PMB138" s="26" t="s">
        <v>794</v>
      </c>
      <c r="PMC138" s="26">
        <v>4</v>
      </c>
      <c r="PMD138" s="26" t="s">
        <v>794</v>
      </c>
      <c r="PME138" s="26">
        <v>4</v>
      </c>
      <c r="PMF138" s="26" t="s">
        <v>794</v>
      </c>
      <c r="PMG138" s="26">
        <v>4</v>
      </c>
      <c r="PMH138" s="26" t="s">
        <v>794</v>
      </c>
      <c r="PMI138" s="26">
        <v>4</v>
      </c>
      <c r="PMJ138" s="26" t="s">
        <v>794</v>
      </c>
      <c r="PMK138" s="26">
        <v>4</v>
      </c>
      <c r="PML138" s="26" t="s">
        <v>794</v>
      </c>
      <c r="PMM138" s="26">
        <v>4</v>
      </c>
      <c r="PMN138" s="26" t="s">
        <v>794</v>
      </c>
      <c r="PMO138" s="26">
        <v>4</v>
      </c>
      <c r="PMP138" s="26" t="s">
        <v>794</v>
      </c>
      <c r="PMQ138" s="26">
        <v>4</v>
      </c>
      <c r="PMR138" s="26" t="s">
        <v>794</v>
      </c>
      <c r="PMS138" s="26">
        <v>4</v>
      </c>
      <c r="PMT138" s="26" t="s">
        <v>794</v>
      </c>
      <c r="PMU138" s="26">
        <v>4</v>
      </c>
      <c r="PMV138" s="26" t="s">
        <v>794</v>
      </c>
      <c r="PMW138" s="26">
        <v>4</v>
      </c>
      <c r="PMX138" s="26" t="s">
        <v>794</v>
      </c>
      <c r="PMY138" s="26">
        <v>4</v>
      </c>
      <c r="PMZ138" s="26" t="s">
        <v>794</v>
      </c>
      <c r="PNA138" s="26">
        <v>4</v>
      </c>
      <c r="PNB138" s="26" t="s">
        <v>794</v>
      </c>
      <c r="PNC138" s="26">
        <v>4</v>
      </c>
      <c r="PND138" s="26" t="s">
        <v>794</v>
      </c>
      <c r="PNE138" s="26">
        <v>4</v>
      </c>
      <c r="PNF138" s="26" t="s">
        <v>794</v>
      </c>
      <c r="PNG138" s="26">
        <v>4</v>
      </c>
      <c r="PNH138" s="26" t="s">
        <v>794</v>
      </c>
      <c r="PNI138" s="26">
        <v>4</v>
      </c>
      <c r="PNJ138" s="26" t="s">
        <v>794</v>
      </c>
      <c r="PNK138" s="26">
        <v>4</v>
      </c>
      <c r="PNL138" s="26" t="s">
        <v>794</v>
      </c>
      <c r="PNM138" s="26">
        <v>4</v>
      </c>
      <c r="PNN138" s="26" t="s">
        <v>794</v>
      </c>
      <c r="PNO138" s="26">
        <v>4</v>
      </c>
      <c r="PNP138" s="26" t="s">
        <v>794</v>
      </c>
      <c r="PNQ138" s="26">
        <v>4</v>
      </c>
      <c r="PNR138" s="26" t="s">
        <v>794</v>
      </c>
      <c r="PNS138" s="26">
        <v>4</v>
      </c>
      <c r="PNT138" s="26" t="s">
        <v>794</v>
      </c>
      <c r="PNU138" s="26">
        <v>4</v>
      </c>
      <c r="PNV138" s="26" t="s">
        <v>794</v>
      </c>
      <c r="PNW138" s="26">
        <v>4</v>
      </c>
      <c r="PNX138" s="26" t="s">
        <v>794</v>
      </c>
      <c r="PNY138" s="26">
        <v>4</v>
      </c>
      <c r="PNZ138" s="26" t="s">
        <v>794</v>
      </c>
      <c r="POA138" s="26">
        <v>4</v>
      </c>
      <c r="POB138" s="26" t="s">
        <v>794</v>
      </c>
      <c r="POC138" s="26">
        <v>4</v>
      </c>
      <c r="POD138" s="26" t="s">
        <v>794</v>
      </c>
      <c r="POE138" s="26">
        <v>4</v>
      </c>
      <c r="POF138" s="26" t="s">
        <v>794</v>
      </c>
      <c r="POG138" s="26">
        <v>4</v>
      </c>
      <c r="POH138" s="26" t="s">
        <v>794</v>
      </c>
      <c r="POI138" s="26">
        <v>4</v>
      </c>
      <c r="POJ138" s="26" t="s">
        <v>794</v>
      </c>
      <c r="POK138" s="26">
        <v>4</v>
      </c>
      <c r="POL138" s="26" t="s">
        <v>794</v>
      </c>
      <c r="POM138" s="26">
        <v>4</v>
      </c>
      <c r="PON138" s="26" t="s">
        <v>794</v>
      </c>
      <c r="POO138" s="26">
        <v>4</v>
      </c>
      <c r="POP138" s="26" t="s">
        <v>794</v>
      </c>
      <c r="POQ138" s="26">
        <v>4</v>
      </c>
      <c r="POR138" s="26" t="s">
        <v>794</v>
      </c>
      <c r="POS138" s="26">
        <v>4</v>
      </c>
      <c r="POT138" s="26" t="s">
        <v>794</v>
      </c>
      <c r="POU138" s="26">
        <v>4</v>
      </c>
      <c r="POV138" s="26" t="s">
        <v>794</v>
      </c>
      <c r="POW138" s="26">
        <v>4</v>
      </c>
      <c r="POX138" s="26" t="s">
        <v>794</v>
      </c>
      <c r="POY138" s="26">
        <v>4</v>
      </c>
      <c r="POZ138" s="26" t="s">
        <v>794</v>
      </c>
      <c r="PPA138" s="26">
        <v>4</v>
      </c>
      <c r="PPB138" s="26" t="s">
        <v>794</v>
      </c>
      <c r="PPC138" s="26">
        <v>4</v>
      </c>
      <c r="PPD138" s="26" t="s">
        <v>794</v>
      </c>
      <c r="PPE138" s="26">
        <v>4</v>
      </c>
      <c r="PPF138" s="26" t="s">
        <v>794</v>
      </c>
      <c r="PPG138" s="26">
        <v>4</v>
      </c>
      <c r="PPH138" s="26" t="s">
        <v>794</v>
      </c>
      <c r="PPI138" s="26">
        <v>4</v>
      </c>
      <c r="PPJ138" s="26" t="s">
        <v>794</v>
      </c>
      <c r="PPK138" s="26">
        <v>4</v>
      </c>
      <c r="PPL138" s="26" t="s">
        <v>794</v>
      </c>
      <c r="PPM138" s="26">
        <v>4</v>
      </c>
      <c r="PPN138" s="26" t="s">
        <v>794</v>
      </c>
      <c r="PPO138" s="26">
        <v>4</v>
      </c>
      <c r="PPP138" s="26" t="s">
        <v>794</v>
      </c>
      <c r="PPQ138" s="26">
        <v>4</v>
      </c>
      <c r="PPR138" s="26" t="s">
        <v>794</v>
      </c>
      <c r="PPS138" s="26">
        <v>4</v>
      </c>
      <c r="PPT138" s="26" t="s">
        <v>794</v>
      </c>
      <c r="PPU138" s="26">
        <v>4</v>
      </c>
      <c r="PPV138" s="26" t="s">
        <v>794</v>
      </c>
      <c r="PPW138" s="26">
        <v>4</v>
      </c>
      <c r="PPX138" s="26" t="s">
        <v>794</v>
      </c>
      <c r="PPY138" s="26">
        <v>4</v>
      </c>
      <c r="PPZ138" s="26" t="s">
        <v>794</v>
      </c>
      <c r="PQA138" s="26">
        <v>4</v>
      </c>
      <c r="PQB138" s="26" t="s">
        <v>794</v>
      </c>
      <c r="PQC138" s="26">
        <v>4</v>
      </c>
      <c r="PQD138" s="26" t="s">
        <v>794</v>
      </c>
      <c r="PQE138" s="26">
        <v>4</v>
      </c>
      <c r="PQF138" s="26" t="s">
        <v>794</v>
      </c>
      <c r="PQG138" s="26">
        <v>4</v>
      </c>
      <c r="PQH138" s="26" t="s">
        <v>794</v>
      </c>
      <c r="PQI138" s="26">
        <v>4</v>
      </c>
      <c r="PQJ138" s="26" t="s">
        <v>794</v>
      </c>
      <c r="PQK138" s="26">
        <v>4</v>
      </c>
      <c r="PQL138" s="26" t="s">
        <v>794</v>
      </c>
      <c r="PQM138" s="26">
        <v>4</v>
      </c>
      <c r="PQN138" s="26" t="s">
        <v>794</v>
      </c>
      <c r="PQO138" s="26">
        <v>4</v>
      </c>
      <c r="PQP138" s="26" t="s">
        <v>794</v>
      </c>
      <c r="PQQ138" s="26">
        <v>4</v>
      </c>
      <c r="PQR138" s="26" t="s">
        <v>794</v>
      </c>
      <c r="PQS138" s="26">
        <v>4</v>
      </c>
      <c r="PQT138" s="26" t="s">
        <v>794</v>
      </c>
      <c r="PQU138" s="26">
        <v>4</v>
      </c>
      <c r="PQV138" s="26" t="s">
        <v>794</v>
      </c>
      <c r="PQW138" s="26">
        <v>4</v>
      </c>
      <c r="PQX138" s="26" t="s">
        <v>794</v>
      </c>
      <c r="PQY138" s="26">
        <v>4</v>
      </c>
      <c r="PQZ138" s="26" t="s">
        <v>794</v>
      </c>
      <c r="PRA138" s="26">
        <v>4</v>
      </c>
      <c r="PRB138" s="26" t="s">
        <v>794</v>
      </c>
      <c r="PRC138" s="26">
        <v>4</v>
      </c>
      <c r="PRD138" s="26" t="s">
        <v>794</v>
      </c>
      <c r="PRE138" s="26">
        <v>4</v>
      </c>
      <c r="PRF138" s="26" t="s">
        <v>794</v>
      </c>
      <c r="PRG138" s="26">
        <v>4</v>
      </c>
      <c r="PRH138" s="26" t="s">
        <v>794</v>
      </c>
      <c r="PRI138" s="26">
        <v>4</v>
      </c>
      <c r="PRJ138" s="26" t="s">
        <v>794</v>
      </c>
      <c r="PRK138" s="26">
        <v>4</v>
      </c>
      <c r="PRL138" s="26" t="s">
        <v>794</v>
      </c>
      <c r="PRM138" s="26">
        <v>4</v>
      </c>
      <c r="PRN138" s="26" t="s">
        <v>794</v>
      </c>
      <c r="PRO138" s="26">
        <v>4</v>
      </c>
      <c r="PRP138" s="26" t="s">
        <v>794</v>
      </c>
      <c r="PRQ138" s="26">
        <v>4</v>
      </c>
      <c r="PRR138" s="26" t="s">
        <v>794</v>
      </c>
      <c r="PRS138" s="26">
        <v>4</v>
      </c>
      <c r="PRT138" s="26" t="s">
        <v>794</v>
      </c>
      <c r="PRU138" s="26">
        <v>4</v>
      </c>
      <c r="PRV138" s="26" t="s">
        <v>794</v>
      </c>
      <c r="PRW138" s="26">
        <v>4</v>
      </c>
      <c r="PRX138" s="26" t="s">
        <v>794</v>
      </c>
      <c r="PRY138" s="26">
        <v>4</v>
      </c>
      <c r="PRZ138" s="26" t="s">
        <v>794</v>
      </c>
      <c r="PSA138" s="26">
        <v>4</v>
      </c>
      <c r="PSB138" s="26" t="s">
        <v>794</v>
      </c>
      <c r="PSC138" s="26">
        <v>4</v>
      </c>
      <c r="PSD138" s="26" t="s">
        <v>794</v>
      </c>
      <c r="PSE138" s="26">
        <v>4</v>
      </c>
      <c r="PSF138" s="26" t="s">
        <v>794</v>
      </c>
      <c r="PSG138" s="26">
        <v>4</v>
      </c>
      <c r="PSH138" s="26" t="s">
        <v>794</v>
      </c>
      <c r="PSI138" s="26">
        <v>4</v>
      </c>
      <c r="PSJ138" s="26" t="s">
        <v>794</v>
      </c>
      <c r="PSK138" s="26">
        <v>4</v>
      </c>
      <c r="PSL138" s="26" t="s">
        <v>794</v>
      </c>
      <c r="PSM138" s="26">
        <v>4</v>
      </c>
      <c r="PSN138" s="26" t="s">
        <v>794</v>
      </c>
      <c r="PSO138" s="26">
        <v>4</v>
      </c>
      <c r="PSP138" s="26" t="s">
        <v>794</v>
      </c>
      <c r="PSQ138" s="26">
        <v>4</v>
      </c>
      <c r="PSR138" s="26" t="s">
        <v>794</v>
      </c>
      <c r="PSS138" s="26">
        <v>4</v>
      </c>
      <c r="PST138" s="26" t="s">
        <v>794</v>
      </c>
      <c r="PSU138" s="26">
        <v>4</v>
      </c>
      <c r="PSV138" s="26" t="s">
        <v>794</v>
      </c>
      <c r="PSW138" s="26">
        <v>4</v>
      </c>
      <c r="PSX138" s="26" t="s">
        <v>794</v>
      </c>
      <c r="PSY138" s="26">
        <v>4</v>
      </c>
      <c r="PSZ138" s="26" t="s">
        <v>794</v>
      </c>
      <c r="PTA138" s="26">
        <v>4</v>
      </c>
      <c r="PTB138" s="26" t="s">
        <v>794</v>
      </c>
      <c r="PTC138" s="26">
        <v>4</v>
      </c>
      <c r="PTD138" s="26" t="s">
        <v>794</v>
      </c>
      <c r="PTE138" s="26">
        <v>4</v>
      </c>
      <c r="PTF138" s="26" t="s">
        <v>794</v>
      </c>
      <c r="PTG138" s="26">
        <v>4</v>
      </c>
      <c r="PTH138" s="26" t="s">
        <v>794</v>
      </c>
      <c r="PTI138" s="26">
        <v>4</v>
      </c>
      <c r="PTJ138" s="26" t="s">
        <v>794</v>
      </c>
      <c r="PTK138" s="26">
        <v>4</v>
      </c>
      <c r="PTL138" s="26" t="s">
        <v>794</v>
      </c>
      <c r="PTM138" s="26">
        <v>4</v>
      </c>
      <c r="PTN138" s="26" t="s">
        <v>794</v>
      </c>
      <c r="PTO138" s="26">
        <v>4</v>
      </c>
      <c r="PTP138" s="26" t="s">
        <v>794</v>
      </c>
      <c r="PTQ138" s="26">
        <v>4</v>
      </c>
      <c r="PTR138" s="26" t="s">
        <v>794</v>
      </c>
      <c r="PTS138" s="26">
        <v>4</v>
      </c>
      <c r="PTT138" s="26" t="s">
        <v>794</v>
      </c>
      <c r="PTU138" s="26">
        <v>4</v>
      </c>
      <c r="PTV138" s="26" t="s">
        <v>794</v>
      </c>
      <c r="PTW138" s="26">
        <v>4</v>
      </c>
      <c r="PTX138" s="26" t="s">
        <v>794</v>
      </c>
      <c r="PTY138" s="26">
        <v>4</v>
      </c>
      <c r="PTZ138" s="26" t="s">
        <v>794</v>
      </c>
      <c r="PUA138" s="26">
        <v>4</v>
      </c>
      <c r="PUB138" s="26" t="s">
        <v>794</v>
      </c>
      <c r="PUC138" s="26">
        <v>4</v>
      </c>
      <c r="PUD138" s="26" t="s">
        <v>794</v>
      </c>
      <c r="PUE138" s="26">
        <v>4</v>
      </c>
      <c r="PUF138" s="26" t="s">
        <v>794</v>
      </c>
      <c r="PUG138" s="26">
        <v>4</v>
      </c>
      <c r="PUH138" s="26" t="s">
        <v>794</v>
      </c>
      <c r="PUI138" s="26">
        <v>4</v>
      </c>
      <c r="PUJ138" s="26" t="s">
        <v>794</v>
      </c>
      <c r="PUK138" s="26">
        <v>4</v>
      </c>
      <c r="PUL138" s="26" t="s">
        <v>794</v>
      </c>
      <c r="PUM138" s="26">
        <v>4</v>
      </c>
      <c r="PUN138" s="26" t="s">
        <v>794</v>
      </c>
      <c r="PUO138" s="26">
        <v>4</v>
      </c>
      <c r="PUP138" s="26" t="s">
        <v>794</v>
      </c>
      <c r="PUQ138" s="26">
        <v>4</v>
      </c>
      <c r="PUR138" s="26" t="s">
        <v>794</v>
      </c>
      <c r="PUS138" s="26">
        <v>4</v>
      </c>
      <c r="PUT138" s="26" t="s">
        <v>794</v>
      </c>
      <c r="PUU138" s="26">
        <v>4</v>
      </c>
      <c r="PUV138" s="26" t="s">
        <v>794</v>
      </c>
      <c r="PUW138" s="26">
        <v>4</v>
      </c>
      <c r="PUX138" s="26" t="s">
        <v>794</v>
      </c>
      <c r="PUY138" s="26">
        <v>4</v>
      </c>
      <c r="PUZ138" s="26" t="s">
        <v>794</v>
      </c>
      <c r="PVA138" s="26">
        <v>4</v>
      </c>
      <c r="PVB138" s="26" t="s">
        <v>794</v>
      </c>
      <c r="PVC138" s="26">
        <v>4</v>
      </c>
      <c r="PVD138" s="26" t="s">
        <v>794</v>
      </c>
      <c r="PVE138" s="26">
        <v>4</v>
      </c>
      <c r="PVF138" s="26" t="s">
        <v>794</v>
      </c>
      <c r="PVG138" s="26">
        <v>4</v>
      </c>
      <c r="PVH138" s="26" t="s">
        <v>794</v>
      </c>
      <c r="PVI138" s="26">
        <v>4</v>
      </c>
      <c r="PVJ138" s="26" t="s">
        <v>794</v>
      </c>
      <c r="PVK138" s="26">
        <v>4</v>
      </c>
      <c r="PVL138" s="26" t="s">
        <v>794</v>
      </c>
      <c r="PVM138" s="26">
        <v>4</v>
      </c>
      <c r="PVN138" s="26" t="s">
        <v>794</v>
      </c>
      <c r="PVO138" s="26">
        <v>4</v>
      </c>
      <c r="PVP138" s="26" t="s">
        <v>794</v>
      </c>
      <c r="PVQ138" s="26">
        <v>4</v>
      </c>
      <c r="PVR138" s="26" t="s">
        <v>794</v>
      </c>
      <c r="PVS138" s="26">
        <v>4</v>
      </c>
      <c r="PVT138" s="26" t="s">
        <v>794</v>
      </c>
      <c r="PVU138" s="26">
        <v>4</v>
      </c>
      <c r="PVV138" s="26" t="s">
        <v>794</v>
      </c>
      <c r="PVW138" s="26">
        <v>4</v>
      </c>
      <c r="PVX138" s="26" t="s">
        <v>794</v>
      </c>
      <c r="PVY138" s="26">
        <v>4</v>
      </c>
      <c r="PVZ138" s="26" t="s">
        <v>794</v>
      </c>
      <c r="PWA138" s="26">
        <v>4</v>
      </c>
      <c r="PWB138" s="26" t="s">
        <v>794</v>
      </c>
      <c r="PWC138" s="26">
        <v>4</v>
      </c>
      <c r="PWD138" s="26" t="s">
        <v>794</v>
      </c>
      <c r="PWE138" s="26">
        <v>4</v>
      </c>
      <c r="PWF138" s="26" t="s">
        <v>794</v>
      </c>
      <c r="PWG138" s="26">
        <v>4</v>
      </c>
      <c r="PWH138" s="26" t="s">
        <v>794</v>
      </c>
      <c r="PWI138" s="26">
        <v>4</v>
      </c>
      <c r="PWJ138" s="26" t="s">
        <v>794</v>
      </c>
      <c r="PWK138" s="26">
        <v>4</v>
      </c>
      <c r="PWL138" s="26" t="s">
        <v>794</v>
      </c>
      <c r="PWM138" s="26">
        <v>4</v>
      </c>
      <c r="PWN138" s="26" t="s">
        <v>794</v>
      </c>
      <c r="PWO138" s="26">
        <v>4</v>
      </c>
      <c r="PWP138" s="26" t="s">
        <v>794</v>
      </c>
      <c r="PWQ138" s="26">
        <v>4</v>
      </c>
      <c r="PWR138" s="26" t="s">
        <v>794</v>
      </c>
      <c r="PWS138" s="26">
        <v>4</v>
      </c>
      <c r="PWT138" s="26" t="s">
        <v>794</v>
      </c>
      <c r="PWU138" s="26">
        <v>4</v>
      </c>
      <c r="PWV138" s="26" t="s">
        <v>794</v>
      </c>
      <c r="PWW138" s="26">
        <v>4</v>
      </c>
      <c r="PWX138" s="26" t="s">
        <v>794</v>
      </c>
      <c r="PWY138" s="26">
        <v>4</v>
      </c>
      <c r="PWZ138" s="26" t="s">
        <v>794</v>
      </c>
      <c r="PXA138" s="26">
        <v>4</v>
      </c>
      <c r="PXB138" s="26" t="s">
        <v>794</v>
      </c>
      <c r="PXC138" s="26">
        <v>4</v>
      </c>
      <c r="PXD138" s="26" t="s">
        <v>794</v>
      </c>
      <c r="PXE138" s="26">
        <v>4</v>
      </c>
      <c r="PXF138" s="26" t="s">
        <v>794</v>
      </c>
      <c r="PXG138" s="26">
        <v>4</v>
      </c>
      <c r="PXH138" s="26" t="s">
        <v>794</v>
      </c>
      <c r="PXI138" s="26">
        <v>4</v>
      </c>
      <c r="PXJ138" s="26" t="s">
        <v>794</v>
      </c>
      <c r="PXK138" s="26">
        <v>4</v>
      </c>
      <c r="PXL138" s="26" t="s">
        <v>794</v>
      </c>
      <c r="PXM138" s="26">
        <v>4</v>
      </c>
      <c r="PXN138" s="26" t="s">
        <v>794</v>
      </c>
      <c r="PXO138" s="26">
        <v>4</v>
      </c>
      <c r="PXP138" s="26" t="s">
        <v>794</v>
      </c>
      <c r="PXQ138" s="26">
        <v>4</v>
      </c>
      <c r="PXR138" s="26" t="s">
        <v>794</v>
      </c>
      <c r="PXS138" s="26">
        <v>4</v>
      </c>
      <c r="PXT138" s="26" t="s">
        <v>794</v>
      </c>
      <c r="PXU138" s="26">
        <v>4</v>
      </c>
      <c r="PXV138" s="26" t="s">
        <v>794</v>
      </c>
      <c r="PXW138" s="26">
        <v>4</v>
      </c>
      <c r="PXX138" s="26" t="s">
        <v>794</v>
      </c>
      <c r="PXY138" s="26">
        <v>4</v>
      </c>
      <c r="PXZ138" s="26" t="s">
        <v>794</v>
      </c>
      <c r="PYA138" s="26">
        <v>4</v>
      </c>
      <c r="PYB138" s="26" t="s">
        <v>794</v>
      </c>
      <c r="PYC138" s="26">
        <v>4</v>
      </c>
      <c r="PYD138" s="26" t="s">
        <v>794</v>
      </c>
      <c r="PYE138" s="26">
        <v>4</v>
      </c>
      <c r="PYF138" s="26" t="s">
        <v>794</v>
      </c>
      <c r="PYG138" s="26">
        <v>4</v>
      </c>
      <c r="PYH138" s="26" t="s">
        <v>794</v>
      </c>
      <c r="PYI138" s="26">
        <v>4</v>
      </c>
      <c r="PYJ138" s="26" t="s">
        <v>794</v>
      </c>
      <c r="PYK138" s="26">
        <v>4</v>
      </c>
      <c r="PYL138" s="26" t="s">
        <v>794</v>
      </c>
      <c r="PYM138" s="26">
        <v>4</v>
      </c>
      <c r="PYN138" s="26" t="s">
        <v>794</v>
      </c>
      <c r="PYO138" s="26">
        <v>4</v>
      </c>
      <c r="PYP138" s="26" t="s">
        <v>794</v>
      </c>
      <c r="PYQ138" s="26">
        <v>4</v>
      </c>
      <c r="PYR138" s="26" t="s">
        <v>794</v>
      </c>
      <c r="PYS138" s="26">
        <v>4</v>
      </c>
      <c r="PYT138" s="26" t="s">
        <v>794</v>
      </c>
      <c r="PYU138" s="26">
        <v>4</v>
      </c>
      <c r="PYV138" s="26" t="s">
        <v>794</v>
      </c>
      <c r="PYW138" s="26">
        <v>4</v>
      </c>
      <c r="PYX138" s="26" t="s">
        <v>794</v>
      </c>
      <c r="PYY138" s="26">
        <v>4</v>
      </c>
      <c r="PYZ138" s="26" t="s">
        <v>794</v>
      </c>
      <c r="PZA138" s="26">
        <v>4</v>
      </c>
      <c r="PZB138" s="26" t="s">
        <v>794</v>
      </c>
      <c r="PZC138" s="26">
        <v>4</v>
      </c>
      <c r="PZD138" s="26" t="s">
        <v>794</v>
      </c>
      <c r="PZE138" s="26">
        <v>4</v>
      </c>
      <c r="PZF138" s="26" t="s">
        <v>794</v>
      </c>
      <c r="PZG138" s="26">
        <v>4</v>
      </c>
      <c r="PZH138" s="26" t="s">
        <v>794</v>
      </c>
      <c r="PZI138" s="26">
        <v>4</v>
      </c>
      <c r="PZJ138" s="26" t="s">
        <v>794</v>
      </c>
      <c r="PZK138" s="26">
        <v>4</v>
      </c>
      <c r="PZL138" s="26" t="s">
        <v>794</v>
      </c>
      <c r="PZM138" s="26">
        <v>4</v>
      </c>
      <c r="PZN138" s="26" t="s">
        <v>794</v>
      </c>
      <c r="PZO138" s="26">
        <v>4</v>
      </c>
      <c r="PZP138" s="26" t="s">
        <v>794</v>
      </c>
      <c r="PZQ138" s="26">
        <v>4</v>
      </c>
      <c r="PZR138" s="26" t="s">
        <v>794</v>
      </c>
      <c r="PZS138" s="26">
        <v>4</v>
      </c>
      <c r="PZT138" s="26" t="s">
        <v>794</v>
      </c>
      <c r="PZU138" s="26">
        <v>4</v>
      </c>
      <c r="PZV138" s="26" t="s">
        <v>794</v>
      </c>
      <c r="PZW138" s="26">
        <v>4</v>
      </c>
      <c r="PZX138" s="26" t="s">
        <v>794</v>
      </c>
      <c r="PZY138" s="26">
        <v>4</v>
      </c>
      <c r="PZZ138" s="26" t="s">
        <v>794</v>
      </c>
      <c r="QAA138" s="26">
        <v>4</v>
      </c>
      <c r="QAB138" s="26" t="s">
        <v>794</v>
      </c>
      <c r="QAC138" s="26">
        <v>4</v>
      </c>
      <c r="QAD138" s="26" t="s">
        <v>794</v>
      </c>
      <c r="QAE138" s="26">
        <v>4</v>
      </c>
      <c r="QAF138" s="26" t="s">
        <v>794</v>
      </c>
      <c r="QAG138" s="26">
        <v>4</v>
      </c>
      <c r="QAH138" s="26" t="s">
        <v>794</v>
      </c>
      <c r="QAI138" s="26">
        <v>4</v>
      </c>
      <c r="QAJ138" s="26" t="s">
        <v>794</v>
      </c>
      <c r="QAK138" s="26">
        <v>4</v>
      </c>
      <c r="QAL138" s="26" t="s">
        <v>794</v>
      </c>
      <c r="QAM138" s="26">
        <v>4</v>
      </c>
      <c r="QAN138" s="26" t="s">
        <v>794</v>
      </c>
      <c r="QAO138" s="26">
        <v>4</v>
      </c>
      <c r="QAP138" s="26" t="s">
        <v>794</v>
      </c>
      <c r="QAQ138" s="26">
        <v>4</v>
      </c>
      <c r="QAR138" s="26" t="s">
        <v>794</v>
      </c>
      <c r="QAS138" s="26">
        <v>4</v>
      </c>
      <c r="QAT138" s="26" t="s">
        <v>794</v>
      </c>
      <c r="QAU138" s="26">
        <v>4</v>
      </c>
      <c r="QAV138" s="26" t="s">
        <v>794</v>
      </c>
      <c r="QAW138" s="26">
        <v>4</v>
      </c>
      <c r="QAX138" s="26" t="s">
        <v>794</v>
      </c>
      <c r="QAY138" s="26">
        <v>4</v>
      </c>
      <c r="QAZ138" s="26" t="s">
        <v>794</v>
      </c>
      <c r="QBA138" s="26">
        <v>4</v>
      </c>
      <c r="QBB138" s="26" t="s">
        <v>794</v>
      </c>
      <c r="QBC138" s="26">
        <v>4</v>
      </c>
      <c r="QBD138" s="26" t="s">
        <v>794</v>
      </c>
      <c r="QBE138" s="26">
        <v>4</v>
      </c>
      <c r="QBF138" s="26" t="s">
        <v>794</v>
      </c>
      <c r="QBG138" s="26">
        <v>4</v>
      </c>
      <c r="QBH138" s="26" t="s">
        <v>794</v>
      </c>
      <c r="QBI138" s="26">
        <v>4</v>
      </c>
      <c r="QBJ138" s="26" t="s">
        <v>794</v>
      </c>
      <c r="QBK138" s="26">
        <v>4</v>
      </c>
      <c r="QBL138" s="26" t="s">
        <v>794</v>
      </c>
      <c r="QBM138" s="26">
        <v>4</v>
      </c>
      <c r="QBN138" s="26" t="s">
        <v>794</v>
      </c>
      <c r="QBO138" s="26">
        <v>4</v>
      </c>
      <c r="QBP138" s="26" t="s">
        <v>794</v>
      </c>
      <c r="QBQ138" s="26">
        <v>4</v>
      </c>
      <c r="QBR138" s="26" t="s">
        <v>794</v>
      </c>
      <c r="QBS138" s="26">
        <v>4</v>
      </c>
      <c r="QBT138" s="26" t="s">
        <v>794</v>
      </c>
      <c r="QBU138" s="26">
        <v>4</v>
      </c>
      <c r="QBV138" s="26" t="s">
        <v>794</v>
      </c>
      <c r="QBW138" s="26">
        <v>4</v>
      </c>
      <c r="QBX138" s="26" t="s">
        <v>794</v>
      </c>
      <c r="QBY138" s="26">
        <v>4</v>
      </c>
      <c r="QBZ138" s="26" t="s">
        <v>794</v>
      </c>
      <c r="QCA138" s="26">
        <v>4</v>
      </c>
      <c r="QCB138" s="26" t="s">
        <v>794</v>
      </c>
      <c r="QCC138" s="26">
        <v>4</v>
      </c>
      <c r="QCD138" s="26" t="s">
        <v>794</v>
      </c>
      <c r="QCE138" s="26">
        <v>4</v>
      </c>
      <c r="QCF138" s="26" t="s">
        <v>794</v>
      </c>
      <c r="QCG138" s="26">
        <v>4</v>
      </c>
      <c r="QCH138" s="26" t="s">
        <v>794</v>
      </c>
      <c r="QCI138" s="26">
        <v>4</v>
      </c>
      <c r="QCJ138" s="26" t="s">
        <v>794</v>
      </c>
      <c r="QCK138" s="26">
        <v>4</v>
      </c>
      <c r="QCL138" s="26" t="s">
        <v>794</v>
      </c>
      <c r="QCM138" s="26">
        <v>4</v>
      </c>
      <c r="QCN138" s="26" t="s">
        <v>794</v>
      </c>
      <c r="QCO138" s="26">
        <v>4</v>
      </c>
      <c r="QCP138" s="26" t="s">
        <v>794</v>
      </c>
      <c r="QCQ138" s="26">
        <v>4</v>
      </c>
      <c r="QCR138" s="26" t="s">
        <v>794</v>
      </c>
      <c r="QCS138" s="26">
        <v>4</v>
      </c>
      <c r="QCT138" s="26" t="s">
        <v>794</v>
      </c>
      <c r="QCU138" s="26">
        <v>4</v>
      </c>
      <c r="QCV138" s="26" t="s">
        <v>794</v>
      </c>
      <c r="QCW138" s="26">
        <v>4</v>
      </c>
      <c r="QCX138" s="26" t="s">
        <v>794</v>
      </c>
      <c r="QCY138" s="26">
        <v>4</v>
      </c>
      <c r="QCZ138" s="26" t="s">
        <v>794</v>
      </c>
      <c r="QDA138" s="26">
        <v>4</v>
      </c>
      <c r="QDB138" s="26" t="s">
        <v>794</v>
      </c>
      <c r="QDC138" s="26">
        <v>4</v>
      </c>
      <c r="QDD138" s="26" t="s">
        <v>794</v>
      </c>
      <c r="QDE138" s="26">
        <v>4</v>
      </c>
      <c r="QDF138" s="26" t="s">
        <v>794</v>
      </c>
      <c r="QDG138" s="26">
        <v>4</v>
      </c>
      <c r="QDH138" s="26" t="s">
        <v>794</v>
      </c>
      <c r="QDI138" s="26">
        <v>4</v>
      </c>
      <c r="QDJ138" s="26" t="s">
        <v>794</v>
      </c>
      <c r="QDK138" s="26">
        <v>4</v>
      </c>
      <c r="QDL138" s="26" t="s">
        <v>794</v>
      </c>
      <c r="QDM138" s="26">
        <v>4</v>
      </c>
      <c r="QDN138" s="26" t="s">
        <v>794</v>
      </c>
      <c r="QDO138" s="26">
        <v>4</v>
      </c>
      <c r="QDP138" s="26" t="s">
        <v>794</v>
      </c>
      <c r="QDQ138" s="26">
        <v>4</v>
      </c>
      <c r="QDR138" s="26" t="s">
        <v>794</v>
      </c>
      <c r="QDS138" s="26">
        <v>4</v>
      </c>
      <c r="QDT138" s="26" t="s">
        <v>794</v>
      </c>
      <c r="QDU138" s="26">
        <v>4</v>
      </c>
      <c r="QDV138" s="26" t="s">
        <v>794</v>
      </c>
      <c r="QDW138" s="26">
        <v>4</v>
      </c>
      <c r="QDX138" s="26" t="s">
        <v>794</v>
      </c>
      <c r="QDY138" s="26">
        <v>4</v>
      </c>
      <c r="QDZ138" s="26" t="s">
        <v>794</v>
      </c>
      <c r="QEA138" s="26">
        <v>4</v>
      </c>
      <c r="QEB138" s="26" t="s">
        <v>794</v>
      </c>
      <c r="QEC138" s="26">
        <v>4</v>
      </c>
      <c r="QED138" s="26" t="s">
        <v>794</v>
      </c>
      <c r="QEE138" s="26">
        <v>4</v>
      </c>
      <c r="QEF138" s="26" t="s">
        <v>794</v>
      </c>
      <c r="QEG138" s="26">
        <v>4</v>
      </c>
      <c r="QEH138" s="26" t="s">
        <v>794</v>
      </c>
      <c r="QEI138" s="26">
        <v>4</v>
      </c>
      <c r="QEJ138" s="26" t="s">
        <v>794</v>
      </c>
      <c r="QEK138" s="26">
        <v>4</v>
      </c>
      <c r="QEL138" s="26" t="s">
        <v>794</v>
      </c>
      <c r="QEM138" s="26">
        <v>4</v>
      </c>
      <c r="QEN138" s="26" t="s">
        <v>794</v>
      </c>
      <c r="QEO138" s="26">
        <v>4</v>
      </c>
      <c r="QEP138" s="26" t="s">
        <v>794</v>
      </c>
      <c r="QEQ138" s="26">
        <v>4</v>
      </c>
      <c r="QER138" s="26" t="s">
        <v>794</v>
      </c>
      <c r="QES138" s="26">
        <v>4</v>
      </c>
      <c r="QET138" s="26" t="s">
        <v>794</v>
      </c>
      <c r="QEU138" s="26">
        <v>4</v>
      </c>
      <c r="QEV138" s="26" t="s">
        <v>794</v>
      </c>
      <c r="QEW138" s="26">
        <v>4</v>
      </c>
      <c r="QEX138" s="26" t="s">
        <v>794</v>
      </c>
      <c r="QEY138" s="26">
        <v>4</v>
      </c>
      <c r="QEZ138" s="26" t="s">
        <v>794</v>
      </c>
      <c r="QFA138" s="26">
        <v>4</v>
      </c>
      <c r="QFB138" s="26" t="s">
        <v>794</v>
      </c>
      <c r="QFC138" s="26">
        <v>4</v>
      </c>
      <c r="QFD138" s="26" t="s">
        <v>794</v>
      </c>
      <c r="QFE138" s="26">
        <v>4</v>
      </c>
      <c r="QFF138" s="26" t="s">
        <v>794</v>
      </c>
      <c r="QFG138" s="26">
        <v>4</v>
      </c>
      <c r="QFH138" s="26" t="s">
        <v>794</v>
      </c>
      <c r="QFI138" s="26">
        <v>4</v>
      </c>
      <c r="QFJ138" s="26" t="s">
        <v>794</v>
      </c>
      <c r="QFK138" s="26">
        <v>4</v>
      </c>
      <c r="QFL138" s="26" t="s">
        <v>794</v>
      </c>
      <c r="QFM138" s="26">
        <v>4</v>
      </c>
      <c r="QFN138" s="26" t="s">
        <v>794</v>
      </c>
      <c r="QFO138" s="26">
        <v>4</v>
      </c>
      <c r="QFP138" s="26" t="s">
        <v>794</v>
      </c>
      <c r="QFQ138" s="26">
        <v>4</v>
      </c>
      <c r="QFR138" s="26" t="s">
        <v>794</v>
      </c>
      <c r="QFS138" s="26">
        <v>4</v>
      </c>
      <c r="QFT138" s="26" t="s">
        <v>794</v>
      </c>
      <c r="QFU138" s="26">
        <v>4</v>
      </c>
      <c r="QFV138" s="26" t="s">
        <v>794</v>
      </c>
      <c r="QFW138" s="26">
        <v>4</v>
      </c>
      <c r="QFX138" s="26" t="s">
        <v>794</v>
      </c>
      <c r="QFY138" s="26">
        <v>4</v>
      </c>
      <c r="QFZ138" s="26" t="s">
        <v>794</v>
      </c>
      <c r="QGA138" s="26">
        <v>4</v>
      </c>
      <c r="QGB138" s="26" t="s">
        <v>794</v>
      </c>
      <c r="QGC138" s="26">
        <v>4</v>
      </c>
      <c r="QGD138" s="26" t="s">
        <v>794</v>
      </c>
      <c r="QGE138" s="26">
        <v>4</v>
      </c>
      <c r="QGF138" s="26" t="s">
        <v>794</v>
      </c>
      <c r="QGG138" s="26">
        <v>4</v>
      </c>
      <c r="QGH138" s="26" t="s">
        <v>794</v>
      </c>
      <c r="QGI138" s="26">
        <v>4</v>
      </c>
      <c r="QGJ138" s="26" t="s">
        <v>794</v>
      </c>
      <c r="QGK138" s="26">
        <v>4</v>
      </c>
      <c r="QGL138" s="26" t="s">
        <v>794</v>
      </c>
      <c r="QGM138" s="26">
        <v>4</v>
      </c>
      <c r="QGN138" s="26" t="s">
        <v>794</v>
      </c>
      <c r="QGO138" s="26">
        <v>4</v>
      </c>
      <c r="QGP138" s="26" t="s">
        <v>794</v>
      </c>
      <c r="QGQ138" s="26">
        <v>4</v>
      </c>
      <c r="QGR138" s="26" t="s">
        <v>794</v>
      </c>
      <c r="QGS138" s="26">
        <v>4</v>
      </c>
      <c r="QGT138" s="26" t="s">
        <v>794</v>
      </c>
      <c r="QGU138" s="26">
        <v>4</v>
      </c>
      <c r="QGV138" s="26" t="s">
        <v>794</v>
      </c>
      <c r="QGW138" s="26">
        <v>4</v>
      </c>
      <c r="QGX138" s="26" t="s">
        <v>794</v>
      </c>
      <c r="QGY138" s="26">
        <v>4</v>
      </c>
      <c r="QGZ138" s="26" t="s">
        <v>794</v>
      </c>
      <c r="QHA138" s="26">
        <v>4</v>
      </c>
      <c r="QHB138" s="26" t="s">
        <v>794</v>
      </c>
      <c r="QHC138" s="26">
        <v>4</v>
      </c>
      <c r="QHD138" s="26" t="s">
        <v>794</v>
      </c>
      <c r="QHE138" s="26">
        <v>4</v>
      </c>
      <c r="QHF138" s="26" t="s">
        <v>794</v>
      </c>
      <c r="QHG138" s="26">
        <v>4</v>
      </c>
      <c r="QHH138" s="26" t="s">
        <v>794</v>
      </c>
      <c r="QHI138" s="26">
        <v>4</v>
      </c>
      <c r="QHJ138" s="26" t="s">
        <v>794</v>
      </c>
      <c r="QHK138" s="26">
        <v>4</v>
      </c>
      <c r="QHL138" s="26" t="s">
        <v>794</v>
      </c>
      <c r="QHM138" s="26">
        <v>4</v>
      </c>
      <c r="QHN138" s="26" t="s">
        <v>794</v>
      </c>
      <c r="QHO138" s="26">
        <v>4</v>
      </c>
      <c r="QHP138" s="26" t="s">
        <v>794</v>
      </c>
      <c r="QHQ138" s="26">
        <v>4</v>
      </c>
      <c r="QHR138" s="26" t="s">
        <v>794</v>
      </c>
      <c r="QHS138" s="26">
        <v>4</v>
      </c>
      <c r="QHT138" s="26" t="s">
        <v>794</v>
      </c>
      <c r="QHU138" s="26">
        <v>4</v>
      </c>
      <c r="QHV138" s="26" t="s">
        <v>794</v>
      </c>
      <c r="QHW138" s="26">
        <v>4</v>
      </c>
      <c r="QHX138" s="26" t="s">
        <v>794</v>
      </c>
      <c r="QHY138" s="26">
        <v>4</v>
      </c>
      <c r="QHZ138" s="26" t="s">
        <v>794</v>
      </c>
      <c r="QIA138" s="26">
        <v>4</v>
      </c>
      <c r="QIB138" s="26" t="s">
        <v>794</v>
      </c>
      <c r="QIC138" s="26">
        <v>4</v>
      </c>
      <c r="QID138" s="26" t="s">
        <v>794</v>
      </c>
      <c r="QIE138" s="26">
        <v>4</v>
      </c>
      <c r="QIF138" s="26" t="s">
        <v>794</v>
      </c>
      <c r="QIG138" s="26">
        <v>4</v>
      </c>
      <c r="QIH138" s="26" t="s">
        <v>794</v>
      </c>
      <c r="QII138" s="26">
        <v>4</v>
      </c>
      <c r="QIJ138" s="26" t="s">
        <v>794</v>
      </c>
      <c r="QIK138" s="26">
        <v>4</v>
      </c>
      <c r="QIL138" s="26" t="s">
        <v>794</v>
      </c>
      <c r="QIM138" s="26">
        <v>4</v>
      </c>
      <c r="QIN138" s="26" t="s">
        <v>794</v>
      </c>
      <c r="QIO138" s="26">
        <v>4</v>
      </c>
      <c r="QIP138" s="26" t="s">
        <v>794</v>
      </c>
      <c r="QIQ138" s="26">
        <v>4</v>
      </c>
      <c r="QIR138" s="26" t="s">
        <v>794</v>
      </c>
      <c r="QIS138" s="26">
        <v>4</v>
      </c>
      <c r="QIT138" s="26" t="s">
        <v>794</v>
      </c>
      <c r="QIU138" s="26">
        <v>4</v>
      </c>
      <c r="QIV138" s="26" t="s">
        <v>794</v>
      </c>
      <c r="QIW138" s="26">
        <v>4</v>
      </c>
      <c r="QIX138" s="26" t="s">
        <v>794</v>
      </c>
      <c r="QIY138" s="26">
        <v>4</v>
      </c>
      <c r="QIZ138" s="26" t="s">
        <v>794</v>
      </c>
      <c r="QJA138" s="26">
        <v>4</v>
      </c>
      <c r="QJB138" s="26" t="s">
        <v>794</v>
      </c>
      <c r="QJC138" s="26">
        <v>4</v>
      </c>
      <c r="QJD138" s="26" t="s">
        <v>794</v>
      </c>
      <c r="QJE138" s="26">
        <v>4</v>
      </c>
      <c r="QJF138" s="26" t="s">
        <v>794</v>
      </c>
      <c r="QJG138" s="26">
        <v>4</v>
      </c>
      <c r="QJH138" s="26" t="s">
        <v>794</v>
      </c>
      <c r="QJI138" s="26">
        <v>4</v>
      </c>
      <c r="QJJ138" s="26" t="s">
        <v>794</v>
      </c>
      <c r="QJK138" s="26">
        <v>4</v>
      </c>
      <c r="QJL138" s="26" t="s">
        <v>794</v>
      </c>
      <c r="QJM138" s="26">
        <v>4</v>
      </c>
      <c r="QJN138" s="26" t="s">
        <v>794</v>
      </c>
      <c r="QJO138" s="26">
        <v>4</v>
      </c>
      <c r="QJP138" s="26" t="s">
        <v>794</v>
      </c>
      <c r="QJQ138" s="26">
        <v>4</v>
      </c>
      <c r="QJR138" s="26" t="s">
        <v>794</v>
      </c>
      <c r="QJS138" s="26">
        <v>4</v>
      </c>
      <c r="QJT138" s="26" t="s">
        <v>794</v>
      </c>
      <c r="QJU138" s="26">
        <v>4</v>
      </c>
      <c r="QJV138" s="26" t="s">
        <v>794</v>
      </c>
      <c r="QJW138" s="26">
        <v>4</v>
      </c>
      <c r="QJX138" s="26" t="s">
        <v>794</v>
      </c>
      <c r="QJY138" s="26">
        <v>4</v>
      </c>
      <c r="QJZ138" s="26" t="s">
        <v>794</v>
      </c>
      <c r="QKA138" s="26">
        <v>4</v>
      </c>
      <c r="QKB138" s="26" t="s">
        <v>794</v>
      </c>
      <c r="QKC138" s="26">
        <v>4</v>
      </c>
      <c r="QKD138" s="26" t="s">
        <v>794</v>
      </c>
      <c r="QKE138" s="26">
        <v>4</v>
      </c>
      <c r="QKF138" s="26" t="s">
        <v>794</v>
      </c>
      <c r="QKG138" s="26">
        <v>4</v>
      </c>
      <c r="QKH138" s="26" t="s">
        <v>794</v>
      </c>
      <c r="QKI138" s="26">
        <v>4</v>
      </c>
      <c r="QKJ138" s="26" t="s">
        <v>794</v>
      </c>
      <c r="QKK138" s="26">
        <v>4</v>
      </c>
      <c r="QKL138" s="26" t="s">
        <v>794</v>
      </c>
      <c r="QKM138" s="26">
        <v>4</v>
      </c>
      <c r="QKN138" s="26" t="s">
        <v>794</v>
      </c>
      <c r="QKO138" s="26">
        <v>4</v>
      </c>
      <c r="QKP138" s="26" t="s">
        <v>794</v>
      </c>
      <c r="QKQ138" s="26">
        <v>4</v>
      </c>
      <c r="QKR138" s="26" t="s">
        <v>794</v>
      </c>
      <c r="QKS138" s="26">
        <v>4</v>
      </c>
      <c r="QKT138" s="26" t="s">
        <v>794</v>
      </c>
      <c r="QKU138" s="26">
        <v>4</v>
      </c>
      <c r="QKV138" s="26" t="s">
        <v>794</v>
      </c>
      <c r="QKW138" s="26">
        <v>4</v>
      </c>
      <c r="QKX138" s="26" t="s">
        <v>794</v>
      </c>
      <c r="QKY138" s="26">
        <v>4</v>
      </c>
      <c r="QKZ138" s="26" t="s">
        <v>794</v>
      </c>
      <c r="QLA138" s="26">
        <v>4</v>
      </c>
      <c r="QLB138" s="26" t="s">
        <v>794</v>
      </c>
      <c r="QLC138" s="26">
        <v>4</v>
      </c>
      <c r="QLD138" s="26" t="s">
        <v>794</v>
      </c>
      <c r="QLE138" s="26">
        <v>4</v>
      </c>
      <c r="QLF138" s="26" t="s">
        <v>794</v>
      </c>
      <c r="QLG138" s="26">
        <v>4</v>
      </c>
      <c r="QLH138" s="26" t="s">
        <v>794</v>
      </c>
      <c r="QLI138" s="26">
        <v>4</v>
      </c>
      <c r="QLJ138" s="26" t="s">
        <v>794</v>
      </c>
      <c r="QLK138" s="26">
        <v>4</v>
      </c>
      <c r="QLL138" s="26" t="s">
        <v>794</v>
      </c>
      <c r="QLM138" s="26">
        <v>4</v>
      </c>
      <c r="QLN138" s="26" t="s">
        <v>794</v>
      </c>
      <c r="QLO138" s="26">
        <v>4</v>
      </c>
      <c r="QLP138" s="26" t="s">
        <v>794</v>
      </c>
      <c r="QLQ138" s="26">
        <v>4</v>
      </c>
      <c r="QLR138" s="26" t="s">
        <v>794</v>
      </c>
      <c r="QLS138" s="26">
        <v>4</v>
      </c>
      <c r="QLT138" s="26" t="s">
        <v>794</v>
      </c>
      <c r="QLU138" s="26">
        <v>4</v>
      </c>
      <c r="QLV138" s="26" t="s">
        <v>794</v>
      </c>
      <c r="QLW138" s="26">
        <v>4</v>
      </c>
      <c r="QLX138" s="26" t="s">
        <v>794</v>
      </c>
      <c r="QLY138" s="26">
        <v>4</v>
      </c>
      <c r="QLZ138" s="26" t="s">
        <v>794</v>
      </c>
      <c r="QMA138" s="26">
        <v>4</v>
      </c>
      <c r="QMB138" s="26" t="s">
        <v>794</v>
      </c>
      <c r="QMC138" s="26">
        <v>4</v>
      </c>
      <c r="QMD138" s="26" t="s">
        <v>794</v>
      </c>
      <c r="QME138" s="26">
        <v>4</v>
      </c>
      <c r="QMF138" s="26" t="s">
        <v>794</v>
      </c>
      <c r="QMG138" s="26">
        <v>4</v>
      </c>
      <c r="QMH138" s="26" t="s">
        <v>794</v>
      </c>
      <c r="QMI138" s="26">
        <v>4</v>
      </c>
      <c r="QMJ138" s="26" t="s">
        <v>794</v>
      </c>
      <c r="QMK138" s="26">
        <v>4</v>
      </c>
      <c r="QML138" s="26" t="s">
        <v>794</v>
      </c>
      <c r="QMM138" s="26">
        <v>4</v>
      </c>
      <c r="QMN138" s="26" t="s">
        <v>794</v>
      </c>
      <c r="QMO138" s="26">
        <v>4</v>
      </c>
      <c r="QMP138" s="26" t="s">
        <v>794</v>
      </c>
      <c r="QMQ138" s="26">
        <v>4</v>
      </c>
      <c r="QMR138" s="26" t="s">
        <v>794</v>
      </c>
      <c r="QMS138" s="26">
        <v>4</v>
      </c>
      <c r="QMT138" s="26" t="s">
        <v>794</v>
      </c>
      <c r="QMU138" s="26">
        <v>4</v>
      </c>
      <c r="QMV138" s="26" t="s">
        <v>794</v>
      </c>
      <c r="QMW138" s="26">
        <v>4</v>
      </c>
      <c r="QMX138" s="26" t="s">
        <v>794</v>
      </c>
      <c r="QMY138" s="26">
        <v>4</v>
      </c>
      <c r="QMZ138" s="26" t="s">
        <v>794</v>
      </c>
      <c r="QNA138" s="26">
        <v>4</v>
      </c>
      <c r="QNB138" s="26" t="s">
        <v>794</v>
      </c>
      <c r="QNC138" s="26">
        <v>4</v>
      </c>
      <c r="QND138" s="26" t="s">
        <v>794</v>
      </c>
      <c r="QNE138" s="26">
        <v>4</v>
      </c>
      <c r="QNF138" s="26" t="s">
        <v>794</v>
      </c>
      <c r="QNG138" s="26">
        <v>4</v>
      </c>
      <c r="QNH138" s="26" t="s">
        <v>794</v>
      </c>
      <c r="QNI138" s="26">
        <v>4</v>
      </c>
      <c r="QNJ138" s="26" t="s">
        <v>794</v>
      </c>
      <c r="QNK138" s="26">
        <v>4</v>
      </c>
      <c r="QNL138" s="26" t="s">
        <v>794</v>
      </c>
      <c r="QNM138" s="26">
        <v>4</v>
      </c>
      <c r="QNN138" s="26" t="s">
        <v>794</v>
      </c>
      <c r="QNO138" s="26">
        <v>4</v>
      </c>
      <c r="QNP138" s="26" t="s">
        <v>794</v>
      </c>
      <c r="QNQ138" s="26">
        <v>4</v>
      </c>
      <c r="QNR138" s="26" t="s">
        <v>794</v>
      </c>
      <c r="QNS138" s="26">
        <v>4</v>
      </c>
      <c r="QNT138" s="26" t="s">
        <v>794</v>
      </c>
      <c r="QNU138" s="26">
        <v>4</v>
      </c>
      <c r="QNV138" s="26" t="s">
        <v>794</v>
      </c>
      <c r="QNW138" s="26">
        <v>4</v>
      </c>
      <c r="QNX138" s="26" t="s">
        <v>794</v>
      </c>
      <c r="QNY138" s="26">
        <v>4</v>
      </c>
      <c r="QNZ138" s="26" t="s">
        <v>794</v>
      </c>
      <c r="QOA138" s="26">
        <v>4</v>
      </c>
      <c r="QOB138" s="26" t="s">
        <v>794</v>
      </c>
      <c r="QOC138" s="26">
        <v>4</v>
      </c>
      <c r="QOD138" s="26" t="s">
        <v>794</v>
      </c>
      <c r="QOE138" s="26">
        <v>4</v>
      </c>
      <c r="QOF138" s="26" t="s">
        <v>794</v>
      </c>
      <c r="QOG138" s="26">
        <v>4</v>
      </c>
      <c r="QOH138" s="26" t="s">
        <v>794</v>
      </c>
      <c r="QOI138" s="26">
        <v>4</v>
      </c>
      <c r="QOJ138" s="26" t="s">
        <v>794</v>
      </c>
      <c r="QOK138" s="26">
        <v>4</v>
      </c>
      <c r="QOL138" s="26" t="s">
        <v>794</v>
      </c>
      <c r="QOM138" s="26">
        <v>4</v>
      </c>
      <c r="QON138" s="26" t="s">
        <v>794</v>
      </c>
      <c r="QOO138" s="26">
        <v>4</v>
      </c>
      <c r="QOP138" s="26" t="s">
        <v>794</v>
      </c>
      <c r="QOQ138" s="26">
        <v>4</v>
      </c>
      <c r="QOR138" s="26" t="s">
        <v>794</v>
      </c>
      <c r="QOS138" s="26">
        <v>4</v>
      </c>
      <c r="QOT138" s="26" t="s">
        <v>794</v>
      </c>
      <c r="QOU138" s="26">
        <v>4</v>
      </c>
      <c r="QOV138" s="26" t="s">
        <v>794</v>
      </c>
      <c r="QOW138" s="26">
        <v>4</v>
      </c>
      <c r="QOX138" s="26" t="s">
        <v>794</v>
      </c>
      <c r="QOY138" s="26">
        <v>4</v>
      </c>
      <c r="QOZ138" s="26" t="s">
        <v>794</v>
      </c>
      <c r="QPA138" s="26">
        <v>4</v>
      </c>
      <c r="QPB138" s="26" t="s">
        <v>794</v>
      </c>
      <c r="QPC138" s="26">
        <v>4</v>
      </c>
      <c r="QPD138" s="26" t="s">
        <v>794</v>
      </c>
      <c r="QPE138" s="26">
        <v>4</v>
      </c>
      <c r="QPF138" s="26" t="s">
        <v>794</v>
      </c>
      <c r="QPG138" s="26">
        <v>4</v>
      </c>
      <c r="QPH138" s="26" t="s">
        <v>794</v>
      </c>
      <c r="QPI138" s="26">
        <v>4</v>
      </c>
      <c r="QPJ138" s="26" t="s">
        <v>794</v>
      </c>
      <c r="QPK138" s="26">
        <v>4</v>
      </c>
      <c r="QPL138" s="26" t="s">
        <v>794</v>
      </c>
      <c r="QPM138" s="26">
        <v>4</v>
      </c>
      <c r="QPN138" s="26" t="s">
        <v>794</v>
      </c>
      <c r="QPO138" s="26">
        <v>4</v>
      </c>
      <c r="QPP138" s="26" t="s">
        <v>794</v>
      </c>
      <c r="QPQ138" s="26">
        <v>4</v>
      </c>
      <c r="QPR138" s="26" t="s">
        <v>794</v>
      </c>
      <c r="QPS138" s="26">
        <v>4</v>
      </c>
      <c r="QPT138" s="26" t="s">
        <v>794</v>
      </c>
      <c r="QPU138" s="26">
        <v>4</v>
      </c>
      <c r="QPV138" s="26" t="s">
        <v>794</v>
      </c>
      <c r="QPW138" s="26">
        <v>4</v>
      </c>
      <c r="QPX138" s="26" t="s">
        <v>794</v>
      </c>
      <c r="QPY138" s="26">
        <v>4</v>
      </c>
      <c r="QPZ138" s="26" t="s">
        <v>794</v>
      </c>
      <c r="QQA138" s="26">
        <v>4</v>
      </c>
      <c r="QQB138" s="26" t="s">
        <v>794</v>
      </c>
      <c r="QQC138" s="26">
        <v>4</v>
      </c>
      <c r="QQD138" s="26" t="s">
        <v>794</v>
      </c>
      <c r="QQE138" s="26">
        <v>4</v>
      </c>
      <c r="QQF138" s="26" t="s">
        <v>794</v>
      </c>
      <c r="QQG138" s="26">
        <v>4</v>
      </c>
      <c r="QQH138" s="26" t="s">
        <v>794</v>
      </c>
      <c r="QQI138" s="26">
        <v>4</v>
      </c>
      <c r="QQJ138" s="26" t="s">
        <v>794</v>
      </c>
      <c r="QQK138" s="26">
        <v>4</v>
      </c>
      <c r="QQL138" s="26" t="s">
        <v>794</v>
      </c>
      <c r="QQM138" s="26">
        <v>4</v>
      </c>
      <c r="QQN138" s="26" t="s">
        <v>794</v>
      </c>
      <c r="QQO138" s="26">
        <v>4</v>
      </c>
      <c r="QQP138" s="26" t="s">
        <v>794</v>
      </c>
      <c r="QQQ138" s="26">
        <v>4</v>
      </c>
      <c r="QQR138" s="26" t="s">
        <v>794</v>
      </c>
      <c r="QQS138" s="26">
        <v>4</v>
      </c>
      <c r="QQT138" s="26" t="s">
        <v>794</v>
      </c>
      <c r="QQU138" s="26">
        <v>4</v>
      </c>
      <c r="QQV138" s="26" t="s">
        <v>794</v>
      </c>
      <c r="QQW138" s="26">
        <v>4</v>
      </c>
      <c r="QQX138" s="26" t="s">
        <v>794</v>
      </c>
      <c r="QQY138" s="26">
        <v>4</v>
      </c>
      <c r="QQZ138" s="26" t="s">
        <v>794</v>
      </c>
      <c r="QRA138" s="26">
        <v>4</v>
      </c>
      <c r="QRB138" s="26" t="s">
        <v>794</v>
      </c>
      <c r="QRC138" s="26">
        <v>4</v>
      </c>
      <c r="QRD138" s="26" t="s">
        <v>794</v>
      </c>
      <c r="QRE138" s="26">
        <v>4</v>
      </c>
      <c r="QRF138" s="26" t="s">
        <v>794</v>
      </c>
      <c r="QRG138" s="26">
        <v>4</v>
      </c>
      <c r="QRH138" s="26" t="s">
        <v>794</v>
      </c>
      <c r="QRI138" s="26">
        <v>4</v>
      </c>
      <c r="QRJ138" s="26" t="s">
        <v>794</v>
      </c>
      <c r="QRK138" s="26">
        <v>4</v>
      </c>
      <c r="QRL138" s="26" t="s">
        <v>794</v>
      </c>
      <c r="QRM138" s="26">
        <v>4</v>
      </c>
      <c r="QRN138" s="26" t="s">
        <v>794</v>
      </c>
      <c r="QRO138" s="26">
        <v>4</v>
      </c>
      <c r="QRP138" s="26" t="s">
        <v>794</v>
      </c>
      <c r="QRQ138" s="26">
        <v>4</v>
      </c>
      <c r="QRR138" s="26" t="s">
        <v>794</v>
      </c>
      <c r="QRS138" s="26">
        <v>4</v>
      </c>
      <c r="QRT138" s="26" t="s">
        <v>794</v>
      </c>
      <c r="QRU138" s="26">
        <v>4</v>
      </c>
      <c r="QRV138" s="26" t="s">
        <v>794</v>
      </c>
      <c r="QRW138" s="26">
        <v>4</v>
      </c>
      <c r="QRX138" s="26" t="s">
        <v>794</v>
      </c>
      <c r="QRY138" s="26">
        <v>4</v>
      </c>
      <c r="QRZ138" s="26" t="s">
        <v>794</v>
      </c>
      <c r="QSA138" s="26">
        <v>4</v>
      </c>
      <c r="QSB138" s="26" t="s">
        <v>794</v>
      </c>
      <c r="QSC138" s="26">
        <v>4</v>
      </c>
      <c r="QSD138" s="26" t="s">
        <v>794</v>
      </c>
      <c r="QSE138" s="26">
        <v>4</v>
      </c>
      <c r="QSF138" s="26" t="s">
        <v>794</v>
      </c>
      <c r="QSG138" s="26">
        <v>4</v>
      </c>
      <c r="QSH138" s="26" t="s">
        <v>794</v>
      </c>
      <c r="QSI138" s="26">
        <v>4</v>
      </c>
      <c r="QSJ138" s="26" t="s">
        <v>794</v>
      </c>
      <c r="QSK138" s="26">
        <v>4</v>
      </c>
      <c r="QSL138" s="26" t="s">
        <v>794</v>
      </c>
      <c r="QSM138" s="26">
        <v>4</v>
      </c>
      <c r="QSN138" s="26" t="s">
        <v>794</v>
      </c>
      <c r="QSO138" s="26">
        <v>4</v>
      </c>
      <c r="QSP138" s="26" t="s">
        <v>794</v>
      </c>
      <c r="QSQ138" s="26">
        <v>4</v>
      </c>
      <c r="QSR138" s="26" t="s">
        <v>794</v>
      </c>
      <c r="QSS138" s="26">
        <v>4</v>
      </c>
      <c r="QST138" s="26" t="s">
        <v>794</v>
      </c>
      <c r="QSU138" s="26">
        <v>4</v>
      </c>
      <c r="QSV138" s="26" t="s">
        <v>794</v>
      </c>
      <c r="QSW138" s="26">
        <v>4</v>
      </c>
      <c r="QSX138" s="26" t="s">
        <v>794</v>
      </c>
      <c r="QSY138" s="26">
        <v>4</v>
      </c>
      <c r="QSZ138" s="26" t="s">
        <v>794</v>
      </c>
      <c r="QTA138" s="26">
        <v>4</v>
      </c>
      <c r="QTB138" s="26" t="s">
        <v>794</v>
      </c>
      <c r="QTC138" s="26">
        <v>4</v>
      </c>
      <c r="QTD138" s="26" t="s">
        <v>794</v>
      </c>
      <c r="QTE138" s="26">
        <v>4</v>
      </c>
      <c r="QTF138" s="26" t="s">
        <v>794</v>
      </c>
      <c r="QTG138" s="26">
        <v>4</v>
      </c>
      <c r="QTH138" s="26" t="s">
        <v>794</v>
      </c>
      <c r="QTI138" s="26">
        <v>4</v>
      </c>
      <c r="QTJ138" s="26" t="s">
        <v>794</v>
      </c>
      <c r="QTK138" s="26">
        <v>4</v>
      </c>
      <c r="QTL138" s="26" t="s">
        <v>794</v>
      </c>
      <c r="QTM138" s="26">
        <v>4</v>
      </c>
      <c r="QTN138" s="26" t="s">
        <v>794</v>
      </c>
      <c r="QTO138" s="26">
        <v>4</v>
      </c>
      <c r="QTP138" s="26" t="s">
        <v>794</v>
      </c>
      <c r="QTQ138" s="26">
        <v>4</v>
      </c>
      <c r="QTR138" s="26" t="s">
        <v>794</v>
      </c>
      <c r="QTS138" s="26">
        <v>4</v>
      </c>
      <c r="QTT138" s="26" t="s">
        <v>794</v>
      </c>
      <c r="QTU138" s="26">
        <v>4</v>
      </c>
      <c r="QTV138" s="26" t="s">
        <v>794</v>
      </c>
      <c r="QTW138" s="26">
        <v>4</v>
      </c>
      <c r="QTX138" s="26" t="s">
        <v>794</v>
      </c>
      <c r="QTY138" s="26">
        <v>4</v>
      </c>
      <c r="QTZ138" s="26" t="s">
        <v>794</v>
      </c>
      <c r="QUA138" s="26">
        <v>4</v>
      </c>
      <c r="QUB138" s="26" t="s">
        <v>794</v>
      </c>
      <c r="QUC138" s="26">
        <v>4</v>
      </c>
      <c r="QUD138" s="26" t="s">
        <v>794</v>
      </c>
      <c r="QUE138" s="26">
        <v>4</v>
      </c>
      <c r="QUF138" s="26" t="s">
        <v>794</v>
      </c>
      <c r="QUG138" s="26">
        <v>4</v>
      </c>
      <c r="QUH138" s="26" t="s">
        <v>794</v>
      </c>
      <c r="QUI138" s="26">
        <v>4</v>
      </c>
      <c r="QUJ138" s="26" t="s">
        <v>794</v>
      </c>
      <c r="QUK138" s="26">
        <v>4</v>
      </c>
      <c r="QUL138" s="26" t="s">
        <v>794</v>
      </c>
      <c r="QUM138" s="26">
        <v>4</v>
      </c>
      <c r="QUN138" s="26" t="s">
        <v>794</v>
      </c>
      <c r="QUO138" s="26">
        <v>4</v>
      </c>
      <c r="QUP138" s="26" t="s">
        <v>794</v>
      </c>
      <c r="QUQ138" s="26">
        <v>4</v>
      </c>
      <c r="QUR138" s="26" t="s">
        <v>794</v>
      </c>
      <c r="QUS138" s="26">
        <v>4</v>
      </c>
      <c r="QUT138" s="26" t="s">
        <v>794</v>
      </c>
      <c r="QUU138" s="26">
        <v>4</v>
      </c>
      <c r="QUV138" s="26" t="s">
        <v>794</v>
      </c>
      <c r="QUW138" s="26">
        <v>4</v>
      </c>
      <c r="QUX138" s="26" t="s">
        <v>794</v>
      </c>
      <c r="QUY138" s="26">
        <v>4</v>
      </c>
      <c r="QUZ138" s="26" t="s">
        <v>794</v>
      </c>
      <c r="QVA138" s="26">
        <v>4</v>
      </c>
      <c r="QVB138" s="26" t="s">
        <v>794</v>
      </c>
      <c r="QVC138" s="26">
        <v>4</v>
      </c>
      <c r="QVD138" s="26" t="s">
        <v>794</v>
      </c>
      <c r="QVE138" s="26">
        <v>4</v>
      </c>
      <c r="QVF138" s="26" t="s">
        <v>794</v>
      </c>
      <c r="QVG138" s="26">
        <v>4</v>
      </c>
      <c r="QVH138" s="26" t="s">
        <v>794</v>
      </c>
      <c r="QVI138" s="26">
        <v>4</v>
      </c>
      <c r="QVJ138" s="26" t="s">
        <v>794</v>
      </c>
      <c r="QVK138" s="26">
        <v>4</v>
      </c>
      <c r="QVL138" s="26" t="s">
        <v>794</v>
      </c>
      <c r="QVM138" s="26">
        <v>4</v>
      </c>
      <c r="QVN138" s="26" t="s">
        <v>794</v>
      </c>
      <c r="QVO138" s="26">
        <v>4</v>
      </c>
      <c r="QVP138" s="26" t="s">
        <v>794</v>
      </c>
      <c r="QVQ138" s="26">
        <v>4</v>
      </c>
      <c r="QVR138" s="26" t="s">
        <v>794</v>
      </c>
      <c r="QVS138" s="26">
        <v>4</v>
      </c>
      <c r="QVT138" s="26" t="s">
        <v>794</v>
      </c>
      <c r="QVU138" s="26">
        <v>4</v>
      </c>
      <c r="QVV138" s="26" t="s">
        <v>794</v>
      </c>
      <c r="QVW138" s="26">
        <v>4</v>
      </c>
      <c r="QVX138" s="26" t="s">
        <v>794</v>
      </c>
      <c r="QVY138" s="26">
        <v>4</v>
      </c>
      <c r="QVZ138" s="26" t="s">
        <v>794</v>
      </c>
      <c r="QWA138" s="26">
        <v>4</v>
      </c>
      <c r="QWB138" s="26" t="s">
        <v>794</v>
      </c>
      <c r="QWC138" s="26">
        <v>4</v>
      </c>
      <c r="QWD138" s="26" t="s">
        <v>794</v>
      </c>
      <c r="QWE138" s="26">
        <v>4</v>
      </c>
      <c r="QWF138" s="26" t="s">
        <v>794</v>
      </c>
      <c r="QWG138" s="26">
        <v>4</v>
      </c>
      <c r="QWH138" s="26" t="s">
        <v>794</v>
      </c>
      <c r="QWI138" s="26">
        <v>4</v>
      </c>
      <c r="QWJ138" s="26" t="s">
        <v>794</v>
      </c>
      <c r="QWK138" s="26">
        <v>4</v>
      </c>
      <c r="QWL138" s="26" t="s">
        <v>794</v>
      </c>
      <c r="QWM138" s="26">
        <v>4</v>
      </c>
      <c r="QWN138" s="26" t="s">
        <v>794</v>
      </c>
      <c r="QWO138" s="26">
        <v>4</v>
      </c>
      <c r="QWP138" s="26" t="s">
        <v>794</v>
      </c>
      <c r="QWQ138" s="26">
        <v>4</v>
      </c>
      <c r="QWR138" s="26" t="s">
        <v>794</v>
      </c>
      <c r="QWS138" s="26">
        <v>4</v>
      </c>
      <c r="QWT138" s="26" t="s">
        <v>794</v>
      </c>
      <c r="QWU138" s="26">
        <v>4</v>
      </c>
      <c r="QWV138" s="26" t="s">
        <v>794</v>
      </c>
      <c r="QWW138" s="26">
        <v>4</v>
      </c>
      <c r="QWX138" s="26" t="s">
        <v>794</v>
      </c>
      <c r="QWY138" s="26">
        <v>4</v>
      </c>
      <c r="QWZ138" s="26" t="s">
        <v>794</v>
      </c>
      <c r="QXA138" s="26">
        <v>4</v>
      </c>
      <c r="QXB138" s="26" t="s">
        <v>794</v>
      </c>
      <c r="QXC138" s="26">
        <v>4</v>
      </c>
      <c r="QXD138" s="26" t="s">
        <v>794</v>
      </c>
      <c r="QXE138" s="26">
        <v>4</v>
      </c>
      <c r="QXF138" s="26" t="s">
        <v>794</v>
      </c>
      <c r="QXG138" s="26">
        <v>4</v>
      </c>
      <c r="QXH138" s="26" t="s">
        <v>794</v>
      </c>
      <c r="QXI138" s="26">
        <v>4</v>
      </c>
      <c r="QXJ138" s="26" t="s">
        <v>794</v>
      </c>
      <c r="QXK138" s="26">
        <v>4</v>
      </c>
      <c r="QXL138" s="26" t="s">
        <v>794</v>
      </c>
      <c r="QXM138" s="26">
        <v>4</v>
      </c>
      <c r="QXN138" s="26" t="s">
        <v>794</v>
      </c>
      <c r="QXO138" s="26">
        <v>4</v>
      </c>
      <c r="QXP138" s="26" t="s">
        <v>794</v>
      </c>
      <c r="QXQ138" s="26">
        <v>4</v>
      </c>
      <c r="QXR138" s="26" t="s">
        <v>794</v>
      </c>
      <c r="QXS138" s="26">
        <v>4</v>
      </c>
      <c r="QXT138" s="26" t="s">
        <v>794</v>
      </c>
      <c r="QXU138" s="26">
        <v>4</v>
      </c>
      <c r="QXV138" s="26" t="s">
        <v>794</v>
      </c>
      <c r="QXW138" s="26">
        <v>4</v>
      </c>
      <c r="QXX138" s="26" t="s">
        <v>794</v>
      </c>
      <c r="QXY138" s="26">
        <v>4</v>
      </c>
      <c r="QXZ138" s="26" t="s">
        <v>794</v>
      </c>
      <c r="QYA138" s="26">
        <v>4</v>
      </c>
      <c r="QYB138" s="26" t="s">
        <v>794</v>
      </c>
      <c r="QYC138" s="26">
        <v>4</v>
      </c>
      <c r="QYD138" s="26" t="s">
        <v>794</v>
      </c>
      <c r="QYE138" s="26">
        <v>4</v>
      </c>
      <c r="QYF138" s="26" t="s">
        <v>794</v>
      </c>
      <c r="QYG138" s="26">
        <v>4</v>
      </c>
      <c r="QYH138" s="26" t="s">
        <v>794</v>
      </c>
      <c r="QYI138" s="26">
        <v>4</v>
      </c>
      <c r="QYJ138" s="26" t="s">
        <v>794</v>
      </c>
      <c r="QYK138" s="26">
        <v>4</v>
      </c>
      <c r="QYL138" s="26" t="s">
        <v>794</v>
      </c>
      <c r="QYM138" s="26">
        <v>4</v>
      </c>
      <c r="QYN138" s="26" t="s">
        <v>794</v>
      </c>
      <c r="QYO138" s="26">
        <v>4</v>
      </c>
      <c r="QYP138" s="26" t="s">
        <v>794</v>
      </c>
      <c r="QYQ138" s="26">
        <v>4</v>
      </c>
      <c r="QYR138" s="26" t="s">
        <v>794</v>
      </c>
      <c r="QYS138" s="26">
        <v>4</v>
      </c>
      <c r="QYT138" s="26" t="s">
        <v>794</v>
      </c>
      <c r="QYU138" s="26">
        <v>4</v>
      </c>
      <c r="QYV138" s="26" t="s">
        <v>794</v>
      </c>
      <c r="QYW138" s="26">
        <v>4</v>
      </c>
      <c r="QYX138" s="26" t="s">
        <v>794</v>
      </c>
      <c r="QYY138" s="26">
        <v>4</v>
      </c>
      <c r="QYZ138" s="26" t="s">
        <v>794</v>
      </c>
      <c r="QZA138" s="26">
        <v>4</v>
      </c>
      <c r="QZB138" s="26" t="s">
        <v>794</v>
      </c>
      <c r="QZC138" s="26">
        <v>4</v>
      </c>
      <c r="QZD138" s="26" t="s">
        <v>794</v>
      </c>
      <c r="QZE138" s="26">
        <v>4</v>
      </c>
      <c r="QZF138" s="26" t="s">
        <v>794</v>
      </c>
      <c r="QZG138" s="26">
        <v>4</v>
      </c>
      <c r="QZH138" s="26" t="s">
        <v>794</v>
      </c>
      <c r="QZI138" s="26">
        <v>4</v>
      </c>
      <c r="QZJ138" s="26" t="s">
        <v>794</v>
      </c>
      <c r="QZK138" s="26">
        <v>4</v>
      </c>
      <c r="QZL138" s="26" t="s">
        <v>794</v>
      </c>
      <c r="QZM138" s="26">
        <v>4</v>
      </c>
      <c r="QZN138" s="26" t="s">
        <v>794</v>
      </c>
      <c r="QZO138" s="26">
        <v>4</v>
      </c>
      <c r="QZP138" s="26" t="s">
        <v>794</v>
      </c>
      <c r="QZQ138" s="26">
        <v>4</v>
      </c>
      <c r="QZR138" s="26" t="s">
        <v>794</v>
      </c>
      <c r="QZS138" s="26">
        <v>4</v>
      </c>
      <c r="QZT138" s="26" t="s">
        <v>794</v>
      </c>
      <c r="QZU138" s="26">
        <v>4</v>
      </c>
      <c r="QZV138" s="26" t="s">
        <v>794</v>
      </c>
      <c r="QZW138" s="26">
        <v>4</v>
      </c>
      <c r="QZX138" s="26" t="s">
        <v>794</v>
      </c>
      <c r="QZY138" s="26">
        <v>4</v>
      </c>
      <c r="QZZ138" s="26" t="s">
        <v>794</v>
      </c>
      <c r="RAA138" s="26">
        <v>4</v>
      </c>
      <c r="RAB138" s="26" t="s">
        <v>794</v>
      </c>
      <c r="RAC138" s="26">
        <v>4</v>
      </c>
      <c r="RAD138" s="26" t="s">
        <v>794</v>
      </c>
      <c r="RAE138" s="26">
        <v>4</v>
      </c>
      <c r="RAF138" s="26" t="s">
        <v>794</v>
      </c>
      <c r="RAG138" s="26">
        <v>4</v>
      </c>
      <c r="RAH138" s="26" t="s">
        <v>794</v>
      </c>
      <c r="RAI138" s="26">
        <v>4</v>
      </c>
      <c r="RAJ138" s="26" t="s">
        <v>794</v>
      </c>
      <c r="RAK138" s="26">
        <v>4</v>
      </c>
      <c r="RAL138" s="26" t="s">
        <v>794</v>
      </c>
      <c r="RAM138" s="26">
        <v>4</v>
      </c>
      <c r="RAN138" s="26" t="s">
        <v>794</v>
      </c>
      <c r="RAO138" s="26">
        <v>4</v>
      </c>
      <c r="RAP138" s="26" t="s">
        <v>794</v>
      </c>
      <c r="RAQ138" s="26">
        <v>4</v>
      </c>
      <c r="RAR138" s="26" t="s">
        <v>794</v>
      </c>
      <c r="RAS138" s="26">
        <v>4</v>
      </c>
      <c r="RAT138" s="26" t="s">
        <v>794</v>
      </c>
      <c r="RAU138" s="26">
        <v>4</v>
      </c>
      <c r="RAV138" s="26" t="s">
        <v>794</v>
      </c>
      <c r="RAW138" s="26">
        <v>4</v>
      </c>
      <c r="RAX138" s="26" t="s">
        <v>794</v>
      </c>
      <c r="RAY138" s="26">
        <v>4</v>
      </c>
      <c r="RAZ138" s="26" t="s">
        <v>794</v>
      </c>
      <c r="RBA138" s="26">
        <v>4</v>
      </c>
      <c r="RBB138" s="26" t="s">
        <v>794</v>
      </c>
      <c r="RBC138" s="26">
        <v>4</v>
      </c>
      <c r="RBD138" s="26" t="s">
        <v>794</v>
      </c>
      <c r="RBE138" s="26">
        <v>4</v>
      </c>
      <c r="RBF138" s="26" t="s">
        <v>794</v>
      </c>
      <c r="RBG138" s="26">
        <v>4</v>
      </c>
      <c r="RBH138" s="26" t="s">
        <v>794</v>
      </c>
      <c r="RBI138" s="26">
        <v>4</v>
      </c>
      <c r="RBJ138" s="26" t="s">
        <v>794</v>
      </c>
      <c r="RBK138" s="26">
        <v>4</v>
      </c>
      <c r="RBL138" s="26" t="s">
        <v>794</v>
      </c>
      <c r="RBM138" s="26">
        <v>4</v>
      </c>
      <c r="RBN138" s="26" t="s">
        <v>794</v>
      </c>
      <c r="RBO138" s="26">
        <v>4</v>
      </c>
      <c r="RBP138" s="26" t="s">
        <v>794</v>
      </c>
      <c r="RBQ138" s="26">
        <v>4</v>
      </c>
      <c r="RBR138" s="26" t="s">
        <v>794</v>
      </c>
      <c r="RBS138" s="26">
        <v>4</v>
      </c>
      <c r="RBT138" s="26" t="s">
        <v>794</v>
      </c>
      <c r="RBU138" s="26">
        <v>4</v>
      </c>
      <c r="RBV138" s="26" t="s">
        <v>794</v>
      </c>
      <c r="RBW138" s="26">
        <v>4</v>
      </c>
      <c r="RBX138" s="26" t="s">
        <v>794</v>
      </c>
      <c r="RBY138" s="26">
        <v>4</v>
      </c>
      <c r="RBZ138" s="26" t="s">
        <v>794</v>
      </c>
      <c r="RCA138" s="26">
        <v>4</v>
      </c>
      <c r="RCB138" s="26" t="s">
        <v>794</v>
      </c>
      <c r="RCC138" s="26">
        <v>4</v>
      </c>
      <c r="RCD138" s="26" t="s">
        <v>794</v>
      </c>
      <c r="RCE138" s="26">
        <v>4</v>
      </c>
      <c r="RCF138" s="26" t="s">
        <v>794</v>
      </c>
      <c r="RCG138" s="26">
        <v>4</v>
      </c>
      <c r="RCH138" s="26" t="s">
        <v>794</v>
      </c>
      <c r="RCI138" s="26">
        <v>4</v>
      </c>
      <c r="RCJ138" s="26" t="s">
        <v>794</v>
      </c>
      <c r="RCK138" s="26">
        <v>4</v>
      </c>
      <c r="RCL138" s="26" t="s">
        <v>794</v>
      </c>
      <c r="RCM138" s="26">
        <v>4</v>
      </c>
      <c r="RCN138" s="26" t="s">
        <v>794</v>
      </c>
      <c r="RCO138" s="26">
        <v>4</v>
      </c>
      <c r="RCP138" s="26" t="s">
        <v>794</v>
      </c>
      <c r="RCQ138" s="26">
        <v>4</v>
      </c>
      <c r="RCR138" s="26" t="s">
        <v>794</v>
      </c>
      <c r="RCS138" s="26">
        <v>4</v>
      </c>
      <c r="RCT138" s="26" t="s">
        <v>794</v>
      </c>
      <c r="RCU138" s="26">
        <v>4</v>
      </c>
      <c r="RCV138" s="26" t="s">
        <v>794</v>
      </c>
      <c r="RCW138" s="26">
        <v>4</v>
      </c>
      <c r="RCX138" s="26" t="s">
        <v>794</v>
      </c>
      <c r="RCY138" s="26">
        <v>4</v>
      </c>
      <c r="RCZ138" s="26" t="s">
        <v>794</v>
      </c>
      <c r="RDA138" s="26">
        <v>4</v>
      </c>
      <c r="RDB138" s="26" t="s">
        <v>794</v>
      </c>
      <c r="RDC138" s="26">
        <v>4</v>
      </c>
      <c r="RDD138" s="26" t="s">
        <v>794</v>
      </c>
      <c r="RDE138" s="26">
        <v>4</v>
      </c>
      <c r="RDF138" s="26" t="s">
        <v>794</v>
      </c>
      <c r="RDG138" s="26">
        <v>4</v>
      </c>
      <c r="RDH138" s="26" t="s">
        <v>794</v>
      </c>
      <c r="RDI138" s="26">
        <v>4</v>
      </c>
      <c r="RDJ138" s="26" t="s">
        <v>794</v>
      </c>
      <c r="RDK138" s="26">
        <v>4</v>
      </c>
      <c r="RDL138" s="26" t="s">
        <v>794</v>
      </c>
      <c r="RDM138" s="26">
        <v>4</v>
      </c>
      <c r="RDN138" s="26" t="s">
        <v>794</v>
      </c>
      <c r="RDO138" s="26">
        <v>4</v>
      </c>
      <c r="RDP138" s="26" t="s">
        <v>794</v>
      </c>
      <c r="RDQ138" s="26">
        <v>4</v>
      </c>
      <c r="RDR138" s="26" t="s">
        <v>794</v>
      </c>
      <c r="RDS138" s="26">
        <v>4</v>
      </c>
      <c r="RDT138" s="26" t="s">
        <v>794</v>
      </c>
      <c r="RDU138" s="26">
        <v>4</v>
      </c>
      <c r="RDV138" s="26" t="s">
        <v>794</v>
      </c>
      <c r="RDW138" s="26">
        <v>4</v>
      </c>
      <c r="RDX138" s="26" t="s">
        <v>794</v>
      </c>
      <c r="RDY138" s="26">
        <v>4</v>
      </c>
      <c r="RDZ138" s="26" t="s">
        <v>794</v>
      </c>
      <c r="REA138" s="26">
        <v>4</v>
      </c>
      <c r="REB138" s="26" t="s">
        <v>794</v>
      </c>
      <c r="REC138" s="26">
        <v>4</v>
      </c>
      <c r="RED138" s="26" t="s">
        <v>794</v>
      </c>
      <c r="REE138" s="26">
        <v>4</v>
      </c>
      <c r="REF138" s="26" t="s">
        <v>794</v>
      </c>
      <c r="REG138" s="26">
        <v>4</v>
      </c>
      <c r="REH138" s="26" t="s">
        <v>794</v>
      </c>
      <c r="REI138" s="26">
        <v>4</v>
      </c>
      <c r="REJ138" s="26" t="s">
        <v>794</v>
      </c>
      <c r="REK138" s="26">
        <v>4</v>
      </c>
      <c r="REL138" s="26" t="s">
        <v>794</v>
      </c>
      <c r="REM138" s="26">
        <v>4</v>
      </c>
      <c r="REN138" s="26" t="s">
        <v>794</v>
      </c>
      <c r="REO138" s="26">
        <v>4</v>
      </c>
      <c r="REP138" s="26" t="s">
        <v>794</v>
      </c>
      <c r="REQ138" s="26">
        <v>4</v>
      </c>
      <c r="RER138" s="26" t="s">
        <v>794</v>
      </c>
      <c r="RES138" s="26">
        <v>4</v>
      </c>
      <c r="RET138" s="26" t="s">
        <v>794</v>
      </c>
      <c r="REU138" s="26">
        <v>4</v>
      </c>
      <c r="REV138" s="26" t="s">
        <v>794</v>
      </c>
      <c r="REW138" s="26">
        <v>4</v>
      </c>
      <c r="REX138" s="26" t="s">
        <v>794</v>
      </c>
      <c r="REY138" s="26">
        <v>4</v>
      </c>
      <c r="REZ138" s="26" t="s">
        <v>794</v>
      </c>
      <c r="RFA138" s="26">
        <v>4</v>
      </c>
      <c r="RFB138" s="26" t="s">
        <v>794</v>
      </c>
      <c r="RFC138" s="26">
        <v>4</v>
      </c>
      <c r="RFD138" s="26" t="s">
        <v>794</v>
      </c>
      <c r="RFE138" s="26">
        <v>4</v>
      </c>
      <c r="RFF138" s="26" t="s">
        <v>794</v>
      </c>
      <c r="RFG138" s="26">
        <v>4</v>
      </c>
      <c r="RFH138" s="26" t="s">
        <v>794</v>
      </c>
      <c r="RFI138" s="26">
        <v>4</v>
      </c>
      <c r="RFJ138" s="26" t="s">
        <v>794</v>
      </c>
      <c r="RFK138" s="26">
        <v>4</v>
      </c>
      <c r="RFL138" s="26" t="s">
        <v>794</v>
      </c>
      <c r="RFM138" s="26">
        <v>4</v>
      </c>
      <c r="RFN138" s="26" t="s">
        <v>794</v>
      </c>
      <c r="RFO138" s="26">
        <v>4</v>
      </c>
      <c r="RFP138" s="26" t="s">
        <v>794</v>
      </c>
      <c r="RFQ138" s="26">
        <v>4</v>
      </c>
      <c r="RFR138" s="26" t="s">
        <v>794</v>
      </c>
      <c r="RFS138" s="26">
        <v>4</v>
      </c>
      <c r="RFT138" s="26" t="s">
        <v>794</v>
      </c>
      <c r="RFU138" s="26">
        <v>4</v>
      </c>
      <c r="RFV138" s="26" t="s">
        <v>794</v>
      </c>
      <c r="RFW138" s="26">
        <v>4</v>
      </c>
      <c r="RFX138" s="26" t="s">
        <v>794</v>
      </c>
      <c r="RFY138" s="26">
        <v>4</v>
      </c>
      <c r="RFZ138" s="26" t="s">
        <v>794</v>
      </c>
      <c r="RGA138" s="26">
        <v>4</v>
      </c>
      <c r="RGB138" s="26" t="s">
        <v>794</v>
      </c>
      <c r="RGC138" s="26">
        <v>4</v>
      </c>
      <c r="RGD138" s="26" t="s">
        <v>794</v>
      </c>
      <c r="RGE138" s="26">
        <v>4</v>
      </c>
      <c r="RGF138" s="26" t="s">
        <v>794</v>
      </c>
      <c r="RGG138" s="26">
        <v>4</v>
      </c>
      <c r="RGH138" s="26" t="s">
        <v>794</v>
      </c>
      <c r="RGI138" s="26">
        <v>4</v>
      </c>
      <c r="RGJ138" s="26" t="s">
        <v>794</v>
      </c>
      <c r="RGK138" s="26">
        <v>4</v>
      </c>
      <c r="RGL138" s="26" t="s">
        <v>794</v>
      </c>
      <c r="RGM138" s="26">
        <v>4</v>
      </c>
      <c r="RGN138" s="26" t="s">
        <v>794</v>
      </c>
      <c r="RGO138" s="26">
        <v>4</v>
      </c>
      <c r="RGP138" s="26" t="s">
        <v>794</v>
      </c>
      <c r="RGQ138" s="26">
        <v>4</v>
      </c>
      <c r="RGR138" s="26" t="s">
        <v>794</v>
      </c>
      <c r="RGS138" s="26">
        <v>4</v>
      </c>
      <c r="RGT138" s="26" t="s">
        <v>794</v>
      </c>
      <c r="RGU138" s="26">
        <v>4</v>
      </c>
      <c r="RGV138" s="26" t="s">
        <v>794</v>
      </c>
      <c r="RGW138" s="26">
        <v>4</v>
      </c>
      <c r="RGX138" s="26" t="s">
        <v>794</v>
      </c>
      <c r="RGY138" s="26">
        <v>4</v>
      </c>
      <c r="RGZ138" s="26" t="s">
        <v>794</v>
      </c>
      <c r="RHA138" s="26">
        <v>4</v>
      </c>
      <c r="RHB138" s="26" t="s">
        <v>794</v>
      </c>
      <c r="RHC138" s="26">
        <v>4</v>
      </c>
      <c r="RHD138" s="26" t="s">
        <v>794</v>
      </c>
      <c r="RHE138" s="26">
        <v>4</v>
      </c>
      <c r="RHF138" s="26" t="s">
        <v>794</v>
      </c>
      <c r="RHG138" s="26">
        <v>4</v>
      </c>
      <c r="RHH138" s="26" t="s">
        <v>794</v>
      </c>
      <c r="RHI138" s="26">
        <v>4</v>
      </c>
      <c r="RHJ138" s="26" t="s">
        <v>794</v>
      </c>
      <c r="RHK138" s="26">
        <v>4</v>
      </c>
      <c r="RHL138" s="26" t="s">
        <v>794</v>
      </c>
      <c r="RHM138" s="26">
        <v>4</v>
      </c>
      <c r="RHN138" s="26" t="s">
        <v>794</v>
      </c>
      <c r="RHO138" s="26">
        <v>4</v>
      </c>
      <c r="RHP138" s="26" t="s">
        <v>794</v>
      </c>
      <c r="RHQ138" s="26">
        <v>4</v>
      </c>
      <c r="RHR138" s="26" t="s">
        <v>794</v>
      </c>
      <c r="RHS138" s="26">
        <v>4</v>
      </c>
      <c r="RHT138" s="26" t="s">
        <v>794</v>
      </c>
      <c r="RHU138" s="26">
        <v>4</v>
      </c>
      <c r="RHV138" s="26" t="s">
        <v>794</v>
      </c>
      <c r="RHW138" s="26">
        <v>4</v>
      </c>
      <c r="RHX138" s="26" t="s">
        <v>794</v>
      </c>
      <c r="RHY138" s="26">
        <v>4</v>
      </c>
      <c r="RHZ138" s="26" t="s">
        <v>794</v>
      </c>
      <c r="RIA138" s="26">
        <v>4</v>
      </c>
      <c r="RIB138" s="26" t="s">
        <v>794</v>
      </c>
      <c r="RIC138" s="26">
        <v>4</v>
      </c>
      <c r="RID138" s="26" t="s">
        <v>794</v>
      </c>
      <c r="RIE138" s="26">
        <v>4</v>
      </c>
      <c r="RIF138" s="26" t="s">
        <v>794</v>
      </c>
      <c r="RIG138" s="26">
        <v>4</v>
      </c>
      <c r="RIH138" s="26" t="s">
        <v>794</v>
      </c>
      <c r="RII138" s="26">
        <v>4</v>
      </c>
      <c r="RIJ138" s="26" t="s">
        <v>794</v>
      </c>
      <c r="RIK138" s="26">
        <v>4</v>
      </c>
      <c r="RIL138" s="26" t="s">
        <v>794</v>
      </c>
      <c r="RIM138" s="26">
        <v>4</v>
      </c>
      <c r="RIN138" s="26" t="s">
        <v>794</v>
      </c>
      <c r="RIO138" s="26">
        <v>4</v>
      </c>
      <c r="RIP138" s="26" t="s">
        <v>794</v>
      </c>
      <c r="RIQ138" s="26">
        <v>4</v>
      </c>
      <c r="RIR138" s="26" t="s">
        <v>794</v>
      </c>
      <c r="RIS138" s="26">
        <v>4</v>
      </c>
      <c r="RIT138" s="26" t="s">
        <v>794</v>
      </c>
      <c r="RIU138" s="26">
        <v>4</v>
      </c>
      <c r="RIV138" s="26" t="s">
        <v>794</v>
      </c>
      <c r="RIW138" s="26">
        <v>4</v>
      </c>
      <c r="RIX138" s="26" t="s">
        <v>794</v>
      </c>
      <c r="RIY138" s="26">
        <v>4</v>
      </c>
      <c r="RIZ138" s="26" t="s">
        <v>794</v>
      </c>
      <c r="RJA138" s="26">
        <v>4</v>
      </c>
      <c r="RJB138" s="26" t="s">
        <v>794</v>
      </c>
      <c r="RJC138" s="26">
        <v>4</v>
      </c>
      <c r="RJD138" s="26" t="s">
        <v>794</v>
      </c>
      <c r="RJE138" s="26">
        <v>4</v>
      </c>
      <c r="RJF138" s="26" t="s">
        <v>794</v>
      </c>
      <c r="RJG138" s="26">
        <v>4</v>
      </c>
      <c r="RJH138" s="26" t="s">
        <v>794</v>
      </c>
      <c r="RJI138" s="26">
        <v>4</v>
      </c>
      <c r="RJJ138" s="26" t="s">
        <v>794</v>
      </c>
      <c r="RJK138" s="26">
        <v>4</v>
      </c>
      <c r="RJL138" s="26" t="s">
        <v>794</v>
      </c>
      <c r="RJM138" s="26">
        <v>4</v>
      </c>
      <c r="RJN138" s="26" t="s">
        <v>794</v>
      </c>
      <c r="RJO138" s="26">
        <v>4</v>
      </c>
      <c r="RJP138" s="26" t="s">
        <v>794</v>
      </c>
      <c r="RJQ138" s="26">
        <v>4</v>
      </c>
      <c r="RJR138" s="26" t="s">
        <v>794</v>
      </c>
      <c r="RJS138" s="26">
        <v>4</v>
      </c>
      <c r="RJT138" s="26" t="s">
        <v>794</v>
      </c>
      <c r="RJU138" s="26">
        <v>4</v>
      </c>
      <c r="RJV138" s="26" t="s">
        <v>794</v>
      </c>
      <c r="RJW138" s="26">
        <v>4</v>
      </c>
      <c r="RJX138" s="26" t="s">
        <v>794</v>
      </c>
      <c r="RJY138" s="26">
        <v>4</v>
      </c>
      <c r="RJZ138" s="26" t="s">
        <v>794</v>
      </c>
      <c r="RKA138" s="26">
        <v>4</v>
      </c>
      <c r="RKB138" s="26" t="s">
        <v>794</v>
      </c>
      <c r="RKC138" s="26">
        <v>4</v>
      </c>
      <c r="RKD138" s="26" t="s">
        <v>794</v>
      </c>
      <c r="RKE138" s="26">
        <v>4</v>
      </c>
      <c r="RKF138" s="26" t="s">
        <v>794</v>
      </c>
      <c r="RKG138" s="26">
        <v>4</v>
      </c>
      <c r="RKH138" s="26" t="s">
        <v>794</v>
      </c>
      <c r="RKI138" s="26">
        <v>4</v>
      </c>
      <c r="RKJ138" s="26" t="s">
        <v>794</v>
      </c>
      <c r="RKK138" s="26">
        <v>4</v>
      </c>
      <c r="RKL138" s="26" t="s">
        <v>794</v>
      </c>
      <c r="RKM138" s="26">
        <v>4</v>
      </c>
      <c r="RKN138" s="26" t="s">
        <v>794</v>
      </c>
      <c r="RKO138" s="26">
        <v>4</v>
      </c>
      <c r="RKP138" s="26" t="s">
        <v>794</v>
      </c>
      <c r="RKQ138" s="26">
        <v>4</v>
      </c>
      <c r="RKR138" s="26" t="s">
        <v>794</v>
      </c>
      <c r="RKS138" s="26">
        <v>4</v>
      </c>
      <c r="RKT138" s="26" t="s">
        <v>794</v>
      </c>
      <c r="RKU138" s="26">
        <v>4</v>
      </c>
      <c r="RKV138" s="26" t="s">
        <v>794</v>
      </c>
      <c r="RKW138" s="26">
        <v>4</v>
      </c>
      <c r="RKX138" s="26" t="s">
        <v>794</v>
      </c>
      <c r="RKY138" s="26">
        <v>4</v>
      </c>
      <c r="RKZ138" s="26" t="s">
        <v>794</v>
      </c>
      <c r="RLA138" s="26">
        <v>4</v>
      </c>
      <c r="RLB138" s="26" t="s">
        <v>794</v>
      </c>
      <c r="RLC138" s="26">
        <v>4</v>
      </c>
      <c r="RLD138" s="26" t="s">
        <v>794</v>
      </c>
      <c r="RLE138" s="26">
        <v>4</v>
      </c>
      <c r="RLF138" s="26" t="s">
        <v>794</v>
      </c>
      <c r="RLG138" s="26">
        <v>4</v>
      </c>
      <c r="RLH138" s="26" t="s">
        <v>794</v>
      </c>
      <c r="RLI138" s="26">
        <v>4</v>
      </c>
      <c r="RLJ138" s="26" t="s">
        <v>794</v>
      </c>
      <c r="RLK138" s="26">
        <v>4</v>
      </c>
      <c r="RLL138" s="26" t="s">
        <v>794</v>
      </c>
      <c r="RLM138" s="26">
        <v>4</v>
      </c>
      <c r="RLN138" s="26" t="s">
        <v>794</v>
      </c>
      <c r="RLO138" s="26">
        <v>4</v>
      </c>
      <c r="RLP138" s="26" t="s">
        <v>794</v>
      </c>
      <c r="RLQ138" s="26">
        <v>4</v>
      </c>
      <c r="RLR138" s="26" t="s">
        <v>794</v>
      </c>
      <c r="RLS138" s="26">
        <v>4</v>
      </c>
      <c r="RLT138" s="26" t="s">
        <v>794</v>
      </c>
      <c r="RLU138" s="26">
        <v>4</v>
      </c>
      <c r="RLV138" s="26" t="s">
        <v>794</v>
      </c>
      <c r="RLW138" s="26">
        <v>4</v>
      </c>
      <c r="RLX138" s="26" t="s">
        <v>794</v>
      </c>
      <c r="RLY138" s="26">
        <v>4</v>
      </c>
      <c r="RLZ138" s="26" t="s">
        <v>794</v>
      </c>
      <c r="RMA138" s="26">
        <v>4</v>
      </c>
      <c r="RMB138" s="26" t="s">
        <v>794</v>
      </c>
      <c r="RMC138" s="26">
        <v>4</v>
      </c>
      <c r="RMD138" s="26" t="s">
        <v>794</v>
      </c>
      <c r="RME138" s="26">
        <v>4</v>
      </c>
      <c r="RMF138" s="26" t="s">
        <v>794</v>
      </c>
      <c r="RMG138" s="26">
        <v>4</v>
      </c>
      <c r="RMH138" s="26" t="s">
        <v>794</v>
      </c>
      <c r="RMI138" s="26">
        <v>4</v>
      </c>
      <c r="RMJ138" s="26" t="s">
        <v>794</v>
      </c>
      <c r="RMK138" s="26">
        <v>4</v>
      </c>
      <c r="RML138" s="26" t="s">
        <v>794</v>
      </c>
      <c r="RMM138" s="26">
        <v>4</v>
      </c>
      <c r="RMN138" s="26" t="s">
        <v>794</v>
      </c>
      <c r="RMO138" s="26">
        <v>4</v>
      </c>
      <c r="RMP138" s="26" t="s">
        <v>794</v>
      </c>
      <c r="RMQ138" s="26">
        <v>4</v>
      </c>
      <c r="RMR138" s="26" t="s">
        <v>794</v>
      </c>
      <c r="RMS138" s="26">
        <v>4</v>
      </c>
      <c r="RMT138" s="26" t="s">
        <v>794</v>
      </c>
      <c r="RMU138" s="26">
        <v>4</v>
      </c>
      <c r="RMV138" s="26" t="s">
        <v>794</v>
      </c>
      <c r="RMW138" s="26">
        <v>4</v>
      </c>
      <c r="RMX138" s="26" t="s">
        <v>794</v>
      </c>
      <c r="RMY138" s="26">
        <v>4</v>
      </c>
      <c r="RMZ138" s="26" t="s">
        <v>794</v>
      </c>
      <c r="RNA138" s="26">
        <v>4</v>
      </c>
      <c r="RNB138" s="26" t="s">
        <v>794</v>
      </c>
      <c r="RNC138" s="26">
        <v>4</v>
      </c>
      <c r="RND138" s="26" t="s">
        <v>794</v>
      </c>
      <c r="RNE138" s="26">
        <v>4</v>
      </c>
      <c r="RNF138" s="26" t="s">
        <v>794</v>
      </c>
      <c r="RNG138" s="26">
        <v>4</v>
      </c>
      <c r="RNH138" s="26" t="s">
        <v>794</v>
      </c>
      <c r="RNI138" s="26">
        <v>4</v>
      </c>
      <c r="RNJ138" s="26" t="s">
        <v>794</v>
      </c>
      <c r="RNK138" s="26">
        <v>4</v>
      </c>
      <c r="RNL138" s="26" t="s">
        <v>794</v>
      </c>
      <c r="RNM138" s="26">
        <v>4</v>
      </c>
      <c r="RNN138" s="26" t="s">
        <v>794</v>
      </c>
      <c r="RNO138" s="26">
        <v>4</v>
      </c>
      <c r="RNP138" s="26" t="s">
        <v>794</v>
      </c>
      <c r="RNQ138" s="26">
        <v>4</v>
      </c>
      <c r="RNR138" s="26" t="s">
        <v>794</v>
      </c>
      <c r="RNS138" s="26">
        <v>4</v>
      </c>
      <c r="RNT138" s="26" t="s">
        <v>794</v>
      </c>
      <c r="RNU138" s="26">
        <v>4</v>
      </c>
      <c r="RNV138" s="26" t="s">
        <v>794</v>
      </c>
      <c r="RNW138" s="26">
        <v>4</v>
      </c>
      <c r="RNX138" s="26" t="s">
        <v>794</v>
      </c>
      <c r="RNY138" s="26">
        <v>4</v>
      </c>
      <c r="RNZ138" s="26" t="s">
        <v>794</v>
      </c>
      <c r="ROA138" s="26">
        <v>4</v>
      </c>
      <c r="ROB138" s="26" t="s">
        <v>794</v>
      </c>
      <c r="ROC138" s="26">
        <v>4</v>
      </c>
      <c r="ROD138" s="26" t="s">
        <v>794</v>
      </c>
      <c r="ROE138" s="26">
        <v>4</v>
      </c>
      <c r="ROF138" s="26" t="s">
        <v>794</v>
      </c>
      <c r="ROG138" s="26">
        <v>4</v>
      </c>
      <c r="ROH138" s="26" t="s">
        <v>794</v>
      </c>
      <c r="ROI138" s="26">
        <v>4</v>
      </c>
      <c r="ROJ138" s="26" t="s">
        <v>794</v>
      </c>
      <c r="ROK138" s="26">
        <v>4</v>
      </c>
      <c r="ROL138" s="26" t="s">
        <v>794</v>
      </c>
      <c r="ROM138" s="26">
        <v>4</v>
      </c>
      <c r="RON138" s="26" t="s">
        <v>794</v>
      </c>
      <c r="ROO138" s="26">
        <v>4</v>
      </c>
      <c r="ROP138" s="26" t="s">
        <v>794</v>
      </c>
      <c r="ROQ138" s="26">
        <v>4</v>
      </c>
      <c r="ROR138" s="26" t="s">
        <v>794</v>
      </c>
      <c r="ROS138" s="26">
        <v>4</v>
      </c>
      <c r="ROT138" s="26" t="s">
        <v>794</v>
      </c>
      <c r="ROU138" s="26">
        <v>4</v>
      </c>
      <c r="ROV138" s="26" t="s">
        <v>794</v>
      </c>
      <c r="ROW138" s="26">
        <v>4</v>
      </c>
      <c r="ROX138" s="26" t="s">
        <v>794</v>
      </c>
      <c r="ROY138" s="26">
        <v>4</v>
      </c>
      <c r="ROZ138" s="26" t="s">
        <v>794</v>
      </c>
      <c r="RPA138" s="26">
        <v>4</v>
      </c>
      <c r="RPB138" s="26" t="s">
        <v>794</v>
      </c>
      <c r="RPC138" s="26">
        <v>4</v>
      </c>
      <c r="RPD138" s="26" t="s">
        <v>794</v>
      </c>
      <c r="RPE138" s="26">
        <v>4</v>
      </c>
      <c r="RPF138" s="26" t="s">
        <v>794</v>
      </c>
      <c r="RPG138" s="26">
        <v>4</v>
      </c>
      <c r="RPH138" s="26" t="s">
        <v>794</v>
      </c>
      <c r="RPI138" s="26">
        <v>4</v>
      </c>
      <c r="RPJ138" s="26" t="s">
        <v>794</v>
      </c>
      <c r="RPK138" s="26">
        <v>4</v>
      </c>
      <c r="RPL138" s="26" t="s">
        <v>794</v>
      </c>
      <c r="RPM138" s="26">
        <v>4</v>
      </c>
      <c r="RPN138" s="26" t="s">
        <v>794</v>
      </c>
      <c r="RPO138" s="26">
        <v>4</v>
      </c>
      <c r="RPP138" s="26" t="s">
        <v>794</v>
      </c>
      <c r="RPQ138" s="26">
        <v>4</v>
      </c>
      <c r="RPR138" s="26" t="s">
        <v>794</v>
      </c>
      <c r="RPS138" s="26">
        <v>4</v>
      </c>
      <c r="RPT138" s="26" t="s">
        <v>794</v>
      </c>
      <c r="RPU138" s="26">
        <v>4</v>
      </c>
      <c r="RPV138" s="26" t="s">
        <v>794</v>
      </c>
      <c r="RPW138" s="26">
        <v>4</v>
      </c>
      <c r="RPX138" s="26" t="s">
        <v>794</v>
      </c>
      <c r="RPY138" s="26">
        <v>4</v>
      </c>
      <c r="RPZ138" s="26" t="s">
        <v>794</v>
      </c>
      <c r="RQA138" s="26">
        <v>4</v>
      </c>
      <c r="RQB138" s="26" t="s">
        <v>794</v>
      </c>
      <c r="RQC138" s="26">
        <v>4</v>
      </c>
      <c r="RQD138" s="26" t="s">
        <v>794</v>
      </c>
      <c r="RQE138" s="26">
        <v>4</v>
      </c>
      <c r="RQF138" s="26" t="s">
        <v>794</v>
      </c>
      <c r="RQG138" s="26">
        <v>4</v>
      </c>
      <c r="RQH138" s="26" t="s">
        <v>794</v>
      </c>
      <c r="RQI138" s="26">
        <v>4</v>
      </c>
      <c r="RQJ138" s="26" t="s">
        <v>794</v>
      </c>
      <c r="RQK138" s="26">
        <v>4</v>
      </c>
      <c r="RQL138" s="26" t="s">
        <v>794</v>
      </c>
      <c r="RQM138" s="26">
        <v>4</v>
      </c>
      <c r="RQN138" s="26" t="s">
        <v>794</v>
      </c>
      <c r="RQO138" s="26">
        <v>4</v>
      </c>
      <c r="RQP138" s="26" t="s">
        <v>794</v>
      </c>
      <c r="RQQ138" s="26">
        <v>4</v>
      </c>
      <c r="RQR138" s="26" t="s">
        <v>794</v>
      </c>
      <c r="RQS138" s="26">
        <v>4</v>
      </c>
      <c r="RQT138" s="26" t="s">
        <v>794</v>
      </c>
      <c r="RQU138" s="26">
        <v>4</v>
      </c>
      <c r="RQV138" s="26" t="s">
        <v>794</v>
      </c>
      <c r="RQW138" s="26">
        <v>4</v>
      </c>
      <c r="RQX138" s="26" t="s">
        <v>794</v>
      </c>
      <c r="RQY138" s="26">
        <v>4</v>
      </c>
      <c r="RQZ138" s="26" t="s">
        <v>794</v>
      </c>
      <c r="RRA138" s="26">
        <v>4</v>
      </c>
      <c r="RRB138" s="26" t="s">
        <v>794</v>
      </c>
      <c r="RRC138" s="26">
        <v>4</v>
      </c>
      <c r="RRD138" s="26" t="s">
        <v>794</v>
      </c>
      <c r="RRE138" s="26">
        <v>4</v>
      </c>
      <c r="RRF138" s="26" t="s">
        <v>794</v>
      </c>
      <c r="RRG138" s="26">
        <v>4</v>
      </c>
      <c r="RRH138" s="26" t="s">
        <v>794</v>
      </c>
      <c r="RRI138" s="26">
        <v>4</v>
      </c>
      <c r="RRJ138" s="26" t="s">
        <v>794</v>
      </c>
      <c r="RRK138" s="26">
        <v>4</v>
      </c>
      <c r="RRL138" s="26" t="s">
        <v>794</v>
      </c>
      <c r="RRM138" s="26">
        <v>4</v>
      </c>
      <c r="RRN138" s="26" t="s">
        <v>794</v>
      </c>
      <c r="RRO138" s="26">
        <v>4</v>
      </c>
      <c r="RRP138" s="26" t="s">
        <v>794</v>
      </c>
      <c r="RRQ138" s="26">
        <v>4</v>
      </c>
      <c r="RRR138" s="26" t="s">
        <v>794</v>
      </c>
      <c r="RRS138" s="26">
        <v>4</v>
      </c>
      <c r="RRT138" s="26" t="s">
        <v>794</v>
      </c>
      <c r="RRU138" s="26">
        <v>4</v>
      </c>
      <c r="RRV138" s="26" t="s">
        <v>794</v>
      </c>
      <c r="RRW138" s="26">
        <v>4</v>
      </c>
      <c r="RRX138" s="26" t="s">
        <v>794</v>
      </c>
      <c r="RRY138" s="26">
        <v>4</v>
      </c>
      <c r="RRZ138" s="26" t="s">
        <v>794</v>
      </c>
      <c r="RSA138" s="26">
        <v>4</v>
      </c>
      <c r="RSB138" s="26" t="s">
        <v>794</v>
      </c>
      <c r="RSC138" s="26">
        <v>4</v>
      </c>
      <c r="RSD138" s="26" t="s">
        <v>794</v>
      </c>
      <c r="RSE138" s="26">
        <v>4</v>
      </c>
      <c r="RSF138" s="26" t="s">
        <v>794</v>
      </c>
      <c r="RSG138" s="26">
        <v>4</v>
      </c>
      <c r="RSH138" s="26" t="s">
        <v>794</v>
      </c>
      <c r="RSI138" s="26">
        <v>4</v>
      </c>
      <c r="RSJ138" s="26" t="s">
        <v>794</v>
      </c>
      <c r="RSK138" s="26">
        <v>4</v>
      </c>
      <c r="RSL138" s="26" t="s">
        <v>794</v>
      </c>
      <c r="RSM138" s="26">
        <v>4</v>
      </c>
      <c r="RSN138" s="26" t="s">
        <v>794</v>
      </c>
      <c r="RSO138" s="26">
        <v>4</v>
      </c>
      <c r="RSP138" s="26" t="s">
        <v>794</v>
      </c>
      <c r="RSQ138" s="26">
        <v>4</v>
      </c>
      <c r="RSR138" s="26" t="s">
        <v>794</v>
      </c>
      <c r="RSS138" s="26">
        <v>4</v>
      </c>
      <c r="RST138" s="26" t="s">
        <v>794</v>
      </c>
      <c r="RSU138" s="26">
        <v>4</v>
      </c>
      <c r="RSV138" s="26" t="s">
        <v>794</v>
      </c>
      <c r="RSW138" s="26">
        <v>4</v>
      </c>
      <c r="RSX138" s="26" t="s">
        <v>794</v>
      </c>
      <c r="RSY138" s="26">
        <v>4</v>
      </c>
      <c r="RSZ138" s="26" t="s">
        <v>794</v>
      </c>
      <c r="RTA138" s="26">
        <v>4</v>
      </c>
      <c r="RTB138" s="26" t="s">
        <v>794</v>
      </c>
      <c r="RTC138" s="26">
        <v>4</v>
      </c>
      <c r="RTD138" s="26" t="s">
        <v>794</v>
      </c>
      <c r="RTE138" s="26">
        <v>4</v>
      </c>
      <c r="RTF138" s="26" t="s">
        <v>794</v>
      </c>
      <c r="RTG138" s="26">
        <v>4</v>
      </c>
      <c r="RTH138" s="26" t="s">
        <v>794</v>
      </c>
      <c r="RTI138" s="26">
        <v>4</v>
      </c>
      <c r="RTJ138" s="26" t="s">
        <v>794</v>
      </c>
      <c r="RTK138" s="26">
        <v>4</v>
      </c>
      <c r="RTL138" s="26" t="s">
        <v>794</v>
      </c>
      <c r="RTM138" s="26">
        <v>4</v>
      </c>
      <c r="RTN138" s="26" t="s">
        <v>794</v>
      </c>
      <c r="RTO138" s="26">
        <v>4</v>
      </c>
      <c r="RTP138" s="26" t="s">
        <v>794</v>
      </c>
      <c r="RTQ138" s="26">
        <v>4</v>
      </c>
      <c r="RTR138" s="26" t="s">
        <v>794</v>
      </c>
      <c r="RTS138" s="26">
        <v>4</v>
      </c>
      <c r="RTT138" s="26" t="s">
        <v>794</v>
      </c>
      <c r="RTU138" s="26">
        <v>4</v>
      </c>
      <c r="RTV138" s="26" t="s">
        <v>794</v>
      </c>
      <c r="RTW138" s="26">
        <v>4</v>
      </c>
      <c r="RTX138" s="26" t="s">
        <v>794</v>
      </c>
      <c r="RTY138" s="26">
        <v>4</v>
      </c>
      <c r="RTZ138" s="26" t="s">
        <v>794</v>
      </c>
      <c r="RUA138" s="26">
        <v>4</v>
      </c>
      <c r="RUB138" s="26" t="s">
        <v>794</v>
      </c>
      <c r="RUC138" s="26">
        <v>4</v>
      </c>
      <c r="RUD138" s="26" t="s">
        <v>794</v>
      </c>
      <c r="RUE138" s="26">
        <v>4</v>
      </c>
      <c r="RUF138" s="26" t="s">
        <v>794</v>
      </c>
      <c r="RUG138" s="26">
        <v>4</v>
      </c>
      <c r="RUH138" s="26" t="s">
        <v>794</v>
      </c>
      <c r="RUI138" s="26">
        <v>4</v>
      </c>
      <c r="RUJ138" s="26" t="s">
        <v>794</v>
      </c>
      <c r="RUK138" s="26">
        <v>4</v>
      </c>
      <c r="RUL138" s="26" t="s">
        <v>794</v>
      </c>
      <c r="RUM138" s="26">
        <v>4</v>
      </c>
      <c r="RUN138" s="26" t="s">
        <v>794</v>
      </c>
      <c r="RUO138" s="26">
        <v>4</v>
      </c>
      <c r="RUP138" s="26" t="s">
        <v>794</v>
      </c>
      <c r="RUQ138" s="26">
        <v>4</v>
      </c>
      <c r="RUR138" s="26" t="s">
        <v>794</v>
      </c>
      <c r="RUS138" s="26">
        <v>4</v>
      </c>
      <c r="RUT138" s="26" t="s">
        <v>794</v>
      </c>
      <c r="RUU138" s="26">
        <v>4</v>
      </c>
      <c r="RUV138" s="26" t="s">
        <v>794</v>
      </c>
      <c r="RUW138" s="26">
        <v>4</v>
      </c>
      <c r="RUX138" s="26" t="s">
        <v>794</v>
      </c>
      <c r="RUY138" s="26">
        <v>4</v>
      </c>
      <c r="RUZ138" s="26" t="s">
        <v>794</v>
      </c>
      <c r="RVA138" s="26">
        <v>4</v>
      </c>
      <c r="RVB138" s="26" t="s">
        <v>794</v>
      </c>
      <c r="RVC138" s="26">
        <v>4</v>
      </c>
      <c r="RVD138" s="26" t="s">
        <v>794</v>
      </c>
      <c r="RVE138" s="26">
        <v>4</v>
      </c>
      <c r="RVF138" s="26" t="s">
        <v>794</v>
      </c>
      <c r="RVG138" s="26">
        <v>4</v>
      </c>
      <c r="RVH138" s="26" t="s">
        <v>794</v>
      </c>
      <c r="RVI138" s="26">
        <v>4</v>
      </c>
      <c r="RVJ138" s="26" t="s">
        <v>794</v>
      </c>
      <c r="RVK138" s="26">
        <v>4</v>
      </c>
      <c r="RVL138" s="26" t="s">
        <v>794</v>
      </c>
      <c r="RVM138" s="26">
        <v>4</v>
      </c>
      <c r="RVN138" s="26" t="s">
        <v>794</v>
      </c>
      <c r="RVO138" s="26">
        <v>4</v>
      </c>
      <c r="RVP138" s="26" t="s">
        <v>794</v>
      </c>
      <c r="RVQ138" s="26">
        <v>4</v>
      </c>
      <c r="RVR138" s="26" t="s">
        <v>794</v>
      </c>
      <c r="RVS138" s="26">
        <v>4</v>
      </c>
      <c r="RVT138" s="26" t="s">
        <v>794</v>
      </c>
      <c r="RVU138" s="26">
        <v>4</v>
      </c>
      <c r="RVV138" s="26" t="s">
        <v>794</v>
      </c>
      <c r="RVW138" s="26">
        <v>4</v>
      </c>
      <c r="RVX138" s="26" t="s">
        <v>794</v>
      </c>
      <c r="RVY138" s="26">
        <v>4</v>
      </c>
      <c r="RVZ138" s="26" t="s">
        <v>794</v>
      </c>
      <c r="RWA138" s="26">
        <v>4</v>
      </c>
      <c r="RWB138" s="26" t="s">
        <v>794</v>
      </c>
      <c r="RWC138" s="26">
        <v>4</v>
      </c>
      <c r="RWD138" s="26" t="s">
        <v>794</v>
      </c>
      <c r="RWE138" s="26">
        <v>4</v>
      </c>
      <c r="RWF138" s="26" t="s">
        <v>794</v>
      </c>
      <c r="RWG138" s="26">
        <v>4</v>
      </c>
      <c r="RWH138" s="26" t="s">
        <v>794</v>
      </c>
      <c r="RWI138" s="26">
        <v>4</v>
      </c>
      <c r="RWJ138" s="26" t="s">
        <v>794</v>
      </c>
      <c r="RWK138" s="26">
        <v>4</v>
      </c>
      <c r="RWL138" s="26" t="s">
        <v>794</v>
      </c>
      <c r="RWM138" s="26">
        <v>4</v>
      </c>
      <c r="RWN138" s="26" t="s">
        <v>794</v>
      </c>
      <c r="RWO138" s="26">
        <v>4</v>
      </c>
      <c r="RWP138" s="26" t="s">
        <v>794</v>
      </c>
      <c r="RWQ138" s="26">
        <v>4</v>
      </c>
      <c r="RWR138" s="26" t="s">
        <v>794</v>
      </c>
      <c r="RWS138" s="26">
        <v>4</v>
      </c>
      <c r="RWT138" s="26" t="s">
        <v>794</v>
      </c>
      <c r="RWU138" s="26">
        <v>4</v>
      </c>
      <c r="RWV138" s="26" t="s">
        <v>794</v>
      </c>
      <c r="RWW138" s="26">
        <v>4</v>
      </c>
      <c r="RWX138" s="26" t="s">
        <v>794</v>
      </c>
      <c r="RWY138" s="26">
        <v>4</v>
      </c>
      <c r="RWZ138" s="26" t="s">
        <v>794</v>
      </c>
      <c r="RXA138" s="26">
        <v>4</v>
      </c>
      <c r="RXB138" s="26" t="s">
        <v>794</v>
      </c>
      <c r="RXC138" s="26">
        <v>4</v>
      </c>
      <c r="RXD138" s="26" t="s">
        <v>794</v>
      </c>
      <c r="RXE138" s="26">
        <v>4</v>
      </c>
      <c r="RXF138" s="26" t="s">
        <v>794</v>
      </c>
      <c r="RXG138" s="26">
        <v>4</v>
      </c>
      <c r="RXH138" s="26" t="s">
        <v>794</v>
      </c>
      <c r="RXI138" s="26">
        <v>4</v>
      </c>
      <c r="RXJ138" s="26" t="s">
        <v>794</v>
      </c>
      <c r="RXK138" s="26">
        <v>4</v>
      </c>
      <c r="RXL138" s="26" t="s">
        <v>794</v>
      </c>
      <c r="RXM138" s="26">
        <v>4</v>
      </c>
      <c r="RXN138" s="26" t="s">
        <v>794</v>
      </c>
      <c r="RXO138" s="26">
        <v>4</v>
      </c>
      <c r="RXP138" s="26" t="s">
        <v>794</v>
      </c>
      <c r="RXQ138" s="26">
        <v>4</v>
      </c>
      <c r="RXR138" s="26" t="s">
        <v>794</v>
      </c>
      <c r="RXS138" s="26">
        <v>4</v>
      </c>
      <c r="RXT138" s="26" t="s">
        <v>794</v>
      </c>
      <c r="RXU138" s="26">
        <v>4</v>
      </c>
      <c r="RXV138" s="26" t="s">
        <v>794</v>
      </c>
      <c r="RXW138" s="26">
        <v>4</v>
      </c>
      <c r="RXX138" s="26" t="s">
        <v>794</v>
      </c>
      <c r="RXY138" s="26">
        <v>4</v>
      </c>
      <c r="RXZ138" s="26" t="s">
        <v>794</v>
      </c>
      <c r="RYA138" s="26">
        <v>4</v>
      </c>
      <c r="RYB138" s="26" t="s">
        <v>794</v>
      </c>
      <c r="RYC138" s="26">
        <v>4</v>
      </c>
      <c r="RYD138" s="26" t="s">
        <v>794</v>
      </c>
      <c r="RYE138" s="26">
        <v>4</v>
      </c>
      <c r="RYF138" s="26" t="s">
        <v>794</v>
      </c>
      <c r="RYG138" s="26">
        <v>4</v>
      </c>
      <c r="RYH138" s="26" t="s">
        <v>794</v>
      </c>
      <c r="RYI138" s="26">
        <v>4</v>
      </c>
      <c r="RYJ138" s="26" t="s">
        <v>794</v>
      </c>
      <c r="RYK138" s="26">
        <v>4</v>
      </c>
      <c r="RYL138" s="26" t="s">
        <v>794</v>
      </c>
      <c r="RYM138" s="26">
        <v>4</v>
      </c>
      <c r="RYN138" s="26" t="s">
        <v>794</v>
      </c>
      <c r="RYO138" s="26">
        <v>4</v>
      </c>
      <c r="RYP138" s="26" t="s">
        <v>794</v>
      </c>
      <c r="RYQ138" s="26">
        <v>4</v>
      </c>
      <c r="RYR138" s="26" t="s">
        <v>794</v>
      </c>
      <c r="RYS138" s="26">
        <v>4</v>
      </c>
      <c r="RYT138" s="26" t="s">
        <v>794</v>
      </c>
      <c r="RYU138" s="26">
        <v>4</v>
      </c>
      <c r="RYV138" s="26" t="s">
        <v>794</v>
      </c>
      <c r="RYW138" s="26">
        <v>4</v>
      </c>
      <c r="RYX138" s="26" t="s">
        <v>794</v>
      </c>
      <c r="RYY138" s="26">
        <v>4</v>
      </c>
      <c r="RYZ138" s="26" t="s">
        <v>794</v>
      </c>
      <c r="RZA138" s="26">
        <v>4</v>
      </c>
      <c r="RZB138" s="26" t="s">
        <v>794</v>
      </c>
      <c r="RZC138" s="26">
        <v>4</v>
      </c>
      <c r="RZD138" s="26" t="s">
        <v>794</v>
      </c>
      <c r="RZE138" s="26">
        <v>4</v>
      </c>
      <c r="RZF138" s="26" t="s">
        <v>794</v>
      </c>
      <c r="RZG138" s="26">
        <v>4</v>
      </c>
      <c r="RZH138" s="26" t="s">
        <v>794</v>
      </c>
      <c r="RZI138" s="26">
        <v>4</v>
      </c>
      <c r="RZJ138" s="26" t="s">
        <v>794</v>
      </c>
      <c r="RZK138" s="26">
        <v>4</v>
      </c>
      <c r="RZL138" s="26" t="s">
        <v>794</v>
      </c>
      <c r="RZM138" s="26">
        <v>4</v>
      </c>
      <c r="RZN138" s="26" t="s">
        <v>794</v>
      </c>
      <c r="RZO138" s="26">
        <v>4</v>
      </c>
      <c r="RZP138" s="26" t="s">
        <v>794</v>
      </c>
      <c r="RZQ138" s="26">
        <v>4</v>
      </c>
      <c r="RZR138" s="26" t="s">
        <v>794</v>
      </c>
      <c r="RZS138" s="26">
        <v>4</v>
      </c>
      <c r="RZT138" s="26" t="s">
        <v>794</v>
      </c>
      <c r="RZU138" s="26">
        <v>4</v>
      </c>
      <c r="RZV138" s="26" t="s">
        <v>794</v>
      </c>
      <c r="RZW138" s="26">
        <v>4</v>
      </c>
      <c r="RZX138" s="26" t="s">
        <v>794</v>
      </c>
      <c r="RZY138" s="26">
        <v>4</v>
      </c>
      <c r="RZZ138" s="26" t="s">
        <v>794</v>
      </c>
      <c r="SAA138" s="26">
        <v>4</v>
      </c>
      <c r="SAB138" s="26" t="s">
        <v>794</v>
      </c>
      <c r="SAC138" s="26">
        <v>4</v>
      </c>
      <c r="SAD138" s="26" t="s">
        <v>794</v>
      </c>
      <c r="SAE138" s="26">
        <v>4</v>
      </c>
      <c r="SAF138" s="26" t="s">
        <v>794</v>
      </c>
      <c r="SAG138" s="26">
        <v>4</v>
      </c>
      <c r="SAH138" s="26" t="s">
        <v>794</v>
      </c>
      <c r="SAI138" s="26">
        <v>4</v>
      </c>
      <c r="SAJ138" s="26" t="s">
        <v>794</v>
      </c>
      <c r="SAK138" s="26">
        <v>4</v>
      </c>
      <c r="SAL138" s="26" t="s">
        <v>794</v>
      </c>
      <c r="SAM138" s="26">
        <v>4</v>
      </c>
      <c r="SAN138" s="26" t="s">
        <v>794</v>
      </c>
      <c r="SAO138" s="26">
        <v>4</v>
      </c>
      <c r="SAP138" s="26" t="s">
        <v>794</v>
      </c>
      <c r="SAQ138" s="26">
        <v>4</v>
      </c>
      <c r="SAR138" s="26" t="s">
        <v>794</v>
      </c>
      <c r="SAS138" s="26">
        <v>4</v>
      </c>
      <c r="SAT138" s="26" t="s">
        <v>794</v>
      </c>
      <c r="SAU138" s="26">
        <v>4</v>
      </c>
      <c r="SAV138" s="26" t="s">
        <v>794</v>
      </c>
      <c r="SAW138" s="26">
        <v>4</v>
      </c>
      <c r="SAX138" s="26" t="s">
        <v>794</v>
      </c>
      <c r="SAY138" s="26">
        <v>4</v>
      </c>
      <c r="SAZ138" s="26" t="s">
        <v>794</v>
      </c>
      <c r="SBA138" s="26">
        <v>4</v>
      </c>
      <c r="SBB138" s="26" t="s">
        <v>794</v>
      </c>
      <c r="SBC138" s="26">
        <v>4</v>
      </c>
      <c r="SBD138" s="26" t="s">
        <v>794</v>
      </c>
      <c r="SBE138" s="26">
        <v>4</v>
      </c>
      <c r="SBF138" s="26" t="s">
        <v>794</v>
      </c>
      <c r="SBG138" s="26">
        <v>4</v>
      </c>
      <c r="SBH138" s="26" t="s">
        <v>794</v>
      </c>
      <c r="SBI138" s="26">
        <v>4</v>
      </c>
      <c r="SBJ138" s="26" t="s">
        <v>794</v>
      </c>
      <c r="SBK138" s="26">
        <v>4</v>
      </c>
      <c r="SBL138" s="26" t="s">
        <v>794</v>
      </c>
      <c r="SBM138" s="26">
        <v>4</v>
      </c>
      <c r="SBN138" s="26" t="s">
        <v>794</v>
      </c>
      <c r="SBO138" s="26">
        <v>4</v>
      </c>
      <c r="SBP138" s="26" t="s">
        <v>794</v>
      </c>
      <c r="SBQ138" s="26">
        <v>4</v>
      </c>
      <c r="SBR138" s="26" t="s">
        <v>794</v>
      </c>
      <c r="SBS138" s="26">
        <v>4</v>
      </c>
      <c r="SBT138" s="26" t="s">
        <v>794</v>
      </c>
      <c r="SBU138" s="26">
        <v>4</v>
      </c>
      <c r="SBV138" s="26" t="s">
        <v>794</v>
      </c>
      <c r="SBW138" s="26">
        <v>4</v>
      </c>
      <c r="SBX138" s="26" t="s">
        <v>794</v>
      </c>
      <c r="SBY138" s="26">
        <v>4</v>
      </c>
      <c r="SBZ138" s="26" t="s">
        <v>794</v>
      </c>
      <c r="SCA138" s="26">
        <v>4</v>
      </c>
      <c r="SCB138" s="26" t="s">
        <v>794</v>
      </c>
      <c r="SCC138" s="26">
        <v>4</v>
      </c>
      <c r="SCD138" s="26" t="s">
        <v>794</v>
      </c>
      <c r="SCE138" s="26">
        <v>4</v>
      </c>
      <c r="SCF138" s="26" t="s">
        <v>794</v>
      </c>
      <c r="SCG138" s="26">
        <v>4</v>
      </c>
      <c r="SCH138" s="26" t="s">
        <v>794</v>
      </c>
      <c r="SCI138" s="26">
        <v>4</v>
      </c>
      <c r="SCJ138" s="26" t="s">
        <v>794</v>
      </c>
      <c r="SCK138" s="26">
        <v>4</v>
      </c>
      <c r="SCL138" s="26" t="s">
        <v>794</v>
      </c>
      <c r="SCM138" s="26">
        <v>4</v>
      </c>
      <c r="SCN138" s="26" t="s">
        <v>794</v>
      </c>
      <c r="SCO138" s="26">
        <v>4</v>
      </c>
      <c r="SCP138" s="26" t="s">
        <v>794</v>
      </c>
      <c r="SCQ138" s="26">
        <v>4</v>
      </c>
      <c r="SCR138" s="26" t="s">
        <v>794</v>
      </c>
      <c r="SCS138" s="26">
        <v>4</v>
      </c>
      <c r="SCT138" s="26" t="s">
        <v>794</v>
      </c>
      <c r="SCU138" s="26">
        <v>4</v>
      </c>
      <c r="SCV138" s="26" t="s">
        <v>794</v>
      </c>
      <c r="SCW138" s="26">
        <v>4</v>
      </c>
      <c r="SCX138" s="26" t="s">
        <v>794</v>
      </c>
      <c r="SCY138" s="26">
        <v>4</v>
      </c>
      <c r="SCZ138" s="26" t="s">
        <v>794</v>
      </c>
      <c r="SDA138" s="26">
        <v>4</v>
      </c>
      <c r="SDB138" s="26" t="s">
        <v>794</v>
      </c>
      <c r="SDC138" s="26">
        <v>4</v>
      </c>
      <c r="SDD138" s="26" t="s">
        <v>794</v>
      </c>
      <c r="SDE138" s="26">
        <v>4</v>
      </c>
      <c r="SDF138" s="26" t="s">
        <v>794</v>
      </c>
      <c r="SDG138" s="26">
        <v>4</v>
      </c>
      <c r="SDH138" s="26" t="s">
        <v>794</v>
      </c>
      <c r="SDI138" s="26">
        <v>4</v>
      </c>
      <c r="SDJ138" s="26" t="s">
        <v>794</v>
      </c>
      <c r="SDK138" s="26">
        <v>4</v>
      </c>
      <c r="SDL138" s="26" t="s">
        <v>794</v>
      </c>
      <c r="SDM138" s="26">
        <v>4</v>
      </c>
      <c r="SDN138" s="26" t="s">
        <v>794</v>
      </c>
      <c r="SDO138" s="26">
        <v>4</v>
      </c>
      <c r="SDP138" s="26" t="s">
        <v>794</v>
      </c>
      <c r="SDQ138" s="26">
        <v>4</v>
      </c>
      <c r="SDR138" s="26" t="s">
        <v>794</v>
      </c>
      <c r="SDS138" s="26">
        <v>4</v>
      </c>
      <c r="SDT138" s="26" t="s">
        <v>794</v>
      </c>
      <c r="SDU138" s="26">
        <v>4</v>
      </c>
      <c r="SDV138" s="26" t="s">
        <v>794</v>
      </c>
      <c r="SDW138" s="26">
        <v>4</v>
      </c>
      <c r="SDX138" s="26" t="s">
        <v>794</v>
      </c>
      <c r="SDY138" s="26">
        <v>4</v>
      </c>
      <c r="SDZ138" s="26" t="s">
        <v>794</v>
      </c>
      <c r="SEA138" s="26">
        <v>4</v>
      </c>
      <c r="SEB138" s="26" t="s">
        <v>794</v>
      </c>
      <c r="SEC138" s="26">
        <v>4</v>
      </c>
      <c r="SED138" s="26" t="s">
        <v>794</v>
      </c>
      <c r="SEE138" s="26">
        <v>4</v>
      </c>
      <c r="SEF138" s="26" t="s">
        <v>794</v>
      </c>
      <c r="SEG138" s="26">
        <v>4</v>
      </c>
      <c r="SEH138" s="26" t="s">
        <v>794</v>
      </c>
      <c r="SEI138" s="26">
        <v>4</v>
      </c>
      <c r="SEJ138" s="26" t="s">
        <v>794</v>
      </c>
      <c r="SEK138" s="26">
        <v>4</v>
      </c>
      <c r="SEL138" s="26" t="s">
        <v>794</v>
      </c>
      <c r="SEM138" s="26">
        <v>4</v>
      </c>
      <c r="SEN138" s="26" t="s">
        <v>794</v>
      </c>
      <c r="SEO138" s="26">
        <v>4</v>
      </c>
      <c r="SEP138" s="26" t="s">
        <v>794</v>
      </c>
      <c r="SEQ138" s="26">
        <v>4</v>
      </c>
      <c r="SER138" s="26" t="s">
        <v>794</v>
      </c>
      <c r="SES138" s="26">
        <v>4</v>
      </c>
      <c r="SET138" s="26" t="s">
        <v>794</v>
      </c>
      <c r="SEU138" s="26">
        <v>4</v>
      </c>
      <c r="SEV138" s="26" t="s">
        <v>794</v>
      </c>
      <c r="SEW138" s="26">
        <v>4</v>
      </c>
      <c r="SEX138" s="26" t="s">
        <v>794</v>
      </c>
      <c r="SEY138" s="26">
        <v>4</v>
      </c>
      <c r="SEZ138" s="26" t="s">
        <v>794</v>
      </c>
      <c r="SFA138" s="26">
        <v>4</v>
      </c>
      <c r="SFB138" s="26" t="s">
        <v>794</v>
      </c>
      <c r="SFC138" s="26">
        <v>4</v>
      </c>
      <c r="SFD138" s="26" t="s">
        <v>794</v>
      </c>
      <c r="SFE138" s="26">
        <v>4</v>
      </c>
      <c r="SFF138" s="26" t="s">
        <v>794</v>
      </c>
      <c r="SFG138" s="26">
        <v>4</v>
      </c>
      <c r="SFH138" s="26" t="s">
        <v>794</v>
      </c>
      <c r="SFI138" s="26">
        <v>4</v>
      </c>
      <c r="SFJ138" s="26" t="s">
        <v>794</v>
      </c>
      <c r="SFK138" s="26">
        <v>4</v>
      </c>
      <c r="SFL138" s="26" t="s">
        <v>794</v>
      </c>
      <c r="SFM138" s="26">
        <v>4</v>
      </c>
      <c r="SFN138" s="26" t="s">
        <v>794</v>
      </c>
      <c r="SFO138" s="26">
        <v>4</v>
      </c>
      <c r="SFP138" s="26" t="s">
        <v>794</v>
      </c>
      <c r="SFQ138" s="26">
        <v>4</v>
      </c>
      <c r="SFR138" s="26" t="s">
        <v>794</v>
      </c>
      <c r="SFS138" s="26">
        <v>4</v>
      </c>
      <c r="SFT138" s="26" t="s">
        <v>794</v>
      </c>
      <c r="SFU138" s="26">
        <v>4</v>
      </c>
      <c r="SFV138" s="26" t="s">
        <v>794</v>
      </c>
      <c r="SFW138" s="26">
        <v>4</v>
      </c>
      <c r="SFX138" s="26" t="s">
        <v>794</v>
      </c>
      <c r="SFY138" s="26">
        <v>4</v>
      </c>
      <c r="SFZ138" s="26" t="s">
        <v>794</v>
      </c>
      <c r="SGA138" s="26">
        <v>4</v>
      </c>
      <c r="SGB138" s="26" t="s">
        <v>794</v>
      </c>
      <c r="SGC138" s="26">
        <v>4</v>
      </c>
      <c r="SGD138" s="26" t="s">
        <v>794</v>
      </c>
      <c r="SGE138" s="26">
        <v>4</v>
      </c>
      <c r="SGF138" s="26" t="s">
        <v>794</v>
      </c>
      <c r="SGG138" s="26">
        <v>4</v>
      </c>
      <c r="SGH138" s="26" t="s">
        <v>794</v>
      </c>
      <c r="SGI138" s="26">
        <v>4</v>
      </c>
      <c r="SGJ138" s="26" t="s">
        <v>794</v>
      </c>
      <c r="SGK138" s="26">
        <v>4</v>
      </c>
      <c r="SGL138" s="26" t="s">
        <v>794</v>
      </c>
      <c r="SGM138" s="26">
        <v>4</v>
      </c>
      <c r="SGN138" s="26" t="s">
        <v>794</v>
      </c>
      <c r="SGO138" s="26">
        <v>4</v>
      </c>
      <c r="SGP138" s="26" t="s">
        <v>794</v>
      </c>
      <c r="SGQ138" s="26">
        <v>4</v>
      </c>
      <c r="SGR138" s="26" t="s">
        <v>794</v>
      </c>
      <c r="SGS138" s="26">
        <v>4</v>
      </c>
      <c r="SGT138" s="26" t="s">
        <v>794</v>
      </c>
      <c r="SGU138" s="26">
        <v>4</v>
      </c>
      <c r="SGV138" s="26" t="s">
        <v>794</v>
      </c>
      <c r="SGW138" s="26">
        <v>4</v>
      </c>
      <c r="SGX138" s="26" t="s">
        <v>794</v>
      </c>
      <c r="SGY138" s="26">
        <v>4</v>
      </c>
      <c r="SGZ138" s="26" t="s">
        <v>794</v>
      </c>
      <c r="SHA138" s="26">
        <v>4</v>
      </c>
      <c r="SHB138" s="26" t="s">
        <v>794</v>
      </c>
      <c r="SHC138" s="26">
        <v>4</v>
      </c>
      <c r="SHD138" s="26" t="s">
        <v>794</v>
      </c>
      <c r="SHE138" s="26">
        <v>4</v>
      </c>
      <c r="SHF138" s="26" t="s">
        <v>794</v>
      </c>
      <c r="SHG138" s="26">
        <v>4</v>
      </c>
      <c r="SHH138" s="26" t="s">
        <v>794</v>
      </c>
      <c r="SHI138" s="26">
        <v>4</v>
      </c>
      <c r="SHJ138" s="26" t="s">
        <v>794</v>
      </c>
      <c r="SHK138" s="26">
        <v>4</v>
      </c>
      <c r="SHL138" s="26" t="s">
        <v>794</v>
      </c>
      <c r="SHM138" s="26">
        <v>4</v>
      </c>
      <c r="SHN138" s="26" t="s">
        <v>794</v>
      </c>
      <c r="SHO138" s="26">
        <v>4</v>
      </c>
      <c r="SHP138" s="26" t="s">
        <v>794</v>
      </c>
      <c r="SHQ138" s="26">
        <v>4</v>
      </c>
      <c r="SHR138" s="26" t="s">
        <v>794</v>
      </c>
      <c r="SHS138" s="26">
        <v>4</v>
      </c>
      <c r="SHT138" s="26" t="s">
        <v>794</v>
      </c>
      <c r="SHU138" s="26">
        <v>4</v>
      </c>
      <c r="SHV138" s="26" t="s">
        <v>794</v>
      </c>
      <c r="SHW138" s="26">
        <v>4</v>
      </c>
      <c r="SHX138" s="26" t="s">
        <v>794</v>
      </c>
      <c r="SHY138" s="26">
        <v>4</v>
      </c>
      <c r="SHZ138" s="26" t="s">
        <v>794</v>
      </c>
      <c r="SIA138" s="26">
        <v>4</v>
      </c>
      <c r="SIB138" s="26" t="s">
        <v>794</v>
      </c>
      <c r="SIC138" s="26">
        <v>4</v>
      </c>
      <c r="SID138" s="26" t="s">
        <v>794</v>
      </c>
      <c r="SIE138" s="26">
        <v>4</v>
      </c>
      <c r="SIF138" s="26" t="s">
        <v>794</v>
      </c>
      <c r="SIG138" s="26">
        <v>4</v>
      </c>
      <c r="SIH138" s="26" t="s">
        <v>794</v>
      </c>
      <c r="SII138" s="26">
        <v>4</v>
      </c>
      <c r="SIJ138" s="26" t="s">
        <v>794</v>
      </c>
      <c r="SIK138" s="26">
        <v>4</v>
      </c>
      <c r="SIL138" s="26" t="s">
        <v>794</v>
      </c>
      <c r="SIM138" s="26">
        <v>4</v>
      </c>
      <c r="SIN138" s="26" t="s">
        <v>794</v>
      </c>
      <c r="SIO138" s="26">
        <v>4</v>
      </c>
      <c r="SIP138" s="26" t="s">
        <v>794</v>
      </c>
      <c r="SIQ138" s="26">
        <v>4</v>
      </c>
      <c r="SIR138" s="26" t="s">
        <v>794</v>
      </c>
      <c r="SIS138" s="26">
        <v>4</v>
      </c>
      <c r="SIT138" s="26" t="s">
        <v>794</v>
      </c>
      <c r="SIU138" s="26">
        <v>4</v>
      </c>
      <c r="SIV138" s="26" t="s">
        <v>794</v>
      </c>
      <c r="SIW138" s="26">
        <v>4</v>
      </c>
      <c r="SIX138" s="26" t="s">
        <v>794</v>
      </c>
      <c r="SIY138" s="26">
        <v>4</v>
      </c>
      <c r="SIZ138" s="26" t="s">
        <v>794</v>
      </c>
      <c r="SJA138" s="26">
        <v>4</v>
      </c>
      <c r="SJB138" s="26" t="s">
        <v>794</v>
      </c>
      <c r="SJC138" s="26">
        <v>4</v>
      </c>
      <c r="SJD138" s="26" t="s">
        <v>794</v>
      </c>
      <c r="SJE138" s="26">
        <v>4</v>
      </c>
      <c r="SJF138" s="26" t="s">
        <v>794</v>
      </c>
      <c r="SJG138" s="26">
        <v>4</v>
      </c>
      <c r="SJH138" s="26" t="s">
        <v>794</v>
      </c>
      <c r="SJI138" s="26">
        <v>4</v>
      </c>
      <c r="SJJ138" s="26" t="s">
        <v>794</v>
      </c>
      <c r="SJK138" s="26">
        <v>4</v>
      </c>
      <c r="SJL138" s="26" t="s">
        <v>794</v>
      </c>
      <c r="SJM138" s="26">
        <v>4</v>
      </c>
      <c r="SJN138" s="26" t="s">
        <v>794</v>
      </c>
      <c r="SJO138" s="26">
        <v>4</v>
      </c>
      <c r="SJP138" s="26" t="s">
        <v>794</v>
      </c>
      <c r="SJQ138" s="26">
        <v>4</v>
      </c>
      <c r="SJR138" s="26" t="s">
        <v>794</v>
      </c>
      <c r="SJS138" s="26">
        <v>4</v>
      </c>
      <c r="SJT138" s="26" t="s">
        <v>794</v>
      </c>
      <c r="SJU138" s="26">
        <v>4</v>
      </c>
      <c r="SJV138" s="26" t="s">
        <v>794</v>
      </c>
      <c r="SJW138" s="26">
        <v>4</v>
      </c>
      <c r="SJX138" s="26" t="s">
        <v>794</v>
      </c>
      <c r="SJY138" s="26">
        <v>4</v>
      </c>
      <c r="SJZ138" s="26" t="s">
        <v>794</v>
      </c>
      <c r="SKA138" s="26">
        <v>4</v>
      </c>
      <c r="SKB138" s="26" t="s">
        <v>794</v>
      </c>
      <c r="SKC138" s="26">
        <v>4</v>
      </c>
      <c r="SKD138" s="26" t="s">
        <v>794</v>
      </c>
      <c r="SKE138" s="26">
        <v>4</v>
      </c>
      <c r="SKF138" s="26" t="s">
        <v>794</v>
      </c>
      <c r="SKG138" s="26">
        <v>4</v>
      </c>
      <c r="SKH138" s="26" t="s">
        <v>794</v>
      </c>
      <c r="SKI138" s="26">
        <v>4</v>
      </c>
      <c r="SKJ138" s="26" t="s">
        <v>794</v>
      </c>
      <c r="SKK138" s="26">
        <v>4</v>
      </c>
      <c r="SKL138" s="26" t="s">
        <v>794</v>
      </c>
      <c r="SKM138" s="26">
        <v>4</v>
      </c>
      <c r="SKN138" s="26" t="s">
        <v>794</v>
      </c>
      <c r="SKO138" s="26">
        <v>4</v>
      </c>
      <c r="SKP138" s="26" t="s">
        <v>794</v>
      </c>
      <c r="SKQ138" s="26">
        <v>4</v>
      </c>
      <c r="SKR138" s="26" t="s">
        <v>794</v>
      </c>
      <c r="SKS138" s="26">
        <v>4</v>
      </c>
      <c r="SKT138" s="26" t="s">
        <v>794</v>
      </c>
      <c r="SKU138" s="26">
        <v>4</v>
      </c>
      <c r="SKV138" s="26" t="s">
        <v>794</v>
      </c>
      <c r="SKW138" s="26">
        <v>4</v>
      </c>
      <c r="SKX138" s="26" t="s">
        <v>794</v>
      </c>
      <c r="SKY138" s="26">
        <v>4</v>
      </c>
      <c r="SKZ138" s="26" t="s">
        <v>794</v>
      </c>
      <c r="SLA138" s="26">
        <v>4</v>
      </c>
      <c r="SLB138" s="26" t="s">
        <v>794</v>
      </c>
      <c r="SLC138" s="26">
        <v>4</v>
      </c>
      <c r="SLD138" s="26" t="s">
        <v>794</v>
      </c>
      <c r="SLE138" s="26">
        <v>4</v>
      </c>
      <c r="SLF138" s="26" t="s">
        <v>794</v>
      </c>
      <c r="SLG138" s="26">
        <v>4</v>
      </c>
      <c r="SLH138" s="26" t="s">
        <v>794</v>
      </c>
      <c r="SLI138" s="26">
        <v>4</v>
      </c>
      <c r="SLJ138" s="26" t="s">
        <v>794</v>
      </c>
      <c r="SLK138" s="26">
        <v>4</v>
      </c>
      <c r="SLL138" s="26" t="s">
        <v>794</v>
      </c>
      <c r="SLM138" s="26">
        <v>4</v>
      </c>
      <c r="SLN138" s="26" t="s">
        <v>794</v>
      </c>
      <c r="SLO138" s="26">
        <v>4</v>
      </c>
      <c r="SLP138" s="26" t="s">
        <v>794</v>
      </c>
      <c r="SLQ138" s="26">
        <v>4</v>
      </c>
      <c r="SLR138" s="26" t="s">
        <v>794</v>
      </c>
      <c r="SLS138" s="26">
        <v>4</v>
      </c>
      <c r="SLT138" s="26" t="s">
        <v>794</v>
      </c>
      <c r="SLU138" s="26">
        <v>4</v>
      </c>
      <c r="SLV138" s="26" t="s">
        <v>794</v>
      </c>
      <c r="SLW138" s="26">
        <v>4</v>
      </c>
      <c r="SLX138" s="26" t="s">
        <v>794</v>
      </c>
      <c r="SLY138" s="26">
        <v>4</v>
      </c>
      <c r="SLZ138" s="26" t="s">
        <v>794</v>
      </c>
      <c r="SMA138" s="26">
        <v>4</v>
      </c>
      <c r="SMB138" s="26" t="s">
        <v>794</v>
      </c>
      <c r="SMC138" s="26">
        <v>4</v>
      </c>
      <c r="SMD138" s="26" t="s">
        <v>794</v>
      </c>
      <c r="SME138" s="26">
        <v>4</v>
      </c>
      <c r="SMF138" s="26" t="s">
        <v>794</v>
      </c>
      <c r="SMG138" s="26">
        <v>4</v>
      </c>
      <c r="SMH138" s="26" t="s">
        <v>794</v>
      </c>
      <c r="SMI138" s="26">
        <v>4</v>
      </c>
      <c r="SMJ138" s="26" t="s">
        <v>794</v>
      </c>
      <c r="SMK138" s="26">
        <v>4</v>
      </c>
      <c r="SML138" s="26" t="s">
        <v>794</v>
      </c>
      <c r="SMM138" s="26">
        <v>4</v>
      </c>
      <c r="SMN138" s="26" t="s">
        <v>794</v>
      </c>
      <c r="SMO138" s="26">
        <v>4</v>
      </c>
      <c r="SMP138" s="26" t="s">
        <v>794</v>
      </c>
      <c r="SMQ138" s="26">
        <v>4</v>
      </c>
      <c r="SMR138" s="26" t="s">
        <v>794</v>
      </c>
      <c r="SMS138" s="26">
        <v>4</v>
      </c>
      <c r="SMT138" s="26" t="s">
        <v>794</v>
      </c>
      <c r="SMU138" s="26">
        <v>4</v>
      </c>
      <c r="SMV138" s="26" t="s">
        <v>794</v>
      </c>
      <c r="SMW138" s="26">
        <v>4</v>
      </c>
      <c r="SMX138" s="26" t="s">
        <v>794</v>
      </c>
      <c r="SMY138" s="26">
        <v>4</v>
      </c>
      <c r="SMZ138" s="26" t="s">
        <v>794</v>
      </c>
      <c r="SNA138" s="26">
        <v>4</v>
      </c>
      <c r="SNB138" s="26" t="s">
        <v>794</v>
      </c>
      <c r="SNC138" s="26">
        <v>4</v>
      </c>
      <c r="SND138" s="26" t="s">
        <v>794</v>
      </c>
      <c r="SNE138" s="26">
        <v>4</v>
      </c>
      <c r="SNF138" s="26" t="s">
        <v>794</v>
      </c>
      <c r="SNG138" s="26">
        <v>4</v>
      </c>
      <c r="SNH138" s="26" t="s">
        <v>794</v>
      </c>
      <c r="SNI138" s="26">
        <v>4</v>
      </c>
      <c r="SNJ138" s="26" t="s">
        <v>794</v>
      </c>
      <c r="SNK138" s="26">
        <v>4</v>
      </c>
      <c r="SNL138" s="26" t="s">
        <v>794</v>
      </c>
      <c r="SNM138" s="26">
        <v>4</v>
      </c>
      <c r="SNN138" s="26" t="s">
        <v>794</v>
      </c>
      <c r="SNO138" s="26">
        <v>4</v>
      </c>
      <c r="SNP138" s="26" t="s">
        <v>794</v>
      </c>
      <c r="SNQ138" s="26">
        <v>4</v>
      </c>
      <c r="SNR138" s="26" t="s">
        <v>794</v>
      </c>
      <c r="SNS138" s="26">
        <v>4</v>
      </c>
      <c r="SNT138" s="26" t="s">
        <v>794</v>
      </c>
      <c r="SNU138" s="26">
        <v>4</v>
      </c>
      <c r="SNV138" s="26" t="s">
        <v>794</v>
      </c>
      <c r="SNW138" s="26">
        <v>4</v>
      </c>
      <c r="SNX138" s="26" t="s">
        <v>794</v>
      </c>
      <c r="SNY138" s="26">
        <v>4</v>
      </c>
      <c r="SNZ138" s="26" t="s">
        <v>794</v>
      </c>
      <c r="SOA138" s="26">
        <v>4</v>
      </c>
      <c r="SOB138" s="26" t="s">
        <v>794</v>
      </c>
      <c r="SOC138" s="26">
        <v>4</v>
      </c>
      <c r="SOD138" s="26" t="s">
        <v>794</v>
      </c>
      <c r="SOE138" s="26">
        <v>4</v>
      </c>
      <c r="SOF138" s="26" t="s">
        <v>794</v>
      </c>
      <c r="SOG138" s="26">
        <v>4</v>
      </c>
      <c r="SOH138" s="26" t="s">
        <v>794</v>
      </c>
      <c r="SOI138" s="26">
        <v>4</v>
      </c>
      <c r="SOJ138" s="26" t="s">
        <v>794</v>
      </c>
      <c r="SOK138" s="26">
        <v>4</v>
      </c>
      <c r="SOL138" s="26" t="s">
        <v>794</v>
      </c>
      <c r="SOM138" s="26">
        <v>4</v>
      </c>
      <c r="SON138" s="26" t="s">
        <v>794</v>
      </c>
      <c r="SOO138" s="26">
        <v>4</v>
      </c>
      <c r="SOP138" s="26" t="s">
        <v>794</v>
      </c>
      <c r="SOQ138" s="26">
        <v>4</v>
      </c>
      <c r="SOR138" s="26" t="s">
        <v>794</v>
      </c>
      <c r="SOS138" s="26">
        <v>4</v>
      </c>
      <c r="SOT138" s="26" t="s">
        <v>794</v>
      </c>
      <c r="SOU138" s="26">
        <v>4</v>
      </c>
      <c r="SOV138" s="26" t="s">
        <v>794</v>
      </c>
      <c r="SOW138" s="26">
        <v>4</v>
      </c>
      <c r="SOX138" s="26" t="s">
        <v>794</v>
      </c>
      <c r="SOY138" s="26">
        <v>4</v>
      </c>
      <c r="SOZ138" s="26" t="s">
        <v>794</v>
      </c>
      <c r="SPA138" s="26">
        <v>4</v>
      </c>
      <c r="SPB138" s="26" t="s">
        <v>794</v>
      </c>
      <c r="SPC138" s="26">
        <v>4</v>
      </c>
      <c r="SPD138" s="26" t="s">
        <v>794</v>
      </c>
      <c r="SPE138" s="26">
        <v>4</v>
      </c>
      <c r="SPF138" s="26" t="s">
        <v>794</v>
      </c>
      <c r="SPG138" s="26">
        <v>4</v>
      </c>
      <c r="SPH138" s="26" t="s">
        <v>794</v>
      </c>
      <c r="SPI138" s="26">
        <v>4</v>
      </c>
      <c r="SPJ138" s="26" t="s">
        <v>794</v>
      </c>
      <c r="SPK138" s="26">
        <v>4</v>
      </c>
      <c r="SPL138" s="26" t="s">
        <v>794</v>
      </c>
      <c r="SPM138" s="26">
        <v>4</v>
      </c>
      <c r="SPN138" s="26" t="s">
        <v>794</v>
      </c>
      <c r="SPO138" s="26">
        <v>4</v>
      </c>
      <c r="SPP138" s="26" t="s">
        <v>794</v>
      </c>
      <c r="SPQ138" s="26">
        <v>4</v>
      </c>
      <c r="SPR138" s="26" t="s">
        <v>794</v>
      </c>
      <c r="SPS138" s="26">
        <v>4</v>
      </c>
      <c r="SPT138" s="26" t="s">
        <v>794</v>
      </c>
      <c r="SPU138" s="26">
        <v>4</v>
      </c>
      <c r="SPV138" s="26" t="s">
        <v>794</v>
      </c>
      <c r="SPW138" s="26">
        <v>4</v>
      </c>
      <c r="SPX138" s="26" t="s">
        <v>794</v>
      </c>
      <c r="SPY138" s="26">
        <v>4</v>
      </c>
      <c r="SPZ138" s="26" t="s">
        <v>794</v>
      </c>
      <c r="SQA138" s="26">
        <v>4</v>
      </c>
      <c r="SQB138" s="26" t="s">
        <v>794</v>
      </c>
      <c r="SQC138" s="26">
        <v>4</v>
      </c>
      <c r="SQD138" s="26" t="s">
        <v>794</v>
      </c>
      <c r="SQE138" s="26">
        <v>4</v>
      </c>
      <c r="SQF138" s="26" t="s">
        <v>794</v>
      </c>
      <c r="SQG138" s="26">
        <v>4</v>
      </c>
      <c r="SQH138" s="26" t="s">
        <v>794</v>
      </c>
      <c r="SQI138" s="26">
        <v>4</v>
      </c>
      <c r="SQJ138" s="26" t="s">
        <v>794</v>
      </c>
      <c r="SQK138" s="26">
        <v>4</v>
      </c>
      <c r="SQL138" s="26" t="s">
        <v>794</v>
      </c>
      <c r="SQM138" s="26">
        <v>4</v>
      </c>
      <c r="SQN138" s="26" t="s">
        <v>794</v>
      </c>
      <c r="SQO138" s="26">
        <v>4</v>
      </c>
      <c r="SQP138" s="26" t="s">
        <v>794</v>
      </c>
      <c r="SQQ138" s="26">
        <v>4</v>
      </c>
      <c r="SQR138" s="26" t="s">
        <v>794</v>
      </c>
      <c r="SQS138" s="26">
        <v>4</v>
      </c>
      <c r="SQT138" s="26" t="s">
        <v>794</v>
      </c>
      <c r="SQU138" s="26">
        <v>4</v>
      </c>
      <c r="SQV138" s="26" t="s">
        <v>794</v>
      </c>
      <c r="SQW138" s="26">
        <v>4</v>
      </c>
      <c r="SQX138" s="26" t="s">
        <v>794</v>
      </c>
      <c r="SQY138" s="26">
        <v>4</v>
      </c>
      <c r="SQZ138" s="26" t="s">
        <v>794</v>
      </c>
      <c r="SRA138" s="26">
        <v>4</v>
      </c>
      <c r="SRB138" s="26" t="s">
        <v>794</v>
      </c>
      <c r="SRC138" s="26">
        <v>4</v>
      </c>
      <c r="SRD138" s="26" t="s">
        <v>794</v>
      </c>
      <c r="SRE138" s="26">
        <v>4</v>
      </c>
      <c r="SRF138" s="26" t="s">
        <v>794</v>
      </c>
      <c r="SRG138" s="26">
        <v>4</v>
      </c>
      <c r="SRH138" s="26" t="s">
        <v>794</v>
      </c>
      <c r="SRI138" s="26">
        <v>4</v>
      </c>
      <c r="SRJ138" s="26" t="s">
        <v>794</v>
      </c>
      <c r="SRK138" s="26">
        <v>4</v>
      </c>
      <c r="SRL138" s="26" t="s">
        <v>794</v>
      </c>
      <c r="SRM138" s="26">
        <v>4</v>
      </c>
      <c r="SRN138" s="26" t="s">
        <v>794</v>
      </c>
      <c r="SRO138" s="26">
        <v>4</v>
      </c>
      <c r="SRP138" s="26" t="s">
        <v>794</v>
      </c>
      <c r="SRQ138" s="26">
        <v>4</v>
      </c>
      <c r="SRR138" s="26" t="s">
        <v>794</v>
      </c>
      <c r="SRS138" s="26">
        <v>4</v>
      </c>
      <c r="SRT138" s="26" t="s">
        <v>794</v>
      </c>
      <c r="SRU138" s="26">
        <v>4</v>
      </c>
      <c r="SRV138" s="26" t="s">
        <v>794</v>
      </c>
      <c r="SRW138" s="26">
        <v>4</v>
      </c>
      <c r="SRX138" s="26" t="s">
        <v>794</v>
      </c>
      <c r="SRY138" s="26">
        <v>4</v>
      </c>
      <c r="SRZ138" s="26" t="s">
        <v>794</v>
      </c>
      <c r="SSA138" s="26">
        <v>4</v>
      </c>
      <c r="SSB138" s="26" t="s">
        <v>794</v>
      </c>
      <c r="SSC138" s="26">
        <v>4</v>
      </c>
      <c r="SSD138" s="26" t="s">
        <v>794</v>
      </c>
      <c r="SSE138" s="26">
        <v>4</v>
      </c>
      <c r="SSF138" s="26" t="s">
        <v>794</v>
      </c>
      <c r="SSG138" s="26">
        <v>4</v>
      </c>
      <c r="SSH138" s="26" t="s">
        <v>794</v>
      </c>
      <c r="SSI138" s="26">
        <v>4</v>
      </c>
      <c r="SSJ138" s="26" t="s">
        <v>794</v>
      </c>
      <c r="SSK138" s="26">
        <v>4</v>
      </c>
      <c r="SSL138" s="26" t="s">
        <v>794</v>
      </c>
      <c r="SSM138" s="26">
        <v>4</v>
      </c>
      <c r="SSN138" s="26" t="s">
        <v>794</v>
      </c>
      <c r="SSO138" s="26">
        <v>4</v>
      </c>
      <c r="SSP138" s="26" t="s">
        <v>794</v>
      </c>
      <c r="SSQ138" s="26">
        <v>4</v>
      </c>
      <c r="SSR138" s="26" t="s">
        <v>794</v>
      </c>
      <c r="SSS138" s="26">
        <v>4</v>
      </c>
      <c r="SST138" s="26" t="s">
        <v>794</v>
      </c>
      <c r="SSU138" s="26">
        <v>4</v>
      </c>
      <c r="SSV138" s="26" t="s">
        <v>794</v>
      </c>
      <c r="SSW138" s="26">
        <v>4</v>
      </c>
      <c r="SSX138" s="26" t="s">
        <v>794</v>
      </c>
      <c r="SSY138" s="26">
        <v>4</v>
      </c>
      <c r="SSZ138" s="26" t="s">
        <v>794</v>
      </c>
      <c r="STA138" s="26">
        <v>4</v>
      </c>
      <c r="STB138" s="26" t="s">
        <v>794</v>
      </c>
      <c r="STC138" s="26">
        <v>4</v>
      </c>
      <c r="STD138" s="26" t="s">
        <v>794</v>
      </c>
      <c r="STE138" s="26">
        <v>4</v>
      </c>
      <c r="STF138" s="26" t="s">
        <v>794</v>
      </c>
      <c r="STG138" s="26">
        <v>4</v>
      </c>
      <c r="STH138" s="26" t="s">
        <v>794</v>
      </c>
      <c r="STI138" s="26">
        <v>4</v>
      </c>
      <c r="STJ138" s="26" t="s">
        <v>794</v>
      </c>
      <c r="STK138" s="26">
        <v>4</v>
      </c>
      <c r="STL138" s="26" t="s">
        <v>794</v>
      </c>
      <c r="STM138" s="26">
        <v>4</v>
      </c>
      <c r="STN138" s="26" t="s">
        <v>794</v>
      </c>
      <c r="STO138" s="26">
        <v>4</v>
      </c>
      <c r="STP138" s="26" t="s">
        <v>794</v>
      </c>
      <c r="STQ138" s="26">
        <v>4</v>
      </c>
      <c r="STR138" s="26" t="s">
        <v>794</v>
      </c>
      <c r="STS138" s="26">
        <v>4</v>
      </c>
      <c r="STT138" s="26" t="s">
        <v>794</v>
      </c>
      <c r="STU138" s="26">
        <v>4</v>
      </c>
      <c r="STV138" s="26" t="s">
        <v>794</v>
      </c>
      <c r="STW138" s="26">
        <v>4</v>
      </c>
      <c r="STX138" s="26" t="s">
        <v>794</v>
      </c>
      <c r="STY138" s="26">
        <v>4</v>
      </c>
      <c r="STZ138" s="26" t="s">
        <v>794</v>
      </c>
      <c r="SUA138" s="26">
        <v>4</v>
      </c>
      <c r="SUB138" s="26" t="s">
        <v>794</v>
      </c>
      <c r="SUC138" s="26">
        <v>4</v>
      </c>
      <c r="SUD138" s="26" t="s">
        <v>794</v>
      </c>
      <c r="SUE138" s="26">
        <v>4</v>
      </c>
      <c r="SUF138" s="26" t="s">
        <v>794</v>
      </c>
      <c r="SUG138" s="26">
        <v>4</v>
      </c>
      <c r="SUH138" s="26" t="s">
        <v>794</v>
      </c>
      <c r="SUI138" s="26">
        <v>4</v>
      </c>
      <c r="SUJ138" s="26" t="s">
        <v>794</v>
      </c>
      <c r="SUK138" s="26">
        <v>4</v>
      </c>
      <c r="SUL138" s="26" t="s">
        <v>794</v>
      </c>
      <c r="SUM138" s="26">
        <v>4</v>
      </c>
      <c r="SUN138" s="26" t="s">
        <v>794</v>
      </c>
      <c r="SUO138" s="26">
        <v>4</v>
      </c>
      <c r="SUP138" s="26" t="s">
        <v>794</v>
      </c>
      <c r="SUQ138" s="26">
        <v>4</v>
      </c>
      <c r="SUR138" s="26" t="s">
        <v>794</v>
      </c>
      <c r="SUS138" s="26">
        <v>4</v>
      </c>
      <c r="SUT138" s="26" t="s">
        <v>794</v>
      </c>
      <c r="SUU138" s="26">
        <v>4</v>
      </c>
      <c r="SUV138" s="26" t="s">
        <v>794</v>
      </c>
      <c r="SUW138" s="26">
        <v>4</v>
      </c>
      <c r="SUX138" s="26" t="s">
        <v>794</v>
      </c>
      <c r="SUY138" s="26">
        <v>4</v>
      </c>
      <c r="SUZ138" s="26" t="s">
        <v>794</v>
      </c>
      <c r="SVA138" s="26">
        <v>4</v>
      </c>
      <c r="SVB138" s="26" t="s">
        <v>794</v>
      </c>
      <c r="SVC138" s="26">
        <v>4</v>
      </c>
      <c r="SVD138" s="26" t="s">
        <v>794</v>
      </c>
      <c r="SVE138" s="26">
        <v>4</v>
      </c>
      <c r="SVF138" s="26" t="s">
        <v>794</v>
      </c>
      <c r="SVG138" s="26">
        <v>4</v>
      </c>
      <c r="SVH138" s="26" t="s">
        <v>794</v>
      </c>
      <c r="SVI138" s="26">
        <v>4</v>
      </c>
      <c r="SVJ138" s="26" t="s">
        <v>794</v>
      </c>
      <c r="SVK138" s="26">
        <v>4</v>
      </c>
      <c r="SVL138" s="26" t="s">
        <v>794</v>
      </c>
      <c r="SVM138" s="26">
        <v>4</v>
      </c>
      <c r="SVN138" s="26" t="s">
        <v>794</v>
      </c>
      <c r="SVO138" s="26">
        <v>4</v>
      </c>
      <c r="SVP138" s="26" t="s">
        <v>794</v>
      </c>
      <c r="SVQ138" s="26">
        <v>4</v>
      </c>
      <c r="SVR138" s="26" t="s">
        <v>794</v>
      </c>
      <c r="SVS138" s="26">
        <v>4</v>
      </c>
      <c r="SVT138" s="26" t="s">
        <v>794</v>
      </c>
      <c r="SVU138" s="26">
        <v>4</v>
      </c>
      <c r="SVV138" s="26" t="s">
        <v>794</v>
      </c>
      <c r="SVW138" s="26">
        <v>4</v>
      </c>
      <c r="SVX138" s="26" t="s">
        <v>794</v>
      </c>
      <c r="SVY138" s="26">
        <v>4</v>
      </c>
      <c r="SVZ138" s="26" t="s">
        <v>794</v>
      </c>
      <c r="SWA138" s="26">
        <v>4</v>
      </c>
      <c r="SWB138" s="26" t="s">
        <v>794</v>
      </c>
      <c r="SWC138" s="26">
        <v>4</v>
      </c>
      <c r="SWD138" s="26" t="s">
        <v>794</v>
      </c>
      <c r="SWE138" s="26">
        <v>4</v>
      </c>
      <c r="SWF138" s="26" t="s">
        <v>794</v>
      </c>
      <c r="SWG138" s="26">
        <v>4</v>
      </c>
      <c r="SWH138" s="26" t="s">
        <v>794</v>
      </c>
      <c r="SWI138" s="26">
        <v>4</v>
      </c>
      <c r="SWJ138" s="26" t="s">
        <v>794</v>
      </c>
      <c r="SWK138" s="26">
        <v>4</v>
      </c>
      <c r="SWL138" s="26" t="s">
        <v>794</v>
      </c>
      <c r="SWM138" s="26">
        <v>4</v>
      </c>
      <c r="SWN138" s="26" t="s">
        <v>794</v>
      </c>
      <c r="SWO138" s="26">
        <v>4</v>
      </c>
      <c r="SWP138" s="26" t="s">
        <v>794</v>
      </c>
      <c r="SWQ138" s="26">
        <v>4</v>
      </c>
      <c r="SWR138" s="26" t="s">
        <v>794</v>
      </c>
      <c r="SWS138" s="26">
        <v>4</v>
      </c>
      <c r="SWT138" s="26" t="s">
        <v>794</v>
      </c>
      <c r="SWU138" s="26">
        <v>4</v>
      </c>
      <c r="SWV138" s="26" t="s">
        <v>794</v>
      </c>
      <c r="SWW138" s="26">
        <v>4</v>
      </c>
      <c r="SWX138" s="26" t="s">
        <v>794</v>
      </c>
      <c r="SWY138" s="26">
        <v>4</v>
      </c>
      <c r="SWZ138" s="26" t="s">
        <v>794</v>
      </c>
      <c r="SXA138" s="26">
        <v>4</v>
      </c>
      <c r="SXB138" s="26" t="s">
        <v>794</v>
      </c>
      <c r="SXC138" s="26">
        <v>4</v>
      </c>
      <c r="SXD138" s="26" t="s">
        <v>794</v>
      </c>
      <c r="SXE138" s="26">
        <v>4</v>
      </c>
      <c r="SXF138" s="26" t="s">
        <v>794</v>
      </c>
      <c r="SXG138" s="26">
        <v>4</v>
      </c>
      <c r="SXH138" s="26" t="s">
        <v>794</v>
      </c>
      <c r="SXI138" s="26">
        <v>4</v>
      </c>
      <c r="SXJ138" s="26" t="s">
        <v>794</v>
      </c>
      <c r="SXK138" s="26">
        <v>4</v>
      </c>
      <c r="SXL138" s="26" t="s">
        <v>794</v>
      </c>
      <c r="SXM138" s="26">
        <v>4</v>
      </c>
      <c r="SXN138" s="26" t="s">
        <v>794</v>
      </c>
      <c r="SXO138" s="26">
        <v>4</v>
      </c>
      <c r="SXP138" s="26" t="s">
        <v>794</v>
      </c>
      <c r="SXQ138" s="26">
        <v>4</v>
      </c>
      <c r="SXR138" s="26" t="s">
        <v>794</v>
      </c>
      <c r="SXS138" s="26">
        <v>4</v>
      </c>
      <c r="SXT138" s="26" t="s">
        <v>794</v>
      </c>
      <c r="SXU138" s="26">
        <v>4</v>
      </c>
      <c r="SXV138" s="26" t="s">
        <v>794</v>
      </c>
      <c r="SXW138" s="26">
        <v>4</v>
      </c>
      <c r="SXX138" s="26" t="s">
        <v>794</v>
      </c>
      <c r="SXY138" s="26">
        <v>4</v>
      </c>
      <c r="SXZ138" s="26" t="s">
        <v>794</v>
      </c>
      <c r="SYA138" s="26">
        <v>4</v>
      </c>
      <c r="SYB138" s="26" t="s">
        <v>794</v>
      </c>
      <c r="SYC138" s="26">
        <v>4</v>
      </c>
      <c r="SYD138" s="26" t="s">
        <v>794</v>
      </c>
      <c r="SYE138" s="26">
        <v>4</v>
      </c>
      <c r="SYF138" s="26" t="s">
        <v>794</v>
      </c>
      <c r="SYG138" s="26">
        <v>4</v>
      </c>
      <c r="SYH138" s="26" t="s">
        <v>794</v>
      </c>
      <c r="SYI138" s="26">
        <v>4</v>
      </c>
      <c r="SYJ138" s="26" t="s">
        <v>794</v>
      </c>
      <c r="SYK138" s="26">
        <v>4</v>
      </c>
      <c r="SYL138" s="26" t="s">
        <v>794</v>
      </c>
      <c r="SYM138" s="26">
        <v>4</v>
      </c>
      <c r="SYN138" s="26" t="s">
        <v>794</v>
      </c>
      <c r="SYO138" s="26">
        <v>4</v>
      </c>
      <c r="SYP138" s="26" t="s">
        <v>794</v>
      </c>
      <c r="SYQ138" s="26">
        <v>4</v>
      </c>
      <c r="SYR138" s="26" t="s">
        <v>794</v>
      </c>
      <c r="SYS138" s="26">
        <v>4</v>
      </c>
      <c r="SYT138" s="26" t="s">
        <v>794</v>
      </c>
      <c r="SYU138" s="26">
        <v>4</v>
      </c>
      <c r="SYV138" s="26" t="s">
        <v>794</v>
      </c>
      <c r="SYW138" s="26">
        <v>4</v>
      </c>
      <c r="SYX138" s="26" t="s">
        <v>794</v>
      </c>
      <c r="SYY138" s="26">
        <v>4</v>
      </c>
      <c r="SYZ138" s="26" t="s">
        <v>794</v>
      </c>
      <c r="SZA138" s="26">
        <v>4</v>
      </c>
      <c r="SZB138" s="26" t="s">
        <v>794</v>
      </c>
      <c r="SZC138" s="26">
        <v>4</v>
      </c>
      <c r="SZD138" s="26" t="s">
        <v>794</v>
      </c>
      <c r="SZE138" s="26">
        <v>4</v>
      </c>
      <c r="SZF138" s="26" t="s">
        <v>794</v>
      </c>
      <c r="SZG138" s="26">
        <v>4</v>
      </c>
      <c r="SZH138" s="26" t="s">
        <v>794</v>
      </c>
      <c r="SZI138" s="26">
        <v>4</v>
      </c>
      <c r="SZJ138" s="26" t="s">
        <v>794</v>
      </c>
      <c r="SZK138" s="26">
        <v>4</v>
      </c>
      <c r="SZL138" s="26" t="s">
        <v>794</v>
      </c>
      <c r="SZM138" s="26">
        <v>4</v>
      </c>
      <c r="SZN138" s="26" t="s">
        <v>794</v>
      </c>
      <c r="SZO138" s="26">
        <v>4</v>
      </c>
      <c r="SZP138" s="26" t="s">
        <v>794</v>
      </c>
      <c r="SZQ138" s="26">
        <v>4</v>
      </c>
      <c r="SZR138" s="26" t="s">
        <v>794</v>
      </c>
      <c r="SZS138" s="26">
        <v>4</v>
      </c>
      <c r="SZT138" s="26" t="s">
        <v>794</v>
      </c>
      <c r="SZU138" s="26">
        <v>4</v>
      </c>
      <c r="SZV138" s="26" t="s">
        <v>794</v>
      </c>
      <c r="SZW138" s="26">
        <v>4</v>
      </c>
      <c r="SZX138" s="26" t="s">
        <v>794</v>
      </c>
      <c r="SZY138" s="26">
        <v>4</v>
      </c>
      <c r="SZZ138" s="26" t="s">
        <v>794</v>
      </c>
      <c r="TAA138" s="26">
        <v>4</v>
      </c>
      <c r="TAB138" s="26" t="s">
        <v>794</v>
      </c>
      <c r="TAC138" s="26">
        <v>4</v>
      </c>
      <c r="TAD138" s="26" t="s">
        <v>794</v>
      </c>
      <c r="TAE138" s="26">
        <v>4</v>
      </c>
      <c r="TAF138" s="26" t="s">
        <v>794</v>
      </c>
      <c r="TAG138" s="26">
        <v>4</v>
      </c>
      <c r="TAH138" s="26" t="s">
        <v>794</v>
      </c>
      <c r="TAI138" s="26">
        <v>4</v>
      </c>
      <c r="TAJ138" s="26" t="s">
        <v>794</v>
      </c>
      <c r="TAK138" s="26">
        <v>4</v>
      </c>
      <c r="TAL138" s="26" t="s">
        <v>794</v>
      </c>
      <c r="TAM138" s="26">
        <v>4</v>
      </c>
      <c r="TAN138" s="26" t="s">
        <v>794</v>
      </c>
      <c r="TAO138" s="26">
        <v>4</v>
      </c>
      <c r="TAP138" s="26" t="s">
        <v>794</v>
      </c>
      <c r="TAQ138" s="26">
        <v>4</v>
      </c>
      <c r="TAR138" s="26" t="s">
        <v>794</v>
      </c>
      <c r="TAS138" s="26">
        <v>4</v>
      </c>
      <c r="TAT138" s="26" t="s">
        <v>794</v>
      </c>
      <c r="TAU138" s="26">
        <v>4</v>
      </c>
      <c r="TAV138" s="26" t="s">
        <v>794</v>
      </c>
      <c r="TAW138" s="26">
        <v>4</v>
      </c>
      <c r="TAX138" s="26" t="s">
        <v>794</v>
      </c>
      <c r="TAY138" s="26">
        <v>4</v>
      </c>
      <c r="TAZ138" s="26" t="s">
        <v>794</v>
      </c>
      <c r="TBA138" s="26">
        <v>4</v>
      </c>
      <c r="TBB138" s="26" t="s">
        <v>794</v>
      </c>
      <c r="TBC138" s="26">
        <v>4</v>
      </c>
      <c r="TBD138" s="26" t="s">
        <v>794</v>
      </c>
      <c r="TBE138" s="26">
        <v>4</v>
      </c>
      <c r="TBF138" s="26" t="s">
        <v>794</v>
      </c>
      <c r="TBG138" s="26">
        <v>4</v>
      </c>
      <c r="TBH138" s="26" t="s">
        <v>794</v>
      </c>
      <c r="TBI138" s="26">
        <v>4</v>
      </c>
      <c r="TBJ138" s="26" t="s">
        <v>794</v>
      </c>
      <c r="TBK138" s="26">
        <v>4</v>
      </c>
      <c r="TBL138" s="26" t="s">
        <v>794</v>
      </c>
      <c r="TBM138" s="26">
        <v>4</v>
      </c>
      <c r="TBN138" s="26" t="s">
        <v>794</v>
      </c>
      <c r="TBO138" s="26">
        <v>4</v>
      </c>
      <c r="TBP138" s="26" t="s">
        <v>794</v>
      </c>
      <c r="TBQ138" s="26">
        <v>4</v>
      </c>
      <c r="TBR138" s="26" t="s">
        <v>794</v>
      </c>
      <c r="TBS138" s="26">
        <v>4</v>
      </c>
      <c r="TBT138" s="26" t="s">
        <v>794</v>
      </c>
      <c r="TBU138" s="26">
        <v>4</v>
      </c>
      <c r="TBV138" s="26" t="s">
        <v>794</v>
      </c>
      <c r="TBW138" s="26">
        <v>4</v>
      </c>
      <c r="TBX138" s="26" t="s">
        <v>794</v>
      </c>
      <c r="TBY138" s="26">
        <v>4</v>
      </c>
      <c r="TBZ138" s="26" t="s">
        <v>794</v>
      </c>
      <c r="TCA138" s="26">
        <v>4</v>
      </c>
      <c r="TCB138" s="26" t="s">
        <v>794</v>
      </c>
      <c r="TCC138" s="26">
        <v>4</v>
      </c>
      <c r="TCD138" s="26" t="s">
        <v>794</v>
      </c>
      <c r="TCE138" s="26">
        <v>4</v>
      </c>
      <c r="TCF138" s="26" t="s">
        <v>794</v>
      </c>
      <c r="TCG138" s="26">
        <v>4</v>
      </c>
      <c r="TCH138" s="26" t="s">
        <v>794</v>
      </c>
      <c r="TCI138" s="26">
        <v>4</v>
      </c>
      <c r="TCJ138" s="26" t="s">
        <v>794</v>
      </c>
      <c r="TCK138" s="26">
        <v>4</v>
      </c>
      <c r="TCL138" s="26" t="s">
        <v>794</v>
      </c>
      <c r="TCM138" s="26">
        <v>4</v>
      </c>
      <c r="TCN138" s="26" t="s">
        <v>794</v>
      </c>
      <c r="TCO138" s="26">
        <v>4</v>
      </c>
      <c r="TCP138" s="26" t="s">
        <v>794</v>
      </c>
      <c r="TCQ138" s="26">
        <v>4</v>
      </c>
      <c r="TCR138" s="26" t="s">
        <v>794</v>
      </c>
      <c r="TCS138" s="26">
        <v>4</v>
      </c>
      <c r="TCT138" s="26" t="s">
        <v>794</v>
      </c>
      <c r="TCU138" s="26">
        <v>4</v>
      </c>
      <c r="TCV138" s="26" t="s">
        <v>794</v>
      </c>
      <c r="TCW138" s="26">
        <v>4</v>
      </c>
      <c r="TCX138" s="26" t="s">
        <v>794</v>
      </c>
      <c r="TCY138" s="26">
        <v>4</v>
      </c>
      <c r="TCZ138" s="26" t="s">
        <v>794</v>
      </c>
      <c r="TDA138" s="26">
        <v>4</v>
      </c>
      <c r="TDB138" s="26" t="s">
        <v>794</v>
      </c>
      <c r="TDC138" s="26">
        <v>4</v>
      </c>
      <c r="TDD138" s="26" t="s">
        <v>794</v>
      </c>
      <c r="TDE138" s="26">
        <v>4</v>
      </c>
      <c r="TDF138" s="26" t="s">
        <v>794</v>
      </c>
      <c r="TDG138" s="26">
        <v>4</v>
      </c>
      <c r="TDH138" s="26" t="s">
        <v>794</v>
      </c>
      <c r="TDI138" s="26">
        <v>4</v>
      </c>
      <c r="TDJ138" s="26" t="s">
        <v>794</v>
      </c>
      <c r="TDK138" s="26">
        <v>4</v>
      </c>
      <c r="TDL138" s="26" t="s">
        <v>794</v>
      </c>
      <c r="TDM138" s="26">
        <v>4</v>
      </c>
      <c r="TDN138" s="26" t="s">
        <v>794</v>
      </c>
      <c r="TDO138" s="26">
        <v>4</v>
      </c>
      <c r="TDP138" s="26" t="s">
        <v>794</v>
      </c>
      <c r="TDQ138" s="26">
        <v>4</v>
      </c>
      <c r="TDR138" s="26" t="s">
        <v>794</v>
      </c>
      <c r="TDS138" s="26">
        <v>4</v>
      </c>
      <c r="TDT138" s="26" t="s">
        <v>794</v>
      </c>
      <c r="TDU138" s="26">
        <v>4</v>
      </c>
      <c r="TDV138" s="26" t="s">
        <v>794</v>
      </c>
      <c r="TDW138" s="26">
        <v>4</v>
      </c>
      <c r="TDX138" s="26" t="s">
        <v>794</v>
      </c>
      <c r="TDY138" s="26">
        <v>4</v>
      </c>
      <c r="TDZ138" s="26" t="s">
        <v>794</v>
      </c>
      <c r="TEA138" s="26">
        <v>4</v>
      </c>
      <c r="TEB138" s="26" t="s">
        <v>794</v>
      </c>
      <c r="TEC138" s="26">
        <v>4</v>
      </c>
      <c r="TED138" s="26" t="s">
        <v>794</v>
      </c>
      <c r="TEE138" s="26">
        <v>4</v>
      </c>
      <c r="TEF138" s="26" t="s">
        <v>794</v>
      </c>
      <c r="TEG138" s="26">
        <v>4</v>
      </c>
      <c r="TEH138" s="26" t="s">
        <v>794</v>
      </c>
      <c r="TEI138" s="26">
        <v>4</v>
      </c>
      <c r="TEJ138" s="26" t="s">
        <v>794</v>
      </c>
      <c r="TEK138" s="26">
        <v>4</v>
      </c>
      <c r="TEL138" s="26" t="s">
        <v>794</v>
      </c>
      <c r="TEM138" s="26">
        <v>4</v>
      </c>
      <c r="TEN138" s="26" t="s">
        <v>794</v>
      </c>
      <c r="TEO138" s="26">
        <v>4</v>
      </c>
      <c r="TEP138" s="26" t="s">
        <v>794</v>
      </c>
      <c r="TEQ138" s="26">
        <v>4</v>
      </c>
      <c r="TER138" s="26" t="s">
        <v>794</v>
      </c>
      <c r="TES138" s="26">
        <v>4</v>
      </c>
      <c r="TET138" s="26" t="s">
        <v>794</v>
      </c>
      <c r="TEU138" s="26">
        <v>4</v>
      </c>
      <c r="TEV138" s="26" t="s">
        <v>794</v>
      </c>
      <c r="TEW138" s="26">
        <v>4</v>
      </c>
      <c r="TEX138" s="26" t="s">
        <v>794</v>
      </c>
      <c r="TEY138" s="26">
        <v>4</v>
      </c>
      <c r="TEZ138" s="26" t="s">
        <v>794</v>
      </c>
      <c r="TFA138" s="26">
        <v>4</v>
      </c>
      <c r="TFB138" s="26" t="s">
        <v>794</v>
      </c>
      <c r="TFC138" s="26">
        <v>4</v>
      </c>
      <c r="TFD138" s="26" t="s">
        <v>794</v>
      </c>
      <c r="TFE138" s="26">
        <v>4</v>
      </c>
      <c r="TFF138" s="26" t="s">
        <v>794</v>
      </c>
      <c r="TFG138" s="26">
        <v>4</v>
      </c>
      <c r="TFH138" s="26" t="s">
        <v>794</v>
      </c>
      <c r="TFI138" s="26">
        <v>4</v>
      </c>
      <c r="TFJ138" s="26" t="s">
        <v>794</v>
      </c>
      <c r="TFK138" s="26">
        <v>4</v>
      </c>
      <c r="TFL138" s="26" t="s">
        <v>794</v>
      </c>
      <c r="TFM138" s="26">
        <v>4</v>
      </c>
      <c r="TFN138" s="26" t="s">
        <v>794</v>
      </c>
      <c r="TFO138" s="26">
        <v>4</v>
      </c>
      <c r="TFP138" s="26" t="s">
        <v>794</v>
      </c>
      <c r="TFQ138" s="26">
        <v>4</v>
      </c>
      <c r="TFR138" s="26" t="s">
        <v>794</v>
      </c>
      <c r="TFS138" s="26">
        <v>4</v>
      </c>
      <c r="TFT138" s="26" t="s">
        <v>794</v>
      </c>
      <c r="TFU138" s="26">
        <v>4</v>
      </c>
      <c r="TFV138" s="26" t="s">
        <v>794</v>
      </c>
      <c r="TFW138" s="26">
        <v>4</v>
      </c>
      <c r="TFX138" s="26" t="s">
        <v>794</v>
      </c>
      <c r="TFY138" s="26">
        <v>4</v>
      </c>
      <c r="TFZ138" s="26" t="s">
        <v>794</v>
      </c>
      <c r="TGA138" s="26">
        <v>4</v>
      </c>
      <c r="TGB138" s="26" t="s">
        <v>794</v>
      </c>
      <c r="TGC138" s="26">
        <v>4</v>
      </c>
      <c r="TGD138" s="26" t="s">
        <v>794</v>
      </c>
      <c r="TGE138" s="26">
        <v>4</v>
      </c>
      <c r="TGF138" s="26" t="s">
        <v>794</v>
      </c>
      <c r="TGG138" s="26">
        <v>4</v>
      </c>
      <c r="TGH138" s="26" t="s">
        <v>794</v>
      </c>
      <c r="TGI138" s="26">
        <v>4</v>
      </c>
      <c r="TGJ138" s="26" t="s">
        <v>794</v>
      </c>
      <c r="TGK138" s="26">
        <v>4</v>
      </c>
      <c r="TGL138" s="26" t="s">
        <v>794</v>
      </c>
      <c r="TGM138" s="26">
        <v>4</v>
      </c>
      <c r="TGN138" s="26" t="s">
        <v>794</v>
      </c>
      <c r="TGO138" s="26">
        <v>4</v>
      </c>
      <c r="TGP138" s="26" t="s">
        <v>794</v>
      </c>
      <c r="TGQ138" s="26">
        <v>4</v>
      </c>
      <c r="TGR138" s="26" t="s">
        <v>794</v>
      </c>
      <c r="TGS138" s="26">
        <v>4</v>
      </c>
      <c r="TGT138" s="26" t="s">
        <v>794</v>
      </c>
      <c r="TGU138" s="26">
        <v>4</v>
      </c>
      <c r="TGV138" s="26" t="s">
        <v>794</v>
      </c>
      <c r="TGW138" s="26">
        <v>4</v>
      </c>
      <c r="TGX138" s="26" t="s">
        <v>794</v>
      </c>
      <c r="TGY138" s="26">
        <v>4</v>
      </c>
      <c r="TGZ138" s="26" t="s">
        <v>794</v>
      </c>
      <c r="THA138" s="26">
        <v>4</v>
      </c>
      <c r="THB138" s="26" t="s">
        <v>794</v>
      </c>
      <c r="THC138" s="26">
        <v>4</v>
      </c>
      <c r="THD138" s="26" t="s">
        <v>794</v>
      </c>
      <c r="THE138" s="26">
        <v>4</v>
      </c>
      <c r="THF138" s="26" t="s">
        <v>794</v>
      </c>
      <c r="THG138" s="26">
        <v>4</v>
      </c>
      <c r="THH138" s="26" t="s">
        <v>794</v>
      </c>
      <c r="THI138" s="26">
        <v>4</v>
      </c>
      <c r="THJ138" s="26" t="s">
        <v>794</v>
      </c>
      <c r="THK138" s="26">
        <v>4</v>
      </c>
      <c r="THL138" s="26" t="s">
        <v>794</v>
      </c>
      <c r="THM138" s="26">
        <v>4</v>
      </c>
      <c r="THN138" s="26" t="s">
        <v>794</v>
      </c>
      <c r="THO138" s="26">
        <v>4</v>
      </c>
      <c r="THP138" s="26" t="s">
        <v>794</v>
      </c>
      <c r="THQ138" s="26">
        <v>4</v>
      </c>
      <c r="THR138" s="26" t="s">
        <v>794</v>
      </c>
      <c r="THS138" s="26">
        <v>4</v>
      </c>
      <c r="THT138" s="26" t="s">
        <v>794</v>
      </c>
      <c r="THU138" s="26">
        <v>4</v>
      </c>
      <c r="THV138" s="26" t="s">
        <v>794</v>
      </c>
      <c r="THW138" s="26">
        <v>4</v>
      </c>
      <c r="THX138" s="26" t="s">
        <v>794</v>
      </c>
      <c r="THY138" s="26">
        <v>4</v>
      </c>
      <c r="THZ138" s="26" t="s">
        <v>794</v>
      </c>
      <c r="TIA138" s="26">
        <v>4</v>
      </c>
      <c r="TIB138" s="26" t="s">
        <v>794</v>
      </c>
      <c r="TIC138" s="26">
        <v>4</v>
      </c>
      <c r="TID138" s="26" t="s">
        <v>794</v>
      </c>
      <c r="TIE138" s="26">
        <v>4</v>
      </c>
      <c r="TIF138" s="26" t="s">
        <v>794</v>
      </c>
      <c r="TIG138" s="26">
        <v>4</v>
      </c>
      <c r="TIH138" s="26" t="s">
        <v>794</v>
      </c>
      <c r="TII138" s="26">
        <v>4</v>
      </c>
      <c r="TIJ138" s="26" t="s">
        <v>794</v>
      </c>
      <c r="TIK138" s="26">
        <v>4</v>
      </c>
      <c r="TIL138" s="26" t="s">
        <v>794</v>
      </c>
      <c r="TIM138" s="26">
        <v>4</v>
      </c>
      <c r="TIN138" s="26" t="s">
        <v>794</v>
      </c>
      <c r="TIO138" s="26">
        <v>4</v>
      </c>
      <c r="TIP138" s="26" t="s">
        <v>794</v>
      </c>
      <c r="TIQ138" s="26">
        <v>4</v>
      </c>
      <c r="TIR138" s="26" t="s">
        <v>794</v>
      </c>
      <c r="TIS138" s="26">
        <v>4</v>
      </c>
      <c r="TIT138" s="26" t="s">
        <v>794</v>
      </c>
      <c r="TIU138" s="26">
        <v>4</v>
      </c>
      <c r="TIV138" s="26" t="s">
        <v>794</v>
      </c>
      <c r="TIW138" s="26">
        <v>4</v>
      </c>
      <c r="TIX138" s="26" t="s">
        <v>794</v>
      </c>
      <c r="TIY138" s="26">
        <v>4</v>
      </c>
      <c r="TIZ138" s="26" t="s">
        <v>794</v>
      </c>
      <c r="TJA138" s="26">
        <v>4</v>
      </c>
      <c r="TJB138" s="26" t="s">
        <v>794</v>
      </c>
      <c r="TJC138" s="26">
        <v>4</v>
      </c>
      <c r="TJD138" s="26" t="s">
        <v>794</v>
      </c>
      <c r="TJE138" s="26">
        <v>4</v>
      </c>
      <c r="TJF138" s="26" t="s">
        <v>794</v>
      </c>
      <c r="TJG138" s="26">
        <v>4</v>
      </c>
      <c r="TJH138" s="26" t="s">
        <v>794</v>
      </c>
      <c r="TJI138" s="26">
        <v>4</v>
      </c>
      <c r="TJJ138" s="26" t="s">
        <v>794</v>
      </c>
      <c r="TJK138" s="26">
        <v>4</v>
      </c>
      <c r="TJL138" s="26" t="s">
        <v>794</v>
      </c>
      <c r="TJM138" s="26">
        <v>4</v>
      </c>
      <c r="TJN138" s="26" t="s">
        <v>794</v>
      </c>
      <c r="TJO138" s="26">
        <v>4</v>
      </c>
      <c r="TJP138" s="26" t="s">
        <v>794</v>
      </c>
      <c r="TJQ138" s="26">
        <v>4</v>
      </c>
      <c r="TJR138" s="26" t="s">
        <v>794</v>
      </c>
      <c r="TJS138" s="26">
        <v>4</v>
      </c>
      <c r="TJT138" s="26" t="s">
        <v>794</v>
      </c>
      <c r="TJU138" s="26">
        <v>4</v>
      </c>
      <c r="TJV138" s="26" t="s">
        <v>794</v>
      </c>
      <c r="TJW138" s="26">
        <v>4</v>
      </c>
      <c r="TJX138" s="26" t="s">
        <v>794</v>
      </c>
      <c r="TJY138" s="26">
        <v>4</v>
      </c>
      <c r="TJZ138" s="26" t="s">
        <v>794</v>
      </c>
      <c r="TKA138" s="26">
        <v>4</v>
      </c>
      <c r="TKB138" s="26" t="s">
        <v>794</v>
      </c>
      <c r="TKC138" s="26">
        <v>4</v>
      </c>
      <c r="TKD138" s="26" t="s">
        <v>794</v>
      </c>
      <c r="TKE138" s="26">
        <v>4</v>
      </c>
      <c r="TKF138" s="26" t="s">
        <v>794</v>
      </c>
      <c r="TKG138" s="26">
        <v>4</v>
      </c>
      <c r="TKH138" s="26" t="s">
        <v>794</v>
      </c>
      <c r="TKI138" s="26">
        <v>4</v>
      </c>
      <c r="TKJ138" s="26" t="s">
        <v>794</v>
      </c>
      <c r="TKK138" s="26">
        <v>4</v>
      </c>
      <c r="TKL138" s="26" t="s">
        <v>794</v>
      </c>
      <c r="TKM138" s="26">
        <v>4</v>
      </c>
      <c r="TKN138" s="26" t="s">
        <v>794</v>
      </c>
      <c r="TKO138" s="26">
        <v>4</v>
      </c>
      <c r="TKP138" s="26" t="s">
        <v>794</v>
      </c>
      <c r="TKQ138" s="26">
        <v>4</v>
      </c>
      <c r="TKR138" s="26" t="s">
        <v>794</v>
      </c>
      <c r="TKS138" s="26">
        <v>4</v>
      </c>
      <c r="TKT138" s="26" t="s">
        <v>794</v>
      </c>
      <c r="TKU138" s="26">
        <v>4</v>
      </c>
      <c r="TKV138" s="26" t="s">
        <v>794</v>
      </c>
      <c r="TKW138" s="26">
        <v>4</v>
      </c>
      <c r="TKX138" s="26" t="s">
        <v>794</v>
      </c>
      <c r="TKY138" s="26">
        <v>4</v>
      </c>
      <c r="TKZ138" s="26" t="s">
        <v>794</v>
      </c>
      <c r="TLA138" s="26">
        <v>4</v>
      </c>
      <c r="TLB138" s="26" t="s">
        <v>794</v>
      </c>
      <c r="TLC138" s="26">
        <v>4</v>
      </c>
      <c r="TLD138" s="26" t="s">
        <v>794</v>
      </c>
      <c r="TLE138" s="26">
        <v>4</v>
      </c>
      <c r="TLF138" s="26" t="s">
        <v>794</v>
      </c>
      <c r="TLG138" s="26">
        <v>4</v>
      </c>
      <c r="TLH138" s="26" t="s">
        <v>794</v>
      </c>
      <c r="TLI138" s="26">
        <v>4</v>
      </c>
      <c r="TLJ138" s="26" t="s">
        <v>794</v>
      </c>
      <c r="TLK138" s="26">
        <v>4</v>
      </c>
      <c r="TLL138" s="26" t="s">
        <v>794</v>
      </c>
      <c r="TLM138" s="26">
        <v>4</v>
      </c>
      <c r="TLN138" s="26" t="s">
        <v>794</v>
      </c>
      <c r="TLO138" s="26">
        <v>4</v>
      </c>
      <c r="TLP138" s="26" t="s">
        <v>794</v>
      </c>
      <c r="TLQ138" s="26">
        <v>4</v>
      </c>
      <c r="TLR138" s="26" t="s">
        <v>794</v>
      </c>
      <c r="TLS138" s="26">
        <v>4</v>
      </c>
      <c r="TLT138" s="26" t="s">
        <v>794</v>
      </c>
      <c r="TLU138" s="26">
        <v>4</v>
      </c>
      <c r="TLV138" s="26" t="s">
        <v>794</v>
      </c>
      <c r="TLW138" s="26">
        <v>4</v>
      </c>
      <c r="TLX138" s="26" t="s">
        <v>794</v>
      </c>
      <c r="TLY138" s="26">
        <v>4</v>
      </c>
      <c r="TLZ138" s="26" t="s">
        <v>794</v>
      </c>
      <c r="TMA138" s="26">
        <v>4</v>
      </c>
      <c r="TMB138" s="26" t="s">
        <v>794</v>
      </c>
      <c r="TMC138" s="26">
        <v>4</v>
      </c>
      <c r="TMD138" s="26" t="s">
        <v>794</v>
      </c>
      <c r="TME138" s="26">
        <v>4</v>
      </c>
      <c r="TMF138" s="26" t="s">
        <v>794</v>
      </c>
      <c r="TMG138" s="26">
        <v>4</v>
      </c>
      <c r="TMH138" s="26" t="s">
        <v>794</v>
      </c>
      <c r="TMI138" s="26">
        <v>4</v>
      </c>
      <c r="TMJ138" s="26" t="s">
        <v>794</v>
      </c>
      <c r="TMK138" s="26">
        <v>4</v>
      </c>
      <c r="TML138" s="26" t="s">
        <v>794</v>
      </c>
      <c r="TMM138" s="26">
        <v>4</v>
      </c>
      <c r="TMN138" s="26" t="s">
        <v>794</v>
      </c>
      <c r="TMO138" s="26">
        <v>4</v>
      </c>
      <c r="TMP138" s="26" t="s">
        <v>794</v>
      </c>
      <c r="TMQ138" s="26">
        <v>4</v>
      </c>
      <c r="TMR138" s="26" t="s">
        <v>794</v>
      </c>
      <c r="TMS138" s="26">
        <v>4</v>
      </c>
      <c r="TMT138" s="26" t="s">
        <v>794</v>
      </c>
      <c r="TMU138" s="26">
        <v>4</v>
      </c>
      <c r="TMV138" s="26" t="s">
        <v>794</v>
      </c>
      <c r="TMW138" s="26">
        <v>4</v>
      </c>
      <c r="TMX138" s="26" t="s">
        <v>794</v>
      </c>
      <c r="TMY138" s="26">
        <v>4</v>
      </c>
      <c r="TMZ138" s="26" t="s">
        <v>794</v>
      </c>
      <c r="TNA138" s="26">
        <v>4</v>
      </c>
      <c r="TNB138" s="26" t="s">
        <v>794</v>
      </c>
      <c r="TNC138" s="26">
        <v>4</v>
      </c>
      <c r="TND138" s="26" t="s">
        <v>794</v>
      </c>
      <c r="TNE138" s="26">
        <v>4</v>
      </c>
      <c r="TNF138" s="26" t="s">
        <v>794</v>
      </c>
      <c r="TNG138" s="26">
        <v>4</v>
      </c>
      <c r="TNH138" s="26" t="s">
        <v>794</v>
      </c>
      <c r="TNI138" s="26">
        <v>4</v>
      </c>
      <c r="TNJ138" s="26" t="s">
        <v>794</v>
      </c>
      <c r="TNK138" s="26">
        <v>4</v>
      </c>
      <c r="TNL138" s="26" t="s">
        <v>794</v>
      </c>
      <c r="TNM138" s="26">
        <v>4</v>
      </c>
      <c r="TNN138" s="26" t="s">
        <v>794</v>
      </c>
      <c r="TNO138" s="26">
        <v>4</v>
      </c>
      <c r="TNP138" s="26" t="s">
        <v>794</v>
      </c>
      <c r="TNQ138" s="26">
        <v>4</v>
      </c>
      <c r="TNR138" s="26" t="s">
        <v>794</v>
      </c>
      <c r="TNS138" s="26">
        <v>4</v>
      </c>
      <c r="TNT138" s="26" t="s">
        <v>794</v>
      </c>
      <c r="TNU138" s="26">
        <v>4</v>
      </c>
      <c r="TNV138" s="26" t="s">
        <v>794</v>
      </c>
      <c r="TNW138" s="26">
        <v>4</v>
      </c>
      <c r="TNX138" s="26" t="s">
        <v>794</v>
      </c>
      <c r="TNY138" s="26">
        <v>4</v>
      </c>
      <c r="TNZ138" s="26" t="s">
        <v>794</v>
      </c>
      <c r="TOA138" s="26">
        <v>4</v>
      </c>
      <c r="TOB138" s="26" t="s">
        <v>794</v>
      </c>
      <c r="TOC138" s="26">
        <v>4</v>
      </c>
      <c r="TOD138" s="26" t="s">
        <v>794</v>
      </c>
      <c r="TOE138" s="26">
        <v>4</v>
      </c>
      <c r="TOF138" s="26" t="s">
        <v>794</v>
      </c>
      <c r="TOG138" s="26">
        <v>4</v>
      </c>
      <c r="TOH138" s="26" t="s">
        <v>794</v>
      </c>
      <c r="TOI138" s="26">
        <v>4</v>
      </c>
      <c r="TOJ138" s="26" t="s">
        <v>794</v>
      </c>
      <c r="TOK138" s="26">
        <v>4</v>
      </c>
      <c r="TOL138" s="26" t="s">
        <v>794</v>
      </c>
      <c r="TOM138" s="26">
        <v>4</v>
      </c>
      <c r="TON138" s="26" t="s">
        <v>794</v>
      </c>
      <c r="TOO138" s="26">
        <v>4</v>
      </c>
      <c r="TOP138" s="26" t="s">
        <v>794</v>
      </c>
      <c r="TOQ138" s="26">
        <v>4</v>
      </c>
      <c r="TOR138" s="26" t="s">
        <v>794</v>
      </c>
      <c r="TOS138" s="26">
        <v>4</v>
      </c>
      <c r="TOT138" s="26" t="s">
        <v>794</v>
      </c>
      <c r="TOU138" s="26">
        <v>4</v>
      </c>
      <c r="TOV138" s="26" t="s">
        <v>794</v>
      </c>
      <c r="TOW138" s="26">
        <v>4</v>
      </c>
      <c r="TOX138" s="26" t="s">
        <v>794</v>
      </c>
      <c r="TOY138" s="26">
        <v>4</v>
      </c>
      <c r="TOZ138" s="26" t="s">
        <v>794</v>
      </c>
      <c r="TPA138" s="26">
        <v>4</v>
      </c>
      <c r="TPB138" s="26" t="s">
        <v>794</v>
      </c>
      <c r="TPC138" s="26">
        <v>4</v>
      </c>
      <c r="TPD138" s="26" t="s">
        <v>794</v>
      </c>
      <c r="TPE138" s="26">
        <v>4</v>
      </c>
      <c r="TPF138" s="26" t="s">
        <v>794</v>
      </c>
      <c r="TPG138" s="26">
        <v>4</v>
      </c>
      <c r="TPH138" s="26" t="s">
        <v>794</v>
      </c>
      <c r="TPI138" s="26">
        <v>4</v>
      </c>
      <c r="TPJ138" s="26" t="s">
        <v>794</v>
      </c>
      <c r="TPK138" s="26">
        <v>4</v>
      </c>
      <c r="TPL138" s="26" t="s">
        <v>794</v>
      </c>
      <c r="TPM138" s="26">
        <v>4</v>
      </c>
      <c r="TPN138" s="26" t="s">
        <v>794</v>
      </c>
      <c r="TPO138" s="26">
        <v>4</v>
      </c>
      <c r="TPP138" s="26" t="s">
        <v>794</v>
      </c>
      <c r="TPQ138" s="26">
        <v>4</v>
      </c>
      <c r="TPR138" s="26" t="s">
        <v>794</v>
      </c>
      <c r="TPS138" s="26">
        <v>4</v>
      </c>
      <c r="TPT138" s="26" t="s">
        <v>794</v>
      </c>
      <c r="TPU138" s="26">
        <v>4</v>
      </c>
      <c r="TPV138" s="26" t="s">
        <v>794</v>
      </c>
      <c r="TPW138" s="26">
        <v>4</v>
      </c>
      <c r="TPX138" s="26" t="s">
        <v>794</v>
      </c>
      <c r="TPY138" s="26">
        <v>4</v>
      </c>
      <c r="TPZ138" s="26" t="s">
        <v>794</v>
      </c>
      <c r="TQA138" s="26">
        <v>4</v>
      </c>
      <c r="TQB138" s="26" t="s">
        <v>794</v>
      </c>
      <c r="TQC138" s="26">
        <v>4</v>
      </c>
      <c r="TQD138" s="26" t="s">
        <v>794</v>
      </c>
      <c r="TQE138" s="26">
        <v>4</v>
      </c>
      <c r="TQF138" s="26" t="s">
        <v>794</v>
      </c>
      <c r="TQG138" s="26">
        <v>4</v>
      </c>
      <c r="TQH138" s="26" t="s">
        <v>794</v>
      </c>
      <c r="TQI138" s="26">
        <v>4</v>
      </c>
      <c r="TQJ138" s="26" t="s">
        <v>794</v>
      </c>
      <c r="TQK138" s="26">
        <v>4</v>
      </c>
      <c r="TQL138" s="26" t="s">
        <v>794</v>
      </c>
      <c r="TQM138" s="26">
        <v>4</v>
      </c>
      <c r="TQN138" s="26" t="s">
        <v>794</v>
      </c>
      <c r="TQO138" s="26">
        <v>4</v>
      </c>
      <c r="TQP138" s="26" t="s">
        <v>794</v>
      </c>
      <c r="TQQ138" s="26">
        <v>4</v>
      </c>
      <c r="TQR138" s="26" t="s">
        <v>794</v>
      </c>
      <c r="TQS138" s="26">
        <v>4</v>
      </c>
      <c r="TQT138" s="26" t="s">
        <v>794</v>
      </c>
      <c r="TQU138" s="26">
        <v>4</v>
      </c>
      <c r="TQV138" s="26" t="s">
        <v>794</v>
      </c>
      <c r="TQW138" s="26">
        <v>4</v>
      </c>
      <c r="TQX138" s="26" t="s">
        <v>794</v>
      </c>
      <c r="TQY138" s="26">
        <v>4</v>
      </c>
      <c r="TQZ138" s="26" t="s">
        <v>794</v>
      </c>
      <c r="TRA138" s="26">
        <v>4</v>
      </c>
      <c r="TRB138" s="26" t="s">
        <v>794</v>
      </c>
      <c r="TRC138" s="26">
        <v>4</v>
      </c>
      <c r="TRD138" s="26" t="s">
        <v>794</v>
      </c>
      <c r="TRE138" s="26">
        <v>4</v>
      </c>
      <c r="TRF138" s="26" t="s">
        <v>794</v>
      </c>
      <c r="TRG138" s="26">
        <v>4</v>
      </c>
      <c r="TRH138" s="26" t="s">
        <v>794</v>
      </c>
      <c r="TRI138" s="26">
        <v>4</v>
      </c>
      <c r="TRJ138" s="26" t="s">
        <v>794</v>
      </c>
      <c r="TRK138" s="26">
        <v>4</v>
      </c>
      <c r="TRL138" s="26" t="s">
        <v>794</v>
      </c>
      <c r="TRM138" s="26">
        <v>4</v>
      </c>
      <c r="TRN138" s="26" t="s">
        <v>794</v>
      </c>
      <c r="TRO138" s="26">
        <v>4</v>
      </c>
      <c r="TRP138" s="26" t="s">
        <v>794</v>
      </c>
      <c r="TRQ138" s="26">
        <v>4</v>
      </c>
      <c r="TRR138" s="26" t="s">
        <v>794</v>
      </c>
      <c r="TRS138" s="26">
        <v>4</v>
      </c>
      <c r="TRT138" s="26" t="s">
        <v>794</v>
      </c>
      <c r="TRU138" s="26">
        <v>4</v>
      </c>
      <c r="TRV138" s="26" t="s">
        <v>794</v>
      </c>
      <c r="TRW138" s="26">
        <v>4</v>
      </c>
      <c r="TRX138" s="26" t="s">
        <v>794</v>
      </c>
      <c r="TRY138" s="26">
        <v>4</v>
      </c>
      <c r="TRZ138" s="26" t="s">
        <v>794</v>
      </c>
      <c r="TSA138" s="26">
        <v>4</v>
      </c>
      <c r="TSB138" s="26" t="s">
        <v>794</v>
      </c>
      <c r="TSC138" s="26">
        <v>4</v>
      </c>
      <c r="TSD138" s="26" t="s">
        <v>794</v>
      </c>
      <c r="TSE138" s="26">
        <v>4</v>
      </c>
      <c r="TSF138" s="26" t="s">
        <v>794</v>
      </c>
      <c r="TSG138" s="26">
        <v>4</v>
      </c>
      <c r="TSH138" s="26" t="s">
        <v>794</v>
      </c>
      <c r="TSI138" s="26">
        <v>4</v>
      </c>
      <c r="TSJ138" s="26" t="s">
        <v>794</v>
      </c>
      <c r="TSK138" s="26">
        <v>4</v>
      </c>
      <c r="TSL138" s="26" t="s">
        <v>794</v>
      </c>
      <c r="TSM138" s="26">
        <v>4</v>
      </c>
      <c r="TSN138" s="26" t="s">
        <v>794</v>
      </c>
      <c r="TSO138" s="26">
        <v>4</v>
      </c>
      <c r="TSP138" s="26" t="s">
        <v>794</v>
      </c>
      <c r="TSQ138" s="26">
        <v>4</v>
      </c>
      <c r="TSR138" s="26" t="s">
        <v>794</v>
      </c>
      <c r="TSS138" s="26">
        <v>4</v>
      </c>
      <c r="TST138" s="26" t="s">
        <v>794</v>
      </c>
      <c r="TSU138" s="26">
        <v>4</v>
      </c>
      <c r="TSV138" s="26" t="s">
        <v>794</v>
      </c>
      <c r="TSW138" s="26">
        <v>4</v>
      </c>
      <c r="TSX138" s="26" t="s">
        <v>794</v>
      </c>
      <c r="TSY138" s="26">
        <v>4</v>
      </c>
      <c r="TSZ138" s="26" t="s">
        <v>794</v>
      </c>
      <c r="TTA138" s="26">
        <v>4</v>
      </c>
      <c r="TTB138" s="26" t="s">
        <v>794</v>
      </c>
      <c r="TTC138" s="26">
        <v>4</v>
      </c>
      <c r="TTD138" s="26" t="s">
        <v>794</v>
      </c>
      <c r="TTE138" s="26">
        <v>4</v>
      </c>
      <c r="TTF138" s="26" t="s">
        <v>794</v>
      </c>
      <c r="TTG138" s="26">
        <v>4</v>
      </c>
      <c r="TTH138" s="26" t="s">
        <v>794</v>
      </c>
      <c r="TTI138" s="26">
        <v>4</v>
      </c>
      <c r="TTJ138" s="26" t="s">
        <v>794</v>
      </c>
      <c r="TTK138" s="26">
        <v>4</v>
      </c>
      <c r="TTL138" s="26" t="s">
        <v>794</v>
      </c>
      <c r="TTM138" s="26">
        <v>4</v>
      </c>
      <c r="TTN138" s="26" t="s">
        <v>794</v>
      </c>
      <c r="TTO138" s="26">
        <v>4</v>
      </c>
      <c r="TTP138" s="26" t="s">
        <v>794</v>
      </c>
      <c r="TTQ138" s="26">
        <v>4</v>
      </c>
      <c r="TTR138" s="26" t="s">
        <v>794</v>
      </c>
      <c r="TTS138" s="26">
        <v>4</v>
      </c>
      <c r="TTT138" s="26" t="s">
        <v>794</v>
      </c>
      <c r="TTU138" s="26">
        <v>4</v>
      </c>
      <c r="TTV138" s="26" t="s">
        <v>794</v>
      </c>
      <c r="TTW138" s="26">
        <v>4</v>
      </c>
      <c r="TTX138" s="26" t="s">
        <v>794</v>
      </c>
      <c r="TTY138" s="26">
        <v>4</v>
      </c>
      <c r="TTZ138" s="26" t="s">
        <v>794</v>
      </c>
      <c r="TUA138" s="26">
        <v>4</v>
      </c>
      <c r="TUB138" s="26" t="s">
        <v>794</v>
      </c>
      <c r="TUC138" s="26">
        <v>4</v>
      </c>
      <c r="TUD138" s="26" t="s">
        <v>794</v>
      </c>
      <c r="TUE138" s="26">
        <v>4</v>
      </c>
      <c r="TUF138" s="26" t="s">
        <v>794</v>
      </c>
      <c r="TUG138" s="26">
        <v>4</v>
      </c>
      <c r="TUH138" s="26" t="s">
        <v>794</v>
      </c>
      <c r="TUI138" s="26">
        <v>4</v>
      </c>
      <c r="TUJ138" s="26" t="s">
        <v>794</v>
      </c>
      <c r="TUK138" s="26">
        <v>4</v>
      </c>
      <c r="TUL138" s="26" t="s">
        <v>794</v>
      </c>
      <c r="TUM138" s="26">
        <v>4</v>
      </c>
      <c r="TUN138" s="26" t="s">
        <v>794</v>
      </c>
      <c r="TUO138" s="26">
        <v>4</v>
      </c>
      <c r="TUP138" s="26" t="s">
        <v>794</v>
      </c>
      <c r="TUQ138" s="26">
        <v>4</v>
      </c>
      <c r="TUR138" s="26" t="s">
        <v>794</v>
      </c>
      <c r="TUS138" s="26">
        <v>4</v>
      </c>
      <c r="TUT138" s="26" t="s">
        <v>794</v>
      </c>
      <c r="TUU138" s="26">
        <v>4</v>
      </c>
      <c r="TUV138" s="26" t="s">
        <v>794</v>
      </c>
      <c r="TUW138" s="26">
        <v>4</v>
      </c>
      <c r="TUX138" s="26" t="s">
        <v>794</v>
      </c>
      <c r="TUY138" s="26">
        <v>4</v>
      </c>
      <c r="TUZ138" s="26" t="s">
        <v>794</v>
      </c>
      <c r="TVA138" s="26">
        <v>4</v>
      </c>
      <c r="TVB138" s="26" t="s">
        <v>794</v>
      </c>
      <c r="TVC138" s="26">
        <v>4</v>
      </c>
      <c r="TVD138" s="26" t="s">
        <v>794</v>
      </c>
      <c r="TVE138" s="26">
        <v>4</v>
      </c>
      <c r="TVF138" s="26" t="s">
        <v>794</v>
      </c>
      <c r="TVG138" s="26">
        <v>4</v>
      </c>
      <c r="TVH138" s="26" t="s">
        <v>794</v>
      </c>
      <c r="TVI138" s="26">
        <v>4</v>
      </c>
      <c r="TVJ138" s="26" t="s">
        <v>794</v>
      </c>
      <c r="TVK138" s="26">
        <v>4</v>
      </c>
      <c r="TVL138" s="26" t="s">
        <v>794</v>
      </c>
      <c r="TVM138" s="26">
        <v>4</v>
      </c>
      <c r="TVN138" s="26" t="s">
        <v>794</v>
      </c>
      <c r="TVO138" s="26">
        <v>4</v>
      </c>
      <c r="TVP138" s="26" t="s">
        <v>794</v>
      </c>
      <c r="TVQ138" s="26">
        <v>4</v>
      </c>
      <c r="TVR138" s="26" t="s">
        <v>794</v>
      </c>
      <c r="TVS138" s="26">
        <v>4</v>
      </c>
      <c r="TVT138" s="26" t="s">
        <v>794</v>
      </c>
      <c r="TVU138" s="26">
        <v>4</v>
      </c>
      <c r="TVV138" s="26" t="s">
        <v>794</v>
      </c>
      <c r="TVW138" s="26">
        <v>4</v>
      </c>
      <c r="TVX138" s="26" t="s">
        <v>794</v>
      </c>
      <c r="TVY138" s="26">
        <v>4</v>
      </c>
      <c r="TVZ138" s="26" t="s">
        <v>794</v>
      </c>
      <c r="TWA138" s="26">
        <v>4</v>
      </c>
      <c r="TWB138" s="26" t="s">
        <v>794</v>
      </c>
      <c r="TWC138" s="26">
        <v>4</v>
      </c>
      <c r="TWD138" s="26" t="s">
        <v>794</v>
      </c>
      <c r="TWE138" s="26">
        <v>4</v>
      </c>
      <c r="TWF138" s="26" t="s">
        <v>794</v>
      </c>
      <c r="TWG138" s="26">
        <v>4</v>
      </c>
      <c r="TWH138" s="26" t="s">
        <v>794</v>
      </c>
      <c r="TWI138" s="26">
        <v>4</v>
      </c>
      <c r="TWJ138" s="26" t="s">
        <v>794</v>
      </c>
      <c r="TWK138" s="26">
        <v>4</v>
      </c>
      <c r="TWL138" s="26" t="s">
        <v>794</v>
      </c>
      <c r="TWM138" s="26">
        <v>4</v>
      </c>
      <c r="TWN138" s="26" t="s">
        <v>794</v>
      </c>
      <c r="TWO138" s="26">
        <v>4</v>
      </c>
      <c r="TWP138" s="26" t="s">
        <v>794</v>
      </c>
      <c r="TWQ138" s="26">
        <v>4</v>
      </c>
      <c r="TWR138" s="26" t="s">
        <v>794</v>
      </c>
      <c r="TWS138" s="26">
        <v>4</v>
      </c>
      <c r="TWT138" s="26" t="s">
        <v>794</v>
      </c>
      <c r="TWU138" s="26">
        <v>4</v>
      </c>
      <c r="TWV138" s="26" t="s">
        <v>794</v>
      </c>
      <c r="TWW138" s="26">
        <v>4</v>
      </c>
      <c r="TWX138" s="26" t="s">
        <v>794</v>
      </c>
      <c r="TWY138" s="26">
        <v>4</v>
      </c>
      <c r="TWZ138" s="26" t="s">
        <v>794</v>
      </c>
      <c r="TXA138" s="26">
        <v>4</v>
      </c>
      <c r="TXB138" s="26" t="s">
        <v>794</v>
      </c>
      <c r="TXC138" s="26">
        <v>4</v>
      </c>
      <c r="TXD138" s="26" t="s">
        <v>794</v>
      </c>
      <c r="TXE138" s="26">
        <v>4</v>
      </c>
      <c r="TXF138" s="26" t="s">
        <v>794</v>
      </c>
      <c r="TXG138" s="26">
        <v>4</v>
      </c>
      <c r="TXH138" s="26" t="s">
        <v>794</v>
      </c>
      <c r="TXI138" s="26">
        <v>4</v>
      </c>
      <c r="TXJ138" s="26" t="s">
        <v>794</v>
      </c>
      <c r="TXK138" s="26">
        <v>4</v>
      </c>
      <c r="TXL138" s="26" t="s">
        <v>794</v>
      </c>
      <c r="TXM138" s="26">
        <v>4</v>
      </c>
      <c r="TXN138" s="26" t="s">
        <v>794</v>
      </c>
      <c r="TXO138" s="26">
        <v>4</v>
      </c>
      <c r="TXP138" s="26" t="s">
        <v>794</v>
      </c>
      <c r="TXQ138" s="26">
        <v>4</v>
      </c>
      <c r="TXR138" s="26" t="s">
        <v>794</v>
      </c>
      <c r="TXS138" s="26">
        <v>4</v>
      </c>
      <c r="TXT138" s="26" t="s">
        <v>794</v>
      </c>
      <c r="TXU138" s="26">
        <v>4</v>
      </c>
      <c r="TXV138" s="26" t="s">
        <v>794</v>
      </c>
      <c r="TXW138" s="26">
        <v>4</v>
      </c>
      <c r="TXX138" s="26" t="s">
        <v>794</v>
      </c>
      <c r="TXY138" s="26">
        <v>4</v>
      </c>
      <c r="TXZ138" s="26" t="s">
        <v>794</v>
      </c>
      <c r="TYA138" s="26">
        <v>4</v>
      </c>
      <c r="TYB138" s="26" t="s">
        <v>794</v>
      </c>
      <c r="TYC138" s="26">
        <v>4</v>
      </c>
      <c r="TYD138" s="26" t="s">
        <v>794</v>
      </c>
      <c r="TYE138" s="26">
        <v>4</v>
      </c>
      <c r="TYF138" s="26" t="s">
        <v>794</v>
      </c>
      <c r="TYG138" s="26">
        <v>4</v>
      </c>
      <c r="TYH138" s="26" t="s">
        <v>794</v>
      </c>
      <c r="TYI138" s="26">
        <v>4</v>
      </c>
      <c r="TYJ138" s="26" t="s">
        <v>794</v>
      </c>
      <c r="TYK138" s="26">
        <v>4</v>
      </c>
      <c r="TYL138" s="26" t="s">
        <v>794</v>
      </c>
      <c r="TYM138" s="26">
        <v>4</v>
      </c>
      <c r="TYN138" s="26" t="s">
        <v>794</v>
      </c>
      <c r="TYO138" s="26">
        <v>4</v>
      </c>
      <c r="TYP138" s="26" t="s">
        <v>794</v>
      </c>
      <c r="TYQ138" s="26">
        <v>4</v>
      </c>
      <c r="TYR138" s="26" t="s">
        <v>794</v>
      </c>
      <c r="TYS138" s="26">
        <v>4</v>
      </c>
      <c r="TYT138" s="26" t="s">
        <v>794</v>
      </c>
      <c r="TYU138" s="26">
        <v>4</v>
      </c>
      <c r="TYV138" s="26" t="s">
        <v>794</v>
      </c>
      <c r="TYW138" s="26">
        <v>4</v>
      </c>
      <c r="TYX138" s="26" t="s">
        <v>794</v>
      </c>
      <c r="TYY138" s="26">
        <v>4</v>
      </c>
      <c r="TYZ138" s="26" t="s">
        <v>794</v>
      </c>
      <c r="TZA138" s="26">
        <v>4</v>
      </c>
      <c r="TZB138" s="26" t="s">
        <v>794</v>
      </c>
      <c r="TZC138" s="26">
        <v>4</v>
      </c>
      <c r="TZD138" s="26" t="s">
        <v>794</v>
      </c>
      <c r="TZE138" s="26">
        <v>4</v>
      </c>
      <c r="TZF138" s="26" t="s">
        <v>794</v>
      </c>
      <c r="TZG138" s="26">
        <v>4</v>
      </c>
      <c r="TZH138" s="26" t="s">
        <v>794</v>
      </c>
      <c r="TZI138" s="26">
        <v>4</v>
      </c>
      <c r="TZJ138" s="26" t="s">
        <v>794</v>
      </c>
      <c r="TZK138" s="26">
        <v>4</v>
      </c>
      <c r="TZL138" s="26" t="s">
        <v>794</v>
      </c>
      <c r="TZM138" s="26">
        <v>4</v>
      </c>
      <c r="TZN138" s="26" t="s">
        <v>794</v>
      </c>
      <c r="TZO138" s="26">
        <v>4</v>
      </c>
      <c r="TZP138" s="26" t="s">
        <v>794</v>
      </c>
      <c r="TZQ138" s="26">
        <v>4</v>
      </c>
      <c r="TZR138" s="26" t="s">
        <v>794</v>
      </c>
      <c r="TZS138" s="26">
        <v>4</v>
      </c>
      <c r="TZT138" s="26" t="s">
        <v>794</v>
      </c>
      <c r="TZU138" s="26">
        <v>4</v>
      </c>
      <c r="TZV138" s="26" t="s">
        <v>794</v>
      </c>
      <c r="TZW138" s="26">
        <v>4</v>
      </c>
      <c r="TZX138" s="26" t="s">
        <v>794</v>
      </c>
      <c r="TZY138" s="26">
        <v>4</v>
      </c>
      <c r="TZZ138" s="26" t="s">
        <v>794</v>
      </c>
      <c r="UAA138" s="26">
        <v>4</v>
      </c>
      <c r="UAB138" s="26" t="s">
        <v>794</v>
      </c>
      <c r="UAC138" s="26">
        <v>4</v>
      </c>
      <c r="UAD138" s="26" t="s">
        <v>794</v>
      </c>
      <c r="UAE138" s="26">
        <v>4</v>
      </c>
      <c r="UAF138" s="26" t="s">
        <v>794</v>
      </c>
      <c r="UAG138" s="26">
        <v>4</v>
      </c>
      <c r="UAH138" s="26" t="s">
        <v>794</v>
      </c>
      <c r="UAI138" s="26">
        <v>4</v>
      </c>
      <c r="UAJ138" s="26" t="s">
        <v>794</v>
      </c>
      <c r="UAK138" s="26">
        <v>4</v>
      </c>
      <c r="UAL138" s="26" t="s">
        <v>794</v>
      </c>
      <c r="UAM138" s="26">
        <v>4</v>
      </c>
      <c r="UAN138" s="26" t="s">
        <v>794</v>
      </c>
      <c r="UAO138" s="26">
        <v>4</v>
      </c>
      <c r="UAP138" s="26" t="s">
        <v>794</v>
      </c>
      <c r="UAQ138" s="26">
        <v>4</v>
      </c>
      <c r="UAR138" s="26" t="s">
        <v>794</v>
      </c>
      <c r="UAS138" s="26">
        <v>4</v>
      </c>
      <c r="UAT138" s="26" t="s">
        <v>794</v>
      </c>
      <c r="UAU138" s="26">
        <v>4</v>
      </c>
      <c r="UAV138" s="26" t="s">
        <v>794</v>
      </c>
      <c r="UAW138" s="26">
        <v>4</v>
      </c>
      <c r="UAX138" s="26" t="s">
        <v>794</v>
      </c>
      <c r="UAY138" s="26">
        <v>4</v>
      </c>
      <c r="UAZ138" s="26" t="s">
        <v>794</v>
      </c>
      <c r="UBA138" s="26">
        <v>4</v>
      </c>
      <c r="UBB138" s="26" t="s">
        <v>794</v>
      </c>
      <c r="UBC138" s="26">
        <v>4</v>
      </c>
      <c r="UBD138" s="26" t="s">
        <v>794</v>
      </c>
      <c r="UBE138" s="26">
        <v>4</v>
      </c>
      <c r="UBF138" s="26" t="s">
        <v>794</v>
      </c>
      <c r="UBG138" s="26">
        <v>4</v>
      </c>
      <c r="UBH138" s="26" t="s">
        <v>794</v>
      </c>
      <c r="UBI138" s="26">
        <v>4</v>
      </c>
      <c r="UBJ138" s="26" t="s">
        <v>794</v>
      </c>
      <c r="UBK138" s="26">
        <v>4</v>
      </c>
      <c r="UBL138" s="26" t="s">
        <v>794</v>
      </c>
      <c r="UBM138" s="26">
        <v>4</v>
      </c>
      <c r="UBN138" s="26" t="s">
        <v>794</v>
      </c>
      <c r="UBO138" s="26">
        <v>4</v>
      </c>
      <c r="UBP138" s="26" t="s">
        <v>794</v>
      </c>
      <c r="UBQ138" s="26">
        <v>4</v>
      </c>
      <c r="UBR138" s="26" t="s">
        <v>794</v>
      </c>
      <c r="UBS138" s="26">
        <v>4</v>
      </c>
      <c r="UBT138" s="26" t="s">
        <v>794</v>
      </c>
      <c r="UBU138" s="26">
        <v>4</v>
      </c>
      <c r="UBV138" s="26" t="s">
        <v>794</v>
      </c>
      <c r="UBW138" s="26">
        <v>4</v>
      </c>
      <c r="UBX138" s="26" t="s">
        <v>794</v>
      </c>
      <c r="UBY138" s="26">
        <v>4</v>
      </c>
      <c r="UBZ138" s="26" t="s">
        <v>794</v>
      </c>
      <c r="UCA138" s="26">
        <v>4</v>
      </c>
      <c r="UCB138" s="26" t="s">
        <v>794</v>
      </c>
      <c r="UCC138" s="26">
        <v>4</v>
      </c>
      <c r="UCD138" s="26" t="s">
        <v>794</v>
      </c>
      <c r="UCE138" s="26">
        <v>4</v>
      </c>
      <c r="UCF138" s="26" t="s">
        <v>794</v>
      </c>
      <c r="UCG138" s="26">
        <v>4</v>
      </c>
      <c r="UCH138" s="26" t="s">
        <v>794</v>
      </c>
      <c r="UCI138" s="26">
        <v>4</v>
      </c>
      <c r="UCJ138" s="26" t="s">
        <v>794</v>
      </c>
      <c r="UCK138" s="26">
        <v>4</v>
      </c>
      <c r="UCL138" s="26" t="s">
        <v>794</v>
      </c>
      <c r="UCM138" s="26">
        <v>4</v>
      </c>
      <c r="UCN138" s="26" t="s">
        <v>794</v>
      </c>
      <c r="UCO138" s="26">
        <v>4</v>
      </c>
      <c r="UCP138" s="26" t="s">
        <v>794</v>
      </c>
      <c r="UCQ138" s="26">
        <v>4</v>
      </c>
      <c r="UCR138" s="26" t="s">
        <v>794</v>
      </c>
      <c r="UCS138" s="26">
        <v>4</v>
      </c>
      <c r="UCT138" s="26" t="s">
        <v>794</v>
      </c>
      <c r="UCU138" s="26">
        <v>4</v>
      </c>
      <c r="UCV138" s="26" t="s">
        <v>794</v>
      </c>
      <c r="UCW138" s="26">
        <v>4</v>
      </c>
      <c r="UCX138" s="26" t="s">
        <v>794</v>
      </c>
      <c r="UCY138" s="26">
        <v>4</v>
      </c>
      <c r="UCZ138" s="26" t="s">
        <v>794</v>
      </c>
      <c r="UDA138" s="26">
        <v>4</v>
      </c>
      <c r="UDB138" s="26" t="s">
        <v>794</v>
      </c>
      <c r="UDC138" s="26">
        <v>4</v>
      </c>
      <c r="UDD138" s="26" t="s">
        <v>794</v>
      </c>
      <c r="UDE138" s="26">
        <v>4</v>
      </c>
      <c r="UDF138" s="26" t="s">
        <v>794</v>
      </c>
      <c r="UDG138" s="26">
        <v>4</v>
      </c>
      <c r="UDH138" s="26" t="s">
        <v>794</v>
      </c>
      <c r="UDI138" s="26">
        <v>4</v>
      </c>
      <c r="UDJ138" s="26" t="s">
        <v>794</v>
      </c>
      <c r="UDK138" s="26">
        <v>4</v>
      </c>
      <c r="UDL138" s="26" t="s">
        <v>794</v>
      </c>
      <c r="UDM138" s="26">
        <v>4</v>
      </c>
      <c r="UDN138" s="26" t="s">
        <v>794</v>
      </c>
      <c r="UDO138" s="26">
        <v>4</v>
      </c>
      <c r="UDP138" s="26" t="s">
        <v>794</v>
      </c>
      <c r="UDQ138" s="26">
        <v>4</v>
      </c>
      <c r="UDR138" s="26" t="s">
        <v>794</v>
      </c>
      <c r="UDS138" s="26">
        <v>4</v>
      </c>
      <c r="UDT138" s="26" t="s">
        <v>794</v>
      </c>
      <c r="UDU138" s="26">
        <v>4</v>
      </c>
      <c r="UDV138" s="26" t="s">
        <v>794</v>
      </c>
      <c r="UDW138" s="26">
        <v>4</v>
      </c>
      <c r="UDX138" s="26" t="s">
        <v>794</v>
      </c>
      <c r="UDY138" s="26">
        <v>4</v>
      </c>
      <c r="UDZ138" s="26" t="s">
        <v>794</v>
      </c>
      <c r="UEA138" s="26">
        <v>4</v>
      </c>
      <c r="UEB138" s="26" t="s">
        <v>794</v>
      </c>
      <c r="UEC138" s="26">
        <v>4</v>
      </c>
      <c r="UED138" s="26" t="s">
        <v>794</v>
      </c>
      <c r="UEE138" s="26">
        <v>4</v>
      </c>
      <c r="UEF138" s="26" t="s">
        <v>794</v>
      </c>
      <c r="UEG138" s="26">
        <v>4</v>
      </c>
      <c r="UEH138" s="26" t="s">
        <v>794</v>
      </c>
      <c r="UEI138" s="26">
        <v>4</v>
      </c>
      <c r="UEJ138" s="26" t="s">
        <v>794</v>
      </c>
      <c r="UEK138" s="26">
        <v>4</v>
      </c>
      <c r="UEL138" s="26" t="s">
        <v>794</v>
      </c>
      <c r="UEM138" s="26">
        <v>4</v>
      </c>
      <c r="UEN138" s="26" t="s">
        <v>794</v>
      </c>
      <c r="UEO138" s="26">
        <v>4</v>
      </c>
      <c r="UEP138" s="26" t="s">
        <v>794</v>
      </c>
      <c r="UEQ138" s="26">
        <v>4</v>
      </c>
      <c r="UER138" s="26" t="s">
        <v>794</v>
      </c>
      <c r="UES138" s="26">
        <v>4</v>
      </c>
      <c r="UET138" s="26" t="s">
        <v>794</v>
      </c>
      <c r="UEU138" s="26">
        <v>4</v>
      </c>
      <c r="UEV138" s="26" t="s">
        <v>794</v>
      </c>
      <c r="UEW138" s="26">
        <v>4</v>
      </c>
      <c r="UEX138" s="26" t="s">
        <v>794</v>
      </c>
      <c r="UEY138" s="26">
        <v>4</v>
      </c>
      <c r="UEZ138" s="26" t="s">
        <v>794</v>
      </c>
      <c r="UFA138" s="26">
        <v>4</v>
      </c>
      <c r="UFB138" s="26" t="s">
        <v>794</v>
      </c>
      <c r="UFC138" s="26">
        <v>4</v>
      </c>
      <c r="UFD138" s="26" t="s">
        <v>794</v>
      </c>
      <c r="UFE138" s="26">
        <v>4</v>
      </c>
      <c r="UFF138" s="26" t="s">
        <v>794</v>
      </c>
      <c r="UFG138" s="26">
        <v>4</v>
      </c>
      <c r="UFH138" s="26" t="s">
        <v>794</v>
      </c>
      <c r="UFI138" s="26">
        <v>4</v>
      </c>
      <c r="UFJ138" s="26" t="s">
        <v>794</v>
      </c>
      <c r="UFK138" s="26">
        <v>4</v>
      </c>
      <c r="UFL138" s="26" t="s">
        <v>794</v>
      </c>
      <c r="UFM138" s="26">
        <v>4</v>
      </c>
      <c r="UFN138" s="26" t="s">
        <v>794</v>
      </c>
      <c r="UFO138" s="26">
        <v>4</v>
      </c>
      <c r="UFP138" s="26" t="s">
        <v>794</v>
      </c>
      <c r="UFQ138" s="26">
        <v>4</v>
      </c>
      <c r="UFR138" s="26" t="s">
        <v>794</v>
      </c>
      <c r="UFS138" s="26">
        <v>4</v>
      </c>
      <c r="UFT138" s="26" t="s">
        <v>794</v>
      </c>
      <c r="UFU138" s="26">
        <v>4</v>
      </c>
      <c r="UFV138" s="26" t="s">
        <v>794</v>
      </c>
      <c r="UFW138" s="26">
        <v>4</v>
      </c>
      <c r="UFX138" s="26" t="s">
        <v>794</v>
      </c>
      <c r="UFY138" s="26">
        <v>4</v>
      </c>
      <c r="UFZ138" s="26" t="s">
        <v>794</v>
      </c>
      <c r="UGA138" s="26">
        <v>4</v>
      </c>
      <c r="UGB138" s="26" t="s">
        <v>794</v>
      </c>
      <c r="UGC138" s="26">
        <v>4</v>
      </c>
      <c r="UGD138" s="26" t="s">
        <v>794</v>
      </c>
      <c r="UGE138" s="26">
        <v>4</v>
      </c>
      <c r="UGF138" s="26" t="s">
        <v>794</v>
      </c>
      <c r="UGG138" s="26">
        <v>4</v>
      </c>
      <c r="UGH138" s="26" t="s">
        <v>794</v>
      </c>
      <c r="UGI138" s="26">
        <v>4</v>
      </c>
      <c r="UGJ138" s="26" t="s">
        <v>794</v>
      </c>
      <c r="UGK138" s="26">
        <v>4</v>
      </c>
      <c r="UGL138" s="26" t="s">
        <v>794</v>
      </c>
      <c r="UGM138" s="26">
        <v>4</v>
      </c>
      <c r="UGN138" s="26" t="s">
        <v>794</v>
      </c>
      <c r="UGO138" s="26">
        <v>4</v>
      </c>
      <c r="UGP138" s="26" t="s">
        <v>794</v>
      </c>
      <c r="UGQ138" s="26">
        <v>4</v>
      </c>
      <c r="UGR138" s="26" t="s">
        <v>794</v>
      </c>
      <c r="UGS138" s="26">
        <v>4</v>
      </c>
      <c r="UGT138" s="26" t="s">
        <v>794</v>
      </c>
      <c r="UGU138" s="26">
        <v>4</v>
      </c>
      <c r="UGV138" s="26" t="s">
        <v>794</v>
      </c>
      <c r="UGW138" s="26">
        <v>4</v>
      </c>
      <c r="UGX138" s="26" t="s">
        <v>794</v>
      </c>
      <c r="UGY138" s="26">
        <v>4</v>
      </c>
      <c r="UGZ138" s="26" t="s">
        <v>794</v>
      </c>
      <c r="UHA138" s="26">
        <v>4</v>
      </c>
      <c r="UHB138" s="26" t="s">
        <v>794</v>
      </c>
      <c r="UHC138" s="26">
        <v>4</v>
      </c>
      <c r="UHD138" s="26" t="s">
        <v>794</v>
      </c>
      <c r="UHE138" s="26">
        <v>4</v>
      </c>
      <c r="UHF138" s="26" t="s">
        <v>794</v>
      </c>
      <c r="UHG138" s="26">
        <v>4</v>
      </c>
      <c r="UHH138" s="26" t="s">
        <v>794</v>
      </c>
      <c r="UHI138" s="26">
        <v>4</v>
      </c>
      <c r="UHJ138" s="26" t="s">
        <v>794</v>
      </c>
      <c r="UHK138" s="26">
        <v>4</v>
      </c>
      <c r="UHL138" s="26" t="s">
        <v>794</v>
      </c>
      <c r="UHM138" s="26">
        <v>4</v>
      </c>
      <c r="UHN138" s="26" t="s">
        <v>794</v>
      </c>
      <c r="UHO138" s="26">
        <v>4</v>
      </c>
      <c r="UHP138" s="26" t="s">
        <v>794</v>
      </c>
      <c r="UHQ138" s="26">
        <v>4</v>
      </c>
      <c r="UHR138" s="26" t="s">
        <v>794</v>
      </c>
      <c r="UHS138" s="26">
        <v>4</v>
      </c>
      <c r="UHT138" s="26" t="s">
        <v>794</v>
      </c>
      <c r="UHU138" s="26">
        <v>4</v>
      </c>
      <c r="UHV138" s="26" t="s">
        <v>794</v>
      </c>
      <c r="UHW138" s="26">
        <v>4</v>
      </c>
      <c r="UHX138" s="26" t="s">
        <v>794</v>
      </c>
      <c r="UHY138" s="26">
        <v>4</v>
      </c>
      <c r="UHZ138" s="26" t="s">
        <v>794</v>
      </c>
      <c r="UIA138" s="26">
        <v>4</v>
      </c>
      <c r="UIB138" s="26" t="s">
        <v>794</v>
      </c>
      <c r="UIC138" s="26">
        <v>4</v>
      </c>
      <c r="UID138" s="26" t="s">
        <v>794</v>
      </c>
      <c r="UIE138" s="26">
        <v>4</v>
      </c>
      <c r="UIF138" s="26" t="s">
        <v>794</v>
      </c>
      <c r="UIG138" s="26">
        <v>4</v>
      </c>
      <c r="UIH138" s="26" t="s">
        <v>794</v>
      </c>
      <c r="UII138" s="26">
        <v>4</v>
      </c>
      <c r="UIJ138" s="26" t="s">
        <v>794</v>
      </c>
      <c r="UIK138" s="26">
        <v>4</v>
      </c>
      <c r="UIL138" s="26" t="s">
        <v>794</v>
      </c>
      <c r="UIM138" s="26">
        <v>4</v>
      </c>
      <c r="UIN138" s="26" t="s">
        <v>794</v>
      </c>
      <c r="UIO138" s="26">
        <v>4</v>
      </c>
      <c r="UIP138" s="26" t="s">
        <v>794</v>
      </c>
      <c r="UIQ138" s="26">
        <v>4</v>
      </c>
      <c r="UIR138" s="26" t="s">
        <v>794</v>
      </c>
      <c r="UIS138" s="26">
        <v>4</v>
      </c>
      <c r="UIT138" s="26" t="s">
        <v>794</v>
      </c>
      <c r="UIU138" s="26">
        <v>4</v>
      </c>
      <c r="UIV138" s="26" t="s">
        <v>794</v>
      </c>
      <c r="UIW138" s="26">
        <v>4</v>
      </c>
      <c r="UIX138" s="26" t="s">
        <v>794</v>
      </c>
      <c r="UIY138" s="26">
        <v>4</v>
      </c>
      <c r="UIZ138" s="26" t="s">
        <v>794</v>
      </c>
      <c r="UJA138" s="26">
        <v>4</v>
      </c>
      <c r="UJB138" s="26" t="s">
        <v>794</v>
      </c>
      <c r="UJC138" s="26">
        <v>4</v>
      </c>
      <c r="UJD138" s="26" t="s">
        <v>794</v>
      </c>
      <c r="UJE138" s="26">
        <v>4</v>
      </c>
      <c r="UJF138" s="26" t="s">
        <v>794</v>
      </c>
      <c r="UJG138" s="26">
        <v>4</v>
      </c>
      <c r="UJH138" s="26" t="s">
        <v>794</v>
      </c>
      <c r="UJI138" s="26">
        <v>4</v>
      </c>
      <c r="UJJ138" s="26" t="s">
        <v>794</v>
      </c>
      <c r="UJK138" s="26">
        <v>4</v>
      </c>
      <c r="UJL138" s="26" t="s">
        <v>794</v>
      </c>
      <c r="UJM138" s="26">
        <v>4</v>
      </c>
      <c r="UJN138" s="26" t="s">
        <v>794</v>
      </c>
      <c r="UJO138" s="26">
        <v>4</v>
      </c>
      <c r="UJP138" s="26" t="s">
        <v>794</v>
      </c>
      <c r="UJQ138" s="26">
        <v>4</v>
      </c>
      <c r="UJR138" s="26" t="s">
        <v>794</v>
      </c>
      <c r="UJS138" s="26">
        <v>4</v>
      </c>
      <c r="UJT138" s="26" t="s">
        <v>794</v>
      </c>
      <c r="UJU138" s="26">
        <v>4</v>
      </c>
      <c r="UJV138" s="26" t="s">
        <v>794</v>
      </c>
      <c r="UJW138" s="26">
        <v>4</v>
      </c>
      <c r="UJX138" s="26" t="s">
        <v>794</v>
      </c>
      <c r="UJY138" s="26">
        <v>4</v>
      </c>
      <c r="UJZ138" s="26" t="s">
        <v>794</v>
      </c>
      <c r="UKA138" s="26">
        <v>4</v>
      </c>
      <c r="UKB138" s="26" t="s">
        <v>794</v>
      </c>
      <c r="UKC138" s="26">
        <v>4</v>
      </c>
      <c r="UKD138" s="26" t="s">
        <v>794</v>
      </c>
      <c r="UKE138" s="26">
        <v>4</v>
      </c>
      <c r="UKF138" s="26" t="s">
        <v>794</v>
      </c>
      <c r="UKG138" s="26">
        <v>4</v>
      </c>
      <c r="UKH138" s="26" t="s">
        <v>794</v>
      </c>
      <c r="UKI138" s="26">
        <v>4</v>
      </c>
      <c r="UKJ138" s="26" t="s">
        <v>794</v>
      </c>
      <c r="UKK138" s="26">
        <v>4</v>
      </c>
      <c r="UKL138" s="26" t="s">
        <v>794</v>
      </c>
      <c r="UKM138" s="26">
        <v>4</v>
      </c>
      <c r="UKN138" s="26" t="s">
        <v>794</v>
      </c>
      <c r="UKO138" s="26">
        <v>4</v>
      </c>
      <c r="UKP138" s="26" t="s">
        <v>794</v>
      </c>
      <c r="UKQ138" s="26">
        <v>4</v>
      </c>
      <c r="UKR138" s="26" t="s">
        <v>794</v>
      </c>
      <c r="UKS138" s="26">
        <v>4</v>
      </c>
      <c r="UKT138" s="26" t="s">
        <v>794</v>
      </c>
      <c r="UKU138" s="26">
        <v>4</v>
      </c>
      <c r="UKV138" s="26" t="s">
        <v>794</v>
      </c>
      <c r="UKW138" s="26">
        <v>4</v>
      </c>
      <c r="UKX138" s="26" t="s">
        <v>794</v>
      </c>
      <c r="UKY138" s="26">
        <v>4</v>
      </c>
      <c r="UKZ138" s="26" t="s">
        <v>794</v>
      </c>
      <c r="ULA138" s="26">
        <v>4</v>
      </c>
      <c r="ULB138" s="26" t="s">
        <v>794</v>
      </c>
      <c r="ULC138" s="26">
        <v>4</v>
      </c>
      <c r="ULD138" s="26" t="s">
        <v>794</v>
      </c>
      <c r="ULE138" s="26">
        <v>4</v>
      </c>
      <c r="ULF138" s="26" t="s">
        <v>794</v>
      </c>
      <c r="ULG138" s="26">
        <v>4</v>
      </c>
      <c r="ULH138" s="26" t="s">
        <v>794</v>
      </c>
      <c r="ULI138" s="26">
        <v>4</v>
      </c>
      <c r="ULJ138" s="26" t="s">
        <v>794</v>
      </c>
      <c r="ULK138" s="26">
        <v>4</v>
      </c>
      <c r="ULL138" s="26" t="s">
        <v>794</v>
      </c>
      <c r="ULM138" s="26">
        <v>4</v>
      </c>
      <c r="ULN138" s="26" t="s">
        <v>794</v>
      </c>
      <c r="ULO138" s="26">
        <v>4</v>
      </c>
      <c r="ULP138" s="26" t="s">
        <v>794</v>
      </c>
      <c r="ULQ138" s="26">
        <v>4</v>
      </c>
      <c r="ULR138" s="26" t="s">
        <v>794</v>
      </c>
      <c r="ULS138" s="26">
        <v>4</v>
      </c>
      <c r="ULT138" s="26" t="s">
        <v>794</v>
      </c>
      <c r="ULU138" s="26">
        <v>4</v>
      </c>
      <c r="ULV138" s="26" t="s">
        <v>794</v>
      </c>
      <c r="ULW138" s="26">
        <v>4</v>
      </c>
      <c r="ULX138" s="26" t="s">
        <v>794</v>
      </c>
      <c r="ULY138" s="26">
        <v>4</v>
      </c>
      <c r="ULZ138" s="26" t="s">
        <v>794</v>
      </c>
      <c r="UMA138" s="26">
        <v>4</v>
      </c>
      <c r="UMB138" s="26" t="s">
        <v>794</v>
      </c>
      <c r="UMC138" s="26">
        <v>4</v>
      </c>
      <c r="UMD138" s="26" t="s">
        <v>794</v>
      </c>
      <c r="UME138" s="26">
        <v>4</v>
      </c>
      <c r="UMF138" s="26" t="s">
        <v>794</v>
      </c>
      <c r="UMG138" s="26">
        <v>4</v>
      </c>
      <c r="UMH138" s="26" t="s">
        <v>794</v>
      </c>
      <c r="UMI138" s="26">
        <v>4</v>
      </c>
      <c r="UMJ138" s="26" t="s">
        <v>794</v>
      </c>
      <c r="UMK138" s="26">
        <v>4</v>
      </c>
      <c r="UML138" s="26" t="s">
        <v>794</v>
      </c>
      <c r="UMM138" s="26">
        <v>4</v>
      </c>
      <c r="UMN138" s="26" t="s">
        <v>794</v>
      </c>
      <c r="UMO138" s="26">
        <v>4</v>
      </c>
      <c r="UMP138" s="26" t="s">
        <v>794</v>
      </c>
      <c r="UMQ138" s="26">
        <v>4</v>
      </c>
      <c r="UMR138" s="26" t="s">
        <v>794</v>
      </c>
      <c r="UMS138" s="26">
        <v>4</v>
      </c>
      <c r="UMT138" s="26" t="s">
        <v>794</v>
      </c>
      <c r="UMU138" s="26">
        <v>4</v>
      </c>
      <c r="UMV138" s="26" t="s">
        <v>794</v>
      </c>
      <c r="UMW138" s="26">
        <v>4</v>
      </c>
      <c r="UMX138" s="26" t="s">
        <v>794</v>
      </c>
      <c r="UMY138" s="26">
        <v>4</v>
      </c>
      <c r="UMZ138" s="26" t="s">
        <v>794</v>
      </c>
      <c r="UNA138" s="26">
        <v>4</v>
      </c>
      <c r="UNB138" s="26" t="s">
        <v>794</v>
      </c>
      <c r="UNC138" s="26">
        <v>4</v>
      </c>
      <c r="UND138" s="26" t="s">
        <v>794</v>
      </c>
      <c r="UNE138" s="26">
        <v>4</v>
      </c>
      <c r="UNF138" s="26" t="s">
        <v>794</v>
      </c>
      <c r="UNG138" s="26">
        <v>4</v>
      </c>
      <c r="UNH138" s="26" t="s">
        <v>794</v>
      </c>
      <c r="UNI138" s="26">
        <v>4</v>
      </c>
      <c r="UNJ138" s="26" t="s">
        <v>794</v>
      </c>
      <c r="UNK138" s="26">
        <v>4</v>
      </c>
      <c r="UNL138" s="26" t="s">
        <v>794</v>
      </c>
      <c r="UNM138" s="26">
        <v>4</v>
      </c>
      <c r="UNN138" s="26" t="s">
        <v>794</v>
      </c>
      <c r="UNO138" s="26">
        <v>4</v>
      </c>
      <c r="UNP138" s="26" t="s">
        <v>794</v>
      </c>
      <c r="UNQ138" s="26">
        <v>4</v>
      </c>
      <c r="UNR138" s="26" t="s">
        <v>794</v>
      </c>
      <c r="UNS138" s="26">
        <v>4</v>
      </c>
      <c r="UNT138" s="26" t="s">
        <v>794</v>
      </c>
      <c r="UNU138" s="26">
        <v>4</v>
      </c>
      <c r="UNV138" s="26" t="s">
        <v>794</v>
      </c>
      <c r="UNW138" s="26">
        <v>4</v>
      </c>
      <c r="UNX138" s="26" t="s">
        <v>794</v>
      </c>
      <c r="UNY138" s="26">
        <v>4</v>
      </c>
      <c r="UNZ138" s="26" t="s">
        <v>794</v>
      </c>
      <c r="UOA138" s="26">
        <v>4</v>
      </c>
      <c r="UOB138" s="26" t="s">
        <v>794</v>
      </c>
      <c r="UOC138" s="26">
        <v>4</v>
      </c>
      <c r="UOD138" s="26" t="s">
        <v>794</v>
      </c>
      <c r="UOE138" s="26">
        <v>4</v>
      </c>
      <c r="UOF138" s="26" t="s">
        <v>794</v>
      </c>
      <c r="UOG138" s="26">
        <v>4</v>
      </c>
      <c r="UOH138" s="26" t="s">
        <v>794</v>
      </c>
      <c r="UOI138" s="26">
        <v>4</v>
      </c>
      <c r="UOJ138" s="26" t="s">
        <v>794</v>
      </c>
      <c r="UOK138" s="26">
        <v>4</v>
      </c>
      <c r="UOL138" s="26" t="s">
        <v>794</v>
      </c>
      <c r="UOM138" s="26">
        <v>4</v>
      </c>
      <c r="UON138" s="26" t="s">
        <v>794</v>
      </c>
      <c r="UOO138" s="26">
        <v>4</v>
      </c>
      <c r="UOP138" s="26" t="s">
        <v>794</v>
      </c>
      <c r="UOQ138" s="26">
        <v>4</v>
      </c>
      <c r="UOR138" s="26" t="s">
        <v>794</v>
      </c>
      <c r="UOS138" s="26">
        <v>4</v>
      </c>
      <c r="UOT138" s="26" t="s">
        <v>794</v>
      </c>
      <c r="UOU138" s="26">
        <v>4</v>
      </c>
      <c r="UOV138" s="26" t="s">
        <v>794</v>
      </c>
      <c r="UOW138" s="26">
        <v>4</v>
      </c>
      <c r="UOX138" s="26" t="s">
        <v>794</v>
      </c>
      <c r="UOY138" s="26">
        <v>4</v>
      </c>
      <c r="UOZ138" s="26" t="s">
        <v>794</v>
      </c>
      <c r="UPA138" s="26">
        <v>4</v>
      </c>
      <c r="UPB138" s="26" t="s">
        <v>794</v>
      </c>
      <c r="UPC138" s="26">
        <v>4</v>
      </c>
      <c r="UPD138" s="26" t="s">
        <v>794</v>
      </c>
      <c r="UPE138" s="26">
        <v>4</v>
      </c>
      <c r="UPF138" s="26" t="s">
        <v>794</v>
      </c>
      <c r="UPG138" s="26">
        <v>4</v>
      </c>
      <c r="UPH138" s="26" t="s">
        <v>794</v>
      </c>
      <c r="UPI138" s="26">
        <v>4</v>
      </c>
      <c r="UPJ138" s="26" t="s">
        <v>794</v>
      </c>
      <c r="UPK138" s="26">
        <v>4</v>
      </c>
      <c r="UPL138" s="26" t="s">
        <v>794</v>
      </c>
      <c r="UPM138" s="26">
        <v>4</v>
      </c>
      <c r="UPN138" s="26" t="s">
        <v>794</v>
      </c>
      <c r="UPO138" s="26">
        <v>4</v>
      </c>
      <c r="UPP138" s="26" t="s">
        <v>794</v>
      </c>
      <c r="UPQ138" s="26">
        <v>4</v>
      </c>
      <c r="UPR138" s="26" t="s">
        <v>794</v>
      </c>
      <c r="UPS138" s="26">
        <v>4</v>
      </c>
      <c r="UPT138" s="26" t="s">
        <v>794</v>
      </c>
      <c r="UPU138" s="26">
        <v>4</v>
      </c>
      <c r="UPV138" s="26" t="s">
        <v>794</v>
      </c>
      <c r="UPW138" s="26">
        <v>4</v>
      </c>
      <c r="UPX138" s="26" t="s">
        <v>794</v>
      </c>
      <c r="UPY138" s="26">
        <v>4</v>
      </c>
      <c r="UPZ138" s="26" t="s">
        <v>794</v>
      </c>
      <c r="UQA138" s="26">
        <v>4</v>
      </c>
      <c r="UQB138" s="26" t="s">
        <v>794</v>
      </c>
      <c r="UQC138" s="26">
        <v>4</v>
      </c>
      <c r="UQD138" s="26" t="s">
        <v>794</v>
      </c>
      <c r="UQE138" s="26">
        <v>4</v>
      </c>
      <c r="UQF138" s="26" t="s">
        <v>794</v>
      </c>
      <c r="UQG138" s="26">
        <v>4</v>
      </c>
      <c r="UQH138" s="26" t="s">
        <v>794</v>
      </c>
      <c r="UQI138" s="26">
        <v>4</v>
      </c>
      <c r="UQJ138" s="26" t="s">
        <v>794</v>
      </c>
      <c r="UQK138" s="26">
        <v>4</v>
      </c>
      <c r="UQL138" s="26" t="s">
        <v>794</v>
      </c>
      <c r="UQM138" s="26">
        <v>4</v>
      </c>
      <c r="UQN138" s="26" t="s">
        <v>794</v>
      </c>
      <c r="UQO138" s="26">
        <v>4</v>
      </c>
      <c r="UQP138" s="26" t="s">
        <v>794</v>
      </c>
      <c r="UQQ138" s="26">
        <v>4</v>
      </c>
      <c r="UQR138" s="26" t="s">
        <v>794</v>
      </c>
      <c r="UQS138" s="26">
        <v>4</v>
      </c>
      <c r="UQT138" s="26" t="s">
        <v>794</v>
      </c>
      <c r="UQU138" s="26">
        <v>4</v>
      </c>
      <c r="UQV138" s="26" t="s">
        <v>794</v>
      </c>
      <c r="UQW138" s="26">
        <v>4</v>
      </c>
      <c r="UQX138" s="26" t="s">
        <v>794</v>
      </c>
      <c r="UQY138" s="26">
        <v>4</v>
      </c>
      <c r="UQZ138" s="26" t="s">
        <v>794</v>
      </c>
      <c r="URA138" s="26">
        <v>4</v>
      </c>
      <c r="URB138" s="26" t="s">
        <v>794</v>
      </c>
      <c r="URC138" s="26">
        <v>4</v>
      </c>
      <c r="URD138" s="26" t="s">
        <v>794</v>
      </c>
      <c r="URE138" s="26">
        <v>4</v>
      </c>
      <c r="URF138" s="26" t="s">
        <v>794</v>
      </c>
      <c r="URG138" s="26">
        <v>4</v>
      </c>
      <c r="URH138" s="26" t="s">
        <v>794</v>
      </c>
      <c r="URI138" s="26">
        <v>4</v>
      </c>
      <c r="URJ138" s="26" t="s">
        <v>794</v>
      </c>
      <c r="URK138" s="26">
        <v>4</v>
      </c>
      <c r="URL138" s="26" t="s">
        <v>794</v>
      </c>
      <c r="URM138" s="26">
        <v>4</v>
      </c>
      <c r="URN138" s="26" t="s">
        <v>794</v>
      </c>
      <c r="URO138" s="26">
        <v>4</v>
      </c>
      <c r="URP138" s="26" t="s">
        <v>794</v>
      </c>
      <c r="URQ138" s="26">
        <v>4</v>
      </c>
      <c r="URR138" s="26" t="s">
        <v>794</v>
      </c>
      <c r="URS138" s="26">
        <v>4</v>
      </c>
      <c r="URT138" s="26" t="s">
        <v>794</v>
      </c>
      <c r="URU138" s="26">
        <v>4</v>
      </c>
      <c r="URV138" s="26" t="s">
        <v>794</v>
      </c>
      <c r="URW138" s="26">
        <v>4</v>
      </c>
      <c r="URX138" s="26" t="s">
        <v>794</v>
      </c>
      <c r="URY138" s="26">
        <v>4</v>
      </c>
      <c r="URZ138" s="26" t="s">
        <v>794</v>
      </c>
      <c r="USA138" s="26">
        <v>4</v>
      </c>
      <c r="USB138" s="26" t="s">
        <v>794</v>
      </c>
      <c r="USC138" s="26">
        <v>4</v>
      </c>
      <c r="USD138" s="26" t="s">
        <v>794</v>
      </c>
      <c r="USE138" s="26">
        <v>4</v>
      </c>
      <c r="USF138" s="26" t="s">
        <v>794</v>
      </c>
      <c r="USG138" s="26">
        <v>4</v>
      </c>
      <c r="USH138" s="26" t="s">
        <v>794</v>
      </c>
      <c r="USI138" s="26">
        <v>4</v>
      </c>
      <c r="USJ138" s="26" t="s">
        <v>794</v>
      </c>
      <c r="USK138" s="26">
        <v>4</v>
      </c>
      <c r="USL138" s="26" t="s">
        <v>794</v>
      </c>
      <c r="USM138" s="26">
        <v>4</v>
      </c>
      <c r="USN138" s="26" t="s">
        <v>794</v>
      </c>
      <c r="USO138" s="26">
        <v>4</v>
      </c>
      <c r="USP138" s="26" t="s">
        <v>794</v>
      </c>
      <c r="USQ138" s="26">
        <v>4</v>
      </c>
      <c r="USR138" s="26" t="s">
        <v>794</v>
      </c>
      <c r="USS138" s="26">
        <v>4</v>
      </c>
      <c r="UST138" s="26" t="s">
        <v>794</v>
      </c>
      <c r="USU138" s="26">
        <v>4</v>
      </c>
      <c r="USV138" s="26" t="s">
        <v>794</v>
      </c>
      <c r="USW138" s="26">
        <v>4</v>
      </c>
      <c r="USX138" s="26" t="s">
        <v>794</v>
      </c>
      <c r="USY138" s="26">
        <v>4</v>
      </c>
      <c r="USZ138" s="26" t="s">
        <v>794</v>
      </c>
      <c r="UTA138" s="26">
        <v>4</v>
      </c>
      <c r="UTB138" s="26" t="s">
        <v>794</v>
      </c>
      <c r="UTC138" s="26">
        <v>4</v>
      </c>
      <c r="UTD138" s="26" t="s">
        <v>794</v>
      </c>
      <c r="UTE138" s="26">
        <v>4</v>
      </c>
      <c r="UTF138" s="26" t="s">
        <v>794</v>
      </c>
      <c r="UTG138" s="26">
        <v>4</v>
      </c>
      <c r="UTH138" s="26" t="s">
        <v>794</v>
      </c>
      <c r="UTI138" s="26">
        <v>4</v>
      </c>
      <c r="UTJ138" s="26" t="s">
        <v>794</v>
      </c>
      <c r="UTK138" s="26">
        <v>4</v>
      </c>
      <c r="UTL138" s="26" t="s">
        <v>794</v>
      </c>
      <c r="UTM138" s="26">
        <v>4</v>
      </c>
      <c r="UTN138" s="26" t="s">
        <v>794</v>
      </c>
      <c r="UTO138" s="26">
        <v>4</v>
      </c>
      <c r="UTP138" s="26" t="s">
        <v>794</v>
      </c>
      <c r="UTQ138" s="26">
        <v>4</v>
      </c>
      <c r="UTR138" s="26" t="s">
        <v>794</v>
      </c>
      <c r="UTS138" s="26">
        <v>4</v>
      </c>
      <c r="UTT138" s="26" t="s">
        <v>794</v>
      </c>
      <c r="UTU138" s="26">
        <v>4</v>
      </c>
      <c r="UTV138" s="26" t="s">
        <v>794</v>
      </c>
      <c r="UTW138" s="26">
        <v>4</v>
      </c>
      <c r="UTX138" s="26" t="s">
        <v>794</v>
      </c>
      <c r="UTY138" s="26">
        <v>4</v>
      </c>
      <c r="UTZ138" s="26" t="s">
        <v>794</v>
      </c>
      <c r="UUA138" s="26">
        <v>4</v>
      </c>
      <c r="UUB138" s="26" t="s">
        <v>794</v>
      </c>
      <c r="UUC138" s="26">
        <v>4</v>
      </c>
      <c r="UUD138" s="26" t="s">
        <v>794</v>
      </c>
      <c r="UUE138" s="26">
        <v>4</v>
      </c>
      <c r="UUF138" s="26" t="s">
        <v>794</v>
      </c>
      <c r="UUG138" s="26">
        <v>4</v>
      </c>
      <c r="UUH138" s="26" t="s">
        <v>794</v>
      </c>
      <c r="UUI138" s="26">
        <v>4</v>
      </c>
      <c r="UUJ138" s="26" t="s">
        <v>794</v>
      </c>
      <c r="UUK138" s="26">
        <v>4</v>
      </c>
      <c r="UUL138" s="26" t="s">
        <v>794</v>
      </c>
      <c r="UUM138" s="26">
        <v>4</v>
      </c>
      <c r="UUN138" s="26" t="s">
        <v>794</v>
      </c>
      <c r="UUO138" s="26">
        <v>4</v>
      </c>
      <c r="UUP138" s="26" t="s">
        <v>794</v>
      </c>
      <c r="UUQ138" s="26">
        <v>4</v>
      </c>
      <c r="UUR138" s="26" t="s">
        <v>794</v>
      </c>
      <c r="UUS138" s="26">
        <v>4</v>
      </c>
      <c r="UUT138" s="26" t="s">
        <v>794</v>
      </c>
      <c r="UUU138" s="26">
        <v>4</v>
      </c>
      <c r="UUV138" s="26" t="s">
        <v>794</v>
      </c>
      <c r="UUW138" s="26">
        <v>4</v>
      </c>
      <c r="UUX138" s="26" t="s">
        <v>794</v>
      </c>
      <c r="UUY138" s="26">
        <v>4</v>
      </c>
      <c r="UUZ138" s="26" t="s">
        <v>794</v>
      </c>
      <c r="UVA138" s="26">
        <v>4</v>
      </c>
      <c r="UVB138" s="26" t="s">
        <v>794</v>
      </c>
      <c r="UVC138" s="26">
        <v>4</v>
      </c>
      <c r="UVD138" s="26" t="s">
        <v>794</v>
      </c>
      <c r="UVE138" s="26">
        <v>4</v>
      </c>
      <c r="UVF138" s="26" t="s">
        <v>794</v>
      </c>
      <c r="UVG138" s="26">
        <v>4</v>
      </c>
      <c r="UVH138" s="26" t="s">
        <v>794</v>
      </c>
      <c r="UVI138" s="26">
        <v>4</v>
      </c>
      <c r="UVJ138" s="26" t="s">
        <v>794</v>
      </c>
      <c r="UVK138" s="26">
        <v>4</v>
      </c>
      <c r="UVL138" s="26" t="s">
        <v>794</v>
      </c>
      <c r="UVM138" s="26">
        <v>4</v>
      </c>
      <c r="UVN138" s="26" t="s">
        <v>794</v>
      </c>
      <c r="UVO138" s="26">
        <v>4</v>
      </c>
      <c r="UVP138" s="26" t="s">
        <v>794</v>
      </c>
      <c r="UVQ138" s="26">
        <v>4</v>
      </c>
      <c r="UVR138" s="26" t="s">
        <v>794</v>
      </c>
      <c r="UVS138" s="26">
        <v>4</v>
      </c>
      <c r="UVT138" s="26" t="s">
        <v>794</v>
      </c>
      <c r="UVU138" s="26">
        <v>4</v>
      </c>
      <c r="UVV138" s="26" t="s">
        <v>794</v>
      </c>
      <c r="UVW138" s="26">
        <v>4</v>
      </c>
      <c r="UVX138" s="26" t="s">
        <v>794</v>
      </c>
      <c r="UVY138" s="26">
        <v>4</v>
      </c>
      <c r="UVZ138" s="26" t="s">
        <v>794</v>
      </c>
      <c r="UWA138" s="26">
        <v>4</v>
      </c>
      <c r="UWB138" s="26" t="s">
        <v>794</v>
      </c>
      <c r="UWC138" s="26">
        <v>4</v>
      </c>
      <c r="UWD138" s="26" t="s">
        <v>794</v>
      </c>
      <c r="UWE138" s="26">
        <v>4</v>
      </c>
      <c r="UWF138" s="26" t="s">
        <v>794</v>
      </c>
      <c r="UWG138" s="26">
        <v>4</v>
      </c>
      <c r="UWH138" s="26" t="s">
        <v>794</v>
      </c>
      <c r="UWI138" s="26">
        <v>4</v>
      </c>
      <c r="UWJ138" s="26" t="s">
        <v>794</v>
      </c>
      <c r="UWK138" s="26">
        <v>4</v>
      </c>
      <c r="UWL138" s="26" t="s">
        <v>794</v>
      </c>
      <c r="UWM138" s="26">
        <v>4</v>
      </c>
      <c r="UWN138" s="26" t="s">
        <v>794</v>
      </c>
      <c r="UWO138" s="26">
        <v>4</v>
      </c>
      <c r="UWP138" s="26" t="s">
        <v>794</v>
      </c>
      <c r="UWQ138" s="26">
        <v>4</v>
      </c>
      <c r="UWR138" s="26" t="s">
        <v>794</v>
      </c>
      <c r="UWS138" s="26">
        <v>4</v>
      </c>
      <c r="UWT138" s="26" t="s">
        <v>794</v>
      </c>
      <c r="UWU138" s="26">
        <v>4</v>
      </c>
      <c r="UWV138" s="26" t="s">
        <v>794</v>
      </c>
      <c r="UWW138" s="26">
        <v>4</v>
      </c>
      <c r="UWX138" s="26" t="s">
        <v>794</v>
      </c>
      <c r="UWY138" s="26">
        <v>4</v>
      </c>
      <c r="UWZ138" s="26" t="s">
        <v>794</v>
      </c>
      <c r="UXA138" s="26">
        <v>4</v>
      </c>
      <c r="UXB138" s="26" t="s">
        <v>794</v>
      </c>
      <c r="UXC138" s="26">
        <v>4</v>
      </c>
      <c r="UXD138" s="26" t="s">
        <v>794</v>
      </c>
      <c r="UXE138" s="26">
        <v>4</v>
      </c>
      <c r="UXF138" s="26" t="s">
        <v>794</v>
      </c>
      <c r="UXG138" s="26">
        <v>4</v>
      </c>
      <c r="UXH138" s="26" t="s">
        <v>794</v>
      </c>
      <c r="UXI138" s="26">
        <v>4</v>
      </c>
      <c r="UXJ138" s="26" t="s">
        <v>794</v>
      </c>
      <c r="UXK138" s="26">
        <v>4</v>
      </c>
      <c r="UXL138" s="26" t="s">
        <v>794</v>
      </c>
      <c r="UXM138" s="26">
        <v>4</v>
      </c>
      <c r="UXN138" s="26" t="s">
        <v>794</v>
      </c>
      <c r="UXO138" s="26">
        <v>4</v>
      </c>
      <c r="UXP138" s="26" t="s">
        <v>794</v>
      </c>
      <c r="UXQ138" s="26">
        <v>4</v>
      </c>
      <c r="UXR138" s="26" t="s">
        <v>794</v>
      </c>
      <c r="UXS138" s="26">
        <v>4</v>
      </c>
      <c r="UXT138" s="26" t="s">
        <v>794</v>
      </c>
      <c r="UXU138" s="26">
        <v>4</v>
      </c>
      <c r="UXV138" s="26" t="s">
        <v>794</v>
      </c>
      <c r="UXW138" s="26">
        <v>4</v>
      </c>
      <c r="UXX138" s="26" t="s">
        <v>794</v>
      </c>
      <c r="UXY138" s="26">
        <v>4</v>
      </c>
      <c r="UXZ138" s="26" t="s">
        <v>794</v>
      </c>
      <c r="UYA138" s="26">
        <v>4</v>
      </c>
      <c r="UYB138" s="26" t="s">
        <v>794</v>
      </c>
      <c r="UYC138" s="26">
        <v>4</v>
      </c>
      <c r="UYD138" s="26" t="s">
        <v>794</v>
      </c>
      <c r="UYE138" s="26">
        <v>4</v>
      </c>
      <c r="UYF138" s="26" t="s">
        <v>794</v>
      </c>
      <c r="UYG138" s="26">
        <v>4</v>
      </c>
      <c r="UYH138" s="26" t="s">
        <v>794</v>
      </c>
      <c r="UYI138" s="26">
        <v>4</v>
      </c>
      <c r="UYJ138" s="26" t="s">
        <v>794</v>
      </c>
      <c r="UYK138" s="26">
        <v>4</v>
      </c>
      <c r="UYL138" s="26" t="s">
        <v>794</v>
      </c>
      <c r="UYM138" s="26">
        <v>4</v>
      </c>
      <c r="UYN138" s="26" t="s">
        <v>794</v>
      </c>
      <c r="UYO138" s="26">
        <v>4</v>
      </c>
      <c r="UYP138" s="26" t="s">
        <v>794</v>
      </c>
      <c r="UYQ138" s="26">
        <v>4</v>
      </c>
      <c r="UYR138" s="26" t="s">
        <v>794</v>
      </c>
      <c r="UYS138" s="26">
        <v>4</v>
      </c>
      <c r="UYT138" s="26" t="s">
        <v>794</v>
      </c>
      <c r="UYU138" s="26">
        <v>4</v>
      </c>
      <c r="UYV138" s="26" t="s">
        <v>794</v>
      </c>
      <c r="UYW138" s="26">
        <v>4</v>
      </c>
      <c r="UYX138" s="26" t="s">
        <v>794</v>
      </c>
      <c r="UYY138" s="26">
        <v>4</v>
      </c>
      <c r="UYZ138" s="26" t="s">
        <v>794</v>
      </c>
      <c r="UZA138" s="26">
        <v>4</v>
      </c>
      <c r="UZB138" s="26" t="s">
        <v>794</v>
      </c>
      <c r="UZC138" s="26">
        <v>4</v>
      </c>
      <c r="UZD138" s="26" t="s">
        <v>794</v>
      </c>
      <c r="UZE138" s="26">
        <v>4</v>
      </c>
      <c r="UZF138" s="26" t="s">
        <v>794</v>
      </c>
      <c r="UZG138" s="26">
        <v>4</v>
      </c>
      <c r="UZH138" s="26" t="s">
        <v>794</v>
      </c>
      <c r="UZI138" s="26">
        <v>4</v>
      </c>
      <c r="UZJ138" s="26" t="s">
        <v>794</v>
      </c>
      <c r="UZK138" s="26">
        <v>4</v>
      </c>
      <c r="UZL138" s="26" t="s">
        <v>794</v>
      </c>
      <c r="UZM138" s="26">
        <v>4</v>
      </c>
      <c r="UZN138" s="26" t="s">
        <v>794</v>
      </c>
      <c r="UZO138" s="26">
        <v>4</v>
      </c>
      <c r="UZP138" s="26" t="s">
        <v>794</v>
      </c>
      <c r="UZQ138" s="26">
        <v>4</v>
      </c>
      <c r="UZR138" s="26" t="s">
        <v>794</v>
      </c>
      <c r="UZS138" s="26">
        <v>4</v>
      </c>
      <c r="UZT138" s="26" t="s">
        <v>794</v>
      </c>
      <c r="UZU138" s="26">
        <v>4</v>
      </c>
      <c r="UZV138" s="26" t="s">
        <v>794</v>
      </c>
      <c r="UZW138" s="26">
        <v>4</v>
      </c>
      <c r="UZX138" s="26" t="s">
        <v>794</v>
      </c>
      <c r="UZY138" s="26">
        <v>4</v>
      </c>
      <c r="UZZ138" s="26" t="s">
        <v>794</v>
      </c>
      <c r="VAA138" s="26">
        <v>4</v>
      </c>
      <c r="VAB138" s="26" t="s">
        <v>794</v>
      </c>
      <c r="VAC138" s="26">
        <v>4</v>
      </c>
      <c r="VAD138" s="26" t="s">
        <v>794</v>
      </c>
      <c r="VAE138" s="26">
        <v>4</v>
      </c>
      <c r="VAF138" s="26" t="s">
        <v>794</v>
      </c>
      <c r="VAG138" s="26">
        <v>4</v>
      </c>
      <c r="VAH138" s="26" t="s">
        <v>794</v>
      </c>
      <c r="VAI138" s="26">
        <v>4</v>
      </c>
      <c r="VAJ138" s="26" t="s">
        <v>794</v>
      </c>
      <c r="VAK138" s="26">
        <v>4</v>
      </c>
      <c r="VAL138" s="26" t="s">
        <v>794</v>
      </c>
      <c r="VAM138" s="26">
        <v>4</v>
      </c>
      <c r="VAN138" s="26" t="s">
        <v>794</v>
      </c>
      <c r="VAO138" s="26">
        <v>4</v>
      </c>
      <c r="VAP138" s="26" t="s">
        <v>794</v>
      </c>
      <c r="VAQ138" s="26">
        <v>4</v>
      </c>
      <c r="VAR138" s="26" t="s">
        <v>794</v>
      </c>
      <c r="VAS138" s="26">
        <v>4</v>
      </c>
      <c r="VAT138" s="26" t="s">
        <v>794</v>
      </c>
      <c r="VAU138" s="26">
        <v>4</v>
      </c>
      <c r="VAV138" s="26" t="s">
        <v>794</v>
      </c>
      <c r="VAW138" s="26">
        <v>4</v>
      </c>
      <c r="VAX138" s="26" t="s">
        <v>794</v>
      </c>
      <c r="VAY138" s="26">
        <v>4</v>
      </c>
      <c r="VAZ138" s="26" t="s">
        <v>794</v>
      </c>
      <c r="VBA138" s="26">
        <v>4</v>
      </c>
      <c r="VBB138" s="26" t="s">
        <v>794</v>
      </c>
      <c r="VBC138" s="26">
        <v>4</v>
      </c>
      <c r="VBD138" s="26" t="s">
        <v>794</v>
      </c>
      <c r="VBE138" s="26">
        <v>4</v>
      </c>
      <c r="VBF138" s="26" t="s">
        <v>794</v>
      </c>
      <c r="VBG138" s="26">
        <v>4</v>
      </c>
      <c r="VBH138" s="26" t="s">
        <v>794</v>
      </c>
      <c r="VBI138" s="26">
        <v>4</v>
      </c>
      <c r="VBJ138" s="26" t="s">
        <v>794</v>
      </c>
      <c r="VBK138" s="26">
        <v>4</v>
      </c>
      <c r="VBL138" s="26" t="s">
        <v>794</v>
      </c>
      <c r="VBM138" s="26">
        <v>4</v>
      </c>
      <c r="VBN138" s="26" t="s">
        <v>794</v>
      </c>
      <c r="VBO138" s="26">
        <v>4</v>
      </c>
      <c r="VBP138" s="26" t="s">
        <v>794</v>
      </c>
      <c r="VBQ138" s="26">
        <v>4</v>
      </c>
      <c r="VBR138" s="26" t="s">
        <v>794</v>
      </c>
      <c r="VBS138" s="26">
        <v>4</v>
      </c>
      <c r="VBT138" s="26" t="s">
        <v>794</v>
      </c>
      <c r="VBU138" s="26">
        <v>4</v>
      </c>
      <c r="VBV138" s="26" t="s">
        <v>794</v>
      </c>
      <c r="VBW138" s="26">
        <v>4</v>
      </c>
      <c r="VBX138" s="26" t="s">
        <v>794</v>
      </c>
      <c r="VBY138" s="26">
        <v>4</v>
      </c>
      <c r="VBZ138" s="26" t="s">
        <v>794</v>
      </c>
      <c r="VCA138" s="26">
        <v>4</v>
      </c>
      <c r="VCB138" s="26" t="s">
        <v>794</v>
      </c>
      <c r="VCC138" s="26">
        <v>4</v>
      </c>
      <c r="VCD138" s="26" t="s">
        <v>794</v>
      </c>
      <c r="VCE138" s="26">
        <v>4</v>
      </c>
      <c r="VCF138" s="26" t="s">
        <v>794</v>
      </c>
      <c r="VCG138" s="26">
        <v>4</v>
      </c>
      <c r="VCH138" s="26" t="s">
        <v>794</v>
      </c>
      <c r="VCI138" s="26">
        <v>4</v>
      </c>
      <c r="VCJ138" s="26" t="s">
        <v>794</v>
      </c>
      <c r="VCK138" s="26">
        <v>4</v>
      </c>
      <c r="VCL138" s="26" t="s">
        <v>794</v>
      </c>
      <c r="VCM138" s="26">
        <v>4</v>
      </c>
      <c r="VCN138" s="26" t="s">
        <v>794</v>
      </c>
      <c r="VCO138" s="26">
        <v>4</v>
      </c>
      <c r="VCP138" s="26" t="s">
        <v>794</v>
      </c>
      <c r="VCQ138" s="26">
        <v>4</v>
      </c>
      <c r="VCR138" s="26" t="s">
        <v>794</v>
      </c>
      <c r="VCS138" s="26">
        <v>4</v>
      </c>
      <c r="VCT138" s="26" t="s">
        <v>794</v>
      </c>
      <c r="VCU138" s="26">
        <v>4</v>
      </c>
      <c r="VCV138" s="26" t="s">
        <v>794</v>
      </c>
      <c r="VCW138" s="26">
        <v>4</v>
      </c>
      <c r="VCX138" s="26" t="s">
        <v>794</v>
      </c>
      <c r="VCY138" s="26">
        <v>4</v>
      </c>
      <c r="VCZ138" s="26" t="s">
        <v>794</v>
      </c>
      <c r="VDA138" s="26">
        <v>4</v>
      </c>
      <c r="VDB138" s="26" t="s">
        <v>794</v>
      </c>
      <c r="VDC138" s="26">
        <v>4</v>
      </c>
      <c r="VDD138" s="26" t="s">
        <v>794</v>
      </c>
      <c r="VDE138" s="26">
        <v>4</v>
      </c>
      <c r="VDF138" s="26" t="s">
        <v>794</v>
      </c>
      <c r="VDG138" s="26">
        <v>4</v>
      </c>
      <c r="VDH138" s="26" t="s">
        <v>794</v>
      </c>
      <c r="VDI138" s="26">
        <v>4</v>
      </c>
      <c r="VDJ138" s="26" t="s">
        <v>794</v>
      </c>
      <c r="VDK138" s="26">
        <v>4</v>
      </c>
      <c r="VDL138" s="26" t="s">
        <v>794</v>
      </c>
      <c r="VDM138" s="26">
        <v>4</v>
      </c>
      <c r="VDN138" s="26" t="s">
        <v>794</v>
      </c>
      <c r="VDO138" s="26">
        <v>4</v>
      </c>
      <c r="VDP138" s="26" t="s">
        <v>794</v>
      </c>
      <c r="VDQ138" s="26">
        <v>4</v>
      </c>
      <c r="VDR138" s="26" t="s">
        <v>794</v>
      </c>
      <c r="VDS138" s="26">
        <v>4</v>
      </c>
      <c r="VDT138" s="26" t="s">
        <v>794</v>
      </c>
      <c r="VDU138" s="26">
        <v>4</v>
      </c>
      <c r="VDV138" s="26" t="s">
        <v>794</v>
      </c>
      <c r="VDW138" s="26">
        <v>4</v>
      </c>
      <c r="VDX138" s="26" t="s">
        <v>794</v>
      </c>
      <c r="VDY138" s="26">
        <v>4</v>
      </c>
      <c r="VDZ138" s="26" t="s">
        <v>794</v>
      </c>
      <c r="VEA138" s="26">
        <v>4</v>
      </c>
      <c r="VEB138" s="26" t="s">
        <v>794</v>
      </c>
      <c r="VEC138" s="26">
        <v>4</v>
      </c>
      <c r="VED138" s="26" t="s">
        <v>794</v>
      </c>
      <c r="VEE138" s="26">
        <v>4</v>
      </c>
      <c r="VEF138" s="26" t="s">
        <v>794</v>
      </c>
      <c r="VEG138" s="26">
        <v>4</v>
      </c>
      <c r="VEH138" s="26" t="s">
        <v>794</v>
      </c>
      <c r="VEI138" s="26">
        <v>4</v>
      </c>
      <c r="VEJ138" s="26" t="s">
        <v>794</v>
      </c>
      <c r="VEK138" s="26">
        <v>4</v>
      </c>
      <c r="VEL138" s="26" t="s">
        <v>794</v>
      </c>
      <c r="VEM138" s="26">
        <v>4</v>
      </c>
      <c r="VEN138" s="26" t="s">
        <v>794</v>
      </c>
      <c r="VEO138" s="26">
        <v>4</v>
      </c>
      <c r="VEP138" s="26" t="s">
        <v>794</v>
      </c>
      <c r="VEQ138" s="26">
        <v>4</v>
      </c>
      <c r="VER138" s="26" t="s">
        <v>794</v>
      </c>
      <c r="VES138" s="26">
        <v>4</v>
      </c>
      <c r="VET138" s="26" t="s">
        <v>794</v>
      </c>
      <c r="VEU138" s="26">
        <v>4</v>
      </c>
      <c r="VEV138" s="26" t="s">
        <v>794</v>
      </c>
      <c r="VEW138" s="26">
        <v>4</v>
      </c>
      <c r="VEX138" s="26" t="s">
        <v>794</v>
      </c>
      <c r="VEY138" s="26">
        <v>4</v>
      </c>
      <c r="VEZ138" s="26" t="s">
        <v>794</v>
      </c>
      <c r="VFA138" s="26">
        <v>4</v>
      </c>
      <c r="VFB138" s="26" t="s">
        <v>794</v>
      </c>
      <c r="VFC138" s="26">
        <v>4</v>
      </c>
      <c r="VFD138" s="26" t="s">
        <v>794</v>
      </c>
      <c r="VFE138" s="26">
        <v>4</v>
      </c>
      <c r="VFF138" s="26" t="s">
        <v>794</v>
      </c>
      <c r="VFG138" s="26">
        <v>4</v>
      </c>
      <c r="VFH138" s="26" t="s">
        <v>794</v>
      </c>
      <c r="VFI138" s="26">
        <v>4</v>
      </c>
      <c r="VFJ138" s="26" t="s">
        <v>794</v>
      </c>
      <c r="VFK138" s="26">
        <v>4</v>
      </c>
      <c r="VFL138" s="26" t="s">
        <v>794</v>
      </c>
      <c r="VFM138" s="26">
        <v>4</v>
      </c>
      <c r="VFN138" s="26" t="s">
        <v>794</v>
      </c>
      <c r="VFO138" s="26">
        <v>4</v>
      </c>
      <c r="VFP138" s="26" t="s">
        <v>794</v>
      </c>
      <c r="VFQ138" s="26">
        <v>4</v>
      </c>
      <c r="VFR138" s="26" t="s">
        <v>794</v>
      </c>
      <c r="VFS138" s="26">
        <v>4</v>
      </c>
      <c r="VFT138" s="26" t="s">
        <v>794</v>
      </c>
      <c r="VFU138" s="26">
        <v>4</v>
      </c>
      <c r="VFV138" s="26" t="s">
        <v>794</v>
      </c>
      <c r="VFW138" s="26">
        <v>4</v>
      </c>
      <c r="VFX138" s="26" t="s">
        <v>794</v>
      </c>
      <c r="VFY138" s="26">
        <v>4</v>
      </c>
      <c r="VFZ138" s="26" t="s">
        <v>794</v>
      </c>
      <c r="VGA138" s="26">
        <v>4</v>
      </c>
      <c r="VGB138" s="26" t="s">
        <v>794</v>
      </c>
      <c r="VGC138" s="26">
        <v>4</v>
      </c>
      <c r="VGD138" s="26" t="s">
        <v>794</v>
      </c>
      <c r="VGE138" s="26">
        <v>4</v>
      </c>
      <c r="VGF138" s="26" t="s">
        <v>794</v>
      </c>
      <c r="VGG138" s="26">
        <v>4</v>
      </c>
      <c r="VGH138" s="26" t="s">
        <v>794</v>
      </c>
      <c r="VGI138" s="26">
        <v>4</v>
      </c>
      <c r="VGJ138" s="26" t="s">
        <v>794</v>
      </c>
      <c r="VGK138" s="26">
        <v>4</v>
      </c>
      <c r="VGL138" s="26" t="s">
        <v>794</v>
      </c>
      <c r="VGM138" s="26">
        <v>4</v>
      </c>
      <c r="VGN138" s="26" t="s">
        <v>794</v>
      </c>
      <c r="VGO138" s="26">
        <v>4</v>
      </c>
      <c r="VGP138" s="26" t="s">
        <v>794</v>
      </c>
      <c r="VGQ138" s="26">
        <v>4</v>
      </c>
      <c r="VGR138" s="26" t="s">
        <v>794</v>
      </c>
      <c r="VGS138" s="26">
        <v>4</v>
      </c>
      <c r="VGT138" s="26" t="s">
        <v>794</v>
      </c>
      <c r="VGU138" s="26">
        <v>4</v>
      </c>
      <c r="VGV138" s="26" t="s">
        <v>794</v>
      </c>
      <c r="VGW138" s="26">
        <v>4</v>
      </c>
      <c r="VGX138" s="26" t="s">
        <v>794</v>
      </c>
      <c r="VGY138" s="26">
        <v>4</v>
      </c>
      <c r="VGZ138" s="26" t="s">
        <v>794</v>
      </c>
      <c r="VHA138" s="26">
        <v>4</v>
      </c>
      <c r="VHB138" s="26" t="s">
        <v>794</v>
      </c>
      <c r="VHC138" s="26">
        <v>4</v>
      </c>
      <c r="VHD138" s="26" t="s">
        <v>794</v>
      </c>
      <c r="VHE138" s="26">
        <v>4</v>
      </c>
      <c r="VHF138" s="26" t="s">
        <v>794</v>
      </c>
      <c r="VHG138" s="26">
        <v>4</v>
      </c>
      <c r="VHH138" s="26" t="s">
        <v>794</v>
      </c>
      <c r="VHI138" s="26">
        <v>4</v>
      </c>
      <c r="VHJ138" s="26" t="s">
        <v>794</v>
      </c>
      <c r="VHK138" s="26">
        <v>4</v>
      </c>
      <c r="VHL138" s="26" t="s">
        <v>794</v>
      </c>
      <c r="VHM138" s="26">
        <v>4</v>
      </c>
      <c r="VHN138" s="26" t="s">
        <v>794</v>
      </c>
      <c r="VHO138" s="26">
        <v>4</v>
      </c>
      <c r="VHP138" s="26" t="s">
        <v>794</v>
      </c>
      <c r="VHQ138" s="26">
        <v>4</v>
      </c>
      <c r="VHR138" s="26" t="s">
        <v>794</v>
      </c>
      <c r="VHS138" s="26">
        <v>4</v>
      </c>
      <c r="VHT138" s="26" t="s">
        <v>794</v>
      </c>
      <c r="VHU138" s="26">
        <v>4</v>
      </c>
      <c r="VHV138" s="26" t="s">
        <v>794</v>
      </c>
      <c r="VHW138" s="26">
        <v>4</v>
      </c>
      <c r="VHX138" s="26" t="s">
        <v>794</v>
      </c>
      <c r="VHY138" s="26">
        <v>4</v>
      </c>
      <c r="VHZ138" s="26" t="s">
        <v>794</v>
      </c>
      <c r="VIA138" s="26">
        <v>4</v>
      </c>
      <c r="VIB138" s="26" t="s">
        <v>794</v>
      </c>
      <c r="VIC138" s="26">
        <v>4</v>
      </c>
      <c r="VID138" s="26" t="s">
        <v>794</v>
      </c>
      <c r="VIE138" s="26">
        <v>4</v>
      </c>
      <c r="VIF138" s="26" t="s">
        <v>794</v>
      </c>
      <c r="VIG138" s="26">
        <v>4</v>
      </c>
      <c r="VIH138" s="26" t="s">
        <v>794</v>
      </c>
      <c r="VII138" s="26">
        <v>4</v>
      </c>
      <c r="VIJ138" s="26" t="s">
        <v>794</v>
      </c>
      <c r="VIK138" s="26">
        <v>4</v>
      </c>
      <c r="VIL138" s="26" t="s">
        <v>794</v>
      </c>
      <c r="VIM138" s="26">
        <v>4</v>
      </c>
      <c r="VIN138" s="26" t="s">
        <v>794</v>
      </c>
      <c r="VIO138" s="26">
        <v>4</v>
      </c>
      <c r="VIP138" s="26" t="s">
        <v>794</v>
      </c>
      <c r="VIQ138" s="26">
        <v>4</v>
      </c>
      <c r="VIR138" s="26" t="s">
        <v>794</v>
      </c>
      <c r="VIS138" s="26">
        <v>4</v>
      </c>
      <c r="VIT138" s="26" t="s">
        <v>794</v>
      </c>
      <c r="VIU138" s="26">
        <v>4</v>
      </c>
      <c r="VIV138" s="26" t="s">
        <v>794</v>
      </c>
      <c r="VIW138" s="26">
        <v>4</v>
      </c>
      <c r="VIX138" s="26" t="s">
        <v>794</v>
      </c>
      <c r="VIY138" s="26">
        <v>4</v>
      </c>
      <c r="VIZ138" s="26" t="s">
        <v>794</v>
      </c>
      <c r="VJA138" s="26">
        <v>4</v>
      </c>
      <c r="VJB138" s="26" t="s">
        <v>794</v>
      </c>
      <c r="VJC138" s="26">
        <v>4</v>
      </c>
      <c r="VJD138" s="26" t="s">
        <v>794</v>
      </c>
      <c r="VJE138" s="26">
        <v>4</v>
      </c>
      <c r="VJF138" s="26" t="s">
        <v>794</v>
      </c>
      <c r="VJG138" s="26">
        <v>4</v>
      </c>
      <c r="VJH138" s="26" t="s">
        <v>794</v>
      </c>
      <c r="VJI138" s="26">
        <v>4</v>
      </c>
      <c r="VJJ138" s="26" t="s">
        <v>794</v>
      </c>
      <c r="VJK138" s="26">
        <v>4</v>
      </c>
      <c r="VJL138" s="26" t="s">
        <v>794</v>
      </c>
      <c r="VJM138" s="26">
        <v>4</v>
      </c>
      <c r="VJN138" s="26" t="s">
        <v>794</v>
      </c>
      <c r="VJO138" s="26">
        <v>4</v>
      </c>
      <c r="VJP138" s="26" t="s">
        <v>794</v>
      </c>
      <c r="VJQ138" s="26">
        <v>4</v>
      </c>
      <c r="VJR138" s="26" t="s">
        <v>794</v>
      </c>
      <c r="VJS138" s="26">
        <v>4</v>
      </c>
      <c r="VJT138" s="26" t="s">
        <v>794</v>
      </c>
      <c r="VJU138" s="26">
        <v>4</v>
      </c>
      <c r="VJV138" s="26" t="s">
        <v>794</v>
      </c>
      <c r="VJW138" s="26">
        <v>4</v>
      </c>
      <c r="VJX138" s="26" t="s">
        <v>794</v>
      </c>
      <c r="VJY138" s="26">
        <v>4</v>
      </c>
      <c r="VJZ138" s="26" t="s">
        <v>794</v>
      </c>
      <c r="VKA138" s="26">
        <v>4</v>
      </c>
      <c r="VKB138" s="26" t="s">
        <v>794</v>
      </c>
      <c r="VKC138" s="26">
        <v>4</v>
      </c>
      <c r="VKD138" s="26" t="s">
        <v>794</v>
      </c>
      <c r="VKE138" s="26">
        <v>4</v>
      </c>
      <c r="VKF138" s="26" t="s">
        <v>794</v>
      </c>
      <c r="VKG138" s="26">
        <v>4</v>
      </c>
      <c r="VKH138" s="26" t="s">
        <v>794</v>
      </c>
      <c r="VKI138" s="26">
        <v>4</v>
      </c>
      <c r="VKJ138" s="26" t="s">
        <v>794</v>
      </c>
      <c r="VKK138" s="26">
        <v>4</v>
      </c>
      <c r="VKL138" s="26" t="s">
        <v>794</v>
      </c>
      <c r="VKM138" s="26">
        <v>4</v>
      </c>
      <c r="VKN138" s="26" t="s">
        <v>794</v>
      </c>
      <c r="VKO138" s="26">
        <v>4</v>
      </c>
      <c r="VKP138" s="26" t="s">
        <v>794</v>
      </c>
      <c r="VKQ138" s="26">
        <v>4</v>
      </c>
      <c r="VKR138" s="26" t="s">
        <v>794</v>
      </c>
      <c r="VKS138" s="26">
        <v>4</v>
      </c>
      <c r="VKT138" s="26" t="s">
        <v>794</v>
      </c>
      <c r="VKU138" s="26">
        <v>4</v>
      </c>
      <c r="VKV138" s="26" t="s">
        <v>794</v>
      </c>
      <c r="VKW138" s="26">
        <v>4</v>
      </c>
      <c r="VKX138" s="26" t="s">
        <v>794</v>
      </c>
      <c r="VKY138" s="26">
        <v>4</v>
      </c>
      <c r="VKZ138" s="26" t="s">
        <v>794</v>
      </c>
      <c r="VLA138" s="26">
        <v>4</v>
      </c>
      <c r="VLB138" s="26" t="s">
        <v>794</v>
      </c>
      <c r="VLC138" s="26">
        <v>4</v>
      </c>
      <c r="VLD138" s="26" t="s">
        <v>794</v>
      </c>
      <c r="VLE138" s="26">
        <v>4</v>
      </c>
      <c r="VLF138" s="26" t="s">
        <v>794</v>
      </c>
      <c r="VLG138" s="26">
        <v>4</v>
      </c>
      <c r="VLH138" s="26" t="s">
        <v>794</v>
      </c>
      <c r="VLI138" s="26">
        <v>4</v>
      </c>
      <c r="VLJ138" s="26" t="s">
        <v>794</v>
      </c>
      <c r="VLK138" s="26">
        <v>4</v>
      </c>
      <c r="VLL138" s="26" t="s">
        <v>794</v>
      </c>
      <c r="VLM138" s="26">
        <v>4</v>
      </c>
      <c r="VLN138" s="26" t="s">
        <v>794</v>
      </c>
      <c r="VLO138" s="26">
        <v>4</v>
      </c>
      <c r="VLP138" s="26" t="s">
        <v>794</v>
      </c>
      <c r="VLQ138" s="26">
        <v>4</v>
      </c>
      <c r="VLR138" s="26" t="s">
        <v>794</v>
      </c>
      <c r="VLS138" s="26">
        <v>4</v>
      </c>
      <c r="VLT138" s="26" t="s">
        <v>794</v>
      </c>
      <c r="VLU138" s="26">
        <v>4</v>
      </c>
      <c r="VLV138" s="26" t="s">
        <v>794</v>
      </c>
      <c r="VLW138" s="26">
        <v>4</v>
      </c>
      <c r="VLX138" s="26" t="s">
        <v>794</v>
      </c>
      <c r="VLY138" s="26">
        <v>4</v>
      </c>
      <c r="VLZ138" s="26" t="s">
        <v>794</v>
      </c>
      <c r="VMA138" s="26">
        <v>4</v>
      </c>
      <c r="VMB138" s="26" t="s">
        <v>794</v>
      </c>
      <c r="VMC138" s="26">
        <v>4</v>
      </c>
      <c r="VMD138" s="26" t="s">
        <v>794</v>
      </c>
      <c r="VME138" s="26">
        <v>4</v>
      </c>
      <c r="VMF138" s="26" t="s">
        <v>794</v>
      </c>
      <c r="VMG138" s="26">
        <v>4</v>
      </c>
      <c r="VMH138" s="26" t="s">
        <v>794</v>
      </c>
      <c r="VMI138" s="26">
        <v>4</v>
      </c>
      <c r="VMJ138" s="26" t="s">
        <v>794</v>
      </c>
      <c r="VMK138" s="26">
        <v>4</v>
      </c>
      <c r="VML138" s="26" t="s">
        <v>794</v>
      </c>
      <c r="VMM138" s="26">
        <v>4</v>
      </c>
      <c r="VMN138" s="26" t="s">
        <v>794</v>
      </c>
      <c r="VMO138" s="26">
        <v>4</v>
      </c>
      <c r="VMP138" s="26" t="s">
        <v>794</v>
      </c>
      <c r="VMQ138" s="26">
        <v>4</v>
      </c>
      <c r="VMR138" s="26" t="s">
        <v>794</v>
      </c>
      <c r="VMS138" s="26">
        <v>4</v>
      </c>
      <c r="VMT138" s="26" t="s">
        <v>794</v>
      </c>
      <c r="VMU138" s="26">
        <v>4</v>
      </c>
      <c r="VMV138" s="26" t="s">
        <v>794</v>
      </c>
      <c r="VMW138" s="26">
        <v>4</v>
      </c>
      <c r="VMX138" s="26" t="s">
        <v>794</v>
      </c>
      <c r="VMY138" s="26">
        <v>4</v>
      </c>
      <c r="VMZ138" s="26" t="s">
        <v>794</v>
      </c>
      <c r="VNA138" s="26">
        <v>4</v>
      </c>
      <c r="VNB138" s="26" t="s">
        <v>794</v>
      </c>
      <c r="VNC138" s="26">
        <v>4</v>
      </c>
      <c r="VND138" s="26" t="s">
        <v>794</v>
      </c>
      <c r="VNE138" s="26">
        <v>4</v>
      </c>
      <c r="VNF138" s="26" t="s">
        <v>794</v>
      </c>
      <c r="VNG138" s="26">
        <v>4</v>
      </c>
      <c r="VNH138" s="26" t="s">
        <v>794</v>
      </c>
      <c r="VNI138" s="26">
        <v>4</v>
      </c>
      <c r="VNJ138" s="26" t="s">
        <v>794</v>
      </c>
      <c r="VNK138" s="26">
        <v>4</v>
      </c>
      <c r="VNL138" s="26" t="s">
        <v>794</v>
      </c>
      <c r="VNM138" s="26">
        <v>4</v>
      </c>
      <c r="VNN138" s="26" t="s">
        <v>794</v>
      </c>
      <c r="VNO138" s="26">
        <v>4</v>
      </c>
      <c r="VNP138" s="26" t="s">
        <v>794</v>
      </c>
      <c r="VNQ138" s="26">
        <v>4</v>
      </c>
      <c r="VNR138" s="26" t="s">
        <v>794</v>
      </c>
      <c r="VNS138" s="26">
        <v>4</v>
      </c>
      <c r="VNT138" s="26" t="s">
        <v>794</v>
      </c>
      <c r="VNU138" s="26">
        <v>4</v>
      </c>
      <c r="VNV138" s="26" t="s">
        <v>794</v>
      </c>
      <c r="VNW138" s="26">
        <v>4</v>
      </c>
      <c r="VNX138" s="26" t="s">
        <v>794</v>
      </c>
      <c r="VNY138" s="26">
        <v>4</v>
      </c>
      <c r="VNZ138" s="26" t="s">
        <v>794</v>
      </c>
      <c r="VOA138" s="26">
        <v>4</v>
      </c>
      <c r="VOB138" s="26" t="s">
        <v>794</v>
      </c>
      <c r="VOC138" s="26">
        <v>4</v>
      </c>
      <c r="VOD138" s="26" t="s">
        <v>794</v>
      </c>
      <c r="VOE138" s="26">
        <v>4</v>
      </c>
      <c r="VOF138" s="26" t="s">
        <v>794</v>
      </c>
      <c r="VOG138" s="26">
        <v>4</v>
      </c>
      <c r="VOH138" s="26" t="s">
        <v>794</v>
      </c>
      <c r="VOI138" s="26">
        <v>4</v>
      </c>
      <c r="VOJ138" s="26" t="s">
        <v>794</v>
      </c>
      <c r="VOK138" s="26">
        <v>4</v>
      </c>
      <c r="VOL138" s="26" t="s">
        <v>794</v>
      </c>
      <c r="VOM138" s="26">
        <v>4</v>
      </c>
      <c r="VON138" s="26" t="s">
        <v>794</v>
      </c>
      <c r="VOO138" s="26">
        <v>4</v>
      </c>
      <c r="VOP138" s="26" t="s">
        <v>794</v>
      </c>
      <c r="VOQ138" s="26">
        <v>4</v>
      </c>
      <c r="VOR138" s="26" t="s">
        <v>794</v>
      </c>
      <c r="VOS138" s="26">
        <v>4</v>
      </c>
      <c r="VOT138" s="26" t="s">
        <v>794</v>
      </c>
      <c r="VOU138" s="26">
        <v>4</v>
      </c>
      <c r="VOV138" s="26" t="s">
        <v>794</v>
      </c>
      <c r="VOW138" s="26">
        <v>4</v>
      </c>
      <c r="VOX138" s="26" t="s">
        <v>794</v>
      </c>
      <c r="VOY138" s="26">
        <v>4</v>
      </c>
      <c r="VOZ138" s="26" t="s">
        <v>794</v>
      </c>
      <c r="VPA138" s="26">
        <v>4</v>
      </c>
      <c r="VPB138" s="26" t="s">
        <v>794</v>
      </c>
      <c r="VPC138" s="26">
        <v>4</v>
      </c>
      <c r="VPD138" s="26" t="s">
        <v>794</v>
      </c>
      <c r="VPE138" s="26">
        <v>4</v>
      </c>
      <c r="VPF138" s="26" t="s">
        <v>794</v>
      </c>
      <c r="VPG138" s="26">
        <v>4</v>
      </c>
      <c r="VPH138" s="26" t="s">
        <v>794</v>
      </c>
      <c r="VPI138" s="26">
        <v>4</v>
      </c>
      <c r="VPJ138" s="26" t="s">
        <v>794</v>
      </c>
      <c r="VPK138" s="26">
        <v>4</v>
      </c>
      <c r="VPL138" s="26" t="s">
        <v>794</v>
      </c>
      <c r="VPM138" s="26">
        <v>4</v>
      </c>
      <c r="VPN138" s="26" t="s">
        <v>794</v>
      </c>
      <c r="VPO138" s="26">
        <v>4</v>
      </c>
      <c r="VPP138" s="26" t="s">
        <v>794</v>
      </c>
      <c r="VPQ138" s="26">
        <v>4</v>
      </c>
      <c r="VPR138" s="26" t="s">
        <v>794</v>
      </c>
      <c r="VPS138" s="26">
        <v>4</v>
      </c>
      <c r="VPT138" s="26" t="s">
        <v>794</v>
      </c>
      <c r="VPU138" s="26">
        <v>4</v>
      </c>
      <c r="VPV138" s="26" t="s">
        <v>794</v>
      </c>
      <c r="VPW138" s="26">
        <v>4</v>
      </c>
      <c r="VPX138" s="26" t="s">
        <v>794</v>
      </c>
      <c r="VPY138" s="26">
        <v>4</v>
      </c>
      <c r="VPZ138" s="26" t="s">
        <v>794</v>
      </c>
      <c r="VQA138" s="26">
        <v>4</v>
      </c>
      <c r="VQB138" s="26" t="s">
        <v>794</v>
      </c>
      <c r="VQC138" s="26">
        <v>4</v>
      </c>
      <c r="VQD138" s="26" t="s">
        <v>794</v>
      </c>
      <c r="VQE138" s="26">
        <v>4</v>
      </c>
      <c r="VQF138" s="26" t="s">
        <v>794</v>
      </c>
      <c r="VQG138" s="26">
        <v>4</v>
      </c>
      <c r="VQH138" s="26" t="s">
        <v>794</v>
      </c>
      <c r="VQI138" s="26">
        <v>4</v>
      </c>
      <c r="VQJ138" s="26" t="s">
        <v>794</v>
      </c>
      <c r="VQK138" s="26">
        <v>4</v>
      </c>
      <c r="VQL138" s="26" t="s">
        <v>794</v>
      </c>
      <c r="VQM138" s="26">
        <v>4</v>
      </c>
      <c r="VQN138" s="26" t="s">
        <v>794</v>
      </c>
      <c r="VQO138" s="26">
        <v>4</v>
      </c>
      <c r="VQP138" s="26" t="s">
        <v>794</v>
      </c>
      <c r="VQQ138" s="26">
        <v>4</v>
      </c>
      <c r="VQR138" s="26" t="s">
        <v>794</v>
      </c>
      <c r="VQS138" s="26">
        <v>4</v>
      </c>
      <c r="VQT138" s="26" t="s">
        <v>794</v>
      </c>
      <c r="VQU138" s="26">
        <v>4</v>
      </c>
      <c r="VQV138" s="26" t="s">
        <v>794</v>
      </c>
      <c r="VQW138" s="26">
        <v>4</v>
      </c>
      <c r="VQX138" s="26" t="s">
        <v>794</v>
      </c>
      <c r="VQY138" s="26">
        <v>4</v>
      </c>
      <c r="VQZ138" s="26" t="s">
        <v>794</v>
      </c>
      <c r="VRA138" s="26">
        <v>4</v>
      </c>
      <c r="VRB138" s="26" t="s">
        <v>794</v>
      </c>
      <c r="VRC138" s="26">
        <v>4</v>
      </c>
      <c r="VRD138" s="26" t="s">
        <v>794</v>
      </c>
      <c r="VRE138" s="26">
        <v>4</v>
      </c>
      <c r="VRF138" s="26" t="s">
        <v>794</v>
      </c>
      <c r="VRG138" s="26">
        <v>4</v>
      </c>
      <c r="VRH138" s="26" t="s">
        <v>794</v>
      </c>
      <c r="VRI138" s="26">
        <v>4</v>
      </c>
      <c r="VRJ138" s="26" t="s">
        <v>794</v>
      </c>
      <c r="VRK138" s="26">
        <v>4</v>
      </c>
      <c r="VRL138" s="26" t="s">
        <v>794</v>
      </c>
      <c r="VRM138" s="26">
        <v>4</v>
      </c>
      <c r="VRN138" s="26" t="s">
        <v>794</v>
      </c>
      <c r="VRO138" s="26">
        <v>4</v>
      </c>
      <c r="VRP138" s="26" t="s">
        <v>794</v>
      </c>
      <c r="VRQ138" s="26">
        <v>4</v>
      </c>
      <c r="VRR138" s="26" t="s">
        <v>794</v>
      </c>
      <c r="VRS138" s="26">
        <v>4</v>
      </c>
      <c r="VRT138" s="26" t="s">
        <v>794</v>
      </c>
      <c r="VRU138" s="26">
        <v>4</v>
      </c>
      <c r="VRV138" s="26" t="s">
        <v>794</v>
      </c>
      <c r="VRW138" s="26">
        <v>4</v>
      </c>
      <c r="VRX138" s="26" t="s">
        <v>794</v>
      </c>
      <c r="VRY138" s="26">
        <v>4</v>
      </c>
      <c r="VRZ138" s="26" t="s">
        <v>794</v>
      </c>
      <c r="VSA138" s="26">
        <v>4</v>
      </c>
      <c r="VSB138" s="26" t="s">
        <v>794</v>
      </c>
      <c r="VSC138" s="26">
        <v>4</v>
      </c>
      <c r="VSD138" s="26" t="s">
        <v>794</v>
      </c>
      <c r="VSE138" s="26">
        <v>4</v>
      </c>
      <c r="VSF138" s="26" t="s">
        <v>794</v>
      </c>
      <c r="VSG138" s="26">
        <v>4</v>
      </c>
      <c r="VSH138" s="26" t="s">
        <v>794</v>
      </c>
      <c r="VSI138" s="26">
        <v>4</v>
      </c>
      <c r="VSJ138" s="26" t="s">
        <v>794</v>
      </c>
      <c r="VSK138" s="26">
        <v>4</v>
      </c>
      <c r="VSL138" s="26" t="s">
        <v>794</v>
      </c>
      <c r="VSM138" s="26">
        <v>4</v>
      </c>
      <c r="VSN138" s="26" t="s">
        <v>794</v>
      </c>
      <c r="VSO138" s="26">
        <v>4</v>
      </c>
      <c r="VSP138" s="26" t="s">
        <v>794</v>
      </c>
      <c r="VSQ138" s="26">
        <v>4</v>
      </c>
      <c r="VSR138" s="26" t="s">
        <v>794</v>
      </c>
      <c r="VSS138" s="26">
        <v>4</v>
      </c>
      <c r="VST138" s="26" t="s">
        <v>794</v>
      </c>
      <c r="VSU138" s="26">
        <v>4</v>
      </c>
      <c r="VSV138" s="26" t="s">
        <v>794</v>
      </c>
      <c r="VSW138" s="26">
        <v>4</v>
      </c>
      <c r="VSX138" s="26" t="s">
        <v>794</v>
      </c>
      <c r="VSY138" s="26">
        <v>4</v>
      </c>
      <c r="VSZ138" s="26" t="s">
        <v>794</v>
      </c>
      <c r="VTA138" s="26">
        <v>4</v>
      </c>
      <c r="VTB138" s="26" t="s">
        <v>794</v>
      </c>
      <c r="VTC138" s="26">
        <v>4</v>
      </c>
      <c r="VTD138" s="26" t="s">
        <v>794</v>
      </c>
      <c r="VTE138" s="26">
        <v>4</v>
      </c>
      <c r="VTF138" s="26" t="s">
        <v>794</v>
      </c>
      <c r="VTG138" s="26">
        <v>4</v>
      </c>
      <c r="VTH138" s="26" t="s">
        <v>794</v>
      </c>
      <c r="VTI138" s="26">
        <v>4</v>
      </c>
      <c r="VTJ138" s="26" t="s">
        <v>794</v>
      </c>
      <c r="VTK138" s="26">
        <v>4</v>
      </c>
      <c r="VTL138" s="26" t="s">
        <v>794</v>
      </c>
      <c r="VTM138" s="26">
        <v>4</v>
      </c>
      <c r="VTN138" s="26" t="s">
        <v>794</v>
      </c>
      <c r="VTO138" s="26">
        <v>4</v>
      </c>
      <c r="VTP138" s="26" t="s">
        <v>794</v>
      </c>
      <c r="VTQ138" s="26">
        <v>4</v>
      </c>
      <c r="VTR138" s="26" t="s">
        <v>794</v>
      </c>
      <c r="VTS138" s="26">
        <v>4</v>
      </c>
      <c r="VTT138" s="26" t="s">
        <v>794</v>
      </c>
      <c r="VTU138" s="26">
        <v>4</v>
      </c>
      <c r="VTV138" s="26" t="s">
        <v>794</v>
      </c>
      <c r="VTW138" s="26">
        <v>4</v>
      </c>
      <c r="VTX138" s="26" t="s">
        <v>794</v>
      </c>
      <c r="VTY138" s="26">
        <v>4</v>
      </c>
      <c r="VTZ138" s="26" t="s">
        <v>794</v>
      </c>
      <c r="VUA138" s="26">
        <v>4</v>
      </c>
      <c r="VUB138" s="26" t="s">
        <v>794</v>
      </c>
      <c r="VUC138" s="26">
        <v>4</v>
      </c>
      <c r="VUD138" s="26" t="s">
        <v>794</v>
      </c>
      <c r="VUE138" s="26">
        <v>4</v>
      </c>
      <c r="VUF138" s="26" t="s">
        <v>794</v>
      </c>
      <c r="VUG138" s="26">
        <v>4</v>
      </c>
      <c r="VUH138" s="26" t="s">
        <v>794</v>
      </c>
      <c r="VUI138" s="26">
        <v>4</v>
      </c>
      <c r="VUJ138" s="26" t="s">
        <v>794</v>
      </c>
      <c r="VUK138" s="26">
        <v>4</v>
      </c>
      <c r="VUL138" s="26" t="s">
        <v>794</v>
      </c>
      <c r="VUM138" s="26">
        <v>4</v>
      </c>
      <c r="VUN138" s="26" t="s">
        <v>794</v>
      </c>
      <c r="VUO138" s="26">
        <v>4</v>
      </c>
      <c r="VUP138" s="26" t="s">
        <v>794</v>
      </c>
      <c r="VUQ138" s="26">
        <v>4</v>
      </c>
      <c r="VUR138" s="26" t="s">
        <v>794</v>
      </c>
      <c r="VUS138" s="26">
        <v>4</v>
      </c>
      <c r="VUT138" s="26" t="s">
        <v>794</v>
      </c>
      <c r="VUU138" s="26">
        <v>4</v>
      </c>
      <c r="VUV138" s="26" t="s">
        <v>794</v>
      </c>
      <c r="VUW138" s="26">
        <v>4</v>
      </c>
      <c r="VUX138" s="26" t="s">
        <v>794</v>
      </c>
      <c r="VUY138" s="26">
        <v>4</v>
      </c>
      <c r="VUZ138" s="26" t="s">
        <v>794</v>
      </c>
      <c r="VVA138" s="26">
        <v>4</v>
      </c>
      <c r="VVB138" s="26" t="s">
        <v>794</v>
      </c>
      <c r="VVC138" s="26">
        <v>4</v>
      </c>
      <c r="VVD138" s="26" t="s">
        <v>794</v>
      </c>
      <c r="VVE138" s="26">
        <v>4</v>
      </c>
      <c r="VVF138" s="26" t="s">
        <v>794</v>
      </c>
      <c r="VVG138" s="26">
        <v>4</v>
      </c>
      <c r="VVH138" s="26" t="s">
        <v>794</v>
      </c>
      <c r="VVI138" s="26">
        <v>4</v>
      </c>
      <c r="VVJ138" s="26" t="s">
        <v>794</v>
      </c>
      <c r="VVK138" s="26">
        <v>4</v>
      </c>
      <c r="VVL138" s="26" t="s">
        <v>794</v>
      </c>
      <c r="VVM138" s="26">
        <v>4</v>
      </c>
      <c r="VVN138" s="26" t="s">
        <v>794</v>
      </c>
      <c r="VVO138" s="26">
        <v>4</v>
      </c>
      <c r="VVP138" s="26" t="s">
        <v>794</v>
      </c>
      <c r="VVQ138" s="26">
        <v>4</v>
      </c>
      <c r="VVR138" s="26" t="s">
        <v>794</v>
      </c>
      <c r="VVS138" s="26">
        <v>4</v>
      </c>
      <c r="VVT138" s="26" t="s">
        <v>794</v>
      </c>
      <c r="VVU138" s="26">
        <v>4</v>
      </c>
      <c r="VVV138" s="26" t="s">
        <v>794</v>
      </c>
      <c r="VVW138" s="26">
        <v>4</v>
      </c>
      <c r="VVX138" s="26" t="s">
        <v>794</v>
      </c>
      <c r="VVY138" s="26">
        <v>4</v>
      </c>
      <c r="VVZ138" s="26" t="s">
        <v>794</v>
      </c>
      <c r="VWA138" s="26">
        <v>4</v>
      </c>
      <c r="VWB138" s="26" t="s">
        <v>794</v>
      </c>
      <c r="VWC138" s="26">
        <v>4</v>
      </c>
      <c r="VWD138" s="26" t="s">
        <v>794</v>
      </c>
      <c r="VWE138" s="26">
        <v>4</v>
      </c>
      <c r="VWF138" s="26" t="s">
        <v>794</v>
      </c>
      <c r="VWG138" s="26">
        <v>4</v>
      </c>
      <c r="VWH138" s="26" t="s">
        <v>794</v>
      </c>
      <c r="VWI138" s="26">
        <v>4</v>
      </c>
      <c r="VWJ138" s="26" t="s">
        <v>794</v>
      </c>
      <c r="VWK138" s="26">
        <v>4</v>
      </c>
      <c r="VWL138" s="26" t="s">
        <v>794</v>
      </c>
      <c r="VWM138" s="26">
        <v>4</v>
      </c>
      <c r="VWN138" s="26" t="s">
        <v>794</v>
      </c>
      <c r="VWO138" s="26">
        <v>4</v>
      </c>
      <c r="VWP138" s="26" t="s">
        <v>794</v>
      </c>
      <c r="VWQ138" s="26">
        <v>4</v>
      </c>
      <c r="VWR138" s="26" t="s">
        <v>794</v>
      </c>
      <c r="VWS138" s="26">
        <v>4</v>
      </c>
      <c r="VWT138" s="26" t="s">
        <v>794</v>
      </c>
      <c r="VWU138" s="26">
        <v>4</v>
      </c>
      <c r="VWV138" s="26" t="s">
        <v>794</v>
      </c>
      <c r="VWW138" s="26">
        <v>4</v>
      </c>
      <c r="VWX138" s="26" t="s">
        <v>794</v>
      </c>
      <c r="VWY138" s="26">
        <v>4</v>
      </c>
      <c r="VWZ138" s="26" t="s">
        <v>794</v>
      </c>
      <c r="VXA138" s="26">
        <v>4</v>
      </c>
      <c r="VXB138" s="26" t="s">
        <v>794</v>
      </c>
      <c r="VXC138" s="26">
        <v>4</v>
      </c>
      <c r="VXD138" s="26" t="s">
        <v>794</v>
      </c>
      <c r="VXE138" s="26">
        <v>4</v>
      </c>
      <c r="VXF138" s="26" t="s">
        <v>794</v>
      </c>
      <c r="VXG138" s="26">
        <v>4</v>
      </c>
      <c r="VXH138" s="26" t="s">
        <v>794</v>
      </c>
      <c r="VXI138" s="26">
        <v>4</v>
      </c>
      <c r="VXJ138" s="26" t="s">
        <v>794</v>
      </c>
      <c r="VXK138" s="26">
        <v>4</v>
      </c>
      <c r="VXL138" s="26" t="s">
        <v>794</v>
      </c>
      <c r="VXM138" s="26">
        <v>4</v>
      </c>
      <c r="VXN138" s="26" t="s">
        <v>794</v>
      </c>
      <c r="VXO138" s="26">
        <v>4</v>
      </c>
      <c r="VXP138" s="26" t="s">
        <v>794</v>
      </c>
      <c r="VXQ138" s="26">
        <v>4</v>
      </c>
      <c r="VXR138" s="26" t="s">
        <v>794</v>
      </c>
      <c r="VXS138" s="26">
        <v>4</v>
      </c>
      <c r="VXT138" s="26" t="s">
        <v>794</v>
      </c>
      <c r="VXU138" s="26">
        <v>4</v>
      </c>
      <c r="VXV138" s="26" t="s">
        <v>794</v>
      </c>
      <c r="VXW138" s="26">
        <v>4</v>
      </c>
      <c r="VXX138" s="26" t="s">
        <v>794</v>
      </c>
      <c r="VXY138" s="26">
        <v>4</v>
      </c>
      <c r="VXZ138" s="26" t="s">
        <v>794</v>
      </c>
      <c r="VYA138" s="26">
        <v>4</v>
      </c>
      <c r="VYB138" s="26" t="s">
        <v>794</v>
      </c>
      <c r="VYC138" s="26">
        <v>4</v>
      </c>
      <c r="VYD138" s="26" t="s">
        <v>794</v>
      </c>
      <c r="VYE138" s="26">
        <v>4</v>
      </c>
      <c r="VYF138" s="26" t="s">
        <v>794</v>
      </c>
      <c r="VYG138" s="26">
        <v>4</v>
      </c>
      <c r="VYH138" s="26" t="s">
        <v>794</v>
      </c>
      <c r="VYI138" s="26">
        <v>4</v>
      </c>
      <c r="VYJ138" s="26" t="s">
        <v>794</v>
      </c>
      <c r="VYK138" s="26">
        <v>4</v>
      </c>
      <c r="VYL138" s="26" t="s">
        <v>794</v>
      </c>
      <c r="VYM138" s="26">
        <v>4</v>
      </c>
      <c r="VYN138" s="26" t="s">
        <v>794</v>
      </c>
      <c r="VYO138" s="26">
        <v>4</v>
      </c>
      <c r="VYP138" s="26" t="s">
        <v>794</v>
      </c>
      <c r="VYQ138" s="26">
        <v>4</v>
      </c>
      <c r="VYR138" s="26" t="s">
        <v>794</v>
      </c>
      <c r="VYS138" s="26">
        <v>4</v>
      </c>
      <c r="VYT138" s="26" t="s">
        <v>794</v>
      </c>
      <c r="VYU138" s="26">
        <v>4</v>
      </c>
      <c r="VYV138" s="26" t="s">
        <v>794</v>
      </c>
      <c r="VYW138" s="26">
        <v>4</v>
      </c>
      <c r="VYX138" s="26" t="s">
        <v>794</v>
      </c>
      <c r="VYY138" s="26">
        <v>4</v>
      </c>
      <c r="VYZ138" s="26" t="s">
        <v>794</v>
      </c>
      <c r="VZA138" s="26">
        <v>4</v>
      </c>
      <c r="VZB138" s="26" t="s">
        <v>794</v>
      </c>
      <c r="VZC138" s="26">
        <v>4</v>
      </c>
      <c r="VZD138" s="26" t="s">
        <v>794</v>
      </c>
      <c r="VZE138" s="26">
        <v>4</v>
      </c>
      <c r="VZF138" s="26" t="s">
        <v>794</v>
      </c>
      <c r="VZG138" s="26">
        <v>4</v>
      </c>
      <c r="VZH138" s="26" t="s">
        <v>794</v>
      </c>
      <c r="VZI138" s="26">
        <v>4</v>
      </c>
      <c r="VZJ138" s="26" t="s">
        <v>794</v>
      </c>
      <c r="VZK138" s="26">
        <v>4</v>
      </c>
      <c r="VZL138" s="26" t="s">
        <v>794</v>
      </c>
      <c r="VZM138" s="26">
        <v>4</v>
      </c>
      <c r="VZN138" s="26" t="s">
        <v>794</v>
      </c>
      <c r="VZO138" s="26">
        <v>4</v>
      </c>
      <c r="VZP138" s="26" t="s">
        <v>794</v>
      </c>
      <c r="VZQ138" s="26">
        <v>4</v>
      </c>
      <c r="VZR138" s="26" t="s">
        <v>794</v>
      </c>
      <c r="VZS138" s="26">
        <v>4</v>
      </c>
      <c r="VZT138" s="26" t="s">
        <v>794</v>
      </c>
      <c r="VZU138" s="26">
        <v>4</v>
      </c>
      <c r="VZV138" s="26" t="s">
        <v>794</v>
      </c>
      <c r="VZW138" s="26">
        <v>4</v>
      </c>
      <c r="VZX138" s="26" t="s">
        <v>794</v>
      </c>
      <c r="VZY138" s="26">
        <v>4</v>
      </c>
      <c r="VZZ138" s="26" t="s">
        <v>794</v>
      </c>
      <c r="WAA138" s="26">
        <v>4</v>
      </c>
      <c r="WAB138" s="26" t="s">
        <v>794</v>
      </c>
      <c r="WAC138" s="26">
        <v>4</v>
      </c>
      <c r="WAD138" s="26" t="s">
        <v>794</v>
      </c>
      <c r="WAE138" s="26">
        <v>4</v>
      </c>
      <c r="WAF138" s="26" t="s">
        <v>794</v>
      </c>
      <c r="WAG138" s="26">
        <v>4</v>
      </c>
      <c r="WAH138" s="26" t="s">
        <v>794</v>
      </c>
      <c r="WAI138" s="26">
        <v>4</v>
      </c>
      <c r="WAJ138" s="26" t="s">
        <v>794</v>
      </c>
      <c r="WAK138" s="26">
        <v>4</v>
      </c>
      <c r="WAL138" s="26" t="s">
        <v>794</v>
      </c>
      <c r="WAM138" s="26">
        <v>4</v>
      </c>
      <c r="WAN138" s="26" t="s">
        <v>794</v>
      </c>
      <c r="WAO138" s="26">
        <v>4</v>
      </c>
      <c r="WAP138" s="26" t="s">
        <v>794</v>
      </c>
      <c r="WAQ138" s="26">
        <v>4</v>
      </c>
      <c r="WAR138" s="26" t="s">
        <v>794</v>
      </c>
      <c r="WAS138" s="26">
        <v>4</v>
      </c>
      <c r="WAT138" s="26" t="s">
        <v>794</v>
      </c>
      <c r="WAU138" s="26">
        <v>4</v>
      </c>
      <c r="WAV138" s="26" t="s">
        <v>794</v>
      </c>
      <c r="WAW138" s="26">
        <v>4</v>
      </c>
      <c r="WAX138" s="26" t="s">
        <v>794</v>
      </c>
      <c r="WAY138" s="26">
        <v>4</v>
      </c>
      <c r="WAZ138" s="26" t="s">
        <v>794</v>
      </c>
      <c r="WBA138" s="26">
        <v>4</v>
      </c>
      <c r="WBB138" s="26" t="s">
        <v>794</v>
      </c>
      <c r="WBC138" s="26">
        <v>4</v>
      </c>
      <c r="WBD138" s="26" t="s">
        <v>794</v>
      </c>
      <c r="WBE138" s="26">
        <v>4</v>
      </c>
      <c r="WBF138" s="26" t="s">
        <v>794</v>
      </c>
      <c r="WBG138" s="26">
        <v>4</v>
      </c>
      <c r="WBH138" s="26" t="s">
        <v>794</v>
      </c>
      <c r="WBI138" s="26">
        <v>4</v>
      </c>
      <c r="WBJ138" s="26" t="s">
        <v>794</v>
      </c>
      <c r="WBK138" s="26">
        <v>4</v>
      </c>
      <c r="WBL138" s="26" t="s">
        <v>794</v>
      </c>
      <c r="WBM138" s="26">
        <v>4</v>
      </c>
      <c r="WBN138" s="26" t="s">
        <v>794</v>
      </c>
      <c r="WBO138" s="26">
        <v>4</v>
      </c>
      <c r="WBP138" s="26" t="s">
        <v>794</v>
      </c>
      <c r="WBQ138" s="26">
        <v>4</v>
      </c>
      <c r="WBR138" s="26" t="s">
        <v>794</v>
      </c>
      <c r="WBS138" s="26">
        <v>4</v>
      </c>
      <c r="WBT138" s="26" t="s">
        <v>794</v>
      </c>
      <c r="WBU138" s="26">
        <v>4</v>
      </c>
      <c r="WBV138" s="26" t="s">
        <v>794</v>
      </c>
      <c r="WBW138" s="26">
        <v>4</v>
      </c>
      <c r="WBX138" s="26" t="s">
        <v>794</v>
      </c>
      <c r="WBY138" s="26">
        <v>4</v>
      </c>
      <c r="WBZ138" s="26" t="s">
        <v>794</v>
      </c>
      <c r="WCA138" s="26">
        <v>4</v>
      </c>
      <c r="WCB138" s="26" t="s">
        <v>794</v>
      </c>
      <c r="WCC138" s="26">
        <v>4</v>
      </c>
      <c r="WCD138" s="26" t="s">
        <v>794</v>
      </c>
      <c r="WCE138" s="26">
        <v>4</v>
      </c>
      <c r="WCF138" s="26" t="s">
        <v>794</v>
      </c>
      <c r="WCG138" s="26">
        <v>4</v>
      </c>
      <c r="WCH138" s="26" t="s">
        <v>794</v>
      </c>
      <c r="WCI138" s="26">
        <v>4</v>
      </c>
      <c r="WCJ138" s="26" t="s">
        <v>794</v>
      </c>
      <c r="WCK138" s="26">
        <v>4</v>
      </c>
      <c r="WCL138" s="26" t="s">
        <v>794</v>
      </c>
      <c r="WCM138" s="26">
        <v>4</v>
      </c>
      <c r="WCN138" s="26" t="s">
        <v>794</v>
      </c>
      <c r="WCO138" s="26">
        <v>4</v>
      </c>
      <c r="WCP138" s="26" t="s">
        <v>794</v>
      </c>
      <c r="WCQ138" s="26">
        <v>4</v>
      </c>
      <c r="WCR138" s="26" t="s">
        <v>794</v>
      </c>
      <c r="WCS138" s="26">
        <v>4</v>
      </c>
      <c r="WCT138" s="26" t="s">
        <v>794</v>
      </c>
      <c r="WCU138" s="26">
        <v>4</v>
      </c>
      <c r="WCV138" s="26" t="s">
        <v>794</v>
      </c>
      <c r="WCW138" s="26">
        <v>4</v>
      </c>
      <c r="WCX138" s="26" t="s">
        <v>794</v>
      </c>
      <c r="WCY138" s="26">
        <v>4</v>
      </c>
      <c r="WCZ138" s="26" t="s">
        <v>794</v>
      </c>
      <c r="WDA138" s="26">
        <v>4</v>
      </c>
      <c r="WDB138" s="26" t="s">
        <v>794</v>
      </c>
      <c r="WDC138" s="26">
        <v>4</v>
      </c>
      <c r="WDD138" s="26" t="s">
        <v>794</v>
      </c>
      <c r="WDE138" s="26">
        <v>4</v>
      </c>
      <c r="WDF138" s="26" t="s">
        <v>794</v>
      </c>
      <c r="WDG138" s="26">
        <v>4</v>
      </c>
      <c r="WDH138" s="26" t="s">
        <v>794</v>
      </c>
      <c r="WDI138" s="26">
        <v>4</v>
      </c>
      <c r="WDJ138" s="26" t="s">
        <v>794</v>
      </c>
      <c r="WDK138" s="26">
        <v>4</v>
      </c>
      <c r="WDL138" s="26" t="s">
        <v>794</v>
      </c>
      <c r="WDM138" s="26">
        <v>4</v>
      </c>
      <c r="WDN138" s="26" t="s">
        <v>794</v>
      </c>
      <c r="WDO138" s="26">
        <v>4</v>
      </c>
      <c r="WDP138" s="26" t="s">
        <v>794</v>
      </c>
      <c r="WDQ138" s="26">
        <v>4</v>
      </c>
      <c r="WDR138" s="26" t="s">
        <v>794</v>
      </c>
      <c r="WDS138" s="26">
        <v>4</v>
      </c>
      <c r="WDT138" s="26" t="s">
        <v>794</v>
      </c>
      <c r="WDU138" s="26">
        <v>4</v>
      </c>
      <c r="WDV138" s="26" t="s">
        <v>794</v>
      </c>
      <c r="WDW138" s="26">
        <v>4</v>
      </c>
      <c r="WDX138" s="26" t="s">
        <v>794</v>
      </c>
      <c r="WDY138" s="26">
        <v>4</v>
      </c>
      <c r="WDZ138" s="26" t="s">
        <v>794</v>
      </c>
      <c r="WEA138" s="26">
        <v>4</v>
      </c>
      <c r="WEB138" s="26" t="s">
        <v>794</v>
      </c>
      <c r="WEC138" s="26">
        <v>4</v>
      </c>
      <c r="WED138" s="26" t="s">
        <v>794</v>
      </c>
      <c r="WEE138" s="26">
        <v>4</v>
      </c>
      <c r="WEF138" s="26" t="s">
        <v>794</v>
      </c>
      <c r="WEG138" s="26">
        <v>4</v>
      </c>
      <c r="WEH138" s="26" t="s">
        <v>794</v>
      </c>
      <c r="WEI138" s="26">
        <v>4</v>
      </c>
      <c r="WEJ138" s="26" t="s">
        <v>794</v>
      </c>
      <c r="WEK138" s="26">
        <v>4</v>
      </c>
      <c r="WEL138" s="26" t="s">
        <v>794</v>
      </c>
      <c r="WEM138" s="26">
        <v>4</v>
      </c>
      <c r="WEN138" s="26" t="s">
        <v>794</v>
      </c>
      <c r="WEO138" s="26">
        <v>4</v>
      </c>
      <c r="WEP138" s="26" t="s">
        <v>794</v>
      </c>
      <c r="WEQ138" s="26">
        <v>4</v>
      </c>
      <c r="WER138" s="26" t="s">
        <v>794</v>
      </c>
      <c r="WES138" s="26">
        <v>4</v>
      </c>
      <c r="WET138" s="26" t="s">
        <v>794</v>
      </c>
      <c r="WEU138" s="26">
        <v>4</v>
      </c>
      <c r="WEV138" s="26" t="s">
        <v>794</v>
      </c>
      <c r="WEW138" s="26">
        <v>4</v>
      </c>
      <c r="WEX138" s="26" t="s">
        <v>794</v>
      </c>
      <c r="WEY138" s="26">
        <v>4</v>
      </c>
      <c r="WEZ138" s="26" t="s">
        <v>794</v>
      </c>
      <c r="WFA138" s="26">
        <v>4</v>
      </c>
      <c r="WFB138" s="26" t="s">
        <v>794</v>
      </c>
      <c r="WFC138" s="26">
        <v>4</v>
      </c>
      <c r="WFD138" s="26" t="s">
        <v>794</v>
      </c>
      <c r="WFE138" s="26">
        <v>4</v>
      </c>
      <c r="WFF138" s="26" t="s">
        <v>794</v>
      </c>
      <c r="WFG138" s="26">
        <v>4</v>
      </c>
      <c r="WFH138" s="26" t="s">
        <v>794</v>
      </c>
      <c r="WFI138" s="26">
        <v>4</v>
      </c>
      <c r="WFJ138" s="26" t="s">
        <v>794</v>
      </c>
      <c r="WFK138" s="26">
        <v>4</v>
      </c>
      <c r="WFL138" s="26" t="s">
        <v>794</v>
      </c>
      <c r="WFM138" s="26">
        <v>4</v>
      </c>
      <c r="WFN138" s="26" t="s">
        <v>794</v>
      </c>
      <c r="WFO138" s="26">
        <v>4</v>
      </c>
      <c r="WFP138" s="26" t="s">
        <v>794</v>
      </c>
      <c r="WFQ138" s="26">
        <v>4</v>
      </c>
      <c r="WFR138" s="26" t="s">
        <v>794</v>
      </c>
      <c r="WFS138" s="26">
        <v>4</v>
      </c>
      <c r="WFT138" s="26" t="s">
        <v>794</v>
      </c>
      <c r="WFU138" s="26">
        <v>4</v>
      </c>
      <c r="WFV138" s="26" t="s">
        <v>794</v>
      </c>
      <c r="WFW138" s="26">
        <v>4</v>
      </c>
      <c r="WFX138" s="26" t="s">
        <v>794</v>
      </c>
      <c r="WFY138" s="26">
        <v>4</v>
      </c>
      <c r="WFZ138" s="26" t="s">
        <v>794</v>
      </c>
      <c r="WGA138" s="26">
        <v>4</v>
      </c>
      <c r="WGB138" s="26" t="s">
        <v>794</v>
      </c>
      <c r="WGC138" s="26">
        <v>4</v>
      </c>
      <c r="WGD138" s="26" t="s">
        <v>794</v>
      </c>
      <c r="WGE138" s="26">
        <v>4</v>
      </c>
      <c r="WGF138" s="26" t="s">
        <v>794</v>
      </c>
      <c r="WGG138" s="26">
        <v>4</v>
      </c>
      <c r="WGH138" s="26" t="s">
        <v>794</v>
      </c>
      <c r="WGI138" s="26">
        <v>4</v>
      </c>
      <c r="WGJ138" s="26" t="s">
        <v>794</v>
      </c>
      <c r="WGK138" s="26">
        <v>4</v>
      </c>
      <c r="WGL138" s="26" t="s">
        <v>794</v>
      </c>
      <c r="WGM138" s="26">
        <v>4</v>
      </c>
      <c r="WGN138" s="26" t="s">
        <v>794</v>
      </c>
      <c r="WGO138" s="26">
        <v>4</v>
      </c>
      <c r="WGP138" s="26" t="s">
        <v>794</v>
      </c>
      <c r="WGQ138" s="26">
        <v>4</v>
      </c>
      <c r="WGR138" s="26" t="s">
        <v>794</v>
      </c>
      <c r="WGS138" s="26">
        <v>4</v>
      </c>
      <c r="WGT138" s="26" t="s">
        <v>794</v>
      </c>
      <c r="WGU138" s="26">
        <v>4</v>
      </c>
      <c r="WGV138" s="26" t="s">
        <v>794</v>
      </c>
      <c r="WGW138" s="26">
        <v>4</v>
      </c>
      <c r="WGX138" s="26" t="s">
        <v>794</v>
      </c>
      <c r="WGY138" s="26">
        <v>4</v>
      </c>
      <c r="WGZ138" s="26" t="s">
        <v>794</v>
      </c>
      <c r="WHA138" s="26">
        <v>4</v>
      </c>
      <c r="WHB138" s="26" t="s">
        <v>794</v>
      </c>
      <c r="WHC138" s="26">
        <v>4</v>
      </c>
      <c r="WHD138" s="26" t="s">
        <v>794</v>
      </c>
      <c r="WHE138" s="26">
        <v>4</v>
      </c>
      <c r="WHF138" s="26" t="s">
        <v>794</v>
      </c>
      <c r="WHG138" s="26">
        <v>4</v>
      </c>
      <c r="WHH138" s="26" t="s">
        <v>794</v>
      </c>
      <c r="WHI138" s="26">
        <v>4</v>
      </c>
      <c r="WHJ138" s="26" t="s">
        <v>794</v>
      </c>
      <c r="WHK138" s="26">
        <v>4</v>
      </c>
      <c r="WHL138" s="26" t="s">
        <v>794</v>
      </c>
      <c r="WHM138" s="26">
        <v>4</v>
      </c>
      <c r="WHN138" s="26" t="s">
        <v>794</v>
      </c>
      <c r="WHO138" s="26">
        <v>4</v>
      </c>
      <c r="WHP138" s="26" t="s">
        <v>794</v>
      </c>
      <c r="WHQ138" s="26">
        <v>4</v>
      </c>
      <c r="WHR138" s="26" t="s">
        <v>794</v>
      </c>
      <c r="WHS138" s="26">
        <v>4</v>
      </c>
      <c r="WHT138" s="26" t="s">
        <v>794</v>
      </c>
      <c r="WHU138" s="26">
        <v>4</v>
      </c>
      <c r="WHV138" s="26" t="s">
        <v>794</v>
      </c>
      <c r="WHW138" s="26">
        <v>4</v>
      </c>
      <c r="WHX138" s="26" t="s">
        <v>794</v>
      </c>
      <c r="WHY138" s="26">
        <v>4</v>
      </c>
      <c r="WHZ138" s="26" t="s">
        <v>794</v>
      </c>
      <c r="WIA138" s="26">
        <v>4</v>
      </c>
      <c r="WIB138" s="26" t="s">
        <v>794</v>
      </c>
      <c r="WIC138" s="26">
        <v>4</v>
      </c>
      <c r="WID138" s="26" t="s">
        <v>794</v>
      </c>
      <c r="WIE138" s="26">
        <v>4</v>
      </c>
      <c r="WIF138" s="26" t="s">
        <v>794</v>
      </c>
      <c r="WIG138" s="26">
        <v>4</v>
      </c>
      <c r="WIH138" s="26" t="s">
        <v>794</v>
      </c>
      <c r="WII138" s="26">
        <v>4</v>
      </c>
      <c r="WIJ138" s="26" t="s">
        <v>794</v>
      </c>
      <c r="WIK138" s="26">
        <v>4</v>
      </c>
      <c r="WIL138" s="26" t="s">
        <v>794</v>
      </c>
      <c r="WIM138" s="26">
        <v>4</v>
      </c>
      <c r="WIN138" s="26" t="s">
        <v>794</v>
      </c>
      <c r="WIO138" s="26">
        <v>4</v>
      </c>
      <c r="WIP138" s="26" t="s">
        <v>794</v>
      </c>
      <c r="WIQ138" s="26">
        <v>4</v>
      </c>
      <c r="WIR138" s="26" t="s">
        <v>794</v>
      </c>
      <c r="WIS138" s="26">
        <v>4</v>
      </c>
      <c r="WIT138" s="26" t="s">
        <v>794</v>
      </c>
      <c r="WIU138" s="26">
        <v>4</v>
      </c>
      <c r="WIV138" s="26" t="s">
        <v>794</v>
      </c>
      <c r="WIW138" s="26">
        <v>4</v>
      </c>
      <c r="WIX138" s="26" t="s">
        <v>794</v>
      </c>
      <c r="WIY138" s="26">
        <v>4</v>
      </c>
      <c r="WIZ138" s="26" t="s">
        <v>794</v>
      </c>
      <c r="WJA138" s="26">
        <v>4</v>
      </c>
      <c r="WJB138" s="26" t="s">
        <v>794</v>
      </c>
      <c r="WJC138" s="26">
        <v>4</v>
      </c>
      <c r="WJD138" s="26" t="s">
        <v>794</v>
      </c>
      <c r="WJE138" s="26">
        <v>4</v>
      </c>
      <c r="WJF138" s="26" t="s">
        <v>794</v>
      </c>
      <c r="WJG138" s="26">
        <v>4</v>
      </c>
      <c r="WJH138" s="26" t="s">
        <v>794</v>
      </c>
      <c r="WJI138" s="26">
        <v>4</v>
      </c>
      <c r="WJJ138" s="26" t="s">
        <v>794</v>
      </c>
      <c r="WJK138" s="26">
        <v>4</v>
      </c>
      <c r="WJL138" s="26" t="s">
        <v>794</v>
      </c>
      <c r="WJM138" s="26">
        <v>4</v>
      </c>
      <c r="WJN138" s="26" t="s">
        <v>794</v>
      </c>
      <c r="WJO138" s="26">
        <v>4</v>
      </c>
      <c r="WJP138" s="26" t="s">
        <v>794</v>
      </c>
      <c r="WJQ138" s="26">
        <v>4</v>
      </c>
      <c r="WJR138" s="26" t="s">
        <v>794</v>
      </c>
      <c r="WJS138" s="26">
        <v>4</v>
      </c>
      <c r="WJT138" s="26" t="s">
        <v>794</v>
      </c>
      <c r="WJU138" s="26">
        <v>4</v>
      </c>
      <c r="WJV138" s="26" t="s">
        <v>794</v>
      </c>
      <c r="WJW138" s="26">
        <v>4</v>
      </c>
      <c r="WJX138" s="26" t="s">
        <v>794</v>
      </c>
      <c r="WJY138" s="26">
        <v>4</v>
      </c>
      <c r="WJZ138" s="26" t="s">
        <v>794</v>
      </c>
      <c r="WKA138" s="26">
        <v>4</v>
      </c>
      <c r="WKB138" s="26" t="s">
        <v>794</v>
      </c>
      <c r="WKC138" s="26">
        <v>4</v>
      </c>
      <c r="WKD138" s="26" t="s">
        <v>794</v>
      </c>
      <c r="WKE138" s="26">
        <v>4</v>
      </c>
      <c r="WKF138" s="26" t="s">
        <v>794</v>
      </c>
      <c r="WKG138" s="26">
        <v>4</v>
      </c>
      <c r="WKH138" s="26" t="s">
        <v>794</v>
      </c>
      <c r="WKI138" s="26">
        <v>4</v>
      </c>
      <c r="WKJ138" s="26" t="s">
        <v>794</v>
      </c>
      <c r="WKK138" s="26">
        <v>4</v>
      </c>
      <c r="WKL138" s="26" t="s">
        <v>794</v>
      </c>
      <c r="WKM138" s="26">
        <v>4</v>
      </c>
      <c r="WKN138" s="26" t="s">
        <v>794</v>
      </c>
      <c r="WKO138" s="26">
        <v>4</v>
      </c>
      <c r="WKP138" s="26" t="s">
        <v>794</v>
      </c>
      <c r="WKQ138" s="26">
        <v>4</v>
      </c>
      <c r="WKR138" s="26" t="s">
        <v>794</v>
      </c>
      <c r="WKS138" s="26">
        <v>4</v>
      </c>
      <c r="WKT138" s="26" t="s">
        <v>794</v>
      </c>
      <c r="WKU138" s="26">
        <v>4</v>
      </c>
      <c r="WKV138" s="26" t="s">
        <v>794</v>
      </c>
      <c r="WKW138" s="26">
        <v>4</v>
      </c>
      <c r="WKX138" s="26" t="s">
        <v>794</v>
      </c>
      <c r="WKY138" s="26">
        <v>4</v>
      </c>
      <c r="WKZ138" s="26" t="s">
        <v>794</v>
      </c>
      <c r="WLA138" s="26">
        <v>4</v>
      </c>
      <c r="WLB138" s="26" t="s">
        <v>794</v>
      </c>
      <c r="WLC138" s="26">
        <v>4</v>
      </c>
      <c r="WLD138" s="26" t="s">
        <v>794</v>
      </c>
      <c r="WLE138" s="26">
        <v>4</v>
      </c>
      <c r="WLF138" s="26" t="s">
        <v>794</v>
      </c>
      <c r="WLG138" s="26">
        <v>4</v>
      </c>
      <c r="WLH138" s="26" t="s">
        <v>794</v>
      </c>
      <c r="WLI138" s="26">
        <v>4</v>
      </c>
      <c r="WLJ138" s="26" t="s">
        <v>794</v>
      </c>
      <c r="WLK138" s="26">
        <v>4</v>
      </c>
      <c r="WLL138" s="26" t="s">
        <v>794</v>
      </c>
      <c r="WLM138" s="26">
        <v>4</v>
      </c>
      <c r="WLN138" s="26" t="s">
        <v>794</v>
      </c>
      <c r="WLO138" s="26">
        <v>4</v>
      </c>
      <c r="WLP138" s="26" t="s">
        <v>794</v>
      </c>
      <c r="WLQ138" s="26">
        <v>4</v>
      </c>
      <c r="WLR138" s="26" t="s">
        <v>794</v>
      </c>
      <c r="WLS138" s="26">
        <v>4</v>
      </c>
      <c r="WLT138" s="26" t="s">
        <v>794</v>
      </c>
      <c r="WLU138" s="26">
        <v>4</v>
      </c>
      <c r="WLV138" s="26" t="s">
        <v>794</v>
      </c>
      <c r="WLW138" s="26">
        <v>4</v>
      </c>
      <c r="WLX138" s="26" t="s">
        <v>794</v>
      </c>
      <c r="WLY138" s="26">
        <v>4</v>
      </c>
      <c r="WLZ138" s="26" t="s">
        <v>794</v>
      </c>
      <c r="WMA138" s="26">
        <v>4</v>
      </c>
      <c r="WMB138" s="26" t="s">
        <v>794</v>
      </c>
      <c r="WMC138" s="26">
        <v>4</v>
      </c>
      <c r="WMD138" s="26" t="s">
        <v>794</v>
      </c>
      <c r="WME138" s="26">
        <v>4</v>
      </c>
      <c r="WMF138" s="26" t="s">
        <v>794</v>
      </c>
      <c r="WMG138" s="26">
        <v>4</v>
      </c>
      <c r="WMH138" s="26" t="s">
        <v>794</v>
      </c>
      <c r="WMI138" s="26">
        <v>4</v>
      </c>
      <c r="WMJ138" s="26" t="s">
        <v>794</v>
      </c>
      <c r="WMK138" s="26">
        <v>4</v>
      </c>
      <c r="WML138" s="26" t="s">
        <v>794</v>
      </c>
      <c r="WMM138" s="26">
        <v>4</v>
      </c>
      <c r="WMN138" s="26" t="s">
        <v>794</v>
      </c>
      <c r="WMO138" s="26">
        <v>4</v>
      </c>
      <c r="WMP138" s="26" t="s">
        <v>794</v>
      </c>
      <c r="WMQ138" s="26">
        <v>4</v>
      </c>
      <c r="WMR138" s="26" t="s">
        <v>794</v>
      </c>
      <c r="WMS138" s="26">
        <v>4</v>
      </c>
      <c r="WMT138" s="26" t="s">
        <v>794</v>
      </c>
      <c r="WMU138" s="26">
        <v>4</v>
      </c>
      <c r="WMV138" s="26" t="s">
        <v>794</v>
      </c>
      <c r="WMW138" s="26">
        <v>4</v>
      </c>
      <c r="WMX138" s="26" t="s">
        <v>794</v>
      </c>
      <c r="WMY138" s="26">
        <v>4</v>
      </c>
      <c r="WMZ138" s="26" t="s">
        <v>794</v>
      </c>
      <c r="WNA138" s="26">
        <v>4</v>
      </c>
      <c r="WNB138" s="26" t="s">
        <v>794</v>
      </c>
      <c r="WNC138" s="26">
        <v>4</v>
      </c>
      <c r="WND138" s="26" t="s">
        <v>794</v>
      </c>
      <c r="WNE138" s="26">
        <v>4</v>
      </c>
      <c r="WNF138" s="26" t="s">
        <v>794</v>
      </c>
      <c r="WNG138" s="26">
        <v>4</v>
      </c>
      <c r="WNH138" s="26" t="s">
        <v>794</v>
      </c>
      <c r="WNI138" s="26">
        <v>4</v>
      </c>
      <c r="WNJ138" s="26" t="s">
        <v>794</v>
      </c>
      <c r="WNK138" s="26">
        <v>4</v>
      </c>
      <c r="WNL138" s="26" t="s">
        <v>794</v>
      </c>
      <c r="WNM138" s="26">
        <v>4</v>
      </c>
      <c r="WNN138" s="26" t="s">
        <v>794</v>
      </c>
      <c r="WNO138" s="26">
        <v>4</v>
      </c>
      <c r="WNP138" s="26" t="s">
        <v>794</v>
      </c>
      <c r="WNQ138" s="26">
        <v>4</v>
      </c>
      <c r="WNR138" s="26" t="s">
        <v>794</v>
      </c>
      <c r="WNS138" s="26">
        <v>4</v>
      </c>
      <c r="WNT138" s="26" t="s">
        <v>794</v>
      </c>
      <c r="WNU138" s="26">
        <v>4</v>
      </c>
      <c r="WNV138" s="26" t="s">
        <v>794</v>
      </c>
      <c r="WNW138" s="26">
        <v>4</v>
      </c>
      <c r="WNX138" s="26" t="s">
        <v>794</v>
      </c>
      <c r="WNY138" s="26">
        <v>4</v>
      </c>
      <c r="WNZ138" s="26" t="s">
        <v>794</v>
      </c>
      <c r="WOA138" s="26">
        <v>4</v>
      </c>
      <c r="WOB138" s="26" t="s">
        <v>794</v>
      </c>
      <c r="WOC138" s="26">
        <v>4</v>
      </c>
      <c r="WOD138" s="26" t="s">
        <v>794</v>
      </c>
      <c r="WOE138" s="26">
        <v>4</v>
      </c>
      <c r="WOF138" s="26" t="s">
        <v>794</v>
      </c>
      <c r="WOG138" s="26">
        <v>4</v>
      </c>
      <c r="WOH138" s="26" t="s">
        <v>794</v>
      </c>
      <c r="WOI138" s="26">
        <v>4</v>
      </c>
      <c r="WOJ138" s="26" t="s">
        <v>794</v>
      </c>
      <c r="WOK138" s="26">
        <v>4</v>
      </c>
      <c r="WOL138" s="26" t="s">
        <v>794</v>
      </c>
      <c r="WOM138" s="26">
        <v>4</v>
      </c>
      <c r="WON138" s="26" t="s">
        <v>794</v>
      </c>
      <c r="WOO138" s="26">
        <v>4</v>
      </c>
      <c r="WOP138" s="26" t="s">
        <v>794</v>
      </c>
      <c r="WOQ138" s="26">
        <v>4</v>
      </c>
      <c r="WOR138" s="26" t="s">
        <v>794</v>
      </c>
      <c r="WOS138" s="26">
        <v>4</v>
      </c>
      <c r="WOT138" s="26" t="s">
        <v>794</v>
      </c>
      <c r="WOU138" s="26">
        <v>4</v>
      </c>
      <c r="WOV138" s="26" t="s">
        <v>794</v>
      </c>
      <c r="WOW138" s="26">
        <v>4</v>
      </c>
      <c r="WOX138" s="26" t="s">
        <v>794</v>
      </c>
      <c r="WOY138" s="26">
        <v>4</v>
      </c>
      <c r="WOZ138" s="26" t="s">
        <v>794</v>
      </c>
      <c r="WPA138" s="26">
        <v>4</v>
      </c>
      <c r="WPB138" s="26" t="s">
        <v>794</v>
      </c>
      <c r="WPC138" s="26">
        <v>4</v>
      </c>
      <c r="WPD138" s="26" t="s">
        <v>794</v>
      </c>
      <c r="WPE138" s="26">
        <v>4</v>
      </c>
      <c r="WPF138" s="26" t="s">
        <v>794</v>
      </c>
      <c r="WPG138" s="26">
        <v>4</v>
      </c>
      <c r="WPH138" s="26" t="s">
        <v>794</v>
      </c>
      <c r="WPI138" s="26">
        <v>4</v>
      </c>
      <c r="WPJ138" s="26" t="s">
        <v>794</v>
      </c>
      <c r="WPK138" s="26">
        <v>4</v>
      </c>
      <c r="WPL138" s="26" t="s">
        <v>794</v>
      </c>
      <c r="WPM138" s="26">
        <v>4</v>
      </c>
      <c r="WPN138" s="26" t="s">
        <v>794</v>
      </c>
      <c r="WPO138" s="26">
        <v>4</v>
      </c>
      <c r="WPP138" s="26" t="s">
        <v>794</v>
      </c>
      <c r="WPQ138" s="26">
        <v>4</v>
      </c>
      <c r="WPR138" s="26" t="s">
        <v>794</v>
      </c>
      <c r="WPS138" s="26">
        <v>4</v>
      </c>
      <c r="WPT138" s="26" t="s">
        <v>794</v>
      </c>
      <c r="WPU138" s="26">
        <v>4</v>
      </c>
      <c r="WPV138" s="26" t="s">
        <v>794</v>
      </c>
      <c r="WPW138" s="26">
        <v>4</v>
      </c>
      <c r="WPX138" s="26" t="s">
        <v>794</v>
      </c>
      <c r="WPY138" s="26">
        <v>4</v>
      </c>
      <c r="WPZ138" s="26" t="s">
        <v>794</v>
      </c>
      <c r="WQA138" s="26">
        <v>4</v>
      </c>
      <c r="WQB138" s="26" t="s">
        <v>794</v>
      </c>
      <c r="WQC138" s="26">
        <v>4</v>
      </c>
      <c r="WQD138" s="26" t="s">
        <v>794</v>
      </c>
      <c r="WQE138" s="26">
        <v>4</v>
      </c>
      <c r="WQF138" s="26" t="s">
        <v>794</v>
      </c>
      <c r="WQG138" s="26">
        <v>4</v>
      </c>
      <c r="WQH138" s="26" t="s">
        <v>794</v>
      </c>
      <c r="WQI138" s="26">
        <v>4</v>
      </c>
      <c r="WQJ138" s="26" t="s">
        <v>794</v>
      </c>
      <c r="WQK138" s="26">
        <v>4</v>
      </c>
      <c r="WQL138" s="26" t="s">
        <v>794</v>
      </c>
      <c r="WQM138" s="26">
        <v>4</v>
      </c>
      <c r="WQN138" s="26" t="s">
        <v>794</v>
      </c>
      <c r="WQO138" s="26">
        <v>4</v>
      </c>
      <c r="WQP138" s="26" t="s">
        <v>794</v>
      </c>
      <c r="WQQ138" s="26">
        <v>4</v>
      </c>
      <c r="WQR138" s="26" t="s">
        <v>794</v>
      </c>
      <c r="WQS138" s="26">
        <v>4</v>
      </c>
      <c r="WQT138" s="26" t="s">
        <v>794</v>
      </c>
      <c r="WQU138" s="26">
        <v>4</v>
      </c>
      <c r="WQV138" s="26" t="s">
        <v>794</v>
      </c>
      <c r="WQW138" s="26">
        <v>4</v>
      </c>
      <c r="WQX138" s="26" t="s">
        <v>794</v>
      </c>
      <c r="WQY138" s="26">
        <v>4</v>
      </c>
      <c r="WQZ138" s="26" t="s">
        <v>794</v>
      </c>
      <c r="WRA138" s="26">
        <v>4</v>
      </c>
      <c r="WRB138" s="26" t="s">
        <v>794</v>
      </c>
      <c r="WRC138" s="26">
        <v>4</v>
      </c>
      <c r="WRD138" s="26" t="s">
        <v>794</v>
      </c>
      <c r="WRE138" s="26">
        <v>4</v>
      </c>
      <c r="WRF138" s="26" t="s">
        <v>794</v>
      </c>
      <c r="WRG138" s="26">
        <v>4</v>
      </c>
      <c r="WRH138" s="26" t="s">
        <v>794</v>
      </c>
      <c r="WRI138" s="26">
        <v>4</v>
      </c>
      <c r="WRJ138" s="26" t="s">
        <v>794</v>
      </c>
      <c r="WRK138" s="26">
        <v>4</v>
      </c>
      <c r="WRL138" s="26" t="s">
        <v>794</v>
      </c>
      <c r="WRM138" s="26">
        <v>4</v>
      </c>
      <c r="WRN138" s="26" t="s">
        <v>794</v>
      </c>
      <c r="WRO138" s="26">
        <v>4</v>
      </c>
      <c r="WRP138" s="26" t="s">
        <v>794</v>
      </c>
      <c r="WRQ138" s="26">
        <v>4</v>
      </c>
      <c r="WRR138" s="26" t="s">
        <v>794</v>
      </c>
      <c r="WRS138" s="26">
        <v>4</v>
      </c>
      <c r="WRT138" s="26" t="s">
        <v>794</v>
      </c>
      <c r="WRU138" s="26">
        <v>4</v>
      </c>
      <c r="WRV138" s="26" t="s">
        <v>794</v>
      </c>
      <c r="WRW138" s="26">
        <v>4</v>
      </c>
      <c r="WRX138" s="26" t="s">
        <v>794</v>
      </c>
      <c r="WRY138" s="26">
        <v>4</v>
      </c>
      <c r="WRZ138" s="26" t="s">
        <v>794</v>
      </c>
      <c r="WSA138" s="26">
        <v>4</v>
      </c>
      <c r="WSB138" s="26" t="s">
        <v>794</v>
      </c>
      <c r="WSC138" s="26">
        <v>4</v>
      </c>
      <c r="WSD138" s="26" t="s">
        <v>794</v>
      </c>
      <c r="WSE138" s="26">
        <v>4</v>
      </c>
      <c r="WSF138" s="26" t="s">
        <v>794</v>
      </c>
      <c r="WSG138" s="26">
        <v>4</v>
      </c>
      <c r="WSH138" s="26" t="s">
        <v>794</v>
      </c>
      <c r="WSI138" s="26">
        <v>4</v>
      </c>
      <c r="WSJ138" s="26" t="s">
        <v>794</v>
      </c>
      <c r="WSK138" s="26">
        <v>4</v>
      </c>
      <c r="WSL138" s="26" t="s">
        <v>794</v>
      </c>
      <c r="WSM138" s="26">
        <v>4</v>
      </c>
      <c r="WSN138" s="26" t="s">
        <v>794</v>
      </c>
      <c r="WSO138" s="26">
        <v>4</v>
      </c>
      <c r="WSP138" s="26" t="s">
        <v>794</v>
      </c>
      <c r="WSQ138" s="26">
        <v>4</v>
      </c>
      <c r="WSR138" s="26" t="s">
        <v>794</v>
      </c>
      <c r="WSS138" s="26">
        <v>4</v>
      </c>
      <c r="WST138" s="26" t="s">
        <v>794</v>
      </c>
      <c r="WSU138" s="26">
        <v>4</v>
      </c>
      <c r="WSV138" s="26" t="s">
        <v>794</v>
      </c>
      <c r="WSW138" s="26">
        <v>4</v>
      </c>
      <c r="WSX138" s="26" t="s">
        <v>794</v>
      </c>
      <c r="WSY138" s="26">
        <v>4</v>
      </c>
      <c r="WSZ138" s="26" t="s">
        <v>794</v>
      </c>
      <c r="WTA138" s="26">
        <v>4</v>
      </c>
      <c r="WTB138" s="26" t="s">
        <v>794</v>
      </c>
      <c r="WTC138" s="26">
        <v>4</v>
      </c>
      <c r="WTD138" s="26" t="s">
        <v>794</v>
      </c>
      <c r="WTE138" s="26">
        <v>4</v>
      </c>
      <c r="WTF138" s="26" t="s">
        <v>794</v>
      </c>
      <c r="WTG138" s="26">
        <v>4</v>
      </c>
      <c r="WTH138" s="26" t="s">
        <v>794</v>
      </c>
      <c r="WTI138" s="26">
        <v>4</v>
      </c>
      <c r="WTJ138" s="26" t="s">
        <v>794</v>
      </c>
      <c r="WTK138" s="26">
        <v>4</v>
      </c>
      <c r="WTL138" s="26" t="s">
        <v>794</v>
      </c>
      <c r="WTM138" s="26">
        <v>4</v>
      </c>
      <c r="WTN138" s="26" t="s">
        <v>794</v>
      </c>
      <c r="WTO138" s="26">
        <v>4</v>
      </c>
      <c r="WTP138" s="26" t="s">
        <v>794</v>
      </c>
      <c r="WTQ138" s="26">
        <v>4</v>
      </c>
      <c r="WTR138" s="26" t="s">
        <v>794</v>
      </c>
      <c r="WTS138" s="26">
        <v>4</v>
      </c>
      <c r="WTT138" s="26" t="s">
        <v>794</v>
      </c>
      <c r="WTU138" s="26">
        <v>4</v>
      </c>
      <c r="WTV138" s="26" t="s">
        <v>794</v>
      </c>
      <c r="WTW138" s="26">
        <v>4</v>
      </c>
      <c r="WTX138" s="26" t="s">
        <v>794</v>
      </c>
      <c r="WTY138" s="26">
        <v>4</v>
      </c>
      <c r="WTZ138" s="26" t="s">
        <v>794</v>
      </c>
      <c r="WUA138" s="26">
        <v>4</v>
      </c>
      <c r="WUB138" s="26" t="s">
        <v>794</v>
      </c>
      <c r="WUC138" s="26">
        <v>4</v>
      </c>
      <c r="WUD138" s="26" t="s">
        <v>794</v>
      </c>
      <c r="WUE138" s="26">
        <v>4</v>
      </c>
      <c r="WUF138" s="26" t="s">
        <v>794</v>
      </c>
      <c r="WUG138" s="26">
        <v>4</v>
      </c>
      <c r="WUH138" s="26" t="s">
        <v>794</v>
      </c>
      <c r="WUI138" s="26">
        <v>4</v>
      </c>
      <c r="WUJ138" s="26" t="s">
        <v>794</v>
      </c>
      <c r="WUK138" s="26">
        <v>4</v>
      </c>
      <c r="WUL138" s="26" t="s">
        <v>794</v>
      </c>
      <c r="WUM138" s="26">
        <v>4</v>
      </c>
      <c r="WUN138" s="26" t="s">
        <v>794</v>
      </c>
      <c r="WUO138" s="26">
        <v>4</v>
      </c>
      <c r="WUP138" s="26" t="s">
        <v>794</v>
      </c>
      <c r="WUQ138" s="26">
        <v>4</v>
      </c>
      <c r="WUR138" s="26" t="s">
        <v>794</v>
      </c>
      <c r="WUS138" s="26">
        <v>4</v>
      </c>
      <c r="WUT138" s="26" t="s">
        <v>794</v>
      </c>
      <c r="WUU138" s="26">
        <v>4</v>
      </c>
      <c r="WUV138" s="26" t="s">
        <v>794</v>
      </c>
      <c r="WUW138" s="26">
        <v>4</v>
      </c>
      <c r="WUX138" s="26" t="s">
        <v>794</v>
      </c>
      <c r="WUY138" s="26">
        <v>4</v>
      </c>
      <c r="WUZ138" s="26" t="s">
        <v>794</v>
      </c>
      <c r="WVA138" s="26">
        <v>4</v>
      </c>
      <c r="WVB138" s="26" t="s">
        <v>794</v>
      </c>
      <c r="WVC138" s="26">
        <v>4</v>
      </c>
      <c r="WVD138" s="26" t="s">
        <v>794</v>
      </c>
      <c r="WVE138" s="26">
        <v>4</v>
      </c>
      <c r="WVF138" s="26" t="s">
        <v>794</v>
      </c>
      <c r="WVG138" s="26">
        <v>4</v>
      </c>
      <c r="WVH138" s="26" t="s">
        <v>794</v>
      </c>
      <c r="WVI138" s="26">
        <v>4</v>
      </c>
      <c r="WVJ138" s="26" t="s">
        <v>794</v>
      </c>
      <c r="WVK138" s="26">
        <v>4</v>
      </c>
      <c r="WVL138" s="26" t="s">
        <v>794</v>
      </c>
      <c r="WVM138" s="26">
        <v>4</v>
      </c>
      <c r="WVN138" s="26" t="s">
        <v>794</v>
      </c>
      <c r="WVO138" s="26">
        <v>4</v>
      </c>
      <c r="WVP138" s="26" t="s">
        <v>794</v>
      </c>
      <c r="WVQ138" s="26">
        <v>4</v>
      </c>
      <c r="WVR138" s="26" t="s">
        <v>794</v>
      </c>
      <c r="WVS138" s="26">
        <v>4</v>
      </c>
      <c r="WVT138" s="26" t="s">
        <v>794</v>
      </c>
      <c r="WVU138" s="26">
        <v>4</v>
      </c>
      <c r="WVV138" s="26" t="s">
        <v>794</v>
      </c>
      <c r="WVW138" s="26">
        <v>4</v>
      </c>
      <c r="WVX138" s="26" t="s">
        <v>794</v>
      </c>
      <c r="WVY138" s="26">
        <v>4</v>
      </c>
      <c r="WVZ138" s="26" t="s">
        <v>794</v>
      </c>
      <c r="WWA138" s="26">
        <v>4</v>
      </c>
      <c r="WWB138" s="26" t="s">
        <v>794</v>
      </c>
      <c r="WWC138" s="26">
        <v>4</v>
      </c>
      <c r="WWD138" s="26" t="s">
        <v>794</v>
      </c>
      <c r="WWE138" s="26">
        <v>4</v>
      </c>
      <c r="WWF138" s="26" t="s">
        <v>794</v>
      </c>
      <c r="WWG138" s="26">
        <v>4</v>
      </c>
      <c r="WWH138" s="26" t="s">
        <v>794</v>
      </c>
      <c r="WWI138" s="26">
        <v>4</v>
      </c>
      <c r="WWJ138" s="26" t="s">
        <v>794</v>
      </c>
      <c r="WWK138" s="26">
        <v>4</v>
      </c>
      <c r="WWL138" s="26" t="s">
        <v>794</v>
      </c>
      <c r="WWM138" s="26">
        <v>4</v>
      </c>
      <c r="WWN138" s="26" t="s">
        <v>794</v>
      </c>
      <c r="WWO138" s="26">
        <v>4</v>
      </c>
      <c r="WWP138" s="26" t="s">
        <v>794</v>
      </c>
      <c r="WWQ138" s="26">
        <v>4</v>
      </c>
      <c r="WWR138" s="26" t="s">
        <v>794</v>
      </c>
      <c r="WWS138" s="26">
        <v>4</v>
      </c>
      <c r="WWT138" s="26" t="s">
        <v>794</v>
      </c>
      <c r="WWU138" s="26">
        <v>4</v>
      </c>
      <c r="WWV138" s="26" t="s">
        <v>794</v>
      </c>
      <c r="WWW138" s="26">
        <v>4</v>
      </c>
      <c r="WWX138" s="26" t="s">
        <v>794</v>
      </c>
      <c r="WWY138" s="26">
        <v>4</v>
      </c>
      <c r="WWZ138" s="26" t="s">
        <v>794</v>
      </c>
      <c r="WXA138" s="26">
        <v>4</v>
      </c>
      <c r="WXB138" s="26" t="s">
        <v>794</v>
      </c>
      <c r="WXC138" s="26">
        <v>4</v>
      </c>
      <c r="WXD138" s="26" t="s">
        <v>794</v>
      </c>
      <c r="WXE138" s="26">
        <v>4</v>
      </c>
      <c r="WXF138" s="26" t="s">
        <v>794</v>
      </c>
      <c r="WXG138" s="26">
        <v>4</v>
      </c>
      <c r="WXH138" s="26" t="s">
        <v>794</v>
      </c>
      <c r="WXI138" s="26">
        <v>4</v>
      </c>
      <c r="WXJ138" s="26" t="s">
        <v>794</v>
      </c>
      <c r="WXK138" s="26">
        <v>4</v>
      </c>
      <c r="WXL138" s="26" t="s">
        <v>794</v>
      </c>
      <c r="WXM138" s="26">
        <v>4</v>
      </c>
      <c r="WXN138" s="26" t="s">
        <v>794</v>
      </c>
      <c r="WXO138" s="26">
        <v>4</v>
      </c>
      <c r="WXP138" s="26" t="s">
        <v>794</v>
      </c>
      <c r="WXQ138" s="26">
        <v>4</v>
      </c>
      <c r="WXR138" s="26" t="s">
        <v>794</v>
      </c>
      <c r="WXS138" s="26">
        <v>4</v>
      </c>
      <c r="WXT138" s="26" t="s">
        <v>794</v>
      </c>
      <c r="WXU138" s="26">
        <v>4</v>
      </c>
      <c r="WXV138" s="26" t="s">
        <v>794</v>
      </c>
      <c r="WXW138" s="26">
        <v>4</v>
      </c>
      <c r="WXX138" s="26" t="s">
        <v>794</v>
      </c>
      <c r="WXY138" s="26">
        <v>4</v>
      </c>
      <c r="WXZ138" s="26" t="s">
        <v>794</v>
      </c>
      <c r="WYA138" s="26">
        <v>4</v>
      </c>
      <c r="WYB138" s="26" t="s">
        <v>794</v>
      </c>
      <c r="WYC138" s="26">
        <v>4</v>
      </c>
      <c r="WYD138" s="26" t="s">
        <v>794</v>
      </c>
      <c r="WYE138" s="26">
        <v>4</v>
      </c>
      <c r="WYF138" s="26" t="s">
        <v>794</v>
      </c>
      <c r="WYG138" s="26">
        <v>4</v>
      </c>
      <c r="WYH138" s="26" t="s">
        <v>794</v>
      </c>
      <c r="WYI138" s="26">
        <v>4</v>
      </c>
      <c r="WYJ138" s="26" t="s">
        <v>794</v>
      </c>
      <c r="WYK138" s="26">
        <v>4</v>
      </c>
      <c r="WYL138" s="26" t="s">
        <v>794</v>
      </c>
      <c r="WYM138" s="26">
        <v>4</v>
      </c>
      <c r="WYN138" s="26" t="s">
        <v>794</v>
      </c>
      <c r="WYO138" s="26">
        <v>4</v>
      </c>
      <c r="WYP138" s="26" t="s">
        <v>794</v>
      </c>
      <c r="WYQ138" s="26">
        <v>4</v>
      </c>
      <c r="WYR138" s="26" t="s">
        <v>794</v>
      </c>
      <c r="WYS138" s="26">
        <v>4</v>
      </c>
      <c r="WYT138" s="26" t="s">
        <v>794</v>
      </c>
      <c r="WYU138" s="26">
        <v>4</v>
      </c>
      <c r="WYV138" s="26" t="s">
        <v>794</v>
      </c>
      <c r="WYW138" s="26">
        <v>4</v>
      </c>
      <c r="WYX138" s="26" t="s">
        <v>794</v>
      </c>
      <c r="WYY138" s="26">
        <v>4</v>
      </c>
      <c r="WYZ138" s="26" t="s">
        <v>794</v>
      </c>
      <c r="WZA138" s="26">
        <v>4</v>
      </c>
      <c r="WZB138" s="26" t="s">
        <v>794</v>
      </c>
      <c r="WZC138" s="26">
        <v>4</v>
      </c>
      <c r="WZD138" s="26" t="s">
        <v>794</v>
      </c>
      <c r="WZE138" s="26">
        <v>4</v>
      </c>
      <c r="WZF138" s="26" t="s">
        <v>794</v>
      </c>
      <c r="WZG138" s="26">
        <v>4</v>
      </c>
      <c r="WZH138" s="26" t="s">
        <v>794</v>
      </c>
      <c r="WZI138" s="26">
        <v>4</v>
      </c>
      <c r="WZJ138" s="26" t="s">
        <v>794</v>
      </c>
      <c r="WZK138" s="26">
        <v>4</v>
      </c>
      <c r="WZL138" s="26" t="s">
        <v>794</v>
      </c>
      <c r="WZM138" s="26">
        <v>4</v>
      </c>
      <c r="WZN138" s="26" t="s">
        <v>794</v>
      </c>
      <c r="WZO138" s="26">
        <v>4</v>
      </c>
      <c r="WZP138" s="26" t="s">
        <v>794</v>
      </c>
      <c r="WZQ138" s="26">
        <v>4</v>
      </c>
      <c r="WZR138" s="26" t="s">
        <v>794</v>
      </c>
      <c r="WZS138" s="26">
        <v>4</v>
      </c>
      <c r="WZT138" s="26" t="s">
        <v>794</v>
      </c>
      <c r="WZU138" s="26">
        <v>4</v>
      </c>
      <c r="WZV138" s="26" t="s">
        <v>794</v>
      </c>
      <c r="WZW138" s="26">
        <v>4</v>
      </c>
      <c r="WZX138" s="26" t="s">
        <v>794</v>
      </c>
      <c r="WZY138" s="26">
        <v>4</v>
      </c>
      <c r="WZZ138" s="26" t="s">
        <v>794</v>
      </c>
      <c r="XAA138" s="26">
        <v>4</v>
      </c>
      <c r="XAB138" s="26" t="s">
        <v>794</v>
      </c>
      <c r="XAC138" s="26">
        <v>4</v>
      </c>
      <c r="XAD138" s="26" t="s">
        <v>794</v>
      </c>
      <c r="XAE138" s="26">
        <v>4</v>
      </c>
      <c r="XAF138" s="26" t="s">
        <v>794</v>
      </c>
      <c r="XAG138" s="26">
        <v>4</v>
      </c>
      <c r="XAH138" s="26" t="s">
        <v>794</v>
      </c>
      <c r="XAI138" s="26">
        <v>4</v>
      </c>
      <c r="XAJ138" s="26" t="s">
        <v>794</v>
      </c>
      <c r="XAK138" s="26">
        <v>4</v>
      </c>
      <c r="XAL138" s="26" t="s">
        <v>794</v>
      </c>
      <c r="XAM138" s="26">
        <v>4</v>
      </c>
      <c r="XAN138" s="26" t="s">
        <v>794</v>
      </c>
      <c r="XAO138" s="26">
        <v>4</v>
      </c>
      <c r="XAP138" s="26" t="s">
        <v>794</v>
      </c>
      <c r="XAQ138" s="26">
        <v>4</v>
      </c>
      <c r="XAR138" s="26" t="s">
        <v>794</v>
      </c>
      <c r="XAS138" s="26">
        <v>4</v>
      </c>
      <c r="XAT138" s="26" t="s">
        <v>794</v>
      </c>
      <c r="XAU138" s="26">
        <v>4</v>
      </c>
      <c r="XAV138" s="26" t="s">
        <v>794</v>
      </c>
      <c r="XAW138" s="26">
        <v>4</v>
      </c>
      <c r="XAX138" s="26" t="s">
        <v>794</v>
      </c>
      <c r="XAY138" s="26">
        <v>4</v>
      </c>
      <c r="XAZ138" s="26" t="s">
        <v>794</v>
      </c>
      <c r="XBA138" s="26">
        <v>4</v>
      </c>
      <c r="XBB138" s="26" t="s">
        <v>794</v>
      </c>
      <c r="XBC138" s="26">
        <v>4</v>
      </c>
      <c r="XBD138" s="26" t="s">
        <v>794</v>
      </c>
      <c r="XBE138" s="26">
        <v>4</v>
      </c>
      <c r="XBF138" s="26" t="s">
        <v>794</v>
      </c>
      <c r="XBG138" s="26">
        <v>4</v>
      </c>
      <c r="XBH138" s="26" t="s">
        <v>794</v>
      </c>
      <c r="XBI138" s="26">
        <v>4</v>
      </c>
      <c r="XBJ138" s="26" t="s">
        <v>794</v>
      </c>
      <c r="XBK138" s="26">
        <v>4</v>
      </c>
      <c r="XBL138" s="26" t="s">
        <v>794</v>
      </c>
      <c r="XBM138" s="26">
        <v>4</v>
      </c>
      <c r="XBN138" s="26" t="s">
        <v>794</v>
      </c>
      <c r="XBO138" s="26">
        <v>4</v>
      </c>
      <c r="XBP138" s="26" t="s">
        <v>794</v>
      </c>
      <c r="XBQ138" s="26">
        <v>4</v>
      </c>
      <c r="XBR138" s="26" t="s">
        <v>794</v>
      </c>
      <c r="XBS138" s="26">
        <v>4</v>
      </c>
      <c r="XBT138" s="26" t="s">
        <v>794</v>
      </c>
      <c r="XBU138" s="26">
        <v>4</v>
      </c>
      <c r="XBV138" s="26" t="s">
        <v>794</v>
      </c>
      <c r="XBW138" s="26">
        <v>4</v>
      </c>
      <c r="XBX138" s="26" t="s">
        <v>794</v>
      </c>
      <c r="XBY138" s="26">
        <v>4</v>
      </c>
      <c r="XBZ138" s="26" t="s">
        <v>794</v>
      </c>
      <c r="XCA138" s="26">
        <v>4</v>
      </c>
      <c r="XCB138" s="26" t="s">
        <v>794</v>
      </c>
      <c r="XCC138" s="26">
        <v>4</v>
      </c>
      <c r="XCD138" s="26" t="s">
        <v>794</v>
      </c>
      <c r="XCE138" s="26">
        <v>4</v>
      </c>
      <c r="XCF138" s="26" t="s">
        <v>794</v>
      </c>
      <c r="XCG138" s="26">
        <v>4</v>
      </c>
      <c r="XCH138" s="26" t="s">
        <v>794</v>
      </c>
      <c r="XCI138" s="26">
        <v>4</v>
      </c>
      <c r="XCJ138" s="26" t="s">
        <v>794</v>
      </c>
      <c r="XCK138" s="26">
        <v>4</v>
      </c>
      <c r="XCL138" s="26" t="s">
        <v>794</v>
      </c>
      <c r="XCM138" s="26">
        <v>4</v>
      </c>
      <c r="XCN138" s="26" t="s">
        <v>794</v>
      </c>
      <c r="XCO138" s="26">
        <v>4</v>
      </c>
      <c r="XCP138" s="26" t="s">
        <v>794</v>
      </c>
      <c r="XCQ138" s="26">
        <v>4</v>
      </c>
      <c r="XCR138" s="26" t="s">
        <v>794</v>
      </c>
      <c r="XCS138" s="26">
        <v>4</v>
      </c>
      <c r="XCT138" s="26" t="s">
        <v>794</v>
      </c>
      <c r="XCU138" s="26">
        <v>4</v>
      </c>
      <c r="XCV138" s="26" t="s">
        <v>794</v>
      </c>
      <c r="XCW138" s="26">
        <v>4</v>
      </c>
      <c r="XCX138" s="26" t="s">
        <v>794</v>
      </c>
      <c r="XCY138" s="26">
        <v>4</v>
      </c>
      <c r="XCZ138" s="26" t="s">
        <v>794</v>
      </c>
      <c r="XDA138" s="26">
        <v>4</v>
      </c>
      <c r="XDB138" s="26" t="s">
        <v>794</v>
      </c>
      <c r="XDC138" s="26">
        <v>4</v>
      </c>
      <c r="XDD138" s="26" t="s">
        <v>794</v>
      </c>
      <c r="XDE138" s="26">
        <v>4</v>
      </c>
      <c r="XDF138" s="26" t="s">
        <v>794</v>
      </c>
      <c r="XDG138" s="26">
        <v>4</v>
      </c>
      <c r="XDH138" s="26" t="s">
        <v>794</v>
      </c>
      <c r="XDI138" s="26">
        <v>4</v>
      </c>
      <c r="XDJ138" s="26" t="s">
        <v>794</v>
      </c>
      <c r="XDK138" s="26">
        <v>4</v>
      </c>
      <c r="XDL138" s="26" t="s">
        <v>794</v>
      </c>
      <c r="XDM138" s="26">
        <v>4</v>
      </c>
      <c r="XDN138" s="26" t="s">
        <v>794</v>
      </c>
      <c r="XDO138" s="26">
        <v>4</v>
      </c>
      <c r="XDP138" s="26" t="s">
        <v>794</v>
      </c>
      <c r="XDQ138" s="26">
        <v>4</v>
      </c>
      <c r="XDR138" s="26" t="s">
        <v>794</v>
      </c>
      <c r="XDS138" s="26">
        <v>4</v>
      </c>
      <c r="XDT138" s="26" t="s">
        <v>794</v>
      </c>
      <c r="XDU138" s="26">
        <v>4</v>
      </c>
      <c r="XDV138" s="26" t="s">
        <v>794</v>
      </c>
      <c r="XDW138" s="26">
        <v>4</v>
      </c>
      <c r="XDX138" s="26" t="s">
        <v>794</v>
      </c>
      <c r="XDY138" s="26">
        <v>4</v>
      </c>
      <c r="XDZ138" s="26" t="s">
        <v>794</v>
      </c>
      <c r="XEA138" s="26">
        <v>4</v>
      </c>
      <c r="XEB138" s="26" t="s">
        <v>794</v>
      </c>
      <c r="XEC138" s="26">
        <v>4</v>
      </c>
      <c r="XED138" s="26" t="s">
        <v>794</v>
      </c>
      <c r="XEE138" s="26">
        <v>4</v>
      </c>
      <c r="XEF138" s="26" t="s">
        <v>794</v>
      </c>
      <c r="XEG138" s="26">
        <v>4</v>
      </c>
      <c r="XEH138" s="26" t="s">
        <v>794</v>
      </c>
      <c r="XEI138" s="26">
        <v>4</v>
      </c>
      <c r="XEJ138" s="26" t="s">
        <v>794</v>
      </c>
      <c r="XEK138" s="26">
        <v>4</v>
      </c>
      <c r="XEL138" s="26" t="s">
        <v>794</v>
      </c>
      <c r="XEM138" s="26">
        <v>4</v>
      </c>
      <c r="XEN138" s="26" t="s">
        <v>794</v>
      </c>
      <c r="XEO138" s="26">
        <v>4</v>
      </c>
      <c r="XEP138" s="26" t="s">
        <v>794</v>
      </c>
      <c r="XEQ138" s="26">
        <v>4</v>
      </c>
      <c r="XER138" s="26" t="s">
        <v>794</v>
      </c>
    </row>
    <row r="139" spans="1:16372">
      <c r="A139" s="52" t="s">
        <v>270</v>
      </c>
      <c r="B139" s="49">
        <v>209</v>
      </c>
      <c r="C139" s="49">
        <v>129</v>
      </c>
    </row>
    <row r="140" spans="1:16372">
      <c r="A140" s="52" t="s">
        <v>271</v>
      </c>
      <c r="B140" s="49">
        <v>466</v>
      </c>
      <c r="C140" s="49">
        <v>174</v>
      </c>
    </row>
    <row r="141" spans="1:16372">
      <c r="A141" s="52" t="s">
        <v>272</v>
      </c>
      <c r="B141" s="49">
        <v>539</v>
      </c>
      <c r="C141" s="49">
        <v>313</v>
      </c>
    </row>
    <row r="142" spans="1:16372">
      <c r="A142" s="52" t="s">
        <v>273</v>
      </c>
      <c r="B142" s="49">
        <v>481</v>
      </c>
      <c r="C142" s="49">
        <v>337</v>
      </c>
    </row>
    <row r="143" spans="1:16372">
      <c r="A143" s="52" t="s">
        <v>274</v>
      </c>
      <c r="B143" s="49">
        <v>633</v>
      </c>
      <c r="C143" s="49">
        <v>390</v>
      </c>
    </row>
    <row r="144" spans="1:16372">
      <c r="A144" s="52" t="s">
        <v>275</v>
      </c>
      <c r="B144" s="49">
        <v>368</v>
      </c>
      <c r="C144" s="49">
        <v>186</v>
      </c>
    </row>
    <row r="145" spans="1:3">
      <c r="A145" s="52" t="s">
        <v>276</v>
      </c>
      <c r="B145" s="49">
        <v>242</v>
      </c>
      <c r="C145" s="49">
        <v>128</v>
      </c>
    </row>
    <row r="146" spans="1:3">
      <c r="A146" s="52" t="s">
        <v>277</v>
      </c>
      <c r="B146" s="49">
        <v>597</v>
      </c>
      <c r="C146" s="49">
        <v>311</v>
      </c>
    </row>
    <row r="147" spans="1:3">
      <c r="A147" s="52" t="s">
        <v>278</v>
      </c>
      <c r="B147" s="49">
        <v>523</v>
      </c>
      <c r="C147" s="49">
        <v>287</v>
      </c>
    </row>
    <row r="148" spans="1:3">
      <c r="A148" s="52" t="s">
        <v>279</v>
      </c>
      <c r="B148" s="49">
        <v>710</v>
      </c>
      <c r="C148" s="49">
        <v>253</v>
      </c>
    </row>
    <row r="149" spans="1:3">
      <c r="A149" s="52" t="s">
        <v>280</v>
      </c>
      <c r="B149" s="49">
        <v>384</v>
      </c>
      <c r="C149" s="49">
        <v>384</v>
      </c>
    </row>
    <row r="150" spans="1:3">
      <c r="A150" s="52" t="s">
        <v>281</v>
      </c>
      <c r="B150" s="49">
        <v>327</v>
      </c>
      <c r="C150" s="49">
        <v>61</v>
      </c>
    </row>
    <row r="151" spans="1:3">
      <c r="A151" s="52" t="s">
        <v>282</v>
      </c>
      <c r="B151" s="49">
        <v>434</v>
      </c>
      <c r="C151" s="49">
        <v>169</v>
      </c>
    </row>
    <row r="152" spans="1:3">
      <c r="A152" s="52" t="s">
        <v>283</v>
      </c>
      <c r="B152" s="49">
        <v>516</v>
      </c>
      <c r="C152" s="49">
        <v>467</v>
      </c>
    </row>
    <row r="153" spans="1:3">
      <c r="A153" s="52" t="s">
        <v>284</v>
      </c>
      <c r="B153" s="49">
        <v>205</v>
      </c>
      <c r="C153" s="49">
        <v>43</v>
      </c>
    </row>
    <row r="154" spans="1:3">
      <c r="A154" s="52" t="s">
        <v>285</v>
      </c>
      <c r="B154" s="49">
        <v>231</v>
      </c>
      <c r="C154" s="49">
        <v>22</v>
      </c>
    </row>
    <row r="155" spans="1:3">
      <c r="A155" s="52" t="s">
        <v>286</v>
      </c>
      <c r="B155" s="49">
        <v>460</v>
      </c>
      <c r="C155" s="49">
        <v>161</v>
      </c>
    </row>
    <row r="156" spans="1:3">
      <c r="A156" s="52" t="s">
        <v>287</v>
      </c>
      <c r="B156" s="49">
        <v>379</v>
      </c>
      <c r="C156" s="49">
        <v>174</v>
      </c>
    </row>
    <row r="157" spans="1:3">
      <c r="A157" s="52" t="s">
        <v>288</v>
      </c>
      <c r="B157" s="49">
        <v>378</v>
      </c>
      <c r="C157" s="49">
        <v>419</v>
      </c>
    </row>
    <row r="158" spans="1:3">
      <c r="A158" s="52" t="s">
        <v>289</v>
      </c>
      <c r="B158" s="49">
        <v>450</v>
      </c>
      <c r="C158" s="49">
        <v>484</v>
      </c>
    </row>
    <row r="159" spans="1:3">
      <c r="A159" s="52" t="s">
        <v>290</v>
      </c>
      <c r="B159" s="49">
        <v>340</v>
      </c>
      <c r="C159" s="49">
        <v>484</v>
      </c>
    </row>
    <row r="160" spans="1:3">
      <c r="A160" s="52" t="s">
        <v>291</v>
      </c>
      <c r="B160" s="49">
        <v>522</v>
      </c>
      <c r="C160" s="49">
        <v>415</v>
      </c>
    </row>
    <row r="161" spans="1:3">
      <c r="A161" s="52" t="s">
        <v>292</v>
      </c>
      <c r="B161" s="49">
        <v>192</v>
      </c>
      <c r="C161" s="49">
        <v>136</v>
      </c>
    </row>
    <row r="162" spans="1:3">
      <c r="A162" s="52" t="s">
        <v>293</v>
      </c>
      <c r="B162" s="49">
        <v>467</v>
      </c>
      <c r="C162" s="49">
        <v>395</v>
      </c>
    </row>
    <row r="163" spans="1:3">
      <c r="A163" s="52" t="s">
        <v>294</v>
      </c>
      <c r="B163" s="49">
        <v>312</v>
      </c>
      <c r="C163" s="49">
        <v>375</v>
      </c>
    </row>
    <row r="164" spans="1:3">
      <c r="A164" s="52" t="s">
        <v>295</v>
      </c>
      <c r="B164" s="49">
        <v>446</v>
      </c>
      <c r="C164" s="49">
        <v>273</v>
      </c>
    </row>
    <row r="165" spans="1:3">
      <c r="A165" s="52" t="s">
        <v>296</v>
      </c>
      <c r="B165" s="49">
        <v>146</v>
      </c>
      <c r="C165" s="49">
        <v>101</v>
      </c>
    </row>
    <row r="166" spans="1:3">
      <c r="A166" s="52" t="s">
        <v>297</v>
      </c>
      <c r="B166" s="49">
        <v>334</v>
      </c>
      <c r="C166" s="49">
        <v>101</v>
      </c>
    </row>
    <row r="167" spans="1:3">
      <c r="A167" s="52" t="s">
        <v>298</v>
      </c>
      <c r="B167" s="49">
        <v>440</v>
      </c>
      <c r="C167" s="49">
        <v>425</v>
      </c>
    </row>
    <row r="168" spans="1:3">
      <c r="A168" s="52" t="s">
        <v>299</v>
      </c>
      <c r="B168" s="49">
        <v>367</v>
      </c>
      <c r="C168" s="49">
        <v>254</v>
      </c>
    </row>
    <row r="169" spans="1:3">
      <c r="A169" s="52" t="s">
        <v>300</v>
      </c>
      <c r="B169" s="49">
        <v>250</v>
      </c>
      <c r="C169" s="49">
        <v>186</v>
      </c>
    </row>
    <row r="170" spans="1:3">
      <c r="A170" s="52" t="s">
        <v>301</v>
      </c>
      <c r="B170" s="49">
        <v>408</v>
      </c>
      <c r="C170" s="49">
        <v>145</v>
      </c>
    </row>
    <row r="171" spans="1:3">
      <c r="A171" s="52" t="s">
        <v>302</v>
      </c>
      <c r="B171" s="49">
        <v>436</v>
      </c>
      <c r="C171" s="49">
        <v>183</v>
      </c>
    </row>
    <row r="172" spans="1:3">
      <c r="A172" s="52" t="s">
        <v>303</v>
      </c>
      <c r="B172" s="49">
        <v>337</v>
      </c>
      <c r="C172" s="49">
        <v>118</v>
      </c>
    </row>
    <row r="173" spans="1:3">
      <c r="A173" s="52" t="s">
        <v>304</v>
      </c>
      <c r="B173" s="49">
        <v>279</v>
      </c>
      <c r="C173" s="49">
        <v>323</v>
      </c>
    </row>
    <row r="174" spans="1:3">
      <c r="A174" s="52" t="s">
        <v>305</v>
      </c>
      <c r="B174" s="49">
        <v>306</v>
      </c>
      <c r="C174" s="49">
        <v>82</v>
      </c>
    </row>
    <row r="175" spans="1:3">
      <c r="A175" s="52" t="s">
        <v>306</v>
      </c>
      <c r="B175" s="49">
        <v>360</v>
      </c>
      <c r="C175" s="49">
        <v>354</v>
      </c>
    </row>
    <row r="176" spans="1:3">
      <c r="A176" s="52" t="s">
        <v>307</v>
      </c>
      <c r="B176" s="49">
        <v>506</v>
      </c>
      <c r="C176" s="49">
        <v>274</v>
      </c>
    </row>
    <row r="177" spans="1:3">
      <c r="A177" s="52" t="s">
        <v>308</v>
      </c>
      <c r="B177" s="49">
        <v>400</v>
      </c>
      <c r="C177" s="49">
        <v>412</v>
      </c>
    </row>
    <row r="178" spans="1:3">
      <c r="A178" s="52" t="s">
        <v>309</v>
      </c>
      <c r="B178" s="49">
        <v>277</v>
      </c>
      <c r="C178" s="49">
        <v>233</v>
      </c>
    </row>
    <row r="179" spans="1:3">
      <c r="A179" s="52" t="s">
        <v>310</v>
      </c>
      <c r="B179" s="49">
        <v>234</v>
      </c>
      <c r="C179" s="49">
        <v>118</v>
      </c>
    </row>
    <row r="180" spans="1:3">
      <c r="A180" s="52" t="s">
        <v>311</v>
      </c>
      <c r="B180" s="49">
        <v>405</v>
      </c>
      <c r="C180" s="49">
        <v>245</v>
      </c>
    </row>
    <row r="181" spans="1:3">
      <c r="A181" s="52" t="s">
        <v>312</v>
      </c>
      <c r="B181" s="49">
        <v>435</v>
      </c>
      <c r="C181" s="49">
        <v>353</v>
      </c>
    </row>
    <row r="182" spans="1:3">
      <c r="A182" s="52" t="s">
        <v>313</v>
      </c>
      <c r="B182" s="49">
        <v>547</v>
      </c>
      <c r="C182" s="49">
        <v>261</v>
      </c>
    </row>
    <row r="183" spans="1:3">
      <c r="A183" s="52" t="s">
        <v>314</v>
      </c>
      <c r="B183" s="49">
        <v>413</v>
      </c>
      <c r="C183" s="49">
        <v>176</v>
      </c>
    </row>
    <row r="184" spans="1:3">
      <c r="A184" s="52" t="s">
        <v>315</v>
      </c>
      <c r="B184" s="49">
        <v>245</v>
      </c>
      <c r="C184" s="49">
        <v>126</v>
      </c>
    </row>
    <row r="185" spans="1:3">
      <c r="A185" s="52" t="s">
        <v>316</v>
      </c>
      <c r="B185" s="49">
        <v>292</v>
      </c>
      <c r="C185" s="49">
        <v>280</v>
      </c>
    </row>
    <row r="186" spans="1:3">
      <c r="A186" s="52" t="s">
        <v>327</v>
      </c>
      <c r="B186" s="49">
        <v>399</v>
      </c>
      <c r="C186" s="49">
        <v>493</v>
      </c>
    </row>
    <row r="187" spans="1:3">
      <c r="A187" s="52" t="s">
        <v>328</v>
      </c>
      <c r="B187" s="49">
        <v>355</v>
      </c>
      <c r="C187" s="49">
        <v>571</v>
      </c>
    </row>
    <row r="188" spans="1:3">
      <c r="A188" s="52" t="s">
        <v>329</v>
      </c>
      <c r="B188" s="49">
        <v>341</v>
      </c>
      <c r="C188" s="49">
        <v>425</v>
      </c>
    </row>
    <row r="189" spans="1:3">
      <c r="A189" s="52" t="s">
        <v>330</v>
      </c>
      <c r="B189" s="49">
        <v>381</v>
      </c>
      <c r="C189" s="49">
        <v>584</v>
      </c>
    </row>
    <row r="190" spans="1:3">
      <c r="A190" s="52" t="s">
        <v>374</v>
      </c>
      <c r="B190" s="49">
        <v>7</v>
      </c>
      <c r="C190" s="49">
        <v>4</v>
      </c>
    </row>
    <row r="191" spans="1:3">
      <c r="A191" s="52" t="s">
        <v>434</v>
      </c>
      <c r="B191" s="49">
        <v>299</v>
      </c>
      <c r="C191" s="49">
        <v>286</v>
      </c>
    </row>
    <row r="192" spans="1:3">
      <c r="A192" s="52" t="s">
        <v>435</v>
      </c>
      <c r="B192" s="49">
        <v>291</v>
      </c>
      <c r="C192" s="49">
        <v>316</v>
      </c>
    </row>
    <row r="193" spans="1:3">
      <c r="A193" s="52" t="s">
        <v>436</v>
      </c>
      <c r="B193" s="49">
        <v>240</v>
      </c>
      <c r="C193" s="49">
        <v>301</v>
      </c>
    </row>
    <row r="194" spans="1:3">
      <c r="A194" s="52" t="s">
        <v>437</v>
      </c>
      <c r="B194" s="49">
        <v>320</v>
      </c>
      <c r="C194" s="49">
        <v>389</v>
      </c>
    </row>
    <row r="195" spans="1:3">
      <c r="A195" s="52" t="s">
        <v>509</v>
      </c>
      <c r="B195" s="49">
        <v>67</v>
      </c>
      <c r="C195" s="49">
        <v>59</v>
      </c>
    </row>
    <row r="196" spans="1:3">
      <c r="A196" s="52" t="s">
        <v>510</v>
      </c>
      <c r="B196" s="49">
        <v>127</v>
      </c>
      <c r="C196" s="49">
        <v>146</v>
      </c>
    </row>
    <row r="197" spans="1:3">
      <c r="A197" s="52" t="s">
        <v>511</v>
      </c>
      <c r="B197" s="49">
        <v>194</v>
      </c>
      <c r="C197" s="49">
        <v>136</v>
      </c>
    </row>
    <row r="198" spans="1:3">
      <c r="A198" s="52" t="s">
        <v>512</v>
      </c>
      <c r="B198" s="49">
        <v>258</v>
      </c>
      <c r="C198" s="49">
        <v>98</v>
      </c>
    </row>
    <row r="199" spans="1:3">
      <c r="A199" s="52" t="s">
        <v>513</v>
      </c>
      <c r="B199" s="49">
        <v>132</v>
      </c>
      <c r="C199" s="49">
        <v>116</v>
      </c>
    </row>
    <row r="200" spans="1:3">
      <c r="A200" s="52" t="s">
        <v>514</v>
      </c>
      <c r="B200" s="49">
        <v>234</v>
      </c>
      <c r="C200" s="49">
        <v>204</v>
      </c>
    </row>
    <row r="201" spans="1:3">
      <c r="A201" s="52" t="s">
        <v>520</v>
      </c>
      <c r="B201" s="49">
        <v>19</v>
      </c>
      <c r="C201" s="49">
        <v>24</v>
      </c>
    </row>
    <row r="202" spans="1:3">
      <c r="A202" s="52" t="s">
        <v>524</v>
      </c>
      <c r="B202" s="49">
        <v>26</v>
      </c>
      <c r="C202" s="49">
        <v>33</v>
      </c>
    </row>
    <row r="203" spans="1:3">
      <c r="A203" s="52" t="s">
        <v>527</v>
      </c>
      <c r="B203" s="49">
        <v>2</v>
      </c>
      <c r="C203" s="49">
        <v>29</v>
      </c>
    </row>
    <row r="204" spans="1:3">
      <c r="A204" s="52" t="s">
        <v>538</v>
      </c>
      <c r="B204" s="49">
        <v>7</v>
      </c>
      <c r="C204" s="49">
        <v>19</v>
      </c>
    </row>
    <row r="205" spans="1:3">
      <c r="A205" s="52" t="s">
        <v>539</v>
      </c>
      <c r="B205" s="49">
        <v>3</v>
      </c>
      <c r="C205" s="49">
        <v>29</v>
      </c>
    </row>
    <row r="206" spans="1:3">
      <c r="A206" s="52" t="s">
        <v>540</v>
      </c>
      <c r="B206" s="49">
        <v>19</v>
      </c>
      <c r="C206" s="49">
        <v>7</v>
      </c>
    </row>
    <row r="207" spans="1:3">
      <c r="A207" s="52" t="s">
        <v>546</v>
      </c>
      <c r="B207" s="49">
        <v>0</v>
      </c>
      <c r="C207" s="49">
        <v>0</v>
      </c>
    </row>
    <row r="208" spans="1:3">
      <c r="A208" s="52" t="s">
        <v>549</v>
      </c>
      <c r="B208" s="49">
        <v>616</v>
      </c>
      <c r="C208" s="49">
        <v>329</v>
      </c>
    </row>
    <row r="209" spans="1:3">
      <c r="A209" s="52" t="s">
        <v>550</v>
      </c>
      <c r="B209" s="49">
        <v>586</v>
      </c>
      <c r="C209" s="49">
        <v>275</v>
      </c>
    </row>
    <row r="210" spans="1:3">
      <c r="A210" s="52" t="s">
        <v>552</v>
      </c>
      <c r="B210" s="49">
        <v>255</v>
      </c>
      <c r="C210" s="49">
        <v>486</v>
      </c>
    </row>
    <row r="211" spans="1:3">
      <c r="A211" s="52" t="s">
        <v>553</v>
      </c>
      <c r="B211" s="49">
        <v>11</v>
      </c>
      <c r="C211" s="49">
        <v>19</v>
      </c>
    </row>
    <row r="212" spans="1:3">
      <c r="A212" s="52" t="s">
        <v>555</v>
      </c>
      <c r="B212" s="49">
        <v>84</v>
      </c>
      <c r="C212" s="49">
        <v>218</v>
      </c>
    </row>
    <row r="213" spans="1:3">
      <c r="A213" s="52" t="s">
        <v>558</v>
      </c>
      <c r="B213" s="49">
        <v>230</v>
      </c>
      <c r="C213" s="49">
        <v>347</v>
      </c>
    </row>
    <row r="214" spans="1:3">
      <c r="A214" s="52" t="s">
        <v>573</v>
      </c>
      <c r="B214" s="49">
        <v>33</v>
      </c>
      <c r="C214" s="49">
        <v>111</v>
      </c>
    </row>
    <row r="215" spans="1:3">
      <c r="A215" s="52" t="s">
        <v>577</v>
      </c>
      <c r="B215" s="49">
        <v>161</v>
      </c>
      <c r="C215" s="49">
        <v>478</v>
      </c>
    </row>
    <row r="216" spans="1:3">
      <c r="A216" s="52" t="s">
        <v>578</v>
      </c>
      <c r="B216" s="49">
        <v>145</v>
      </c>
      <c r="C216" s="49">
        <v>394</v>
      </c>
    </row>
    <row r="217" spans="1:3">
      <c r="A217" s="52" t="s">
        <v>582</v>
      </c>
      <c r="B217" s="49">
        <v>36</v>
      </c>
      <c r="C217" s="49">
        <v>126</v>
      </c>
    </row>
    <row r="218" spans="1:3">
      <c r="A218" s="52" t="s">
        <v>586</v>
      </c>
      <c r="B218" s="49">
        <v>266</v>
      </c>
      <c r="C218" s="49">
        <v>619</v>
      </c>
    </row>
    <row r="219" spans="1:3">
      <c r="A219" s="52" t="s">
        <v>624</v>
      </c>
      <c r="B219" s="49">
        <v>359</v>
      </c>
      <c r="C219" s="49">
        <v>258</v>
      </c>
    </row>
    <row r="220" spans="1:3">
      <c r="A220" s="52" t="s">
        <v>625</v>
      </c>
      <c r="B220" s="49">
        <v>564</v>
      </c>
      <c r="C220" s="49">
        <v>267</v>
      </c>
    </row>
    <row r="221" spans="1:3">
      <c r="A221" s="52" t="s">
        <v>626</v>
      </c>
      <c r="B221" s="49">
        <v>530</v>
      </c>
      <c r="C221" s="49">
        <v>286</v>
      </c>
    </row>
    <row r="222" spans="1:3">
      <c r="A222" s="52" t="s">
        <v>631</v>
      </c>
      <c r="B222" s="49">
        <v>228</v>
      </c>
      <c r="C222" s="49">
        <v>158</v>
      </c>
    </row>
    <row r="223" spans="1:3">
      <c r="A223" s="52" t="s">
        <v>635</v>
      </c>
      <c r="B223" s="49">
        <v>145</v>
      </c>
      <c r="C223" s="49">
        <v>179</v>
      </c>
    </row>
    <row r="224" spans="1:3">
      <c r="A224" s="52" t="s">
        <v>638</v>
      </c>
      <c r="B224" s="49">
        <v>103</v>
      </c>
      <c r="C224" s="49">
        <v>97</v>
      </c>
    </row>
    <row r="225" spans="1:3">
      <c r="A225" s="52" t="s">
        <v>640</v>
      </c>
      <c r="B225" s="49">
        <v>0</v>
      </c>
      <c r="C225" s="49">
        <v>2</v>
      </c>
    </row>
    <row r="226" spans="1:3">
      <c r="A226" s="52" t="s">
        <v>662</v>
      </c>
      <c r="B226" s="49">
        <v>188</v>
      </c>
      <c r="C226" s="49">
        <v>175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Predmore</dc:creator>
  <cp:lastModifiedBy>Dennis Predmore</cp:lastModifiedBy>
  <cp:lastPrinted>2016-09-16T20:03:18Z</cp:lastPrinted>
  <dcterms:created xsi:type="dcterms:W3CDTF">2012-08-13T14:00:40Z</dcterms:created>
  <dcterms:modified xsi:type="dcterms:W3CDTF">2016-11-28T19:08:09Z</dcterms:modified>
</cp:coreProperties>
</file>